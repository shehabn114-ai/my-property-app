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1" defaultThemeVersion="166925"/>
  <mc:AlternateContent xmlns:mc="http://schemas.openxmlformats.org/markup-compatibility/2006">
    <mc:Choice Requires="x15">
      <x15ac:absPath xmlns:x15ac="http://schemas.microsoft.com/office/spreadsheetml/2010/11/ac" url="E:\SN7\my-property-app\public\data\"/>
    </mc:Choice>
  </mc:AlternateContent>
  <xr:revisionPtr revIDLastSave="0" documentId="13_ncr:1_{A06F670A-2822-4DBC-B1D5-054D3E80C2C8}" xr6:coauthVersionLast="47" xr6:coauthVersionMax="47" xr10:uidLastSave="{00000000-0000-0000-0000-000000000000}"/>
  <bookViews>
    <workbookView xWindow="-110" yWindow="-110" windowWidth="21820" windowHeight="14020" firstSheet="5" activeTab="7" xr2:uid="{D02ECA82-7AF7-4281-9CC0-96761E200839}"/>
  </bookViews>
  <sheets>
    <sheet name="قطع الصيانة" sheetId="36" r:id="rId1"/>
    <sheet name="Home" sheetId="1" r:id="rId2"/>
    <sheet name="سياسة طباعة تقرير العمائر" sheetId="47" r:id="rId3"/>
    <sheet name="التحويل بين عبدالله وروك كي" sheetId="46" r:id="rId4"/>
    <sheet name="Menus" sheetId="4" r:id="rId5"/>
    <sheet name="الوسطاء" sheetId="44" r:id="rId6"/>
    <sheet name="Units Data" sheetId="3" r:id="rId7"/>
    <sheet name="الوحدات والمباني" sheetId="51" r:id="rId8"/>
    <sheet name="Payment Filtering" sheetId="48" r:id="rId9"/>
    <sheet name="رسوم عقد ايجار روك" sheetId="49" r:id="rId10"/>
    <sheet name="رسوم تجديد تلقائي" sheetId="50" r:id="rId11"/>
    <sheet name="Payments and Repayments" sheetId="13" r:id="rId12"/>
    <sheet name="Expenses" sheetId="19" r:id="rId13"/>
    <sheet name="Monthly Report" sheetId="15" r:id="rId14"/>
    <sheet name="باقي المصروفات" sheetId="45" r:id="rId15"/>
    <sheet name="Revenue" sheetId="18" r:id="rId16"/>
    <sheet name="Unit Handover" sheetId="27" r:id="rId17"/>
    <sheet name="مصروفات من حساب عدالله راشد" sheetId="37" r:id="rId18"/>
    <sheet name="تامين مستاجرين" sheetId="20" r:id="rId19"/>
    <sheet name="التدفقات" sheetId="40" r:id="rId20"/>
    <sheet name="دراسة ادارة املاك" sheetId="39" r:id="rId21"/>
    <sheet name="Number Processing" sheetId="34" r:id="rId22"/>
    <sheet name="Offers" sheetId="6" r:id="rId23"/>
    <sheet name="دراسات" sheetId="12" r:id="rId24"/>
    <sheet name="Report of Abdullah Rashid" sheetId="14" state="hidden" r:id="rId25"/>
    <sheet name="مكافات نهاية الخدمة" sheetId="26" r:id="rId26"/>
    <sheet name="Deals" sheetId="28" r:id="rId27"/>
  </sheets>
  <functionGroups builtInGroupCount="19"/>
  <externalReferences>
    <externalReference r:id="rId28"/>
  </externalReferences>
  <definedNames>
    <definedName name="_xlpm.A" hidden="1" xlm="1">#NAME?</definedName>
    <definedName name="_xlpm.B" hidden="1" xlm="1">#NAME?</definedName>
    <definedName name="_xlpm.C" hidden="1" xlm="1">#NAME?</definedName>
    <definedName name="_xlpm.contract" hidden="1" xlm="1">#NAME?</definedName>
    <definedName name="_xlpm.days" hidden="1" xlm="1">#NAME?</definedName>
    <definedName name="_xlpm.msgType" hidden="1" xlm="1">#NAME?</definedName>
    <definedName name="_xlpm.name" hidden="1" xlm="1">#NAME?</definedName>
    <definedName name="_xlpm.uni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E53" i="19" l="1"/>
  <c r="E52" i="19"/>
  <c r="D7" i="49" a="1"/>
  <c r="D7" i="49" s="1"/>
  <c r="D8" i="49" a="1"/>
  <c r="D8" i="49"/>
  <c r="D9" i="49" a="1"/>
  <c r="D9" i="49" s="1"/>
  <c r="D10" i="49" a="1"/>
  <c r="D10" i="49"/>
  <c r="D11" i="49" a="1"/>
  <c r="D11" i="49" s="1"/>
  <c r="D12" i="49" a="1"/>
  <c r="D12" i="49"/>
  <c r="D13" i="49" a="1"/>
  <c r="D13" i="49" s="1"/>
  <c r="D14" i="49" a="1"/>
  <c r="D14" i="49"/>
  <c r="D15" i="49" a="1"/>
  <c r="D15" i="49" s="1"/>
  <c r="D16" i="49" a="1"/>
  <c r="D16" i="49"/>
  <c r="D17" i="49" a="1"/>
  <c r="D17" i="49" s="1"/>
  <c r="D18" i="49" a="1"/>
  <c r="D18" i="49"/>
  <c r="D19" i="49" a="1"/>
  <c r="D19" i="49" s="1"/>
  <c r="D20" i="49" a="1"/>
  <c r="D20" i="49"/>
  <c r="D21" i="49" a="1"/>
  <c r="D21" i="49" s="1"/>
  <c r="D22" i="49" a="1"/>
  <c r="D22" i="49"/>
  <c r="D23" i="49" a="1"/>
  <c r="D23" i="49" s="1"/>
  <c r="D24" i="49" a="1"/>
  <c r="D24" i="49"/>
  <c r="D25" i="49" a="1"/>
  <c r="D25" i="49" s="1"/>
  <c r="D26" i="49" a="1"/>
  <c r="D26" i="49"/>
  <c r="D27" i="49" a="1"/>
  <c r="D27" i="49" s="1"/>
  <c r="D28" i="49" a="1"/>
  <c r="D28" i="49"/>
  <c r="D29" i="49" a="1"/>
  <c r="D29" i="49" s="1"/>
  <c r="D30" i="49" a="1"/>
  <c r="D30" i="49"/>
  <c r="D31" i="49" a="1"/>
  <c r="D31" i="49" s="1"/>
  <c r="D32" i="49" a="1"/>
  <c r="D32" i="49"/>
  <c r="D33" i="49" a="1"/>
  <c r="D33" i="49" s="1"/>
  <c r="D34" i="49" a="1"/>
  <c r="D34" i="49"/>
  <c r="D35" i="49" a="1"/>
  <c r="D35" i="49" s="1"/>
  <c r="D36" i="49" a="1"/>
  <c r="D36" i="49"/>
  <c r="D37" i="49" a="1"/>
  <c r="D37" i="49" s="1"/>
  <c r="D38" i="49" a="1"/>
  <c r="D38" i="49"/>
  <c r="D39" i="49" a="1"/>
  <c r="D39" i="49" s="1"/>
  <c r="D40" i="49" a="1"/>
  <c r="D40" i="49"/>
  <c r="D41" i="49" a="1"/>
  <c r="D41" i="49" s="1"/>
  <c r="D42" i="49" a="1"/>
  <c r="D42" i="49"/>
  <c r="D43" i="49" a="1"/>
  <c r="D43" i="49" s="1"/>
  <c r="D44" i="49" a="1"/>
  <c r="D44" i="49"/>
  <c r="D45" i="49" a="1"/>
  <c r="D45" i="49" s="1"/>
  <c r="D46" i="49" a="1"/>
  <c r="D46" i="49"/>
  <c r="D47" i="49" a="1"/>
  <c r="D47" i="49" s="1"/>
  <c r="D48" i="49" a="1"/>
  <c r="D48" i="49"/>
  <c r="D49" i="49" a="1"/>
  <c r="D49" i="49" s="1"/>
  <c r="D50" i="49" a="1"/>
  <c r="D50" i="49"/>
  <c r="D51" i="49" a="1"/>
  <c r="D51" i="49" s="1"/>
  <c r="D52" i="49" a="1"/>
  <c r="D52" i="49"/>
  <c r="D53" i="49" a="1"/>
  <c r="D53" i="49" s="1"/>
  <c r="D54" i="49" a="1"/>
  <c r="D54" i="49"/>
  <c r="D55" i="49" a="1"/>
  <c r="D55" i="49" s="1"/>
  <c r="D56" i="49" a="1"/>
  <c r="D56" i="49"/>
  <c r="D57" i="49" a="1"/>
  <c r="D57" i="49" s="1"/>
  <c r="D58" i="49" a="1"/>
  <c r="D58" i="49"/>
  <c r="D59" i="49" a="1"/>
  <c r="D59" i="49" s="1"/>
  <c r="D60" i="49" a="1"/>
  <c r="D60" i="49"/>
  <c r="D61" i="49" a="1"/>
  <c r="D61" i="49" s="1"/>
  <c r="D62" i="49" a="1"/>
  <c r="D62" i="49"/>
  <c r="D63" i="49" a="1"/>
  <c r="D63" i="49" s="1"/>
  <c r="D64" i="49" a="1"/>
  <c r="D64" i="49"/>
  <c r="D65" i="49" a="1"/>
  <c r="D65" i="49" s="1"/>
  <c r="D66" i="49" a="1"/>
  <c r="D66" i="49"/>
  <c r="D67" i="49" a="1"/>
  <c r="D67" i="49" s="1"/>
  <c r="D68" i="49" a="1"/>
  <c r="D68" i="49"/>
  <c r="D69" i="49" a="1"/>
  <c r="D69" i="49" s="1"/>
  <c r="D70" i="49" a="1"/>
  <c r="D70" i="49"/>
  <c r="D71" i="49" a="1"/>
  <c r="D71" i="49" s="1"/>
  <c r="D72" i="49" a="1"/>
  <c r="D72" i="49"/>
  <c r="D73" i="49" a="1"/>
  <c r="D73" i="49" s="1"/>
  <c r="D74" i="49" a="1"/>
  <c r="D74" i="49"/>
  <c r="D75" i="49" a="1"/>
  <c r="D75" i="49" s="1"/>
  <c r="D76" i="49" a="1"/>
  <c r="D76" i="49"/>
  <c r="D77" i="49" a="1"/>
  <c r="D77" i="49" s="1"/>
  <c r="D78" i="49" a="1"/>
  <c r="D78" i="49"/>
  <c r="D79" i="49" a="1"/>
  <c r="D79" i="49" s="1"/>
  <c r="D80" i="49" a="1"/>
  <c r="D80" i="49"/>
  <c r="D81" i="49" a="1"/>
  <c r="D81" i="49" s="1"/>
  <c r="D82" i="49" a="1"/>
  <c r="D82" i="49"/>
  <c r="D83" i="49" a="1"/>
  <c r="D83" i="49" s="1"/>
  <c r="D84" i="49" a="1"/>
  <c r="D84" i="49"/>
  <c r="D85" i="49" a="1"/>
  <c r="D85" i="49" s="1"/>
  <c r="D86" i="49" a="1"/>
  <c r="D86" i="49"/>
  <c r="D87" i="49" a="1"/>
  <c r="D87" i="49" s="1"/>
  <c r="D88" i="49" a="1"/>
  <c r="D88" i="49"/>
  <c r="D89" i="49" a="1"/>
  <c r="D89" i="49" s="1"/>
  <c r="D90" i="49" a="1"/>
  <c r="D90" i="49"/>
  <c r="D91" i="49" a="1"/>
  <c r="D91" i="49" s="1"/>
  <c r="D92" i="49" a="1"/>
  <c r="D92" i="49"/>
  <c r="D93" i="49" a="1"/>
  <c r="D93" i="49" s="1"/>
  <c r="D94" i="49" a="1"/>
  <c r="D94" i="49"/>
  <c r="D95" i="49" a="1"/>
  <c r="D95" i="49" s="1"/>
  <c r="D7" i="50" a="1"/>
  <c r="D7" i="50" s="1"/>
  <c r="D8" i="50" a="1"/>
  <c r="D8" i="50" s="1"/>
  <c r="D9" i="50" a="1"/>
  <c r="D9" i="50" s="1"/>
  <c r="D10" i="50" a="1"/>
  <c r="D10" i="50" s="1"/>
  <c r="D11" i="50" a="1"/>
  <c r="D11" i="50" s="1"/>
  <c r="D12" i="50" a="1"/>
  <c r="D12" i="50" s="1"/>
  <c r="D13" i="50" a="1"/>
  <c r="D13" i="50" s="1"/>
  <c r="D14" i="50" a="1"/>
  <c r="D14" i="50" s="1"/>
  <c r="D15" i="50" a="1"/>
  <c r="D15" i="50" s="1"/>
  <c r="D16" i="50" a="1"/>
  <c r="D16" i="50" s="1"/>
  <c r="D17" i="50" a="1"/>
  <c r="D17" i="50" s="1"/>
  <c r="D18" i="50" a="1"/>
  <c r="D18" i="50" s="1"/>
  <c r="D19" i="50" a="1"/>
  <c r="D19" i="50" s="1"/>
  <c r="D20" i="50" a="1"/>
  <c r="D20" i="50" s="1"/>
  <c r="D21" i="50" a="1"/>
  <c r="D21" i="50" s="1"/>
  <c r="D22" i="50" a="1"/>
  <c r="D22" i="50" s="1"/>
  <c r="D23" i="50" a="1"/>
  <c r="D23" i="50" s="1"/>
  <c r="D24" i="50" a="1"/>
  <c r="D24" i="50" s="1"/>
  <c r="D25" i="50" a="1"/>
  <c r="D25" i="50" s="1"/>
  <c r="D26" i="50" a="1"/>
  <c r="D26" i="50" s="1"/>
  <c r="D27" i="50" a="1"/>
  <c r="D27" i="50" s="1"/>
  <c r="D28" i="50" a="1"/>
  <c r="D28" i="50" s="1"/>
  <c r="D29" i="50" a="1"/>
  <c r="D29" i="50" s="1"/>
  <c r="D30" i="50" a="1"/>
  <c r="D30" i="50" s="1"/>
  <c r="D31" i="50" a="1"/>
  <c r="D31" i="50" s="1"/>
  <c r="D32" i="50" a="1"/>
  <c r="D32" i="50" s="1"/>
  <c r="D33" i="50" a="1"/>
  <c r="D33" i="50" s="1"/>
  <c r="D34" i="50" a="1"/>
  <c r="D34" i="50" s="1"/>
  <c r="D35" i="50" a="1"/>
  <c r="D35" i="50" s="1"/>
  <c r="D36" i="50" a="1"/>
  <c r="D36" i="50" s="1"/>
  <c r="D37" i="50" a="1"/>
  <c r="D37" i="50" s="1"/>
  <c r="D38" i="50" a="1"/>
  <c r="D38" i="50" s="1"/>
  <c r="D39" i="50" a="1"/>
  <c r="D39" i="50" s="1"/>
  <c r="D40" i="50" a="1"/>
  <c r="D40" i="50" s="1"/>
  <c r="D41" i="50" a="1"/>
  <c r="D41" i="50" s="1"/>
  <c r="D42" i="50" a="1"/>
  <c r="D42" i="50" s="1"/>
  <c r="D43" i="50" a="1"/>
  <c r="D43" i="50" s="1"/>
  <c r="D44" i="50" a="1"/>
  <c r="D44" i="50" s="1"/>
  <c r="D45" i="50" a="1"/>
  <c r="D45" i="50" s="1"/>
  <c r="D46" i="50" a="1"/>
  <c r="D46" i="50" s="1"/>
  <c r="D47" i="50" a="1"/>
  <c r="D47" i="50" s="1"/>
  <c r="D48" i="50" a="1"/>
  <c r="D48" i="50" s="1"/>
  <c r="D49" i="50" a="1"/>
  <c r="D49" i="50" s="1"/>
  <c r="D50" i="50" a="1"/>
  <c r="D50" i="50" s="1"/>
  <c r="D51" i="50" a="1"/>
  <c r="D51" i="50" s="1"/>
  <c r="D52" i="50" a="1"/>
  <c r="D52" i="50" s="1"/>
  <c r="D53" i="50" a="1"/>
  <c r="D53" i="50" s="1"/>
  <c r="D54" i="50" a="1"/>
  <c r="D54" i="50" s="1"/>
  <c r="D55" i="50" a="1"/>
  <c r="D55" i="50" s="1"/>
  <c r="D56" i="50" a="1"/>
  <c r="D56" i="50" s="1"/>
  <c r="D57" i="50" a="1"/>
  <c r="D57" i="50" s="1"/>
  <c r="D58" i="50" a="1"/>
  <c r="D58" i="50" s="1"/>
  <c r="D59" i="50" a="1"/>
  <c r="D59" i="50" s="1"/>
  <c r="D60" i="50" a="1"/>
  <c r="D60" i="50" s="1"/>
  <c r="D61" i="50" a="1"/>
  <c r="D61" i="50" s="1"/>
  <c r="D62" i="50" a="1"/>
  <c r="D62" i="50" s="1"/>
  <c r="D63" i="50" a="1"/>
  <c r="D63" i="50" s="1"/>
  <c r="D64" i="50" a="1"/>
  <c r="D64" i="50" s="1"/>
  <c r="D65" i="50" a="1"/>
  <c r="D65" i="50" s="1"/>
  <c r="D66" i="50" a="1"/>
  <c r="D66" i="50" s="1"/>
  <c r="D67" i="50" a="1"/>
  <c r="D67" i="50" s="1"/>
  <c r="D68" i="50" a="1"/>
  <c r="D68" i="50" s="1"/>
  <c r="D69" i="50" a="1"/>
  <c r="D69" i="50" s="1"/>
  <c r="D70" i="50" a="1"/>
  <c r="D70" i="50" s="1"/>
  <c r="D71" i="50" a="1"/>
  <c r="D71" i="50" s="1"/>
  <c r="D72" i="50" a="1"/>
  <c r="D72" i="50" s="1"/>
  <c r="D73" i="50" a="1"/>
  <c r="D73" i="50" s="1"/>
  <c r="D74" i="50" a="1"/>
  <c r="D74" i="50" s="1"/>
  <c r="D75" i="50" a="1"/>
  <c r="D75" i="50" s="1"/>
  <c r="D76" i="50" a="1"/>
  <c r="D76" i="50" s="1"/>
  <c r="D77" i="50" a="1"/>
  <c r="D77" i="50" s="1"/>
  <c r="D78" i="50" a="1"/>
  <c r="D78" i="50" s="1"/>
  <c r="D79" i="50" a="1"/>
  <c r="D79" i="50" s="1"/>
  <c r="D80" i="50" a="1"/>
  <c r="D80" i="50" s="1"/>
  <c r="D81" i="50" a="1"/>
  <c r="D81" i="50" s="1"/>
  <c r="D82" i="50" a="1"/>
  <c r="D82" i="50" s="1"/>
  <c r="D83" i="50" a="1"/>
  <c r="D83" i="50" s="1"/>
  <c r="D84" i="50" a="1"/>
  <c r="D84" i="50" s="1"/>
  <c r="D85" i="50" a="1"/>
  <c r="D85" i="50" s="1"/>
  <c r="D86" i="50" a="1"/>
  <c r="D86" i="50" s="1"/>
  <c r="D87" i="50" a="1"/>
  <c r="D87" i="50" s="1"/>
  <c r="D88" i="50" a="1"/>
  <c r="D88" i="50" s="1"/>
  <c r="D89" i="50" a="1"/>
  <c r="D89" i="50" s="1"/>
  <c r="D90" i="50" a="1"/>
  <c r="D90" i="50" s="1"/>
  <c r="D91" i="50" a="1"/>
  <c r="D91" i="50" s="1"/>
  <c r="D92" i="50" a="1"/>
  <c r="D92" i="50" s="1"/>
  <c r="D93" i="50" a="1"/>
  <c r="D93" i="50" s="1"/>
  <c r="D94" i="50" a="1"/>
  <c r="D94" i="50" s="1"/>
  <c r="D95" i="50" a="1"/>
  <c r="D95" i="50" s="1"/>
  <c r="D96" i="50" a="1"/>
  <c r="D96" i="50" s="1"/>
  <c r="D97" i="50" a="1"/>
  <c r="D97" i="50" s="1"/>
  <c r="D98" i="50" a="1"/>
  <c r="D98" i="50" s="1"/>
  <c r="D99" i="50" a="1"/>
  <c r="D99" i="50" s="1"/>
  <c r="D100" i="50" a="1"/>
  <c r="D100" i="50" s="1"/>
  <c r="D101" i="50" a="1"/>
  <c r="D101" i="50" s="1"/>
  <c r="D102" i="50" a="1"/>
  <c r="D102" i="50" s="1"/>
  <c r="D103" i="50" a="1"/>
  <c r="D103" i="50" s="1"/>
  <c r="D104" i="50" a="1"/>
  <c r="D104" i="50" s="1"/>
  <c r="D105" i="50" a="1"/>
  <c r="D105" i="50" s="1"/>
  <c r="D106" i="50" a="1"/>
  <c r="D106" i="50" s="1"/>
  <c r="D107" i="50" a="1"/>
  <c r="D107" i="50" s="1"/>
  <c r="D108" i="50" a="1"/>
  <c r="D108" i="50" s="1"/>
  <c r="D109" i="50" a="1"/>
  <c r="D109" i="50" s="1"/>
  <c r="D110" i="50" a="1"/>
  <c r="D110" i="50" s="1"/>
  <c r="D111" i="50" a="1"/>
  <c r="D111" i="50" s="1"/>
  <c r="D112" i="50" a="1"/>
  <c r="D112" i="50" s="1"/>
  <c r="D113" i="50" a="1"/>
  <c r="D113" i="50" s="1"/>
  <c r="D114" i="50" a="1"/>
  <c r="D114" i="50" s="1"/>
  <c r="D115" i="50" a="1"/>
  <c r="D115" i="50" s="1"/>
  <c r="D116" i="50" a="1"/>
  <c r="D116" i="50" s="1"/>
  <c r="D117" i="50" a="1"/>
  <c r="D117" i="50" s="1"/>
  <c r="D118" i="50" a="1"/>
  <c r="D118" i="50" s="1"/>
  <c r="D119" i="50" a="1"/>
  <c r="D119" i="50" s="1"/>
  <c r="D120" i="50" a="1"/>
  <c r="D120" i="50" s="1"/>
  <c r="D121" i="50" a="1"/>
  <c r="D121" i="50" s="1"/>
  <c r="D122" i="50" a="1"/>
  <c r="D122" i="50" s="1"/>
  <c r="D123" i="50" a="1"/>
  <c r="D123" i="50" s="1"/>
  <c r="D124" i="50" a="1"/>
  <c r="D124" i="50" s="1"/>
  <c r="D125" i="50" a="1"/>
  <c r="D125" i="50" s="1"/>
  <c r="D126" i="50" a="1"/>
  <c r="D126" i="50" s="1"/>
  <c r="D127" i="50" a="1"/>
  <c r="D127" i="50" s="1"/>
  <c r="D128" i="50" a="1"/>
  <c r="D128" i="50" s="1"/>
  <c r="D129" i="50" a="1"/>
  <c r="D129" i="50" s="1"/>
  <c r="D130" i="50" a="1"/>
  <c r="D130" i="50" s="1"/>
  <c r="D131" i="50" a="1"/>
  <c r="D131" i="50" s="1"/>
  <c r="D132" i="50" a="1"/>
  <c r="D132" i="50" s="1"/>
  <c r="D133" i="50" a="1"/>
  <c r="D133" i="50" s="1"/>
  <c r="D134" i="50" a="1"/>
  <c r="D134" i="50" s="1"/>
  <c r="D135" i="50" a="1"/>
  <c r="D135" i="50" s="1"/>
  <c r="D136" i="50" a="1"/>
  <c r="D136" i="50" s="1"/>
  <c r="D137" i="50" a="1"/>
  <c r="D137" i="50" s="1"/>
  <c r="D138" i="50" a="1"/>
  <c r="D138" i="50" s="1"/>
  <c r="C7" i="50" a="1"/>
  <c r="C7" i="50" s="1"/>
  <c r="C8" i="50" a="1"/>
  <c r="C8" i="50" s="1"/>
  <c r="C9" i="50" a="1"/>
  <c r="C9" i="50" s="1"/>
  <c r="C10" i="50" a="1"/>
  <c r="C10" i="50" s="1"/>
  <c r="C11" i="50" a="1"/>
  <c r="C11" i="50" s="1"/>
  <c r="C12" i="50" a="1"/>
  <c r="C12" i="50" s="1"/>
  <c r="C13" i="50" a="1"/>
  <c r="C13" i="50" s="1"/>
  <c r="C14" i="50" a="1"/>
  <c r="C14" i="50" s="1"/>
  <c r="C15" i="50" a="1"/>
  <c r="C15" i="50" s="1"/>
  <c r="C16" i="50" a="1"/>
  <c r="C16" i="50" s="1"/>
  <c r="C17" i="50" a="1"/>
  <c r="C17" i="50" s="1"/>
  <c r="C18" i="50" a="1"/>
  <c r="C18" i="50" s="1"/>
  <c r="C19" i="50" a="1"/>
  <c r="C19" i="50" s="1"/>
  <c r="C20" i="50" a="1"/>
  <c r="C20" i="50" s="1"/>
  <c r="C21" i="50" a="1"/>
  <c r="C21" i="50" s="1"/>
  <c r="C22" i="50" a="1"/>
  <c r="C22" i="50" s="1"/>
  <c r="C23" i="50" a="1"/>
  <c r="C23" i="50" s="1"/>
  <c r="C24" i="50" a="1"/>
  <c r="C24" i="50" s="1"/>
  <c r="C25" i="50" a="1"/>
  <c r="C25" i="50" s="1"/>
  <c r="C26" i="50" a="1"/>
  <c r="C26" i="50" s="1"/>
  <c r="C27" i="50" a="1"/>
  <c r="C27" i="50" s="1"/>
  <c r="C28" i="50" a="1"/>
  <c r="C28" i="50" s="1"/>
  <c r="C29" i="50" a="1"/>
  <c r="C29" i="50" s="1"/>
  <c r="C30" i="50" a="1"/>
  <c r="C30" i="50" s="1"/>
  <c r="C31" i="50" a="1"/>
  <c r="C31" i="50" s="1"/>
  <c r="C32" i="50" a="1"/>
  <c r="C32" i="50" s="1"/>
  <c r="C33" i="50" a="1"/>
  <c r="C33" i="50" s="1"/>
  <c r="C34" i="50" a="1"/>
  <c r="C34" i="50" s="1"/>
  <c r="C35" i="50" a="1"/>
  <c r="C35" i="50" s="1"/>
  <c r="C36" i="50" a="1"/>
  <c r="C36" i="50" s="1"/>
  <c r="C37" i="50" a="1"/>
  <c r="C37" i="50" s="1"/>
  <c r="C38" i="50" a="1"/>
  <c r="C38" i="50" s="1"/>
  <c r="C39" i="50" a="1"/>
  <c r="C39" i="50" s="1"/>
  <c r="C40" i="50" a="1"/>
  <c r="C40" i="50" s="1"/>
  <c r="C41" i="50" a="1"/>
  <c r="C41" i="50" s="1"/>
  <c r="C42" i="50" a="1"/>
  <c r="C42" i="50" s="1"/>
  <c r="C43" i="50" a="1"/>
  <c r="C43" i="50" s="1"/>
  <c r="C44" i="50" a="1"/>
  <c r="C44" i="50" s="1"/>
  <c r="C45" i="50" a="1"/>
  <c r="C45" i="50" s="1"/>
  <c r="C46" i="50" a="1"/>
  <c r="C46" i="50" s="1"/>
  <c r="C47" i="50" a="1"/>
  <c r="C47" i="50" s="1"/>
  <c r="C48" i="50" a="1"/>
  <c r="C48" i="50" s="1"/>
  <c r="C49" i="50" a="1"/>
  <c r="C49" i="50" s="1"/>
  <c r="C50" i="50" a="1"/>
  <c r="C50" i="50" s="1"/>
  <c r="C51" i="50" a="1"/>
  <c r="C51" i="50" s="1"/>
  <c r="C52" i="50" a="1"/>
  <c r="C52" i="50" s="1"/>
  <c r="C53" i="50" a="1"/>
  <c r="C53" i="50" s="1"/>
  <c r="C54" i="50" a="1"/>
  <c r="C54" i="50" s="1"/>
  <c r="C55" i="50" a="1"/>
  <c r="C55" i="50" s="1"/>
  <c r="C56" i="50" a="1"/>
  <c r="C56" i="50" s="1"/>
  <c r="C57" i="50" a="1"/>
  <c r="C57" i="50" s="1"/>
  <c r="C58" i="50" a="1"/>
  <c r="C58" i="50" s="1"/>
  <c r="C59" i="50" a="1"/>
  <c r="C59" i="50" s="1"/>
  <c r="C60" i="50" a="1"/>
  <c r="C60" i="50" s="1"/>
  <c r="C61" i="50" a="1"/>
  <c r="C61" i="50" s="1"/>
  <c r="C62" i="50" a="1"/>
  <c r="C62" i="50" s="1"/>
  <c r="C63" i="50" a="1"/>
  <c r="C63" i="50" s="1"/>
  <c r="C64" i="50" a="1"/>
  <c r="C64" i="50" s="1"/>
  <c r="C65" i="50" a="1"/>
  <c r="C65" i="50" s="1"/>
  <c r="C66" i="50" a="1"/>
  <c r="C66" i="50" s="1"/>
  <c r="C67" i="50" a="1"/>
  <c r="C67" i="50" s="1"/>
  <c r="C68" i="50" a="1"/>
  <c r="C68" i="50" s="1"/>
  <c r="C69" i="50" a="1"/>
  <c r="C69" i="50" s="1"/>
  <c r="C70" i="50" a="1"/>
  <c r="C70" i="50" s="1"/>
  <c r="C71" i="50" a="1"/>
  <c r="C71" i="50" s="1"/>
  <c r="C72" i="50" a="1"/>
  <c r="C72" i="50" s="1"/>
  <c r="C73" i="50" a="1"/>
  <c r="C73" i="50" s="1"/>
  <c r="C74" i="50" a="1"/>
  <c r="C74" i="50" s="1"/>
  <c r="C75" i="50" a="1"/>
  <c r="C75" i="50" s="1"/>
  <c r="C76" i="50" a="1"/>
  <c r="C76" i="50" s="1"/>
  <c r="C77" i="50" a="1"/>
  <c r="C77" i="50" s="1"/>
  <c r="C78" i="50" a="1"/>
  <c r="C78" i="50" s="1"/>
  <c r="C79" i="50" a="1"/>
  <c r="C79" i="50" s="1"/>
  <c r="C80" i="50" a="1"/>
  <c r="C80" i="50" s="1"/>
  <c r="C81" i="50" a="1"/>
  <c r="C81" i="50" s="1"/>
  <c r="C82" i="50" a="1"/>
  <c r="C82" i="50" s="1"/>
  <c r="C83" i="50" a="1"/>
  <c r="C83" i="50" s="1"/>
  <c r="C84" i="50" a="1"/>
  <c r="C84" i="50" s="1"/>
  <c r="C85" i="50" a="1"/>
  <c r="C85" i="50" s="1"/>
  <c r="C86" i="50" a="1"/>
  <c r="C86" i="50" s="1"/>
  <c r="C87" i="50" a="1"/>
  <c r="C87" i="50" s="1"/>
  <c r="C88" i="50" a="1"/>
  <c r="C88" i="50" s="1"/>
  <c r="C89" i="50" a="1"/>
  <c r="C89" i="50" s="1"/>
  <c r="C90" i="50" a="1"/>
  <c r="C90" i="50" s="1"/>
  <c r="C91" i="50" a="1"/>
  <c r="C91" i="50" s="1"/>
  <c r="C92" i="50" a="1"/>
  <c r="C92" i="50" s="1"/>
  <c r="C93" i="50" a="1"/>
  <c r="C93" i="50" s="1"/>
  <c r="C94" i="50" a="1"/>
  <c r="C94" i="50" s="1"/>
  <c r="C95" i="50" a="1"/>
  <c r="C95" i="50" s="1"/>
  <c r="C96" i="50" a="1"/>
  <c r="C96" i="50" s="1"/>
  <c r="C97" i="50" a="1"/>
  <c r="C97" i="50" s="1"/>
  <c r="C98" i="50" a="1"/>
  <c r="C98" i="50" s="1"/>
  <c r="C99" i="50" a="1"/>
  <c r="C99" i="50" s="1"/>
  <c r="C100" i="50" a="1"/>
  <c r="C100" i="50" s="1"/>
  <c r="C101" i="50" a="1"/>
  <c r="C101" i="50" s="1"/>
  <c r="C102" i="50" a="1"/>
  <c r="C102" i="50" s="1"/>
  <c r="C103" i="50" a="1"/>
  <c r="C103" i="50" s="1"/>
  <c r="C104" i="50" a="1"/>
  <c r="C104" i="50" s="1"/>
  <c r="C105" i="50" a="1"/>
  <c r="C105" i="50" s="1"/>
  <c r="C106" i="50" a="1"/>
  <c r="C106" i="50" s="1"/>
  <c r="C107" i="50" a="1"/>
  <c r="C107" i="50" s="1"/>
  <c r="C108" i="50" a="1"/>
  <c r="C108" i="50" s="1"/>
  <c r="C109" i="50" a="1"/>
  <c r="C109" i="50" s="1"/>
  <c r="C110" i="50" a="1"/>
  <c r="C110" i="50" s="1"/>
  <c r="C111" i="50" a="1"/>
  <c r="C111" i="50" s="1"/>
  <c r="C112" i="50" a="1"/>
  <c r="C112" i="50" s="1"/>
  <c r="C113" i="50" a="1"/>
  <c r="C113" i="50" s="1"/>
  <c r="C114" i="50" a="1"/>
  <c r="C114" i="50" s="1"/>
  <c r="C115" i="50" a="1"/>
  <c r="C115" i="50" s="1"/>
  <c r="C116" i="50" a="1"/>
  <c r="C116" i="50" s="1"/>
  <c r="C117" i="50" a="1"/>
  <c r="C117" i="50" s="1"/>
  <c r="C118" i="50" a="1"/>
  <c r="C118" i="50" s="1"/>
  <c r="C119" i="50" a="1"/>
  <c r="C119" i="50" s="1"/>
  <c r="C120" i="50" a="1"/>
  <c r="C120" i="50" s="1"/>
  <c r="C121" i="50" a="1"/>
  <c r="C121" i="50" s="1"/>
  <c r="C122" i="50" a="1"/>
  <c r="C122" i="50" s="1"/>
  <c r="C123" i="50" a="1"/>
  <c r="C123" i="50" s="1"/>
  <c r="C124" i="50" a="1"/>
  <c r="C124" i="50" s="1"/>
  <c r="C125" i="50" a="1"/>
  <c r="C125" i="50" s="1"/>
  <c r="C126" i="50" a="1"/>
  <c r="C126" i="50" s="1"/>
  <c r="C127" i="50" a="1"/>
  <c r="C127" i="50" s="1"/>
  <c r="C128" i="50" a="1"/>
  <c r="C128" i="50" s="1"/>
  <c r="C129" i="50" a="1"/>
  <c r="C129" i="50" s="1"/>
  <c r="C130" i="50" a="1"/>
  <c r="C130" i="50" s="1"/>
  <c r="C131" i="50" a="1"/>
  <c r="C131" i="50" s="1"/>
  <c r="C132" i="50" a="1"/>
  <c r="C132" i="50" s="1"/>
  <c r="C133" i="50" a="1"/>
  <c r="C133" i="50" s="1"/>
  <c r="C134" i="50" a="1"/>
  <c r="C134" i="50" s="1"/>
  <c r="C135" i="50" a="1"/>
  <c r="C135" i="50" s="1"/>
  <c r="C136" i="50" a="1"/>
  <c r="C136" i="50" s="1"/>
  <c r="C137" i="50" a="1"/>
  <c r="C137" i="50" s="1"/>
  <c r="C138" i="50" a="1"/>
  <c r="C138" i="50" s="1"/>
  <c r="B7" i="50" a="1"/>
  <c r="B7" i="50" s="1"/>
  <c r="B8" i="50" a="1"/>
  <c r="B8" i="50" s="1"/>
  <c r="B9" i="50" a="1"/>
  <c r="B9" i="50" s="1"/>
  <c r="B10" i="50" a="1"/>
  <c r="B10" i="50" s="1"/>
  <c r="B11" i="50" a="1"/>
  <c r="B11" i="50" s="1"/>
  <c r="B12" i="50" a="1"/>
  <c r="B12" i="50" s="1"/>
  <c r="B13" i="50" a="1"/>
  <c r="B13" i="50" s="1"/>
  <c r="B14" i="50" a="1"/>
  <c r="B14" i="50" s="1"/>
  <c r="B15" i="50" a="1"/>
  <c r="B15" i="50" s="1"/>
  <c r="B16" i="50" a="1"/>
  <c r="B16" i="50" s="1"/>
  <c r="B17" i="50" a="1"/>
  <c r="B17" i="50" s="1"/>
  <c r="B18" i="50" a="1"/>
  <c r="B18" i="50" s="1"/>
  <c r="B19" i="50" a="1"/>
  <c r="B19" i="50" s="1"/>
  <c r="B20" i="50" a="1"/>
  <c r="B20" i="50" s="1"/>
  <c r="B21" i="50" a="1"/>
  <c r="B21" i="50" s="1"/>
  <c r="B22" i="50" a="1"/>
  <c r="B22" i="50" s="1"/>
  <c r="B23" i="50" a="1"/>
  <c r="B23" i="50" s="1"/>
  <c r="B24" i="50" a="1"/>
  <c r="B24" i="50" s="1"/>
  <c r="B25" i="50" a="1"/>
  <c r="B25" i="50" s="1"/>
  <c r="B26" i="50" a="1"/>
  <c r="B26" i="50" s="1"/>
  <c r="B27" i="50" a="1"/>
  <c r="B27" i="50" s="1"/>
  <c r="B28" i="50" a="1"/>
  <c r="B28" i="50" s="1"/>
  <c r="B29" i="50" a="1"/>
  <c r="B29" i="50" s="1"/>
  <c r="B30" i="50" a="1"/>
  <c r="B30" i="50" s="1"/>
  <c r="B31" i="50" a="1"/>
  <c r="B31" i="50" s="1"/>
  <c r="B32" i="50" a="1"/>
  <c r="B32" i="50" s="1"/>
  <c r="B33" i="50" a="1"/>
  <c r="B33" i="50" s="1"/>
  <c r="B34" i="50" a="1"/>
  <c r="B34" i="50" s="1"/>
  <c r="B35" i="50" a="1"/>
  <c r="B35" i="50" s="1"/>
  <c r="B36" i="50" a="1"/>
  <c r="B36" i="50" s="1"/>
  <c r="B37" i="50" a="1"/>
  <c r="B37" i="50" s="1"/>
  <c r="B38" i="50" a="1"/>
  <c r="B38" i="50" s="1"/>
  <c r="B39" i="50" a="1"/>
  <c r="B39" i="50" s="1"/>
  <c r="B40" i="50" a="1"/>
  <c r="B40" i="50" s="1"/>
  <c r="B41" i="50" a="1"/>
  <c r="B41" i="50" s="1"/>
  <c r="B42" i="50" a="1"/>
  <c r="B42" i="50" s="1"/>
  <c r="B43" i="50" a="1"/>
  <c r="B43" i="50" s="1"/>
  <c r="B44" i="50" a="1"/>
  <c r="B44" i="50" s="1"/>
  <c r="B45" i="50" a="1"/>
  <c r="B45" i="50" s="1"/>
  <c r="B46" i="50" a="1"/>
  <c r="B46" i="50" s="1"/>
  <c r="B47" i="50" a="1"/>
  <c r="B47" i="50" s="1"/>
  <c r="B48" i="50" a="1"/>
  <c r="B48" i="50" s="1"/>
  <c r="B49" i="50" a="1"/>
  <c r="B49" i="50" s="1"/>
  <c r="B50" i="50" a="1"/>
  <c r="B50" i="50" s="1"/>
  <c r="B51" i="50" a="1"/>
  <c r="B51" i="50" s="1"/>
  <c r="B52" i="50" a="1"/>
  <c r="B52" i="50" s="1"/>
  <c r="B53" i="50" a="1"/>
  <c r="B53" i="50" s="1"/>
  <c r="B54" i="50" a="1"/>
  <c r="B54" i="50" s="1"/>
  <c r="B55" i="50" a="1"/>
  <c r="B55" i="50" s="1"/>
  <c r="B56" i="50" a="1"/>
  <c r="B56" i="50" s="1"/>
  <c r="B57" i="50" a="1"/>
  <c r="B57" i="50" s="1"/>
  <c r="B58" i="50" a="1"/>
  <c r="B58" i="50" s="1"/>
  <c r="B59" i="50" a="1"/>
  <c r="B59" i="50" s="1"/>
  <c r="B60" i="50" a="1"/>
  <c r="B60" i="50" s="1"/>
  <c r="B61" i="50" a="1"/>
  <c r="B61" i="50" s="1"/>
  <c r="B62" i="50" a="1"/>
  <c r="B62" i="50" s="1"/>
  <c r="B63" i="50" a="1"/>
  <c r="B63" i="50" s="1"/>
  <c r="B64" i="50" a="1"/>
  <c r="B64" i="50" s="1"/>
  <c r="B65" i="50" a="1"/>
  <c r="B65" i="50" s="1"/>
  <c r="B66" i="50" a="1"/>
  <c r="B66" i="50" s="1"/>
  <c r="B67" i="50" a="1"/>
  <c r="B67" i="50" s="1"/>
  <c r="B68" i="50" a="1"/>
  <c r="B68" i="50" s="1"/>
  <c r="B69" i="50" a="1"/>
  <c r="B69" i="50" s="1"/>
  <c r="B70" i="50" a="1"/>
  <c r="B70" i="50" s="1"/>
  <c r="B71" i="50" a="1"/>
  <c r="B71" i="50" s="1"/>
  <c r="B72" i="50" a="1"/>
  <c r="B72" i="50" s="1"/>
  <c r="B73" i="50" a="1"/>
  <c r="B73" i="50" s="1"/>
  <c r="B74" i="50" a="1"/>
  <c r="B74" i="50" s="1"/>
  <c r="B75" i="50" a="1"/>
  <c r="B75" i="50" s="1"/>
  <c r="B76" i="50" a="1"/>
  <c r="B76" i="50" s="1"/>
  <c r="B77" i="50" a="1"/>
  <c r="B77" i="50" s="1"/>
  <c r="B78" i="50" a="1"/>
  <c r="B78" i="50" s="1"/>
  <c r="B79" i="50" a="1"/>
  <c r="B79" i="50" s="1"/>
  <c r="B80" i="50" a="1"/>
  <c r="B80" i="50" s="1"/>
  <c r="B81" i="50" a="1"/>
  <c r="B81" i="50" s="1"/>
  <c r="B82" i="50" a="1"/>
  <c r="B82" i="50" s="1"/>
  <c r="B83" i="50" a="1"/>
  <c r="B83" i="50" s="1"/>
  <c r="B84" i="50" a="1"/>
  <c r="B84" i="50" s="1"/>
  <c r="B85" i="50" a="1"/>
  <c r="B85" i="50" s="1"/>
  <c r="B86" i="50" a="1"/>
  <c r="B86" i="50" s="1"/>
  <c r="B87" i="50" a="1"/>
  <c r="B87" i="50" s="1"/>
  <c r="B88" i="50" a="1"/>
  <c r="B88" i="50" s="1"/>
  <c r="B89" i="50" a="1"/>
  <c r="B89" i="50" s="1"/>
  <c r="B90" i="50" a="1"/>
  <c r="B90" i="50" s="1"/>
  <c r="B91" i="50" a="1"/>
  <c r="B91" i="50" s="1"/>
  <c r="B92" i="50" a="1"/>
  <c r="B92" i="50" s="1"/>
  <c r="B93" i="50" a="1"/>
  <c r="B93" i="50" s="1"/>
  <c r="B94" i="50" a="1"/>
  <c r="B94" i="50" s="1"/>
  <c r="B95" i="50" a="1"/>
  <c r="B95" i="50" s="1"/>
  <c r="B96" i="50" a="1"/>
  <c r="B96" i="50" s="1"/>
  <c r="B97" i="50" a="1"/>
  <c r="B97" i="50" s="1"/>
  <c r="B98" i="50" a="1"/>
  <c r="B98" i="50" s="1"/>
  <c r="B99" i="50" a="1"/>
  <c r="B99" i="50" s="1"/>
  <c r="B100" i="50" a="1"/>
  <c r="B100" i="50" s="1"/>
  <c r="B101" i="50" a="1"/>
  <c r="B101" i="50" s="1"/>
  <c r="B102" i="50" a="1"/>
  <c r="B102" i="50" s="1"/>
  <c r="B103" i="50" a="1"/>
  <c r="B103" i="50" s="1"/>
  <c r="B104" i="50" a="1"/>
  <c r="B104" i="50" s="1"/>
  <c r="B105" i="50" a="1"/>
  <c r="B105" i="50" s="1"/>
  <c r="B106" i="50" a="1"/>
  <c r="B106" i="50" s="1"/>
  <c r="B107" i="50" a="1"/>
  <c r="B107" i="50" s="1"/>
  <c r="B108" i="50" a="1"/>
  <c r="B108" i="50" s="1"/>
  <c r="B109" i="50" a="1"/>
  <c r="B109" i="50" s="1"/>
  <c r="B110" i="50" a="1"/>
  <c r="B110" i="50" s="1"/>
  <c r="B111" i="50" a="1"/>
  <c r="B111" i="50" s="1"/>
  <c r="B112" i="50" a="1"/>
  <c r="B112" i="50" s="1"/>
  <c r="B113" i="50" a="1"/>
  <c r="B113" i="50" s="1"/>
  <c r="B114" i="50" a="1"/>
  <c r="B114" i="50" s="1"/>
  <c r="B115" i="50" a="1"/>
  <c r="B115" i="50" s="1"/>
  <c r="B116" i="50" a="1"/>
  <c r="B116" i="50" s="1"/>
  <c r="B117" i="50" a="1"/>
  <c r="B117" i="50" s="1"/>
  <c r="B118" i="50" a="1"/>
  <c r="B118" i="50" s="1"/>
  <c r="B119" i="50" a="1"/>
  <c r="B119" i="50" s="1"/>
  <c r="B120" i="50" a="1"/>
  <c r="B120" i="50" s="1"/>
  <c r="B121" i="50" a="1"/>
  <c r="B121" i="50" s="1"/>
  <c r="B122" i="50" a="1"/>
  <c r="B122" i="50" s="1"/>
  <c r="B123" i="50" a="1"/>
  <c r="B123" i="50" s="1"/>
  <c r="B124" i="50" a="1"/>
  <c r="B124" i="50" s="1"/>
  <c r="B125" i="50" a="1"/>
  <c r="B125" i="50" s="1"/>
  <c r="B126" i="50" a="1"/>
  <c r="B126" i="50" s="1"/>
  <c r="B127" i="50" a="1"/>
  <c r="B127" i="50" s="1"/>
  <c r="B128" i="50" a="1"/>
  <c r="B128" i="50" s="1"/>
  <c r="B129" i="50" a="1"/>
  <c r="B129" i="50" s="1"/>
  <c r="B130" i="50" a="1"/>
  <c r="B130" i="50" s="1"/>
  <c r="B131" i="50" a="1"/>
  <c r="B131" i="50" s="1"/>
  <c r="B132" i="50" a="1"/>
  <c r="B132" i="50" s="1"/>
  <c r="B133" i="50" a="1"/>
  <c r="B133" i="50" s="1"/>
  <c r="B134" i="50" a="1"/>
  <c r="B134" i="50" s="1"/>
  <c r="B135" i="50" a="1"/>
  <c r="B135" i="50" s="1"/>
  <c r="B136" i="50" a="1"/>
  <c r="B136" i="50" s="1"/>
  <c r="B137" i="50" a="1"/>
  <c r="B137" i="50" s="1"/>
  <c r="B138" i="50" a="1"/>
  <c r="B138" i="50" s="1"/>
  <c r="E50" i="19"/>
  <c r="E51" i="19"/>
  <c r="B95" i="49" a="1"/>
  <c r="B95" i="49" s="1"/>
  <c r="C95" i="49" a="1"/>
  <c r="C95" i="49" s="1"/>
  <c r="E49" i="19"/>
  <c r="C89" i="49" a="1"/>
  <c r="C89" i="49" s="1"/>
  <c r="C8" i="49" a="1"/>
  <c r="C8" i="49" s="1"/>
  <c r="C81" i="49" a="1"/>
  <c r="C81" i="49" s="1"/>
  <c r="C78" i="49" a="1"/>
  <c r="C78" i="49" s="1"/>
  <c r="C11" i="49" a="1"/>
  <c r="C11" i="49" s="1"/>
  <c r="C85" i="49" a="1"/>
  <c r="C85" i="49" s="1"/>
  <c r="C13" i="49" a="1"/>
  <c r="C13" i="49" s="1"/>
  <c r="C14" i="49" a="1"/>
  <c r="C14" i="49" s="1"/>
  <c r="C15" i="49" a="1"/>
  <c r="C15" i="49" s="1"/>
  <c r="C16" i="49" a="1"/>
  <c r="C16" i="49" s="1"/>
  <c r="C17" i="49" a="1"/>
  <c r="C17" i="49" s="1"/>
  <c r="C18" i="49" a="1"/>
  <c r="C18" i="49" s="1"/>
  <c r="C19" i="49" a="1"/>
  <c r="C19" i="49" s="1"/>
  <c r="C64" i="49" a="1"/>
  <c r="C64" i="49" s="1"/>
  <c r="C21" i="49" a="1"/>
  <c r="C21" i="49" s="1"/>
  <c r="C63" i="49" a="1"/>
  <c r="C63" i="49" s="1"/>
  <c r="C23" i="49" a="1"/>
  <c r="C23" i="49" s="1"/>
  <c r="C24" i="49" a="1"/>
  <c r="C24" i="49" s="1"/>
  <c r="C25" i="49" a="1"/>
  <c r="C25" i="49" s="1"/>
  <c r="C26" i="49" a="1"/>
  <c r="C26" i="49" s="1"/>
  <c r="C27" i="49" a="1"/>
  <c r="C27" i="49" s="1"/>
  <c r="C28" i="49" a="1"/>
  <c r="C28" i="49" s="1"/>
  <c r="C29" i="49" a="1"/>
  <c r="C29" i="49" s="1"/>
  <c r="C61" i="49" a="1"/>
  <c r="C61" i="49" s="1"/>
  <c r="C62" i="49" a="1"/>
  <c r="C62" i="49" s="1"/>
  <c r="C32" i="49" a="1"/>
  <c r="C32" i="49" s="1"/>
  <c r="C33" i="49" a="1"/>
  <c r="C33" i="49" s="1"/>
  <c r="C58" i="49" a="1"/>
  <c r="C58" i="49" s="1"/>
  <c r="C59" i="49" a="1"/>
  <c r="C59" i="49" s="1"/>
  <c r="C36" i="49" a="1"/>
  <c r="C36" i="49" s="1"/>
  <c r="C37" i="49" a="1"/>
  <c r="C37" i="49" s="1"/>
  <c r="C56" i="49" a="1"/>
  <c r="C56" i="49" s="1"/>
  <c r="C39" i="49" a="1"/>
  <c r="C39" i="49" s="1"/>
  <c r="C51" i="49" a="1"/>
  <c r="C51" i="49" s="1"/>
  <c r="C50" i="49" a="1"/>
  <c r="C50" i="49" s="1"/>
  <c r="C42" i="49" a="1"/>
  <c r="C42" i="49" s="1"/>
  <c r="C43" i="49" a="1"/>
  <c r="C43" i="49" s="1"/>
  <c r="C44" i="49" a="1"/>
  <c r="C44" i="49" s="1"/>
  <c r="C45" i="49" a="1"/>
  <c r="C45" i="49" s="1"/>
  <c r="C46" i="49" a="1"/>
  <c r="C46" i="49" s="1"/>
  <c r="C47" i="49" a="1"/>
  <c r="C47" i="49" s="1"/>
  <c r="C48" i="49" a="1"/>
  <c r="C48" i="49" s="1"/>
  <c r="C49" i="49" a="1"/>
  <c r="C49" i="49" s="1"/>
  <c r="C40" i="49" a="1"/>
  <c r="C40" i="49" s="1"/>
  <c r="C41" i="49" a="1"/>
  <c r="C41" i="49" s="1"/>
  <c r="C52" i="49" a="1"/>
  <c r="C52" i="49" s="1"/>
  <c r="C53" i="49" a="1"/>
  <c r="C53" i="49" s="1"/>
  <c r="C54" i="49" a="1"/>
  <c r="C54" i="49" s="1"/>
  <c r="C55" i="49" a="1"/>
  <c r="C55" i="49" s="1"/>
  <c r="C38" i="49" a="1"/>
  <c r="C38" i="49" s="1"/>
  <c r="C57" i="49" a="1"/>
  <c r="C57" i="49" s="1"/>
  <c r="C35" i="49" a="1"/>
  <c r="C35" i="49" s="1"/>
  <c r="C20" i="49" a="1"/>
  <c r="C20" i="49" s="1"/>
  <c r="C60" i="49" a="1"/>
  <c r="C60" i="49" s="1"/>
  <c r="C22" i="49" a="1"/>
  <c r="C22" i="49" s="1"/>
  <c r="C30" i="49" a="1"/>
  <c r="C30" i="49" s="1"/>
  <c r="C31" i="49" a="1"/>
  <c r="C31" i="49" s="1"/>
  <c r="C34" i="49" a="1"/>
  <c r="C34" i="49" s="1"/>
  <c r="C65" i="49" a="1"/>
  <c r="C65" i="49" s="1"/>
  <c r="C66" i="49" a="1"/>
  <c r="C66" i="49" s="1"/>
  <c r="C67" i="49" a="1"/>
  <c r="C67" i="49" s="1"/>
  <c r="C68" i="49" a="1"/>
  <c r="C68" i="49" s="1"/>
  <c r="C69" i="49" a="1"/>
  <c r="C69" i="49" s="1"/>
  <c r="C70" i="49" a="1"/>
  <c r="C70" i="49" s="1"/>
  <c r="C71" i="49" a="1"/>
  <c r="C71" i="49" s="1"/>
  <c r="C72" i="49" a="1"/>
  <c r="C72" i="49" s="1"/>
  <c r="C73" i="49" a="1"/>
  <c r="C73" i="49" s="1"/>
  <c r="C74" i="49" a="1"/>
  <c r="C74" i="49" s="1"/>
  <c r="C75" i="49" a="1"/>
  <c r="C75" i="49" s="1"/>
  <c r="C76" i="49" a="1"/>
  <c r="C76" i="49" s="1"/>
  <c r="C77" i="49" a="1"/>
  <c r="C77" i="49" s="1"/>
  <c r="C12" i="49" a="1"/>
  <c r="C12" i="49" s="1"/>
  <c r="C79" i="49" a="1"/>
  <c r="C79" i="49" s="1"/>
  <c r="C80" i="49" a="1"/>
  <c r="C80" i="49" s="1"/>
  <c r="C10" i="49" a="1"/>
  <c r="C10" i="49" s="1"/>
  <c r="C82" i="49" a="1"/>
  <c r="C82" i="49" s="1"/>
  <c r="C83" i="49" a="1"/>
  <c r="C83" i="49" s="1"/>
  <c r="C84" i="49" a="1"/>
  <c r="C84" i="49" s="1"/>
  <c r="C9" i="49" a="1"/>
  <c r="C9" i="49" s="1"/>
  <c r="C86" i="49" a="1"/>
  <c r="C86" i="49" s="1"/>
  <c r="C87" i="49" a="1"/>
  <c r="C87" i="49" s="1"/>
  <c r="C88" i="49" a="1"/>
  <c r="C88" i="49" s="1"/>
  <c r="C7" i="49" a="1"/>
  <c r="C7" i="49" s="1"/>
  <c r="C90" i="49" a="1"/>
  <c r="C90" i="49" s="1"/>
  <c r="C91" i="49" a="1"/>
  <c r="C91" i="49" s="1"/>
  <c r="C92" i="49" a="1"/>
  <c r="C92" i="49" s="1"/>
  <c r="C93" i="49" a="1"/>
  <c r="C93" i="49" s="1"/>
  <c r="C94" i="49" a="1"/>
  <c r="C94" i="49" s="1"/>
  <c r="B89" i="49" a="1"/>
  <c r="B89" i="49" s="1"/>
  <c r="B8" i="49" a="1"/>
  <c r="B8" i="49" s="1"/>
  <c r="B81" i="49" a="1"/>
  <c r="B81" i="49" s="1"/>
  <c r="B78" i="49" a="1"/>
  <c r="B78" i="49" s="1"/>
  <c r="B11" i="49" a="1"/>
  <c r="B11" i="49" s="1"/>
  <c r="B85" i="49" a="1"/>
  <c r="B85" i="49" s="1"/>
  <c r="B13" i="49" a="1"/>
  <c r="B13" i="49" s="1"/>
  <c r="B14" i="49" a="1"/>
  <c r="B14" i="49" s="1"/>
  <c r="B15" i="49" a="1"/>
  <c r="B15" i="49" s="1"/>
  <c r="B16" i="49" a="1"/>
  <c r="B16" i="49" s="1"/>
  <c r="B17" i="49" a="1"/>
  <c r="B17" i="49" s="1"/>
  <c r="B18" i="49" a="1"/>
  <c r="B18" i="49" s="1"/>
  <c r="B19" i="49" a="1"/>
  <c r="B19" i="49" s="1"/>
  <c r="B64" i="49" a="1"/>
  <c r="B64" i="49" s="1"/>
  <c r="B21" i="49" a="1"/>
  <c r="B21" i="49" s="1"/>
  <c r="B63" i="49" a="1"/>
  <c r="B63" i="49" s="1"/>
  <c r="B23" i="49" a="1"/>
  <c r="B23" i="49" s="1"/>
  <c r="B24" i="49" a="1"/>
  <c r="B24" i="49" s="1"/>
  <c r="B25" i="49" a="1"/>
  <c r="B25" i="49" s="1"/>
  <c r="B26" i="49" a="1"/>
  <c r="B26" i="49" s="1"/>
  <c r="B27" i="49" a="1"/>
  <c r="B27" i="49" s="1"/>
  <c r="B28" i="49" a="1"/>
  <c r="B28" i="49" s="1"/>
  <c r="B29" i="49" a="1"/>
  <c r="B29" i="49" s="1"/>
  <c r="B61" i="49" a="1"/>
  <c r="B61" i="49" s="1"/>
  <c r="B62" i="49" a="1"/>
  <c r="B62" i="49" s="1"/>
  <c r="B32" i="49" a="1"/>
  <c r="B32" i="49" s="1"/>
  <c r="B33" i="49" a="1"/>
  <c r="B33" i="49" s="1"/>
  <c r="B58" i="49" a="1"/>
  <c r="B58" i="49" s="1"/>
  <c r="B59" i="49" a="1"/>
  <c r="B59" i="49" s="1"/>
  <c r="B36" i="49" a="1"/>
  <c r="B36" i="49" s="1"/>
  <c r="B37" i="49" a="1"/>
  <c r="B37" i="49" s="1"/>
  <c r="B56" i="49" a="1"/>
  <c r="B56" i="49" s="1"/>
  <c r="B39" i="49" a="1"/>
  <c r="B39" i="49" s="1"/>
  <c r="B51" i="49" a="1"/>
  <c r="B51" i="49" s="1"/>
  <c r="B50" i="49" a="1"/>
  <c r="B50" i="49" s="1"/>
  <c r="B42" i="49" a="1"/>
  <c r="B42" i="49" s="1"/>
  <c r="B43" i="49" a="1"/>
  <c r="B43" i="49" s="1"/>
  <c r="B44" i="49" a="1"/>
  <c r="B44" i="49" s="1"/>
  <c r="B45" i="49" a="1"/>
  <c r="B45" i="49" s="1"/>
  <c r="B46" i="49" a="1"/>
  <c r="B46" i="49" s="1"/>
  <c r="B47" i="49" a="1"/>
  <c r="B47" i="49" s="1"/>
  <c r="B48" i="49" a="1"/>
  <c r="B48" i="49" s="1"/>
  <c r="B49" i="49" a="1"/>
  <c r="B49" i="49" s="1"/>
  <c r="B40" i="49" a="1"/>
  <c r="B40" i="49" s="1"/>
  <c r="B41" i="49" a="1"/>
  <c r="B41" i="49" s="1"/>
  <c r="B52" i="49" a="1"/>
  <c r="B52" i="49" s="1"/>
  <c r="B53" i="49" a="1"/>
  <c r="B53" i="49" s="1"/>
  <c r="B54" i="49" a="1"/>
  <c r="B54" i="49" s="1"/>
  <c r="B55" i="49" a="1"/>
  <c r="B55" i="49" s="1"/>
  <c r="B38" i="49" a="1"/>
  <c r="B38" i="49" s="1"/>
  <c r="B57" i="49" a="1"/>
  <c r="B57" i="49" s="1"/>
  <c r="B35" i="49" a="1"/>
  <c r="B35" i="49" s="1"/>
  <c r="B20" i="49" a="1"/>
  <c r="B20" i="49" s="1"/>
  <c r="B60" i="49" a="1"/>
  <c r="B60" i="49" s="1"/>
  <c r="B22" i="49" a="1"/>
  <c r="B22" i="49" s="1"/>
  <c r="B30" i="49" a="1"/>
  <c r="B30" i="49" s="1"/>
  <c r="B31" i="49" a="1"/>
  <c r="B31" i="49" s="1"/>
  <c r="B34" i="49" a="1"/>
  <c r="B34" i="49" s="1"/>
  <c r="B65" i="49" a="1"/>
  <c r="B65" i="49" s="1"/>
  <c r="B66" i="49" a="1"/>
  <c r="B66" i="49" s="1"/>
  <c r="B67" i="49" a="1"/>
  <c r="B67" i="49" s="1"/>
  <c r="B68" i="49" a="1"/>
  <c r="B68" i="49" s="1"/>
  <c r="B69" i="49" a="1"/>
  <c r="B69" i="49" s="1"/>
  <c r="B70" i="49" a="1"/>
  <c r="B70" i="49" s="1"/>
  <c r="B71" i="49" a="1"/>
  <c r="B71" i="49" s="1"/>
  <c r="B72" i="49" a="1"/>
  <c r="B72" i="49" s="1"/>
  <c r="B73" i="49" a="1"/>
  <c r="B73" i="49" s="1"/>
  <c r="B74" i="49" a="1"/>
  <c r="B74" i="49" s="1"/>
  <c r="B75" i="49" a="1"/>
  <c r="B75" i="49" s="1"/>
  <c r="B76" i="49" a="1"/>
  <c r="B76" i="49" s="1"/>
  <c r="B77" i="49" a="1"/>
  <c r="B77" i="49" s="1"/>
  <c r="B12" i="49" a="1"/>
  <c r="B12" i="49" s="1"/>
  <c r="B79" i="49" a="1"/>
  <c r="B79" i="49" s="1"/>
  <c r="B80" i="49" a="1"/>
  <c r="B80" i="49" s="1"/>
  <c r="B10" i="49" a="1"/>
  <c r="B10" i="49" s="1"/>
  <c r="B82" i="49" a="1"/>
  <c r="B82" i="49" s="1"/>
  <c r="B83" i="49" a="1"/>
  <c r="B83" i="49" s="1"/>
  <c r="B84" i="49" a="1"/>
  <c r="B84" i="49" s="1"/>
  <c r="B9" i="49" a="1"/>
  <c r="B9" i="49" s="1"/>
  <c r="B86" i="49" a="1"/>
  <c r="B86" i="49" s="1"/>
  <c r="B87" i="49" a="1"/>
  <c r="B87" i="49" s="1"/>
  <c r="B88" i="49" a="1"/>
  <c r="B88" i="49" s="1"/>
  <c r="B7" i="49" a="1"/>
  <c r="B7" i="49" s="1"/>
  <c r="B90" i="49" a="1"/>
  <c r="B90" i="49" s="1"/>
  <c r="B91" i="49" a="1"/>
  <c r="B91" i="49" s="1"/>
  <c r="B92" i="49" a="1"/>
  <c r="B92" i="49" s="1"/>
  <c r="B93" i="49" a="1"/>
  <c r="B93" i="49" s="1"/>
  <c r="B94" i="49" a="1"/>
  <c r="B94" i="49" s="1"/>
  <c r="C8" i="48" a="1"/>
  <c r="C8" i="48" s="1"/>
  <c r="C9" i="48" a="1"/>
  <c r="C9" i="48" s="1"/>
  <c r="C10" i="48" a="1"/>
  <c r="C10" i="48" s="1"/>
  <c r="C11" i="48" a="1"/>
  <c r="C11" i="48" s="1"/>
  <c r="C12" i="48" a="1"/>
  <c r="C12" i="48" s="1"/>
  <c r="C13" i="48" a="1"/>
  <c r="C13" i="48" s="1"/>
  <c r="C14" i="48" a="1"/>
  <c r="C14" i="48" s="1"/>
  <c r="C15" i="48" a="1"/>
  <c r="C15" i="48" s="1"/>
  <c r="C16" i="48" a="1"/>
  <c r="C16" i="48" s="1"/>
  <c r="C17" i="48" a="1"/>
  <c r="C17" i="48" s="1"/>
  <c r="C18" i="48" a="1"/>
  <c r="C18" i="48" s="1"/>
  <c r="C19" i="48" a="1"/>
  <c r="C19" i="48" s="1"/>
  <c r="C20" i="48" a="1"/>
  <c r="C20" i="48" s="1"/>
  <c r="C21" i="48" a="1"/>
  <c r="C21" i="48" s="1"/>
  <c r="C22" i="48" a="1"/>
  <c r="C22" i="48" s="1"/>
  <c r="C23" i="48" a="1"/>
  <c r="C23" i="48" s="1"/>
  <c r="C24" i="48" a="1"/>
  <c r="C24" i="48" s="1"/>
  <c r="C25" i="48" a="1"/>
  <c r="C25" i="48" s="1"/>
  <c r="C26" i="48" a="1"/>
  <c r="C26" i="48" s="1"/>
  <c r="C27" i="48" a="1"/>
  <c r="C27" i="48" s="1"/>
  <c r="C28" i="48" a="1"/>
  <c r="C28" i="48" s="1"/>
  <c r="C29" i="48" a="1"/>
  <c r="C29" i="48" s="1"/>
  <c r="C30" i="48" a="1"/>
  <c r="C30" i="48" s="1"/>
  <c r="C31" i="48" a="1"/>
  <c r="C31" i="48" s="1"/>
  <c r="C32" i="48" a="1"/>
  <c r="C32" i="48" s="1"/>
  <c r="C33" i="48" a="1"/>
  <c r="C33" i="48" s="1"/>
  <c r="C34" i="48" a="1"/>
  <c r="C34" i="48" s="1"/>
  <c r="C35" i="48" a="1"/>
  <c r="C35" i="48" s="1"/>
  <c r="C36" i="48" a="1"/>
  <c r="C36" i="48" s="1"/>
  <c r="C37" i="48" a="1"/>
  <c r="C37" i="48" s="1"/>
  <c r="C38" i="48" a="1"/>
  <c r="C38" i="48" s="1"/>
  <c r="C39" i="48" a="1"/>
  <c r="C39" i="48" s="1"/>
  <c r="C40" i="48" a="1"/>
  <c r="C40" i="48" s="1"/>
  <c r="C41" i="48" a="1"/>
  <c r="C41" i="48" s="1"/>
  <c r="C42" i="48" a="1"/>
  <c r="C42" i="48" s="1"/>
  <c r="C43" i="48" a="1"/>
  <c r="C43" i="48" s="1"/>
  <c r="C44" i="48" a="1"/>
  <c r="C44" i="48" s="1"/>
  <c r="C45" i="48" a="1"/>
  <c r="C45" i="48" s="1"/>
  <c r="C46" i="48" a="1"/>
  <c r="C46" i="48" s="1"/>
  <c r="C47" i="48" a="1"/>
  <c r="C47" i="48" s="1"/>
  <c r="C48" i="48" a="1"/>
  <c r="C48" i="48" s="1"/>
  <c r="C49" i="48" a="1"/>
  <c r="C49" i="48" s="1"/>
  <c r="C50" i="48" a="1"/>
  <c r="C50" i="48" s="1"/>
  <c r="C51" i="48" a="1"/>
  <c r="C51" i="48" s="1"/>
  <c r="C52" i="48" a="1"/>
  <c r="C52" i="48" s="1"/>
  <c r="C53" i="48" a="1"/>
  <c r="C53" i="48" s="1"/>
  <c r="C54" i="48" a="1"/>
  <c r="C54" i="48" s="1"/>
  <c r="C55" i="48" a="1"/>
  <c r="C55" i="48" s="1"/>
  <c r="C56" i="48" a="1"/>
  <c r="C56" i="48" s="1"/>
  <c r="C57" i="48" a="1"/>
  <c r="C57" i="48" s="1"/>
  <c r="C58" i="48" a="1"/>
  <c r="C58" i="48" s="1"/>
  <c r="C59" i="48" a="1"/>
  <c r="C59" i="48" s="1"/>
  <c r="C60" i="48" a="1"/>
  <c r="C60" i="48" s="1"/>
  <c r="C61" i="48" a="1"/>
  <c r="C61" i="48" s="1"/>
  <c r="C62" i="48" a="1"/>
  <c r="C62" i="48" s="1"/>
  <c r="C63" i="48" a="1"/>
  <c r="C63" i="48" s="1"/>
  <c r="C64" i="48" a="1"/>
  <c r="C64" i="48" s="1"/>
  <c r="C65" i="48" a="1"/>
  <c r="C65" i="48" s="1"/>
  <c r="C66" i="48" a="1"/>
  <c r="C66" i="48" s="1"/>
  <c r="C67" i="48" a="1"/>
  <c r="C67" i="48" s="1"/>
  <c r="C68" i="48" a="1"/>
  <c r="C68" i="48" s="1"/>
  <c r="C69" i="48" a="1"/>
  <c r="C69" i="48" s="1"/>
  <c r="C70" i="48" a="1"/>
  <c r="C70" i="48" s="1"/>
  <c r="C71" i="48" a="1"/>
  <c r="C71" i="48" s="1"/>
  <c r="C72" i="48" a="1"/>
  <c r="C72" i="48" s="1"/>
  <c r="C73" i="48" a="1"/>
  <c r="C73" i="48" s="1"/>
  <c r="C74" i="48" a="1"/>
  <c r="C74" i="48" s="1"/>
  <c r="C75" i="48" a="1"/>
  <c r="C75" i="48" s="1"/>
  <c r="C76" i="48" a="1"/>
  <c r="C76" i="48" s="1"/>
  <c r="C77" i="48" a="1"/>
  <c r="C77" i="48" s="1"/>
  <c r="C78" i="48" a="1"/>
  <c r="C78" i="48" s="1"/>
  <c r="C79" i="48" a="1"/>
  <c r="C79" i="48" s="1"/>
  <c r="C80" i="48" a="1"/>
  <c r="C80" i="48" s="1"/>
  <c r="C81" i="48" a="1"/>
  <c r="C81" i="48" s="1"/>
  <c r="C82" i="48" a="1"/>
  <c r="C82" i="48" s="1"/>
  <c r="C83" i="48" a="1"/>
  <c r="C83" i="48" s="1"/>
  <c r="C84" i="48" a="1"/>
  <c r="C84" i="48" s="1"/>
  <c r="C85" i="48" a="1"/>
  <c r="C85" i="48" s="1"/>
  <c r="C86" i="48" a="1"/>
  <c r="C86" i="48" s="1"/>
  <c r="C87" i="48" a="1"/>
  <c r="C87" i="48" s="1"/>
  <c r="C88" i="48" a="1"/>
  <c r="C88" i="48" s="1"/>
  <c r="C89" i="48" a="1"/>
  <c r="C89" i="48" s="1"/>
  <c r="C90" i="48" a="1"/>
  <c r="C90" i="48" s="1"/>
  <c r="C91" i="48" a="1"/>
  <c r="C91" i="48" s="1"/>
  <c r="C92" i="48" a="1"/>
  <c r="C92" i="48" s="1"/>
  <c r="C93" i="48" a="1"/>
  <c r="C93" i="48" s="1"/>
  <c r="C94" i="48" a="1"/>
  <c r="C94" i="48" s="1"/>
  <c r="C95" i="48" a="1"/>
  <c r="C95" i="48" s="1"/>
  <c r="C96" i="48" a="1"/>
  <c r="C96" i="48" s="1"/>
  <c r="C97" i="48" a="1"/>
  <c r="C97" i="48" s="1"/>
  <c r="C98" i="48" a="1"/>
  <c r="C98" i="48" s="1"/>
  <c r="C99" i="48" a="1"/>
  <c r="C99" i="48" s="1"/>
  <c r="C100" i="48" a="1"/>
  <c r="C100" i="48" s="1"/>
  <c r="C101" i="48" a="1"/>
  <c r="C101" i="48" s="1"/>
  <c r="C102" i="48" a="1"/>
  <c r="C102" i="48" s="1"/>
  <c r="C103" i="48" a="1"/>
  <c r="C103" i="48" s="1"/>
  <c r="C104" i="48" a="1"/>
  <c r="C104" i="48" s="1"/>
  <c r="C105" i="48" a="1"/>
  <c r="C105" i="48" s="1"/>
  <c r="C106" i="48" a="1"/>
  <c r="C106" i="48" s="1"/>
  <c r="C107" i="48" a="1"/>
  <c r="C107" i="48" s="1"/>
  <c r="C108" i="48" a="1"/>
  <c r="C108" i="48" s="1"/>
  <c r="C109" i="48" a="1"/>
  <c r="C109" i="48" s="1"/>
  <c r="C110" i="48" a="1"/>
  <c r="C110" i="48" s="1"/>
  <c r="C111" i="48" a="1"/>
  <c r="C111" i="48" s="1"/>
  <c r="C112" i="48" a="1"/>
  <c r="C112" i="48" s="1"/>
  <c r="C113" i="48" a="1"/>
  <c r="C113" i="48" s="1"/>
  <c r="C114" i="48" a="1"/>
  <c r="C114" i="48" s="1"/>
  <c r="C115" i="48" a="1"/>
  <c r="C115" i="48" s="1"/>
  <c r="C116" i="48" a="1"/>
  <c r="C116" i="48" s="1"/>
  <c r="C117" i="48" a="1"/>
  <c r="C117" i="48" s="1"/>
  <c r="C118" i="48" a="1"/>
  <c r="C118" i="48" s="1"/>
  <c r="C119" i="48" a="1"/>
  <c r="C119" i="48" s="1"/>
  <c r="C120" i="48" a="1"/>
  <c r="C120" i="48" s="1"/>
  <c r="C121" i="48" a="1"/>
  <c r="C121" i="48" s="1"/>
  <c r="C122" i="48" a="1"/>
  <c r="C122" i="48" s="1"/>
  <c r="C123" i="48" a="1"/>
  <c r="C123" i="48" s="1"/>
  <c r="C124" i="48" a="1"/>
  <c r="C124" i="48" s="1"/>
  <c r="C125" i="48" a="1"/>
  <c r="C125" i="48" s="1"/>
  <c r="C126" i="48" a="1"/>
  <c r="C126" i="48" s="1"/>
  <c r="C127" i="48" a="1"/>
  <c r="C127" i="48" s="1"/>
  <c r="C128" i="48" a="1"/>
  <c r="C128" i="48" s="1"/>
  <c r="C129" i="48" a="1"/>
  <c r="C129" i="48" s="1"/>
  <c r="C130" i="48" a="1"/>
  <c r="C130" i="48" s="1"/>
  <c r="C131" i="48" a="1"/>
  <c r="C131" i="48" s="1"/>
  <c r="C132" i="48" a="1"/>
  <c r="C132" i="48" s="1"/>
  <c r="C133" i="48" a="1"/>
  <c r="C133" i="48" s="1"/>
  <c r="C134" i="48" a="1"/>
  <c r="C134" i="48" s="1"/>
  <c r="C135" i="48" a="1"/>
  <c r="C135" i="48" s="1"/>
  <c r="C136" i="48" a="1"/>
  <c r="C136" i="48" s="1"/>
  <c r="C137" i="48" a="1"/>
  <c r="C137" i="48" s="1"/>
  <c r="C138" i="48" a="1"/>
  <c r="C138" i="48" s="1"/>
  <c r="C139" i="48" a="1"/>
  <c r="C139" i="48" s="1"/>
  <c r="C140" i="48" a="1"/>
  <c r="C140" i="48" s="1"/>
  <c r="C141" i="48" a="1"/>
  <c r="C141" i="48" s="1"/>
  <c r="C142" i="48" a="1"/>
  <c r="C142" i="48" s="1"/>
  <c r="C143" i="48" a="1"/>
  <c r="C143" i="48" s="1"/>
  <c r="C144" i="48" a="1"/>
  <c r="C144" i="48" s="1"/>
  <c r="C145" i="48" a="1"/>
  <c r="C145" i="48" s="1"/>
  <c r="C146" i="48" a="1"/>
  <c r="C146" i="48" s="1"/>
  <c r="C147" i="48" a="1"/>
  <c r="C147" i="48" s="1"/>
  <c r="C148" i="48" a="1"/>
  <c r="C148" i="48" s="1"/>
  <c r="C149" i="48" a="1"/>
  <c r="C149" i="48" s="1"/>
  <c r="C150" i="48" a="1"/>
  <c r="C150" i="48" s="1"/>
  <c r="C151" i="48" a="1"/>
  <c r="C151" i="48" s="1"/>
  <c r="C152" i="48" a="1"/>
  <c r="C152" i="48" s="1"/>
  <c r="C153" i="48" a="1"/>
  <c r="C153" i="48" s="1"/>
  <c r="C154" i="48" a="1"/>
  <c r="C154" i="48" s="1"/>
  <c r="C155" i="48" a="1"/>
  <c r="C155" i="48" s="1"/>
  <c r="C156" i="48" a="1"/>
  <c r="C156" i="48" s="1"/>
  <c r="C157" i="48" a="1"/>
  <c r="C157" i="48" s="1"/>
  <c r="C158" i="48" a="1"/>
  <c r="C158" i="48" s="1"/>
  <c r="C159" i="48" a="1"/>
  <c r="C159" i="48" s="1"/>
  <c r="C160" i="48" a="1"/>
  <c r="C160" i="48" s="1"/>
  <c r="C161" i="48" a="1"/>
  <c r="C161" i="48" s="1"/>
  <c r="C162" i="48" a="1"/>
  <c r="C162" i="48" s="1"/>
  <c r="C163" i="48" a="1"/>
  <c r="C163" i="48" s="1"/>
  <c r="C164" i="48" a="1"/>
  <c r="C164" i="48" s="1"/>
  <c r="C165" i="48" a="1"/>
  <c r="C165" i="48" s="1"/>
  <c r="C166" i="48" a="1"/>
  <c r="C166" i="48" s="1"/>
  <c r="C167" i="48" a="1"/>
  <c r="C167" i="48" s="1"/>
  <c r="C168" i="48" a="1"/>
  <c r="C168" i="48" s="1"/>
  <c r="C169" i="48" a="1"/>
  <c r="C169" i="48" s="1"/>
  <c r="C170" i="48" a="1"/>
  <c r="C170" i="48" s="1"/>
  <c r="C171" i="48" a="1"/>
  <c r="C171" i="48" s="1"/>
  <c r="C172" i="48" a="1"/>
  <c r="C172" i="48" s="1"/>
  <c r="C173" i="48" a="1"/>
  <c r="C173" i="48" s="1"/>
  <c r="C174" i="48" a="1"/>
  <c r="C174" i="48" s="1"/>
  <c r="C175" i="48" a="1"/>
  <c r="C175" i="48" s="1"/>
  <c r="C176" i="48" a="1"/>
  <c r="C176" i="48" s="1"/>
  <c r="C177" i="48" a="1"/>
  <c r="C177" i="48" s="1"/>
  <c r="C178" i="48" a="1"/>
  <c r="C178" i="48" s="1"/>
  <c r="C179" i="48" a="1"/>
  <c r="C179" i="48" s="1"/>
  <c r="C180" i="48" a="1"/>
  <c r="C180" i="48" s="1"/>
  <c r="C181" i="48" a="1"/>
  <c r="C181" i="48" s="1"/>
  <c r="C182" i="48" a="1"/>
  <c r="C182" i="48" s="1"/>
  <c r="C183" i="48" a="1"/>
  <c r="C183" i="48" s="1"/>
  <c r="C184" i="48" a="1"/>
  <c r="C184" i="48" s="1"/>
  <c r="C185" i="48" a="1"/>
  <c r="C185" i="48" s="1"/>
  <c r="C186" i="48" a="1"/>
  <c r="C186" i="48" s="1"/>
  <c r="C187" i="48" a="1"/>
  <c r="C187" i="48" s="1"/>
  <c r="C188" i="48" a="1"/>
  <c r="C188" i="48" s="1"/>
  <c r="C189" i="48" a="1"/>
  <c r="C189" i="48" s="1"/>
  <c r="C190" i="48" a="1"/>
  <c r="C190" i="48" s="1"/>
  <c r="C191" i="48" a="1"/>
  <c r="C191" i="48" s="1"/>
  <c r="C192" i="48" a="1"/>
  <c r="C192" i="48" s="1"/>
  <c r="C193" i="48" a="1"/>
  <c r="C193" i="48" s="1"/>
  <c r="C194" i="48" a="1"/>
  <c r="C194" i="48" s="1"/>
  <c r="C195" i="48" a="1"/>
  <c r="C195" i="48" s="1"/>
  <c r="C196" i="48" a="1"/>
  <c r="C196" i="48" s="1"/>
  <c r="C197" i="48" a="1"/>
  <c r="C197" i="48" s="1"/>
  <c r="C198" i="48" a="1"/>
  <c r="C198" i="48" s="1"/>
  <c r="C199" i="48" a="1"/>
  <c r="C199" i="48" s="1"/>
  <c r="C200" i="48" a="1"/>
  <c r="C200" i="48" s="1"/>
  <c r="C201" i="48" a="1"/>
  <c r="C201" i="48" s="1"/>
  <c r="C202" i="48" a="1"/>
  <c r="C202" i="48" s="1"/>
  <c r="C203" i="48" a="1"/>
  <c r="C203" i="48" s="1"/>
  <c r="C204" i="48" a="1"/>
  <c r="C204" i="48" s="1"/>
  <c r="C205" i="48" a="1"/>
  <c r="C205" i="48" s="1"/>
  <c r="C206" i="48" a="1"/>
  <c r="C206" i="48" s="1"/>
  <c r="C207" i="48" a="1"/>
  <c r="C207" i="48" s="1"/>
  <c r="C208" i="48" a="1"/>
  <c r="C208" i="48" s="1"/>
  <c r="C209" i="48" a="1"/>
  <c r="C209" i="48" s="1"/>
  <c r="C210" i="48" a="1"/>
  <c r="C210" i="48" s="1"/>
  <c r="C211" i="48" a="1"/>
  <c r="C211" i="48" s="1"/>
  <c r="C212" i="48" a="1"/>
  <c r="C212" i="48" s="1"/>
  <c r="C213" i="48" a="1"/>
  <c r="C213" i="48" s="1"/>
  <c r="C214" i="48" a="1"/>
  <c r="C214" i="48" s="1"/>
  <c r="C215" i="48" a="1"/>
  <c r="C215" i="48" s="1"/>
  <c r="C216" i="48" a="1"/>
  <c r="C216" i="48" s="1"/>
  <c r="C217" i="48" a="1"/>
  <c r="C217" i="48" s="1"/>
  <c r="C218" i="48" a="1"/>
  <c r="C218" i="48" s="1"/>
  <c r="C219" i="48" a="1"/>
  <c r="C219" i="48" s="1"/>
  <c r="C220" i="48" a="1"/>
  <c r="C220" i="48" s="1"/>
  <c r="C221" i="48" a="1"/>
  <c r="C221" i="48" s="1"/>
  <c r="C222" i="48" a="1"/>
  <c r="C222" i="48" s="1"/>
  <c r="C223" i="48" a="1"/>
  <c r="C223" i="48" s="1"/>
  <c r="C224" i="48" a="1"/>
  <c r="C224" i="48" s="1"/>
  <c r="C225" i="48" a="1"/>
  <c r="C225" i="48" s="1"/>
  <c r="C226" i="48" a="1"/>
  <c r="C226" i="48" s="1"/>
  <c r="C227" i="48" a="1"/>
  <c r="C227" i="48" s="1"/>
  <c r="C228" i="48" a="1"/>
  <c r="C228" i="48" s="1"/>
  <c r="C229" i="48" a="1"/>
  <c r="C229" i="48" s="1"/>
  <c r="C230" i="48" a="1"/>
  <c r="C230" i="48" s="1"/>
  <c r="C231" i="48" a="1"/>
  <c r="C231" i="48" s="1"/>
  <c r="C232" i="48" a="1"/>
  <c r="C232" i="48" s="1"/>
  <c r="C233" i="48" a="1"/>
  <c r="C233" i="48" s="1"/>
  <c r="C234" i="48" a="1"/>
  <c r="C234" i="48" s="1"/>
  <c r="C235" i="48" a="1"/>
  <c r="C235" i="48" s="1"/>
  <c r="C236" i="48" a="1"/>
  <c r="C236" i="48" s="1"/>
  <c r="C237" i="48" a="1"/>
  <c r="C237" i="48" s="1"/>
  <c r="C238" i="48" a="1"/>
  <c r="C238" i="48" s="1"/>
  <c r="C239" i="48" a="1"/>
  <c r="C239" i="48" s="1"/>
  <c r="C240" i="48" a="1"/>
  <c r="C240" i="48" s="1"/>
  <c r="C241" i="48" a="1"/>
  <c r="C241" i="48" s="1"/>
  <c r="C242" i="48" a="1"/>
  <c r="C242" i="48" s="1"/>
  <c r="C243" i="48" a="1"/>
  <c r="C243" i="48" s="1"/>
  <c r="C244" i="48" a="1"/>
  <c r="C244" i="48" s="1"/>
  <c r="C245" i="48" a="1"/>
  <c r="C245" i="48" s="1"/>
  <c r="C246" i="48" a="1"/>
  <c r="C246" i="48" s="1"/>
  <c r="C247" i="48" a="1"/>
  <c r="C247" i="48" s="1"/>
  <c r="C248" i="48" a="1"/>
  <c r="C248" i="48" s="1"/>
  <c r="C249" i="48" a="1"/>
  <c r="C249" i="48" s="1"/>
  <c r="C250" i="48" a="1"/>
  <c r="C250" i="48" s="1"/>
  <c r="C251" i="48" a="1"/>
  <c r="C251" i="48" s="1"/>
  <c r="C252" i="48" a="1"/>
  <c r="C252" i="48" s="1"/>
  <c r="C253" i="48" a="1"/>
  <c r="C253" i="48" s="1"/>
  <c r="C254" i="48" a="1"/>
  <c r="C254" i="48" s="1"/>
  <c r="C255" i="48" a="1"/>
  <c r="C255" i="48" s="1"/>
  <c r="C256" i="48" a="1"/>
  <c r="C256" i="48" s="1"/>
  <c r="C257" i="48" a="1"/>
  <c r="C257" i="48" s="1"/>
  <c r="C258" i="48" a="1"/>
  <c r="C258" i="48" s="1"/>
  <c r="C259" i="48" a="1"/>
  <c r="C259" i="48" s="1"/>
  <c r="C260" i="48" a="1"/>
  <c r="C260" i="48" s="1"/>
  <c r="C261" i="48" a="1"/>
  <c r="C261" i="48" s="1"/>
  <c r="C262" i="48" a="1"/>
  <c r="C262" i="48" s="1"/>
  <c r="C263" i="48" a="1"/>
  <c r="C263" i="48" s="1"/>
  <c r="C264" i="48" a="1"/>
  <c r="C264" i="48" s="1"/>
  <c r="C265" i="48" a="1"/>
  <c r="C265" i="48" s="1"/>
  <c r="C266" i="48" a="1"/>
  <c r="C266" i="48" s="1"/>
  <c r="C267" i="48" a="1"/>
  <c r="C267" i="48" s="1"/>
  <c r="C268" i="48" a="1"/>
  <c r="C268" i="48" s="1"/>
  <c r="C269" i="48" a="1"/>
  <c r="C269" i="48" s="1"/>
  <c r="C270" i="48" a="1"/>
  <c r="C270" i="48" s="1"/>
  <c r="C271" i="48" a="1"/>
  <c r="C271" i="48" s="1"/>
  <c r="C272" i="48" a="1"/>
  <c r="C272" i="48" s="1"/>
  <c r="C273" i="48" a="1"/>
  <c r="C273" i="48" s="1"/>
  <c r="C274" i="48" a="1"/>
  <c r="C274" i="48" s="1"/>
  <c r="C275" i="48" a="1"/>
  <c r="C275" i="48" s="1"/>
  <c r="C276" i="48" a="1"/>
  <c r="C276" i="48" s="1"/>
  <c r="C277" i="48" a="1"/>
  <c r="C277" i="48" s="1"/>
  <c r="C278" i="48" a="1"/>
  <c r="C278" i="48" s="1"/>
  <c r="C279" i="48" a="1"/>
  <c r="C279" i="48" s="1"/>
  <c r="C280" i="48" a="1"/>
  <c r="C280" i="48" s="1"/>
  <c r="C281" i="48" a="1"/>
  <c r="C281" i="48" s="1"/>
  <c r="C282" i="48" a="1"/>
  <c r="C282" i="48" s="1"/>
  <c r="C283" i="48" a="1"/>
  <c r="C283" i="48" s="1"/>
  <c r="C284" i="48" a="1"/>
  <c r="C284" i="48" s="1"/>
  <c r="C285" i="48" a="1"/>
  <c r="C285" i="48" s="1"/>
  <c r="C286" i="48" a="1"/>
  <c r="C286" i="48" s="1"/>
  <c r="C287" i="48" a="1"/>
  <c r="C287" i="48" s="1"/>
  <c r="C288" i="48" a="1"/>
  <c r="C288" i="48" s="1"/>
  <c r="C289" i="48" a="1"/>
  <c r="C289" i="48" s="1"/>
  <c r="C290" i="48" a="1"/>
  <c r="C290" i="48" s="1"/>
  <c r="C291" i="48" a="1"/>
  <c r="C291" i="48" s="1"/>
  <c r="C292" i="48" a="1"/>
  <c r="C292" i="48" s="1"/>
  <c r="C293" i="48" a="1"/>
  <c r="C293" i="48" s="1"/>
  <c r="C294" i="48" a="1"/>
  <c r="C294" i="48" s="1"/>
  <c r="C295" i="48" a="1"/>
  <c r="C295" i="48" s="1"/>
  <c r="C296" i="48" a="1"/>
  <c r="C296" i="48" s="1"/>
  <c r="C297" i="48" a="1"/>
  <c r="C297" i="48" s="1"/>
  <c r="C298" i="48" a="1"/>
  <c r="C298" i="48" s="1"/>
  <c r="C299" i="48" a="1"/>
  <c r="C299" i="48" s="1"/>
  <c r="C300" i="48" a="1"/>
  <c r="C300" i="48" s="1"/>
  <c r="C301" i="48" a="1"/>
  <c r="C301" i="48" s="1"/>
  <c r="C302" i="48" a="1"/>
  <c r="C302" i="48" s="1"/>
  <c r="C303" i="48" a="1"/>
  <c r="C303" i="48" s="1"/>
  <c r="C304" i="48" a="1"/>
  <c r="C304" i="48" s="1"/>
  <c r="C305" i="48" a="1"/>
  <c r="C305" i="48" s="1"/>
  <c r="C306" i="48" a="1"/>
  <c r="C306" i="48" s="1"/>
  <c r="C307" i="48" a="1"/>
  <c r="C307" i="48" s="1"/>
  <c r="C308" i="48" a="1"/>
  <c r="C308" i="48" s="1"/>
  <c r="C309" i="48" a="1"/>
  <c r="C309" i="48" s="1"/>
  <c r="C310" i="48" a="1"/>
  <c r="C310" i="48" s="1"/>
  <c r="C311" i="48" a="1"/>
  <c r="C311" i="48" s="1"/>
  <c r="C312" i="48" a="1"/>
  <c r="C312" i="48" s="1"/>
  <c r="C313" i="48" a="1"/>
  <c r="C313" i="48" s="1"/>
  <c r="C314" i="48" a="1"/>
  <c r="C314" i="48" s="1"/>
  <c r="C315" i="48" a="1"/>
  <c r="C315" i="48" s="1"/>
  <c r="C316" i="48" a="1"/>
  <c r="C316" i="48" s="1"/>
  <c r="C317" i="48" a="1"/>
  <c r="C317" i="48" s="1"/>
  <c r="C318" i="48" a="1"/>
  <c r="C318" i="48" s="1"/>
  <c r="C319" i="48" a="1"/>
  <c r="C319" i="48" s="1"/>
  <c r="C320" i="48" a="1"/>
  <c r="C320" i="48" s="1"/>
  <c r="C321" i="48" a="1"/>
  <c r="C321" i="48" s="1"/>
  <c r="C322" i="48" a="1"/>
  <c r="C322" i="48" s="1"/>
  <c r="C323" i="48" a="1"/>
  <c r="C323" i="48" s="1"/>
  <c r="C324" i="48" a="1"/>
  <c r="C324" i="48" s="1"/>
  <c r="C325" i="48" a="1"/>
  <c r="C325" i="48" s="1"/>
  <c r="C326" i="48" a="1"/>
  <c r="C326" i="48" s="1"/>
  <c r="C327" i="48" a="1"/>
  <c r="C327" i="48" s="1"/>
  <c r="C328" i="48" a="1"/>
  <c r="C328" i="48" s="1"/>
  <c r="C329" i="48" a="1"/>
  <c r="C329" i="48" s="1"/>
  <c r="C330" i="48" a="1"/>
  <c r="C330" i="48" s="1"/>
  <c r="C331" i="48" a="1"/>
  <c r="C331" i="48" s="1"/>
  <c r="C332" i="48" a="1"/>
  <c r="C332" i="48" s="1"/>
  <c r="C333" i="48" a="1"/>
  <c r="C333" i="48" s="1"/>
  <c r="C334" i="48" a="1"/>
  <c r="C334" i="48" s="1"/>
  <c r="C335" i="48" a="1"/>
  <c r="C335" i="48" s="1"/>
  <c r="C336" i="48" a="1"/>
  <c r="C336" i="48" s="1"/>
  <c r="C337" i="48" a="1"/>
  <c r="C337" i="48" s="1"/>
  <c r="C338" i="48" a="1"/>
  <c r="C338" i="48" s="1"/>
  <c r="C339" i="48" a="1"/>
  <c r="C339" i="48" s="1"/>
  <c r="C340" i="48" a="1"/>
  <c r="C340" i="48" s="1"/>
  <c r="C341" i="48" a="1"/>
  <c r="C341" i="48" s="1"/>
  <c r="C342" i="48" a="1"/>
  <c r="C342" i="48" s="1"/>
  <c r="C343" i="48" a="1"/>
  <c r="C343" i="48" s="1"/>
  <c r="C344" i="48" a="1"/>
  <c r="C344" i="48" s="1"/>
  <c r="C345" i="48" a="1"/>
  <c r="C345" i="48" s="1"/>
  <c r="C346" i="48" a="1"/>
  <c r="C346" i="48" s="1"/>
  <c r="C347" i="48" a="1"/>
  <c r="C347" i="48" s="1"/>
  <c r="C348" i="48" a="1"/>
  <c r="C348" i="48" s="1"/>
  <c r="C349" i="48" a="1"/>
  <c r="C349" i="48" s="1"/>
  <c r="C350" i="48" a="1"/>
  <c r="C350" i="48" s="1"/>
  <c r="C351" i="48" a="1"/>
  <c r="C351" i="48" s="1"/>
  <c r="C352" i="48" a="1"/>
  <c r="C352" i="48" s="1"/>
  <c r="C353" i="48" a="1"/>
  <c r="C353" i="48" s="1"/>
  <c r="C354" i="48" a="1"/>
  <c r="C354" i="48" s="1"/>
  <c r="C355" i="48" a="1"/>
  <c r="C355" i="48" s="1"/>
  <c r="C356" i="48" a="1"/>
  <c r="C356" i="48" s="1"/>
  <c r="C357" i="48" a="1"/>
  <c r="C357" i="48" s="1"/>
  <c r="C358" i="48" a="1"/>
  <c r="C358" i="48" s="1"/>
  <c r="C359" i="48" a="1"/>
  <c r="C359" i="48" s="1"/>
  <c r="C360" i="48" a="1"/>
  <c r="C360" i="48" s="1"/>
  <c r="C361" i="48" a="1"/>
  <c r="C361" i="48" s="1"/>
  <c r="C362" i="48" a="1"/>
  <c r="C362" i="48" s="1"/>
  <c r="C363" i="48" a="1"/>
  <c r="C363" i="48" s="1"/>
  <c r="C364" i="48" a="1"/>
  <c r="C364" i="48" s="1"/>
  <c r="C365" i="48" a="1"/>
  <c r="C365" i="48" s="1"/>
  <c r="C366" i="48" a="1"/>
  <c r="C366" i="48" s="1"/>
  <c r="C367" i="48" a="1"/>
  <c r="C367" i="48" s="1"/>
  <c r="C368" i="48" a="1"/>
  <c r="C368" i="48" s="1"/>
  <c r="C369" i="48" a="1"/>
  <c r="C369" i="48" s="1"/>
  <c r="C370" i="48" a="1"/>
  <c r="C370" i="48" s="1"/>
  <c r="C371" i="48" a="1"/>
  <c r="C371" i="48" s="1"/>
  <c r="C372" i="48" a="1"/>
  <c r="C372" i="48" s="1"/>
  <c r="C373" i="48" a="1"/>
  <c r="C373" i="48" s="1"/>
  <c r="C374" i="48" a="1"/>
  <c r="C374" i="48" s="1"/>
  <c r="C375" i="48" a="1"/>
  <c r="C375" i="48" s="1"/>
  <c r="C376" i="48" a="1"/>
  <c r="C376" i="48" s="1"/>
  <c r="C377" i="48" a="1"/>
  <c r="C377" i="48" s="1"/>
  <c r="C378" i="48" a="1"/>
  <c r="C378" i="48" s="1"/>
  <c r="C379" i="48" a="1"/>
  <c r="C379" i="48" s="1"/>
  <c r="C380" i="48" a="1"/>
  <c r="C380" i="48" s="1"/>
  <c r="C381" i="48" a="1"/>
  <c r="C381" i="48" s="1"/>
  <c r="C382" i="48" a="1"/>
  <c r="C382" i="48" s="1"/>
  <c r="C383" i="48" a="1"/>
  <c r="C383" i="48" s="1"/>
  <c r="C384" i="48" a="1"/>
  <c r="C384" i="48" s="1"/>
  <c r="C385" i="48" a="1"/>
  <c r="C385" i="48" s="1"/>
  <c r="C386" i="48" a="1"/>
  <c r="C386" i="48" s="1"/>
  <c r="C387" i="48" a="1"/>
  <c r="C387" i="48" s="1"/>
  <c r="C388" i="48" a="1"/>
  <c r="C388" i="48" s="1"/>
  <c r="C389" i="48" a="1"/>
  <c r="C389" i="48" s="1"/>
  <c r="C390" i="48" a="1"/>
  <c r="C390" i="48" s="1"/>
  <c r="C391" i="48" a="1"/>
  <c r="C391" i="48" s="1"/>
  <c r="C392" i="48" a="1"/>
  <c r="C392" i="48" s="1"/>
  <c r="C393" i="48" a="1"/>
  <c r="C393" i="48" s="1"/>
  <c r="C394" i="48" a="1"/>
  <c r="C394" i="48" s="1"/>
  <c r="C395" i="48" a="1"/>
  <c r="C395" i="48" s="1"/>
  <c r="C396" i="48" a="1"/>
  <c r="C396" i="48" s="1"/>
  <c r="C397" i="48" a="1"/>
  <c r="C397" i="48" s="1"/>
  <c r="C398" i="48" a="1"/>
  <c r="C398" i="48" s="1"/>
  <c r="C399" i="48" a="1"/>
  <c r="C399" i="48" s="1"/>
  <c r="C400" i="48" a="1"/>
  <c r="C400" i="48" s="1"/>
  <c r="C401" i="48" a="1"/>
  <c r="C401" i="48" s="1"/>
  <c r="C402" i="48" a="1"/>
  <c r="C402" i="48" s="1"/>
  <c r="C403" i="48" a="1"/>
  <c r="C403" i="48" s="1"/>
  <c r="C404" i="48" a="1"/>
  <c r="C404" i="48" s="1"/>
  <c r="C405" i="48" a="1"/>
  <c r="C405" i="48" s="1"/>
  <c r="C406" i="48" a="1"/>
  <c r="C406" i="48" s="1"/>
  <c r="C407" i="48" a="1"/>
  <c r="C407" i="48" s="1"/>
  <c r="C408" i="48" a="1"/>
  <c r="C408" i="48" s="1"/>
  <c r="C409" i="48" a="1"/>
  <c r="C409" i="48" s="1"/>
  <c r="C410" i="48" a="1"/>
  <c r="C410" i="48" s="1"/>
  <c r="C411" i="48" a="1"/>
  <c r="C411" i="48" s="1"/>
  <c r="C412" i="48" a="1"/>
  <c r="C412" i="48" s="1"/>
  <c r="C413" i="48" a="1"/>
  <c r="C413" i="48" s="1"/>
  <c r="C414" i="48" a="1"/>
  <c r="C414" i="48" s="1"/>
  <c r="C415" i="48" a="1"/>
  <c r="C415" i="48" s="1"/>
  <c r="C416" i="48" a="1"/>
  <c r="C416" i="48" s="1"/>
  <c r="C417" i="48" a="1"/>
  <c r="C417" i="48" s="1"/>
  <c r="C418" i="48" a="1"/>
  <c r="C418" i="48" s="1"/>
  <c r="C419" i="48" a="1"/>
  <c r="C419" i="48" s="1"/>
  <c r="C420" i="48" a="1"/>
  <c r="C420" i="48" s="1"/>
  <c r="C421" i="48" a="1"/>
  <c r="C421" i="48" s="1"/>
  <c r="C422" i="48" a="1"/>
  <c r="C422" i="48" s="1"/>
  <c r="C423" i="48" a="1"/>
  <c r="C423" i="48" s="1"/>
  <c r="C424" i="48" a="1"/>
  <c r="C424" i="48" s="1"/>
  <c r="C425" i="48" a="1"/>
  <c r="C425" i="48" s="1"/>
  <c r="C426" i="48" a="1"/>
  <c r="C426" i="48" s="1"/>
  <c r="C427" i="48" a="1"/>
  <c r="C427" i="48" s="1"/>
  <c r="C428" i="48" a="1"/>
  <c r="C428" i="48" s="1"/>
  <c r="C429" i="48" a="1"/>
  <c r="C429" i="48" s="1"/>
  <c r="C430" i="48" a="1"/>
  <c r="C430" i="48" s="1"/>
  <c r="C431" i="48" a="1"/>
  <c r="C431" i="48" s="1"/>
  <c r="C432" i="48" a="1"/>
  <c r="C432" i="48" s="1"/>
  <c r="C433" i="48" a="1"/>
  <c r="C433" i="48" s="1"/>
  <c r="C434" i="48" a="1"/>
  <c r="C434" i="48" s="1"/>
  <c r="C435" i="48" a="1"/>
  <c r="C435" i="48" s="1"/>
  <c r="C436" i="48" a="1"/>
  <c r="C436" i="48" s="1"/>
  <c r="C437" i="48" a="1"/>
  <c r="C437" i="48" s="1"/>
  <c r="C438" i="48" a="1"/>
  <c r="C438" i="48" s="1"/>
  <c r="C439" i="48" a="1"/>
  <c r="C439" i="48" s="1"/>
  <c r="C440" i="48" a="1"/>
  <c r="C440" i="48" s="1"/>
  <c r="C441" i="48" a="1"/>
  <c r="C441" i="48" s="1"/>
  <c r="C442" i="48" a="1"/>
  <c r="C442" i="48" s="1"/>
  <c r="C443" i="48" a="1"/>
  <c r="C443" i="48" s="1"/>
  <c r="C444" i="48" a="1"/>
  <c r="C444" i="48" s="1"/>
  <c r="C445" i="48" a="1"/>
  <c r="C445" i="48" s="1"/>
  <c r="C446" i="48" a="1"/>
  <c r="C446" i="48" s="1"/>
  <c r="C447" i="48" a="1"/>
  <c r="C447" i="48" s="1"/>
  <c r="C448" i="48" a="1"/>
  <c r="C448" i="48" s="1"/>
  <c r="C449" i="48" a="1"/>
  <c r="C449" i="48" s="1"/>
  <c r="C450" i="48" a="1"/>
  <c r="C450" i="48" s="1"/>
  <c r="C451" i="48" a="1"/>
  <c r="C451" i="48" s="1"/>
  <c r="C452" i="48" a="1"/>
  <c r="C452" i="48" s="1"/>
  <c r="C453" i="48" a="1"/>
  <c r="C453" i="48" s="1"/>
  <c r="C454" i="48" a="1"/>
  <c r="C454" i="48" s="1"/>
  <c r="C455" i="48" a="1"/>
  <c r="C455" i="48" s="1"/>
  <c r="C456" i="48" a="1"/>
  <c r="C456" i="48" s="1"/>
  <c r="C457" i="48" a="1"/>
  <c r="C457" i="48" s="1"/>
  <c r="C458" i="48" a="1"/>
  <c r="C458" i="48" s="1"/>
  <c r="C459" i="48" a="1"/>
  <c r="C459" i="48" s="1"/>
  <c r="C460" i="48" a="1"/>
  <c r="C460" i="48" s="1"/>
  <c r="C461" i="48" a="1"/>
  <c r="C461" i="48" s="1"/>
  <c r="C462" i="48" a="1"/>
  <c r="C462" i="48" s="1"/>
  <c r="C463" i="48" a="1"/>
  <c r="C463" i="48" s="1"/>
  <c r="C464" i="48" a="1"/>
  <c r="C464" i="48" s="1"/>
  <c r="C465" i="48" a="1"/>
  <c r="C465" i="48" s="1"/>
  <c r="C466" i="48" a="1"/>
  <c r="C466" i="48" s="1"/>
  <c r="C467" i="48" a="1"/>
  <c r="C467" i="48" s="1"/>
  <c r="C468" i="48" a="1"/>
  <c r="C468" i="48" s="1"/>
  <c r="C469" i="48" a="1"/>
  <c r="C469" i="48" s="1"/>
  <c r="C470" i="48" a="1"/>
  <c r="C470" i="48" s="1"/>
  <c r="C471" i="48" a="1"/>
  <c r="C471" i="48" s="1"/>
  <c r="C472" i="48" a="1"/>
  <c r="C472" i="48" s="1"/>
  <c r="C473" i="48" a="1"/>
  <c r="C473" i="48" s="1"/>
  <c r="C474" i="48" a="1"/>
  <c r="C474" i="48" s="1"/>
  <c r="C475" i="48" a="1"/>
  <c r="C475" i="48" s="1"/>
  <c r="C476" i="48" a="1"/>
  <c r="C476" i="48" s="1"/>
  <c r="C477" i="48" a="1"/>
  <c r="C477" i="48" s="1"/>
  <c r="C478" i="48" a="1"/>
  <c r="C478" i="48" s="1"/>
  <c r="C479" i="48" a="1"/>
  <c r="C479" i="48" s="1"/>
  <c r="C480" i="48" a="1"/>
  <c r="C480" i="48" s="1"/>
  <c r="C481" i="48" a="1"/>
  <c r="C481" i="48" s="1"/>
  <c r="C482" i="48" a="1"/>
  <c r="C482" i="48" s="1"/>
  <c r="C483" i="48" a="1"/>
  <c r="C483" i="48" s="1"/>
  <c r="C484" i="48" a="1"/>
  <c r="C484" i="48" s="1"/>
  <c r="C485" i="48" a="1"/>
  <c r="C485" i="48" s="1"/>
  <c r="C486" i="48" a="1"/>
  <c r="C486" i="48" s="1"/>
  <c r="C487" i="48" a="1"/>
  <c r="C487" i="48" s="1"/>
  <c r="C488" i="48" a="1"/>
  <c r="C488" i="48" s="1"/>
  <c r="C489" i="48" a="1"/>
  <c r="C489" i="48" s="1"/>
  <c r="C490" i="48" a="1"/>
  <c r="C490" i="48" s="1"/>
  <c r="C491" i="48" a="1"/>
  <c r="C491" i="48" s="1"/>
  <c r="C492" i="48" a="1"/>
  <c r="C492" i="48" s="1"/>
  <c r="C493" i="48" a="1"/>
  <c r="C493" i="48" s="1"/>
  <c r="C494" i="48" a="1"/>
  <c r="C494" i="48" s="1"/>
  <c r="C495" i="48" a="1"/>
  <c r="C495" i="48" s="1"/>
  <c r="C496" i="48" a="1"/>
  <c r="C496" i="48" s="1"/>
  <c r="C497" i="48" a="1"/>
  <c r="C497" i="48" s="1"/>
  <c r="C498" i="48" a="1"/>
  <c r="C498" i="48" s="1"/>
  <c r="C499" i="48" a="1"/>
  <c r="C499" i="48" s="1"/>
  <c r="C500" i="48" a="1"/>
  <c r="C500" i="48" s="1"/>
  <c r="C501" i="48" a="1"/>
  <c r="C501" i="48" s="1"/>
  <c r="C502" i="48" a="1"/>
  <c r="C502" i="48" s="1"/>
  <c r="C503" i="48" a="1"/>
  <c r="C503" i="48" s="1"/>
  <c r="C504" i="48" a="1"/>
  <c r="C504" i="48" s="1"/>
  <c r="C505" i="48" a="1"/>
  <c r="C505" i="48" s="1"/>
  <c r="C506" i="48" a="1"/>
  <c r="C506" i="48" s="1"/>
  <c r="C507" i="48" a="1"/>
  <c r="C507" i="48" s="1"/>
  <c r="C508" i="48" a="1"/>
  <c r="C508" i="48" s="1"/>
  <c r="C509" i="48" a="1"/>
  <c r="C509" i="48" s="1"/>
  <c r="C510" i="48" a="1"/>
  <c r="C510" i="48" s="1"/>
  <c r="C511" i="48" a="1"/>
  <c r="C511" i="48" s="1"/>
  <c r="C512" i="48" a="1"/>
  <c r="C512" i="48" s="1"/>
  <c r="C513" i="48" a="1"/>
  <c r="C513" i="48" s="1"/>
  <c r="C514" i="48" a="1"/>
  <c r="C514" i="48" s="1"/>
  <c r="C515" i="48" a="1"/>
  <c r="C515" i="48" s="1"/>
  <c r="C516" i="48" a="1"/>
  <c r="C516" i="48" s="1"/>
  <c r="C517" i="48" a="1"/>
  <c r="C517" i="48" s="1"/>
  <c r="C518" i="48" a="1"/>
  <c r="C518" i="48" s="1"/>
  <c r="C519" i="48" a="1"/>
  <c r="C519" i="48" s="1"/>
  <c r="C520" i="48" a="1"/>
  <c r="C520" i="48" s="1"/>
  <c r="C521" i="48" a="1"/>
  <c r="C521" i="48" s="1"/>
  <c r="C522" i="48" a="1"/>
  <c r="C522" i="48" s="1"/>
  <c r="C523" i="48" a="1"/>
  <c r="C523" i="48" s="1"/>
  <c r="C524" i="48" a="1"/>
  <c r="C524" i="48" s="1"/>
  <c r="C525" i="48" a="1"/>
  <c r="C525" i="48" s="1"/>
  <c r="C526" i="48" a="1"/>
  <c r="C526" i="48" s="1"/>
  <c r="C527" i="48" a="1"/>
  <c r="C527" i="48" s="1"/>
  <c r="C528" i="48" a="1"/>
  <c r="C528" i="48" s="1"/>
  <c r="C529" i="48" a="1"/>
  <c r="C529" i="48" s="1"/>
  <c r="C530" i="48" a="1"/>
  <c r="C530" i="48" s="1"/>
  <c r="C531" i="48" a="1"/>
  <c r="C531" i="48" s="1"/>
  <c r="C532" i="48" a="1"/>
  <c r="C532" i="48" s="1"/>
  <c r="C533" i="48" a="1"/>
  <c r="C533" i="48" s="1"/>
  <c r="C534" i="48" a="1"/>
  <c r="C534" i="48" s="1"/>
  <c r="C535" i="48" a="1"/>
  <c r="C535" i="48" s="1"/>
  <c r="C536" i="48" a="1"/>
  <c r="C536" i="48" s="1"/>
  <c r="C537" i="48" a="1"/>
  <c r="C537" i="48" s="1"/>
  <c r="C538" i="48" a="1"/>
  <c r="C538" i="48" s="1"/>
  <c r="C539" i="48" a="1"/>
  <c r="C539" i="48" s="1"/>
  <c r="C540" i="48" a="1"/>
  <c r="C540" i="48" s="1"/>
  <c r="C541" i="48" a="1"/>
  <c r="C541" i="48" s="1"/>
  <c r="C542" i="48" a="1"/>
  <c r="C542" i="48" s="1"/>
  <c r="C543" i="48" a="1"/>
  <c r="C543" i="48" s="1"/>
  <c r="C544" i="48" a="1"/>
  <c r="C544" i="48" s="1"/>
  <c r="C7" i="48" a="1"/>
  <c r="C7" i="48" s="1"/>
  <c r="B7" i="48" a="1"/>
  <c r="B7" i="48" s="1"/>
  <c r="B8" i="48" a="1"/>
  <c r="B8" i="48" s="1"/>
  <c r="B9" i="48" a="1"/>
  <c r="B9" i="48" s="1"/>
  <c r="B10" i="48" a="1"/>
  <c r="B10" i="48" s="1"/>
  <c r="B11" i="48" a="1"/>
  <c r="B11" i="48" s="1"/>
  <c r="B12" i="48" a="1"/>
  <c r="B12" i="48" s="1"/>
  <c r="B13" i="48" a="1"/>
  <c r="B13" i="48" s="1"/>
  <c r="B14" i="48" a="1"/>
  <c r="B14" i="48" s="1"/>
  <c r="B15" i="48" a="1"/>
  <c r="B15" i="48" s="1"/>
  <c r="B16" i="48" a="1"/>
  <c r="B16" i="48" s="1"/>
  <c r="B17" i="48" a="1"/>
  <c r="B17" i="48" s="1"/>
  <c r="B18" i="48" a="1"/>
  <c r="B18" i="48" s="1"/>
  <c r="B19" i="48" a="1"/>
  <c r="B19" i="48" s="1"/>
  <c r="B20" i="48" a="1"/>
  <c r="B20" i="48" s="1"/>
  <c r="B21" i="48" a="1"/>
  <c r="B21" i="48" s="1"/>
  <c r="B22" i="48" a="1"/>
  <c r="B22" i="48" s="1"/>
  <c r="B23" i="48" a="1"/>
  <c r="B23" i="48" s="1"/>
  <c r="B24" i="48" a="1"/>
  <c r="B24" i="48" s="1"/>
  <c r="B25" i="48" a="1"/>
  <c r="B25" i="48" s="1"/>
  <c r="B26" i="48" a="1"/>
  <c r="B26" i="48" s="1"/>
  <c r="B27" i="48" a="1"/>
  <c r="B27" i="48" s="1"/>
  <c r="B28" i="48" a="1"/>
  <c r="B28" i="48" s="1"/>
  <c r="B29" i="48" a="1"/>
  <c r="B29" i="48" s="1"/>
  <c r="B30" i="48" a="1"/>
  <c r="B30" i="48" s="1"/>
  <c r="B31" i="48" a="1"/>
  <c r="B31" i="48" s="1"/>
  <c r="B32" i="48" a="1"/>
  <c r="B32" i="48" s="1"/>
  <c r="B33" i="48" a="1"/>
  <c r="B33" i="48" s="1"/>
  <c r="B34" i="48" a="1"/>
  <c r="B34" i="48" s="1"/>
  <c r="B35" i="48" a="1"/>
  <c r="B35" i="48" s="1"/>
  <c r="B36" i="48" a="1"/>
  <c r="B36" i="48" s="1"/>
  <c r="B37" i="48" a="1"/>
  <c r="B37" i="48" s="1"/>
  <c r="B38" i="48" a="1"/>
  <c r="B38" i="48" s="1"/>
  <c r="B39" i="48" a="1"/>
  <c r="B39" i="48" s="1"/>
  <c r="B40" i="48" a="1"/>
  <c r="B40" i="48" s="1"/>
  <c r="B41" i="48" a="1"/>
  <c r="B41" i="48" s="1"/>
  <c r="B42" i="48" a="1"/>
  <c r="B42" i="48" s="1"/>
  <c r="B43" i="48" a="1"/>
  <c r="B43" i="48" s="1"/>
  <c r="B44" i="48" a="1"/>
  <c r="B44" i="48" s="1"/>
  <c r="B45" i="48" a="1"/>
  <c r="B45" i="48" s="1"/>
  <c r="B46" i="48" a="1"/>
  <c r="B46" i="48" s="1"/>
  <c r="B47" i="48" a="1"/>
  <c r="B47" i="48" s="1"/>
  <c r="B48" i="48" a="1"/>
  <c r="B48" i="48" s="1"/>
  <c r="B49" i="48" a="1"/>
  <c r="B49" i="48" s="1"/>
  <c r="B50" i="48" a="1"/>
  <c r="B50" i="48" s="1"/>
  <c r="B51" i="48" a="1"/>
  <c r="B51" i="48" s="1"/>
  <c r="B52" i="48" a="1"/>
  <c r="B52" i="48" s="1"/>
  <c r="B53" i="48" a="1"/>
  <c r="B53" i="48" s="1"/>
  <c r="B54" i="48" a="1"/>
  <c r="B54" i="48" s="1"/>
  <c r="B55" i="48" a="1"/>
  <c r="B55" i="48" s="1"/>
  <c r="B56" i="48" a="1"/>
  <c r="B56" i="48" s="1"/>
  <c r="B57" i="48" a="1"/>
  <c r="B57" i="48" s="1"/>
  <c r="B58" i="48" a="1"/>
  <c r="B58" i="48" s="1"/>
  <c r="B59" i="48" a="1"/>
  <c r="B59" i="48" s="1"/>
  <c r="B60" i="48" a="1"/>
  <c r="B60" i="48" s="1"/>
  <c r="B61" i="48" a="1"/>
  <c r="B61" i="48" s="1"/>
  <c r="B62" i="48" a="1"/>
  <c r="B62" i="48" s="1"/>
  <c r="B63" i="48" a="1"/>
  <c r="B63" i="48" s="1"/>
  <c r="B64" i="48" a="1"/>
  <c r="B64" i="48" s="1"/>
  <c r="B65" i="48" a="1"/>
  <c r="B65" i="48" s="1"/>
  <c r="B66" i="48" a="1"/>
  <c r="B66" i="48" s="1"/>
  <c r="B67" i="48" a="1"/>
  <c r="B67" i="48" s="1"/>
  <c r="B68" i="48" a="1"/>
  <c r="B68" i="48" s="1"/>
  <c r="B69" i="48" a="1"/>
  <c r="B69" i="48" s="1"/>
  <c r="B70" i="48" a="1"/>
  <c r="B70" i="48" s="1"/>
  <c r="B71" i="48" a="1"/>
  <c r="B71" i="48" s="1"/>
  <c r="B72" i="48" a="1"/>
  <c r="B72" i="48" s="1"/>
  <c r="B73" i="48" a="1"/>
  <c r="B73" i="48" s="1"/>
  <c r="B74" i="48" a="1"/>
  <c r="B74" i="48" s="1"/>
  <c r="B75" i="48" a="1"/>
  <c r="B75" i="48" s="1"/>
  <c r="B76" i="48" a="1"/>
  <c r="B76" i="48" s="1"/>
  <c r="B77" i="48" a="1"/>
  <c r="B77" i="48" s="1"/>
  <c r="B78" i="48" a="1"/>
  <c r="B78" i="48" s="1"/>
  <c r="B79" i="48" a="1"/>
  <c r="B79" i="48" s="1"/>
  <c r="B80" i="48" a="1"/>
  <c r="B80" i="48" s="1"/>
  <c r="B81" i="48" a="1"/>
  <c r="B81" i="48" s="1"/>
  <c r="B82" i="48" a="1"/>
  <c r="B82" i="48" s="1"/>
  <c r="B83" i="48" a="1"/>
  <c r="B83" i="48" s="1"/>
  <c r="B84" i="48" a="1"/>
  <c r="B84" i="48" s="1"/>
  <c r="B85" i="48" a="1"/>
  <c r="B85" i="48" s="1"/>
  <c r="B86" i="48" a="1"/>
  <c r="B86" i="48" s="1"/>
  <c r="B87" i="48" a="1"/>
  <c r="B87" i="48" s="1"/>
  <c r="B88" i="48" a="1"/>
  <c r="B88" i="48" s="1"/>
  <c r="B89" i="48" a="1"/>
  <c r="B89" i="48" s="1"/>
  <c r="B90" i="48" a="1"/>
  <c r="B90" i="48" s="1"/>
  <c r="B91" i="48" a="1"/>
  <c r="B91" i="48" s="1"/>
  <c r="B92" i="48" a="1"/>
  <c r="B92" i="48" s="1"/>
  <c r="B93" i="48" a="1"/>
  <c r="B93" i="48" s="1"/>
  <c r="B94" i="48" a="1"/>
  <c r="B94" i="48" s="1"/>
  <c r="B95" i="48" a="1"/>
  <c r="B95" i="48" s="1"/>
  <c r="B96" i="48" a="1"/>
  <c r="B96" i="48" s="1"/>
  <c r="B97" i="48" a="1"/>
  <c r="B97" i="48" s="1"/>
  <c r="B98" i="48" a="1"/>
  <c r="B98" i="48" s="1"/>
  <c r="B99" i="48" a="1"/>
  <c r="B99" i="48" s="1"/>
  <c r="B100" i="48" a="1"/>
  <c r="B100" i="48" s="1"/>
  <c r="B101" i="48" a="1"/>
  <c r="B101" i="48" s="1"/>
  <c r="B102" i="48" a="1"/>
  <c r="B102" i="48" s="1"/>
  <c r="B103" i="48" a="1"/>
  <c r="B103" i="48" s="1"/>
  <c r="B104" i="48" a="1"/>
  <c r="B104" i="48" s="1"/>
  <c r="B105" i="48" a="1"/>
  <c r="B105" i="48" s="1"/>
  <c r="B106" i="48" a="1"/>
  <c r="B106" i="48" s="1"/>
  <c r="B107" i="48" a="1"/>
  <c r="B107" i="48" s="1"/>
  <c r="B108" i="48" a="1"/>
  <c r="B108" i="48" s="1"/>
  <c r="B109" i="48" a="1"/>
  <c r="B109" i="48" s="1"/>
  <c r="B110" i="48" a="1"/>
  <c r="B110" i="48" s="1"/>
  <c r="B111" i="48" a="1"/>
  <c r="B111" i="48" s="1"/>
  <c r="B112" i="48" a="1"/>
  <c r="B112" i="48" s="1"/>
  <c r="B113" i="48" a="1"/>
  <c r="B113" i="48" s="1"/>
  <c r="B114" i="48" a="1"/>
  <c r="B114" i="48" s="1"/>
  <c r="B115" i="48" a="1"/>
  <c r="B115" i="48" s="1"/>
  <c r="B116" i="48" a="1"/>
  <c r="B116" i="48" s="1"/>
  <c r="B117" i="48" a="1"/>
  <c r="B117" i="48" s="1"/>
  <c r="B118" i="48" a="1"/>
  <c r="B118" i="48" s="1"/>
  <c r="B119" i="48" a="1"/>
  <c r="B119" i="48" s="1"/>
  <c r="B120" i="48" a="1"/>
  <c r="B120" i="48" s="1"/>
  <c r="B121" i="48" a="1"/>
  <c r="B121" i="48" s="1"/>
  <c r="B122" i="48" a="1"/>
  <c r="B122" i="48" s="1"/>
  <c r="B123" i="48" a="1"/>
  <c r="B123" i="48" s="1"/>
  <c r="B124" i="48" a="1"/>
  <c r="B124" i="48" s="1"/>
  <c r="B125" i="48" a="1"/>
  <c r="B125" i="48" s="1"/>
  <c r="B126" i="48" a="1"/>
  <c r="B126" i="48" s="1"/>
  <c r="B127" i="48" a="1"/>
  <c r="B127" i="48" s="1"/>
  <c r="B128" i="48" a="1"/>
  <c r="B128" i="48" s="1"/>
  <c r="B129" i="48" a="1"/>
  <c r="B129" i="48" s="1"/>
  <c r="B130" i="48" a="1"/>
  <c r="B130" i="48" s="1"/>
  <c r="B131" i="48" a="1"/>
  <c r="B131" i="48" s="1"/>
  <c r="B132" i="48" a="1"/>
  <c r="B132" i="48" s="1"/>
  <c r="B133" i="48" a="1"/>
  <c r="B133" i="48" s="1"/>
  <c r="B134" i="48" a="1"/>
  <c r="B134" i="48" s="1"/>
  <c r="B135" i="48" a="1"/>
  <c r="B135" i="48" s="1"/>
  <c r="B136" i="48" a="1"/>
  <c r="B136" i="48" s="1"/>
  <c r="B137" i="48" a="1"/>
  <c r="B137" i="48" s="1"/>
  <c r="B138" i="48" a="1"/>
  <c r="B138" i="48" s="1"/>
  <c r="B139" i="48" a="1"/>
  <c r="B139" i="48" s="1"/>
  <c r="B140" i="48" a="1"/>
  <c r="B140" i="48" s="1"/>
  <c r="B141" i="48" a="1"/>
  <c r="B141" i="48" s="1"/>
  <c r="B142" i="48" a="1"/>
  <c r="B142" i="48" s="1"/>
  <c r="B143" i="48" a="1"/>
  <c r="B143" i="48" s="1"/>
  <c r="B144" i="48" a="1"/>
  <c r="B144" i="48" s="1"/>
  <c r="B145" i="48" a="1"/>
  <c r="B145" i="48" s="1"/>
  <c r="B146" i="48" a="1"/>
  <c r="B146" i="48" s="1"/>
  <c r="B147" i="48" a="1"/>
  <c r="B147" i="48" s="1"/>
  <c r="B148" i="48" a="1"/>
  <c r="B148" i="48" s="1"/>
  <c r="B149" i="48" a="1"/>
  <c r="B149" i="48" s="1"/>
  <c r="B150" i="48" a="1"/>
  <c r="B150" i="48" s="1"/>
  <c r="B151" i="48" a="1"/>
  <c r="B151" i="48" s="1"/>
  <c r="B152" i="48" a="1"/>
  <c r="B152" i="48" s="1"/>
  <c r="B153" i="48" a="1"/>
  <c r="B153" i="48" s="1"/>
  <c r="B154" i="48" a="1"/>
  <c r="B154" i="48" s="1"/>
  <c r="B155" i="48" a="1"/>
  <c r="B155" i="48" s="1"/>
  <c r="B156" i="48" a="1"/>
  <c r="B156" i="48" s="1"/>
  <c r="B157" i="48" a="1"/>
  <c r="B157" i="48" s="1"/>
  <c r="B158" i="48" a="1"/>
  <c r="B158" i="48" s="1"/>
  <c r="B159" i="48" a="1"/>
  <c r="B159" i="48" s="1"/>
  <c r="B160" i="48" a="1"/>
  <c r="B160" i="48" s="1"/>
  <c r="B161" i="48" a="1"/>
  <c r="B161" i="48" s="1"/>
  <c r="B162" i="48" a="1"/>
  <c r="B162" i="48" s="1"/>
  <c r="B163" i="48" a="1"/>
  <c r="B163" i="48" s="1"/>
  <c r="B164" i="48" a="1"/>
  <c r="B164" i="48" s="1"/>
  <c r="B165" i="48" a="1"/>
  <c r="B165" i="48" s="1"/>
  <c r="B166" i="48" a="1"/>
  <c r="B166" i="48" s="1"/>
  <c r="B167" i="48" a="1"/>
  <c r="B167" i="48" s="1"/>
  <c r="B168" i="48" a="1"/>
  <c r="B168" i="48" s="1"/>
  <c r="B169" i="48" a="1"/>
  <c r="B169" i="48" s="1"/>
  <c r="B170" i="48" a="1"/>
  <c r="B170" i="48" s="1"/>
  <c r="B171" i="48" a="1"/>
  <c r="B171" i="48" s="1"/>
  <c r="B172" i="48" a="1"/>
  <c r="B172" i="48" s="1"/>
  <c r="B173" i="48" a="1"/>
  <c r="B173" i="48" s="1"/>
  <c r="B174" i="48" a="1"/>
  <c r="B174" i="48" s="1"/>
  <c r="B175" i="48" a="1"/>
  <c r="B175" i="48" s="1"/>
  <c r="B176" i="48" a="1"/>
  <c r="B176" i="48" s="1"/>
  <c r="B177" i="48" a="1"/>
  <c r="B177" i="48" s="1"/>
  <c r="B178" i="48" a="1"/>
  <c r="B178" i="48" s="1"/>
  <c r="B179" i="48" a="1"/>
  <c r="B179" i="48" s="1"/>
  <c r="B180" i="48" a="1"/>
  <c r="B180" i="48" s="1"/>
  <c r="B181" i="48" a="1"/>
  <c r="B181" i="48" s="1"/>
  <c r="B182" i="48" a="1"/>
  <c r="B182" i="48" s="1"/>
  <c r="B183" i="48" a="1"/>
  <c r="B183" i="48" s="1"/>
  <c r="B184" i="48" a="1"/>
  <c r="B184" i="48" s="1"/>
  <c r="B185" i="48" a="1"/>
  <c r="B185" i="48" s="1"/>
  <c r="B186" i="48" a="1"/>
  <c r="B186" i="48" s="1"/>
  <c r="B187" i="48" a="1"/>
  <c r="B187" i="48" s="1"/>
  <c r="B188" i="48" a="1"/>
  <c r="B188" i="48" s="1"/>
  <c r="B189" i="48" a="1"/>
  <c r="B189" i="48" s="1"/>
  <c r="B190" i="48" a="1"/>
  <c r="B190" i="48" s="1"/>
  <c r="B191" i="48" a="1"/>
  <c r="B191" i="48" s="1"/>
  <c r="B192" i="48" a="1"/>
  <c r="B192" i="48" s="1"/>
  <c r="B193" i="48" a="1"/>
  <c r="B193" i="48" s="1"/>
  <c r="B194" i="48" a="1"/>
  <c r="B194" i="48" s="1"/>
  <c r="B195" i="48" a="1"/>
  <c r="B195" i="48" s="1"/>
  <c r="B196" i="48" a="1"/>
  <c r="B196" i="48" s="1"/>
  <c r="B197" i="48" a="1"/>
  <c r="B197" i="48" s="1"/>
  <c r="B198" i="48" a="1"/>
  <c r="B198" i="48" s="1"/>
  <c r="B199" i="48" a="1"/>
  <c r="B199" i="48" s="1"/>
  <c r="B200" i="48" a="1"/>
  <c r="B200" i="48" s="1"/>
  <c r="B201" i="48" a="1"/>
  <c r="B201" i="48" s="1"/>
  <c r="B202" i="48" a="1"/>
  <c r="B202" i="48" s="1"/>
  <c r="B203" i="48" a="1"/>
  <c r="B203" i="48" s="1"/>
  <c r="B204" i="48" a="1"/>
  <c r="B204" i="48" s="1"/>
  <c r="B205" i="48" a="1"/>
  <c r="B205" i="48" s="1"/>
  <c r="B206" i="48" a="1"/>
  <c r="B206" i="48" s="1"/>
  <c r="B207" i="48" a="1"/>
  <c r="B207" i="48" s="1"/>
  <c r="B208" i="48" a="1"/>
  <c r="B208" i="48" s="1"/>
  <c r="B209" i="48" a="1"/>
  <c r="B209" i="48" s="1"/>
  <c r="B210" i="48" a="1"/>
  <c r="B210" i="48" s="1"/>
  <c r="B211" i="48" a="1"/>
  <c r="B211" i="48" s="1"/>
  <c r="B212" i="48" a="1"/>
  <c r="B212" i="48" s="1"/>
  <c r="B213" i="48" a="1"/>
  <c r="B213" i="48" s="1"/>
  <c r="B214" i="48" a="1"/>
  <c r="B214" i="48" s="1"/>
  <c r="B215" i="48" a="1"/>
  <c r="B215" i="48" s="1"/>
  <c r="B216" i="48" a="1"/>
  <c r="B216" i="48" s="1"/>
  <c r="B217" i="48" a="1"/>
  <c r="B217" i="48" s="1"/>
  <c r="B218" i="48" a="1"/>
  <c r="B218" i="48" s="1"/>
  <c r="B219" i="48" a="1"/>
  <c r="B219" i="48" s="1"/>
  <c r="B220" i="48" a="1"/>
  <c r="B220" i="48" s="1"/>
  <c r="B221" i="48" a="1"/>
  <c r="B221" i="48" s="1"/>
  <c r="B222" i="48" a="1"/>
  <c r="B222" i="48" s="1"/>
  <c r="B223" i="48" a="1"/>
  <c r="B223" i="48" s="1"/>
  <c r="B224" i="48" a="1"/>
  <c r="B224" i="48" s="1"/>
  <c r="B225" i="48" a="1"/>
  <c r="B225" i="48" s="1"/>
  <c r="B226" i="48" a="1"/>
  <c r="B226" i="48" s="1"/>
  <c r="B227" i="48" a="1"/>
  <c r="B227" i="48" s="1"/>
  <c r="B228" i="48" a="1"/>
  <c r="B228" i="48" s="1"/>
  <c r="B229" i="48" a="1"/>
  <c r="B229" i="48" s="1"/>
  <c r="B230" i="48" a="1"/>
  <c r="B230" i="48" s="1"/>
  <c r="B231" i="48" a="1"/>
  <c r="B231" i="48" s="1"/>
  <c r="B232" i="48" a="1"/>
  <c r="B232" i="48" s="1"/>
  <c r="B233" i="48" a="1"/>
  <c r="B233" i="48" s="1"/>
  <c r="B234" i="48" a="1"/>
  <c r="B234" i="48" s="1"/>
  <c r="B235" i="48" a="1"/>
  <c r="B235" i="48" s="1"/>
  <c r="B236" i="48" a="1"/>
  <c r="B236" i="48" s="1"/>
  <c r="B237" i="48" a="1"/>
  <c r="B237" i="48" s="1"/>
  <c r="B238" i="48" a="1"/>
  <c r="B238" i="48" s="1"/>
  <c r="B239" i="48" a="1"/>
  <c r="B239" i="48" s="1"/>
  <c r="B240" i="48" a="1"/>
  <c r="B240" i="48" s="1"/>
  <c r="B241" i="48" a="1"/>
  <c r="B241" i="48" s="1"/>
  <c r="B242" i="48" a="1"/>
  <c r="B242" i="48" s="1"/>
  <c r="B243" i="48" a="1"/>
  <c r="B243" i="48" s="1"/>
  <c r="B244" i="48" a="1"/>
  <c r="B244" i="48" s="1"/>
  <c r="B245" i="48" a="1"/>
  <c r="B245" i="48" s="1"/>
  <c r="B246" i="48" a="1"/>
  <c r="B246" i="48" s="1"/>
  <c r="B247" i="48" a="1"/>
  <c r="B247" i="48" s="1"/>
  <c r="B248" i="48" a="1"/>
  <c r="B248" i="48" s="1"/>
  <c r="B249" i="48" a="1"/>
  <c r="B249" i="48" s="1"/>
  <c r="B250" i="48" a="1"/>
  <c r="B250" i="48" s="1"/>
  <c r="B251" i="48" a="1"/>
  <c r="B251" i="48" s="1"/>
  <c r="B252" i="48" a="1"/>
  <c r="B252" i="48" s="1"/>
  <c r="B253" i="48" a="1"/>
  <c r="B253" i="48" s="1"/>
  <c r="B254" i="48" a="1"/>
  <c r="B254" i="48" s="1"/>
  <c r="B255" i="48" a="1"/>
  <c r="B255" i="48" s="1"/>
  <c r="B256" i="48" a="1"/>
  <c r="B256" i="48" s="1"/>
  <c r="B257" i="48" a="1"/>
  <c r="B257" i="48" s="1"/>
  <c r="B258" i="48" a="1"/>
  <c r="B258" i="48" s="1"/>
  <c r="B259" i="48" a="1"/>
  <c r="B259" i="48" s="1"/>
  <c r="B260" i="48" a="1"/>
  <c r="B260" i="48" s="1"/>
  <c r="B261" i="48" a="1"/>
  <c r="B261" i="48" s="1"/>
  <c r="B262" i="48" a="1"/>
  <c r="B262" i="48" s="1"/>
  <c r="B263" i="48" a="1"/>
  <c r="B263" i="48" s="1"/>
  <c r="B264" i="48" a="1"/>
  <c r="B264" i="48" s="1"/>
  <c r="B265" i="48" a="1"/>
  <c r="B265" i="48" s="1"/>
  <c r="B266" i="48" a="1"/>
  <c r="B266" i="48" s="1"/>
  <c r="B267" i="48" a="1"/>
  <c r="B267" i="48" s="1"/>
  <c r="B268" i="48" a="1"/>
  <c r="B268" i="48" s="1"/>
  <c r="B269" i="48" a="1"/>
  <c r="B269" i="48" s="1"/>
  <c r="B270" i="48" a="1"/>
  <c r="B270" i="48" s="1"/>
  <c r="B271" i="48" a="1"/>
  <c r="B271" i="48" s="1"/>
  <c r="B272" i="48" a="1"/>
  <c r="B272" i="48" s="1"/>
  <c r="B273" i="48" a="1"/>
  <c r="B273" i="48" s="1"/>
  <c r="B274" i="48" a="1"/>
  <c r="B274" i="48" s="1"/>
  <c r="B275" i="48" a="1"/>
  <c r="B275" i="48" s="1"/>
  <c r="B276" i="48" a="1"/>
  <c r="B276" i="48" s="1"/>
  <c r="B277" i="48" a="1"/>
  <c r="B277" i="48" s="1"/>
  <c r="B278" i="48" a="1"/>
  <c r="B278" i="48" s="1"/>
  <c r="B279" i="48" a="1"/>
  <c r="B279" i="48" s="1"/>
  <c r="B280" i="48" a="1"/>
  <c r="B280" i="48" s="1"/>
  <c r="B281" i="48" a="1"/>
  <c r="B281" i="48" s="1"/>
  <c r="B282" i="48" a="1"/>
  <c r="B282" i="48" s="1"/>
  <c r="B283" i="48" a="1"/>
  <c r="B283" i="48" s="1"/>
  <c r="B284" i="48" a="1"/>
  <c r="B284" i="48" s="1"/>
  <c r="B285" i="48" a="1"/>
  <c r="B285" i="48" s="1"/>
  <c r="B286" i="48" a="1"/>
  <c r="B286" i="48" s="1"/>
  <c r="B287" i="48" a="1"/>
  <c r="B287" i="48" s="1"/>
  <c r="B288" i="48" a="1"/>
  <c r="B288" i="48" s="1"/>
  <c r="B289" i="48" a="1"/>
  <c r="B289" i="48" s="1"/>
  <c r="B290" i="48" a="1"/>
  <c r="B290" i="48" s="1"/>
  <c r="B291" i="48" a="1"/>
  <c r="B291" i="48" s="1"/>
  <c r="B292" i="48" a="1"/>
  <c r="B292" i="48" s="1"/>
  <c r="B293" i="48" a="1"/>
  <c r="B293" i="48" s="1"/>
  <c r="B294" i="48" a="1"/>
  <c r="B294" i="48" s="1"/>
  <c r="B295" i="48" a="1"/>
  <c r="B295" i="48" s="1"/>
  <c r="B296" i="48" a="1"/>
  <c r="B296" i="48" s="1"/>
  <c r="B297" i="48" a="1"/>
  <c r="B297" i="48" s="1"/>
  <c r="B298" i="48" a="1"/>
  <c r="B298" i="48" s="1"/>
  <c r="B299" i="48" a="1"/>
  <c r="B299" i="48" s="1"/>
  <c r="B300" i="48" a="1"/>
  <c r="B300" i="48" s="1"/>
  <c r="B301" i="48" a="1"/>
  <c r="B301" i="48" s="1"/>
  <c r="B302" i="48" a="1"/>
  <c r="B302" i="48" s="1"/>
  <c r="B303" i="48" a="1"/>
  <c r="B303" i="48" s="1"/>
  <c r="B304" i="48" a="1"/>
  <c r="B304" i="48" s="1"/>
  <c r="B305" i="48" a="1"/>
  <c r="B305" i="48" s="1"/>
  <c r="B306" i="48" a="1"/>
  <c r="B306" i="48" s="1"/>
  <c r="B307" i="48" a="1"/>
  <c r="B307" i="48" s="1"/>
  <c r="B308" i="48" a="1"/>
  <c r="B308" i="48" s="1"/>
  <c r="B309" i="48" a="1"/>
  <c r="B309" i="48" s="1"/>
  <c r="B310" i="48" a="1"/>
  <c r="B310" i="48" s="1"/>
  <c r="B311" i="48" a="1"/>
  <c r="B311" i="48" s="1"/>
  <c r="B312" i="48" a="1"/>
  <c r="B312" i="48" s="1"/>
  <c r="B313" i="48" a="1"/>
  <c r="B313" i="48" s="1"/>
  <c r="B314" i="48" a="1"/>
  <c r="B314" i="48" s="1"/>
  <c r="B315" i="48" a="1"/>
  <c r="B315" i="48" s="1"/>
  <c r="B316" i="48" a="1"/>
  <c r="B316" i="48" s="1"/>
  <c r="B317" i="48" a="1"/>
  <c r="B317" i="48" s="1"/>
  <c r="B318" i="48" a="1"/>
  <c r="B318" i="48" s="1"/>
  <c r="B319" i="48" a="1"/>
  <c r="B319" i="48" s="1"/>
  <c r="B320" i="48" a="1"/>
  <c r="B320" i="48" s="1"/>
  <c r="B321" i="48" a="1"/>
  <c r="B321" i="48" s="1"/>
  <c r="B322" i="48" a="1"/>
  <c r="B322" i="48" s="1"/>
  <c r="B323" i="48" a="1"/>
  <c r="B323" i="48" s="1"/>
  <c r="B324" i="48" a="1"/>
  <c r="B324" i="48" s="1"/>
  <c r="B325" i="48" a="1"/>
  <c r="B325" i="48" s="1"/>
  <c r="B326" i="48" a="1"/>
  <c r="B326" i="48" s="1"/>
  <c r="B327" i="48" a="1"/>
  <c r="B327" i="48" s="1"/>
  <c r="B328" i="48" a="1"/>
  <c r="B328" i="48" s="1"/>
  <c r="B329" i="48" a="1"/>
  <c r="B329" i="48" s="1"/>
  <c r="B330" i="48" a="1"/>
  <c r="B330" i="48" s="1"/>
  <c r="B331" i="48" a="1"/>
  <c r="B331" i="48" s="1"/>
  <c r="B332" i="48" a="1"/>
  <c r="B332" i="48" s="1"/>
  <c r="B333" i="48" a="1"/>
  <c r="B333" i="48" s="1"/>
  <c r="B334" i="48" a="1"/>
  <c r="B334" i="48" s="1"/>
  <c r="B335" i="48" a="1"/>
  <c r="B335" i="48" s="1"/>
  <c r="B336" i="48" a="1"/>
  <c r="B336" i="48" s="1"/>
  <c r="B337" i="48" a="1"/>
  <c r="B337" i="48" s="1"/>
  <c r="B338" i="48" a="1"/>
  <c r="B338" i="48" s="1"/>
  <c r="B339" i="48" a="1"/>
  <c r="B339" i="48" s="1"/>
  <c r="B340" i="48" a="1"/>
  <c r="B340" i="48" s="1"/>
  <c r="B341" i="48" a="1"/>
  <c r="B341" i="48" s="1"/>
  <c r="B342" i="48" a="1"/>
  <c r="B342" i="48" s="1"/>
  <c r="B343" i="48" a="1"/>
  <c r="B343" i="48" s="1"/>
  <c r="B344" i="48" a="1"/>
  <c r="B344" i="48" s="1"/>
  <c r="B345" i="48" a="1"/>
  <c r="B345" i="48" s="1"/>
  <c r="B346" i="48" a="1"/>
  <c r="B346" i="48" s="1"/>
  <c r="B347" i="48" a="1"/>
  <c r="B347" i="48" s="1"/>
  <c r="B348" i="48" a="1"/>
  <c r="B348" i="48" s="1"/>
  <c r="B349" i="48" a="1"/>
  <c r="B349" i="48" s="1"/>
  <c r="B350" i="48" a="1"/>
  <c r="B350" i="48" s="1"/>
  <c r="B351" i="48" a="1"/>
  <c r="B351" i="48" s="1"/>
  <c r="B352" i="48" a="1"/>
  <c r="B352" i="48" s="1"/>
  <c r="B353" i="48" a="1"/>
  <c r="B353" i="48" s="1"/>
  <c r="B354" i="48" a="1"/>
  <c r="B354" i="48" s="1"/>
  <c r="B355" i="48" a="1"/>
  <c r="B355" i="48" s="1"/>
  <c r="B356" i="48" a="1"/>
  <c r="B356" i="48" s="1"/>
  <c r="B357" i="48" a="1"/>
  <c r="B357" i="48" s="1"/>
  <c r="B358" i="48" a="1"/>
  <c r="B358" i="48" s="1"/>
  <c r="B359" i="48" a="1"/>
  <c r="B359" i="48" s="1"/>
  <c r="B360" i="48" a="1"/>
  <c r="B360" i="48" s="1"/>
  <c r="B361" i="48" a="1"/>
  <c r="B361" i="48" s="1"/>
  <c r="B362" i="48" a="1"/>
  <c r="B362" i="48" s="1"/>
  <c r="B363" i="48" a="1"/>
  <c r="B363" i="48" s="1"/>
  <c r="B364" i="48" a="1"/>
  <c r="B364" i="48" s="1"/>
  <c r="B365" i="48" a="1"/>
  <c r="B365" i="48" s="1"/>
  <c r="B366" i="48" a="1"/>
  <c r="B366" i="48" s="1"/>
  <c r="B367" i="48" a="1"/>
  <c r="B367" i="48" s="1"/>
  <c r="B368" i="48" a="1"/>
  <c r="B368" i="48" s="1"/>
  <c r="B369" i="48" a="1"/>
  <c r="B369" i="48" s="1"/>
  <c r="B370" i="48" a="1"/>
  <c r="B370" i="48" s="1"/>
  <c r="B371" i="48" a="1"/>
  <c r="B371" i="48" s="1"/>
  <c r="B372" i="48" a="1"/>
  <c r="B372" i="48" s="1"/>
  <c r="B373" i="48" a="1"/>
  <c r="B373" i="48" s="1"/>
  <c r="B374" i="48" a="1"/>
  <c r="B374" i="48" s="1"/>
  <c r="B375" i="48" a="1"/>
  <c r="B375" i="48" s="1"/>
  <c r="B376" i="48" a="1"/>
  <c r="B376" i="48" s="1"/>
  <c r="B377" i="48" a="1"/>
  <c r="B377" i="48" s="1"/>
  <c r="B378" i="48" a="1"/>
  <c r="B378" i="48" s="1"/>
  <c r="B379" i="48" a="1"/>
  <c r="B379" i="48" s="1"/>
  <c r="B380" i="48" a="1"/>
  <c r="B380" i="48" s="1"/>
  <c r="B381" i="48" a="1"/>
  <c r="B381" i="48" s="1"/>
  <c r="B382" i="48" a="1"/>
  <c r="B382" i="48" s="1"/>
  <c r="B383" i="48" a="1"/>
  <c r="B383" i="48" s="1"/>
  <c r="B384" i="48" a="1"/>
  <c r="B384" i="48" s="1"/>
  <c r="B385" i="48" a="1"/>
  <c r="B385" i="48" s="1"/>
  <c r="B386" i="48" a="1"/>
  <c r="B386" i="48" s="1"/>
  <c r="B387" i="48" a="1"/>
  <c r="B387" i="48" s="1"/>
  <c r="B388" i="48" a="1"/>
  <c r="B388" i="48" s="1"/>
  <c r="B389" i="48" a="1"/>
  <c r="B389" i="48" s="1"/>
  <c r="B390" i="48" a="1"/>
  <c r="B390" i="48" s="1"/>
  <c r="B391" i="48" a="1"/>
  <c r="B391" i="48" s="1"/>
  <c r="B392" i="48" a="1"/>
  <c r="B392" i="48" s="1"/>
  <c r="B393" i="48" a="1"/>
  <c r="B393" i="48" s="1"/>
  <c r="B394" i="48" a="1"/>
  <c r="B394" i="48" s="1"/>
  <c r="B395" i="48" a="1"/>
  <c r="B395" i="48" s="1"/>
  <c r="B396" i="48" a="1"/>
  <c r="B396" i="48" s="1"/>
  <c r="B397" i="48" a="1"/>
  <c r="B397" i="48" s="1"/>
  <c r="B398" i="48" a="1"/>
  <c r="B398" i="48" s="1"/>
  <c r="B399" i="48" a="1"/>
  <c r="B399" i="48" s="1"/>
  <c r="B400" i="48" a="1"/>
  <c r="B400" i="48" s="1"/>
  <c r="B401" i="48" a="1"/>
  <c r="B401" i="48" s="1"/>
  <c r="B402" i="48" a="1"/>
  <c r="B402" i="48" s="1"/>
  <c r="B403" i="48" a="1"/>
  <c r="B403" i="48" s="1"/>
  <c r="B404" i="48" a="1"/>
  <c r="B404" i="48" s="1"/>
  <c r="B405" i="48" a="1"/>
  <c r="B405" i="48" s="1"/>
  <c r="B406" i="48" a="1"/>
  <c r="B406" i="48" s="1"/>
  <c r="B407" i="48" a="1"/>
  <c r="B407" i="48" s="1"/>
  <c r="B408" i="48" a="1"/>
  <c r="B408" i="48" s="1"/>
  <c r="B409" i="48" a="1"/>
  <c r="B409" i="48" s="1"/>
  <c r="B410" i="48" a="1"/>
  <c r="B410" i="48" s="1"/>
  <c r="B411" i="48" a="1"/>
  <c r="B411" i="48" s="1"/>
  <c r="B412" i="48" a="1"/>
  <c r="B412" i="48" s="1"/>
  <c r="B413" i="48" a="1"/>
  <c r="B413" i="48" s="1"/>
  <c r="B414" i="48" a="1"/>
  <c r="B414" i="48" s="1"/>
  <c r="B415" i="48" a="1"/>
  <c r="B415" i="48" s="1"/>
  <c r="B416" i="48" a="1"/>
  <c r="B416" i="48" s="1"/>
  <c r="B417" i="48" a="1"/>
  <c r="B417" i="48" s="1"/>
  <c r="B418" i="48" a="1"/>
  <c r="B418" i="48" s="1"/>
  <c r="B419" i="48" a="1"/>
  <c r="B419" i="48" s="1"/>
  <c r="B420" i="48" a="1"/>
  <c r="B420" i="48" s="1"/>
  <c r="B421" i="48" a="1"/>
  <c r="B421" i="48" s="1"/>
  <c r="B422" i="48" a="1"/>
  <c r="B422" i="48" s="1"/>
  <c r="B423" i="48" a="1"/>
  <c r="B423" i="48" s="1"/>
  <c r="B424" i="48" a="1"/>
  <c r="B424" i="48" s="1"/>
  <c r="B425" i="48" a="1"/>
  <c r="B425" i="48" s="1"/>
  <c r="B426" i="48" a="1"/>
  <c r="B426" i="48" s="1"/>
  <c r="B427" i="48" a="1"/>
  <c r="B427" i="48" s="1"/>
  <c r="B428" i="48" a="1"/>
  <c r="B428" i="48" s="1"/>
  <c r="B429" i="48" a="1"/>
  <c r="B429" i="48" s="1"/>
  <c r="B430" i="48" a="1"/>
  <c r="B430" i="48" s="1"/>
  <c r="B431" i="48" a="1"/>
  <c r="B431" i="48" s="1"/>
  <c r="B432" i="48" a="1"/>
  <c r="B432" i="48" s="1"/>
  <c r="B433" i="48" a="1"/>
  <c r="B433" i="48" s="1"/>
  <c r="B434" i="48" a="1"/>
  <c r="B434" i="48" s="1"/>
  <c r="B435" i="48" a="1"/>
  <c r="B435" i="48" s="1"/>
  <c r="B436" i="48" a="1"/>
  <c r="B436" i="48" s="1"/>
  <c r="B437" i="48" a="1"/>
  <c r="B437" i="48" s="1"/>
  <c r="B438" i="48" a="1"/>
  <c r="B438" i="48" s="1"/>
  <c r="B439" i="48" a="1"/>
  <c r="B439" i="48" s="1"/>
  <c r="B440" i="48" a="1"/>
  <c r="B440" i="48" s="1"/>
  <c r="B441" i="48" a="1"/>
  <c r="B441" i="48" s="1"/>
  <c r="B442" i="48" a="1"/>
  <c r="B442" i="48" s="1"/>
  <c r="B443" i="48" a="1"/>
  <c r="B443" i="48" s="1"/>
  <c r="B444" i="48" a="1"/>
  <c r="B444" i="48" s="1"/>
  <c r="B445" i="48" a="1"/>
  <c r="B445" i="48" s="1"/>
  <c r="B446" i="48" a="1"/>
  <c r="B446" i="48" s="1"/>
  <c r="B447" i="48" a="1"/>
  <c r="B447" i="48" s="1"/>
  <c r="B448" i="48" a="1"/>
  <c r="B448" i="48" s="1"/>
  <c r="B449" i="48" a="1"/>
  <c r="B449" i="48" s="1"/>
  <c r="B450" i="48" a="1"/>
  <c r="B450" i="48" s="1"/>
  <c r="B451" i="48" a="1"/>
  <c r="B451" i="48" s="1"/>
  <c r="B452" i="48" a="1"/>
  <c r="B452" i="48" s="1"/>
  <c r="B453" i="48" a="1"/>
  <c r="B453" i="48" s="1"/>
  <c r="B454" i="48" a="1"/>
  <c r="B454" i="48" s="1"/>
  <c r="B455" i="48" a="1"/>
  <c r="B455" i="48" s="1"/>
  <c r="B456" i="48" a="1"/>
  <c r="B456" i="48" s="1"/>
  <c r="B457" i="48" a="1"/>
  <c r="B457" i="48" s="1"/>
  <c r="B458" i="48" a="1"/>
  <c r="B458" i="48" s="1"/>
  <c r="B459" i="48" a="1"/>
  <c r="B459" i="48" s="1"/>
  <c r="B460" i="48" a="1"/>
  <c r="B460" i="48" s="1"/>
  <c r="B461" i="48" a="1"/>
  <c r="B461" i="48" s="1"/>
  <c r="B462" i="48" a="1"/>
  <c r="B462" i="48" s="1"/>
  <c r="B463" i="48" a="1"/>
  <c r="B463" i="48" s="1"/>
  <c r="B464" i="48" a="1"/>
  <c r="B464" i="48" s="1"/>
  <c r="B465" i="48" a="1"/>
  <c r="B465" i="48" s="1"/>
  <c r="B466" i="48" a="1"/>
  <c r="B466" i="48" s="1"/>
  <c r="B467" i="48" a="1"/>
  <c r="B467" i="48" s="1"/>
  <c r="B468" i="48" a="1"/>
  <c r="B468" i="48" s="1"/>
  <c r="B469" i="48" a="1"/>
  <c r="B469" i="48" s="1"/>
  <c r="B470" i="48" a="1"/>
  <c r="B470" i="48" s="1"/>
  <c r="B471" i="48" a="1"/>
  <c r="B471" i="48" s="1"/>
  <c r="B472" i="48" a="1"/>
  <c r="B472" i="48" s="1"/>
  <c r="B473" i="48" a="1"/>
  <c r="B473" i="48" s="1"/>
  <c r="B474" i="48" a="1"/>
  <c r="B474" i="48" s="1"/>
  <c r="B475" i="48" a="1"/>
  <c r="B475" i="48" s="1"/>
  <c r="B476" i="48" a="1"/>
  <c r="B476" i="48" s="1"/>
  <c r="B477" i="48" a="1"/>
  <c r="B477" i="48" s="1"/>
  <c r="B478" i="48" a="1"/>
  <c r="B478" i="48" s="1"/>
  <c r="B479" i="48" a="1"/>
  <c r="B479" i="48" s="1"/>
  <c r="B480" i="48" a="1"/>
  <c r="B480" i="48" s="1"/>
  <c r="B481" i="48" a="1"/>
  <c r="B481" i="48" s="1"/>
  <c r="B482" i="48" a="1"/>
  <c r="B482" i="48" s="1"/>
  <c r="B483" i="48" a="1"/>
  <c r="B483" i="48" s="1"/>
  <c r="B484" i="48" a="1"/>
  <c r="B484" i="48" s="1"/>
  <c r="B485" i="48" a="1"/>
  <c r="B485" i="48" s="1"/>
  <c r="B486" i="48" a="1"/>
  <c r="B486" i="48" s="1"/>
  <c r="B487" i="48" a="1"/>
  <c r="B487" i="48" s="1"/>
  <c r="B488" i="48" a="1"/>
  <c r="B488" i="48" s="1"/>
  <c r="B489" i="48" a="1"/>
  <c r="B489" i="48" s="1"/>
  <c r="B490" i="48" a="1"/>
  <c r="B490" i="48" s="1"/>
  <c r="B491" i="48" a="1"/>
  <c r="B491" i="48" s="1"/>
  <c r="B492" i="48" a="1"/>
  <c r="B492" i="48" s="1"/>
  <c r="B493" i="48" a="1"/>
  <c r="B493" i="48" s="1"/>
  <c r="B494" i="48" a="1"/>
  <c r="B494" i="48" s="1"/>
  <c r="B495" i="48" a="1"/>
  <c r="B495" i="48" s="1"/>
  <c r="B496" i="48" a="1"/>
  <c r="B496" i="48" s="1"/>
  <c r="B497" i="48" a="1"/>
  <c r="B497" i="48" s="1"/>
  <c r="B498" i="48" a="1"/>
  <c r="B498" i="48" s="1"/>
  <c r="B499" i="48" a="1"/>
  <c r="B499" i="48" s="1"/>
  <c r="B500" i="48" a="1"/>
  <c r="B500" i="48" s="1"/>
  <c r="B501" i="48" a="1"/>
  <c r="B501" i="48" s="1"/>
  <c r="B502" i="48" a="1"/>
  <c r="B502" i="48" s="1"/>
  <c r="B503" i="48" a="1"/>
  <c r="B503" i="48" s="1"/>
  <c r="B504" i="48" a="1"/>
  <c r="B504" i="48" s="1"/>
  <c r="B505" i="48" a="1"/>
  <c r="B505" i="48" s="1"/>
  <c r="B506" i="48" a="1"/>
  <c r="B506" i="48" s="1"/>
  <c r="B507" i="48" a="1"/>
  <c r="B507" i="48" s="1"/>
  <c r="B508" i="48" a="1"/>
  <c r="B508" i="48" s="1"/>
  <c r="B509" i="48" a="1"/>
  <c r="B509" i="48" s="1"/>
  <c r="B510" i="48" a="1"/>
  <c r="B510" i="48" s="1"/>
  <c r="B511" i="48" a="1"/>
  <c r="B511" i="48" s="1"/>
  <c r="B512" i="48" a="1"/>
  <c r="B512" i="48" s="1"/>
  <c r="B513" i="48" a="1"/>
  <c r="B513" i="48" s="1"/>
  <c r="B514" i="48" a="1"/>
  <c r="B514" i="48" s="1"/>
  <c r="B515" i="48" a="1"/>
  <c r="B515" i="48" s="1"/>
  <c r="B516" i="48" a="1"/>
  <c r="B516" i="48" s="1"/>
  <c r="B517" i="48" a="1"/>
  <c r="B517" i="48" s="1"/>
  <c r="B518" i="48" a="1"/>
  <c r="B518" i="48" s="1"/>
  <c r="B519" i="48" a="1"/>
  <c r="B519" i="48" s="1"/>
  <c r="B520" i="48" a="1"/>
  <c r="B520" i="48" s="1"/>
  <c r="B521" i="48" a="1"/>
  <c r="B521" i="48" s="1"/>
  <c r="B522" i="48" a="1"/>
  <c r="B522" i="48" s="1"/>
  <c r="B523" i="48" a="1"/>
  <c r="B523" i="48" s="1"/>
  <c r="B524" i="48" a="1"/>
  <c r="B524" i="48" s="1"/>
  <c r="B525" i="48" a="1"/>
  <c r="B525" i="48" s="1"/>
  <c r="B526" i="48" a="1"/>
  <c r="B526" i="48" s="1"/>
  <c r="B527" i="48" a="1"/>
  <c r="B527" i="48" s="1"/>
  <c r="B528" i="48" a="1"/>
  <c r="B528" i="48" s="1"/>
  <c r="B529" i="48" a="1"/>
  <c r="B529" i="48" s="1"/>
  <c r="B530" i="48" a="1"/>
  <c r="B530" i="48" s="1"/>
  <c r="B531" i="48" a="1"/>
  <c r="B531" i="48" s="1"/>
  <c r="B532" i="48" a="1"/>
  <c r="B532" i="48" s="1"/>
  <c r="B533" i="48" a="1"/>
  <c r="B533" i="48" s="1"/>
  <c r="B534" i="48" a="1"/>
  <c r="B534" i="48" s="1"/>
  <c r="B535" i="48" a="1"/>
  <c r="B535" i="48" s="1"/>
  <c r="B536" i="48" a="1"/>
  <c r="B536" i="48" s="1"/>
  <c r="B537" i="48" a="1"/>
  <c r="B537" i="48" s="1"/>
  <c r="B538" i="48" a="1"/>
  <c r="B538" i="48" s="1"/>
  <c r="B539" i="48" a="1"/>
  <c r="B539" i="48" s="1"/>
  <c r="B540" i="48" a="1"/>
  <c r="B540" i="48" s="1"/>
  <c r="B541" i="48" a="1"/>
  <c r="B541" i="48" s="1"/>
  <c r="B542" i="48" a="1"/>
  <c r="B542" i="48" s="1"/>
  <c r="B543" i="48" a="1"/>
  <c r="B543" i="48" s="1"/>
  <c r="B544" i="48" a="1"/>
  <c r="B544" i="48" s="1"/>
  <c r="M100" i="3"/>
  <c r="O100" i="3"/>
  <c r="S100" i="3"/>
  <c r="U100" i="3" s="1"/>
  <c r="E90" i="15"/>
  <c r="E98" i="15"/>
  <c r="E97" i="15"/>
  <c r="E96" i="15"/>
  <c r="E95" i="15"/>
  <c r="E94" i="15"/>
  <c r="E93" i="15"/>
  <c r="E92" i="15"/>
  <c r="E91" i="15"/>
  <c r="M99" i="3"/>
  <c r="O99" i="3"/>
  <c r="S99" i="3"/>
  <c r="B57" i="15"/>
  <c r="C57" i="15" s="1" a="1"/>
  <c r="C57" i="15" s="1"/>
  <c r="B56" i="15"/>
  <c r="C56" i="15" s="1" a="1"/>
  <c r="C56" i="15" s="1"/>
  <c r="B55" i="15"/>
  <c r="C55" i="15" s="1" a="1"/>
  <c r="C55" i="15" s="1"/>
  <c r="B54" i="15"/>
  <c r="C54" i="15" s="1" a="1"/>
  <c r="C54" i="15" s="1"/>
  <c r="B53" i="15"/>
  <c r="C53" i="15" s="1" a="1"/>
  <c r="C53" i="15" s="1"/>
  <c r="B52" i="15"/>
  <c r="C52" i="15" s="1" a="1"/>
  <c r="C52" i="15" s="1"/>
  <c r="B51" i="15"/>
  <c r="B50" i="15"/>
  <c r="B36" i="15"/>
  <c r="B37" i="15"/>
  <c r="B38" i="15"/>
  <c r="B39" i="15"/>
  <c r="B40" i="15"/>
  <c r="B41" i="15"/>
  <c r="B42" i="15"/>
  <c r="B43" i="15"/>
  <c r="B44" i="15"/>
  <c r="B45" i="15"/>
  <c r="B46" i="15"/>
  <c r="B47" i="15"/>
  <c r="B48" i="15"/>
  <c r="B49" i="15"/>
  <c r="M98" i="3"/>
  <c r="O98" i="3"/>
  <c r="S98" i="3"/>
  <c r="M97" i="3"/>
  <c r="O97" i="3"/>
  <c r="S97" i="3"/>
  <c r="M93" i="3"/>
  <c r="M94" i="3"/>
  <c r="M95" i="3"/>
  <c r="M96" i="3"/>
  <c r="O93" i="3"/>
  <c r="O94" i="3"/>
  <c r="O95" i="3"/>
  <c r="O96" i="3"/>
  <c r="S93" i="3"/>
  <c r="U93" i="3" s="1"/>
  <c r="S94" i="3"/>
  <c r="U94" i="3" s="1"/>
  <c r="S95" i="3"/>
  <c r="U95" i="3" s="1"/>
  <c r="S96" i="3"/>
  <c r="U96" i="3" s="1"/>
  <c r="M92" i="3"/>
  <c r="O92" i="3"/>
  <c r="S92" i="3"/>
  <c r="M91" i="3"/>
  <c r="O91" i="3"/>
  <c r="S91" i="3"/>
  <c r="M81" i="3"/>
  <c r="M82" i="3"/>
  <c r="M83" i="3"/>
  <c r="M84" i="3"/>
  <c r="M85" i="3"/>
  <c r="M86" i="3"/>
  <c r="M87" i="3"/>
  <c r="M88" i="3"/>
  <c r="M89" i="3"/>
  <c r="M90" i="3"/>
  <c r="O81" i="3"/>
  <c r="O82" i="3"/>
  <c r="O83" i="3"/>
  <c r="O84" i="3"/>
  <c r="O85" i="3"/>
  <c r="O86" i="3"/>
  <c r="O87" i="3"/>
  <c r="O88" i="3"/>
  <c r="O89" i="3"/>
  <c r="O90" i="3"/>
  <c r="S81" i="3"/>
  <c r="S82" i="3"/>
  <c r="S83" i="3"/>
  <c r="U83" i="3" s="1"/>
  <c r="S84" i="3"/>
  <c r="U84" i="3" s="1"/>
  <c r="S85" i="3"/>
  <c r="U85" i="3" s="1"/>
  <c r="S86" i="3"/>
  <c r="S87" i="3"/>
  <c r="S88" i="3"/>
  <c r="U88" i="3" s="1"/>
  <c r="S89" i="3"/>
  <c r="S90" i="3"/>
  <c r="M80" i="3"/>
  <c r="O80" i="3"/>
  <c r="S80" i="3"/>
  <c r="M77" i="3"/>
  <c r="M78" i="3"/>
  <c r="M79" i="3"/>
  <c r="O77" i="3"/>
  <c r="O78" i="3"/>
  <c r="O79" i="3"/>
  <c r="S77" i="3"/>
  <c r="U77" i="3" s="1"/>
  <c r="S78" i="3"/>
  <c r="U78" i="3" s="1"/>
  <c r="S79" i="3"/>
  <c r="U79" i="3" s="1"/>
  <c r="M65" i="3"/>
  <c r="M66" i="3"/>
  <c r="M67" i="3"/>
  <c r="M68" i="3"/>
  <c r="M69" i="3"/>
  <c r="M70" i="3"/>
  <c r="M71" i="3"/>
  <c r="M72" i="3"/>
  <c r="M73" i="3"/>
  <c r="M74" i="3"/>
  <c r="M75" i="3"/>
  <c r="M76" i="3"/>
  <c r="O65" i="3"/>
  <c r="O66" i="3"/>
  <c r="O67" i="3"/>
  <c r="O68" i="3"/>
  <c r="O69" i="3"/>
  <c r="O70" i="3"/>
  <c r="O71" i="3"/>
  <c r="O72" i="3"/>
  <c r="O73" i="3"/>
  <c r="O74" i="3"/>
  <c r="O75" i="3"/>
  <c r="O76" i="3"/>
  <c r="S65" i="3"/>
  <c r="U65" i="3" s="1"/>
  <c r="S66" i="3"/>
  <c r="U66" i="3" s="1"/>
  <c r="S67" i="3"/>
  <c r="U67" i="3" s="1"/>
  <c r="S68" i="3"/>
  <c r="U68" i="3" s="1"/>
  <c r="S69" i="3"/>
  <c r="U69" i="3" s="1"/>
  <c r="S70" i="3"/>
  <c r="U70" i="3" s="1"/>
  <c r="S71" i="3"/>
  <c r="U71" i="3" s="1"/>
  <c r="S72" i="3"/>
  <c r="U72" i="3" s="1"/>
  <c r="S73" i="3"/>
  <c r="U73" i="3" s="1"/>
  <c r="S74" i="3"/>
  <c r="U74" i="3" s="1"/>
  <c r="S75" i="3"/>
  <c r="U75" i="3" s="1"/>
  <c r="S76" i="3"/>
  <c r="U76" i="3" s="1"/>
  <c r="M62" i="3"/>
  <c r="M63" i="3"/>
  <c r="M64" i="3"/>
  <c r="O62" i="3"/>
  <c r="O63" i="3"/>
  <c r="O64" i="3"/>
  <c r="S62" i="3"/>
  <c r="S63" i="3"/>
  <c r="U63" i="3" s="1"/>
  <c r="S64" i="3"/>
  <c r="U64" i="3" s="1"/>
  <c r="M57" i="3"/>
  <c r="M58" i="3"/>
  <c r="M59" i="3"/>
  <c r="M60" i="3"/>
  <c r="M61" i="3"/>
  <c r="O57" i="3"/>
  <c r="O58" i="3"/>
  <c r="O59" i="3"/>
  <c r="O60" i="3"/>
  <c r="O61" i="3"/>
  <c r="S57" i="3"/>
  <c r="S58" i="3"/>
  <c r="U58" i="3" s="1"/>
  <c r="S59" i="3"/>
  <c r="U59" i="3" s="1"/>
  <c r="S60" i="3"/>
  <c r="U60" i="3" s="1"/>
  <c r="S61" i="3"/>
  <c r="M34" i="3"/>
  <c r="M35" i="3"/>
  <c r="M36" i="3"/>
  <c r="M37" i="3"/>
  <c r="M38" i="3"/>
  <c r="M39" i="3"/>
  <c r="M40" i="3"/>
  <c r="M41" i="3"/>
  <c r="M42" i="3"/>
  <c r="M43" i="3"/>
  <c r="M44" i="3"/>
  <c r="M45" i="3"/>
  <c r="M46" i="3"/>
  <c r="M47" i="3"/>
  <c r="M48" i="3"/>
  <c r="M49" i="3"/>
  <c r="M50" i="3"/>
  <c r="M51" i="3"/>
  <c r="M52" i="3"/>
  <c r="M53" i="3"/>
  <c r="M54" i="3"/>
  <c r="M55" i="3"/>
  <c r="M56" i="3"/>
  <c r="O34" i="3"/>
  <c r="O35" i="3"/>
  <c r="O36" i="3"/>
  <c r="O37" i="3"/>
  <c r="O38" i="3"/>
  <c r="O39" i="3"/>
  <c r="O40" i="3"/>
  <c r="O41" i="3"/>
  <c r="O42" i="3"/>
  <c r="O43" i="3"/>
  <c r="O44" i="3"/>
  <c r="O45" i="3"/>
  <c r="O46" i="3"/>
  <c r="O47" i="3"/>
  <c r="O48" i="3"/>
  <c r="O49" i="3"/>
  <c r="O50" i="3"/>
  <c r="O51" i="3"/>
  <c r="O52" i="3"/>
  <c r="O53" i="3"/>
  <c r="O54" i="3"/>
  <c r="O55" i="3"/>
  <c r="O56" i="3"/>
  <c r="S34" i="3"/>
  <c r="S35" i="3"/>
  <c r="T35" i="3" s="1"/>
  <c r="S36" i="3"/>
  <c r="U36" i="3" s="1"/>
  <c r="S37" i="3"/>
  <c r="S38" i="3"/>
  <c r="U38" i="3" s="1"/>
  <c r="S39" i="3"/>
  <c r="S40" i="3"/>
  <c r="U40" i="3" s="1"/>
  <c r="S41" i="3"/>
  <c r="U41" i="3" s="1"/>
  <c r="S42" i="3"/>
  <c r="U42" i="3" s="1"/>
  <c r="S43" i="3"/>
  <c r="U43" i="3" s="1"/>
  <c r="S44" i="3"/>
  <c r="U44" i="3" s="1"/>
  <c r="S45" i="3"/>
  <c r="U45" i="3" s="1"/>
  <c r="S46" i="3"/>
  <c r="S47" i="3"/>
  <c r="S48" i="3"/>
  <c r="U48" i="3" s="1"/>
  <c r="S49" i="3"/>
  <c r="S50" i="3"/>
  <c r="S51" i="3"/>
  <c r="S52" i="3"/>
  <c r="U52" i="3" s="1"/>
  <c r="S53" i="3"/>
  <c r="U53" i="3" s="1"/>
  <c r="S54" i="3"/>
  <c r="S55" i="3"/>
  <c r="U55" i="3" s="1"/>
  <c r="S56" i="3"/>
  <c r="U56" i="3" s="1"/>
  <c r="O565" i="13"/>
  <c r="O566" i="13"/>
  <c r="O567" i="13"/>
  <c r="O568" i="13"/>
  <c r="M33" i="3"/>
  <c r="O33" i="3"/>
  <c r="S33" i="3"/>
  <c r="U33" i="3" s="1"/>
  <c r="T58" i="3" l="1"/>
  <c r="U99" i="3"/>
  <c r="U98" i="3"/>
  <c r="U81" i="3"/>
  <c r="U97" i="3"/>
  <c r="U82" i="3"/>
  <c r="U86" i="3"/>
  <c r="U87" i="3"/>
  <c r="U35" i="3"/>
  <c r="U92" i="3"/>
  <c r="U90" i="3"/>
  <c r="U47" i="3"/>
  <c r="U91" i="3"/>
  <c r="U89" i="3"/>
  <c r="U62" i="3"/>
  <c r="U51" i="3"/>
  <c r="U80" i="3"/>
  <c r="U39" i="3"/>
  <c r="U34" i="3"/>
  <c r="U50" i="3"/>
  <c r="U46" i="3"/>
  <c r="U49" i="3"/>
  <c r="U54" i="3"/>
  <c r="U37" i="3"/>
  <c r="U61" i="3"/>
  <c r="U57" i="3"/>
  <c r="T56" i="3"/>
  <c r="O644" i="13" l="1"/>
  <c r="O641" i="13"/>
  <c r="O643" i="13" l="1"/>
  <c r="O640" i="13"/>
  <c r="O642" i="13"/>
  <c r="E31" i="19" l="1"/>
  <c r="E30" i="19"/>
  <c r="K15" i="15"/>
  <c r="K14" i="15"/>
  <c r="E26" i="15" s="1"/>
  <c r="K13" i="15"/>
  <c r="K12" i="15"/>
  <c r="K11" i="15"/>
  <c r="K10" i="15"/>
  <c r="K9" i="15"/>
  <c r="E17" i="19"/>
  <c r="M9" i="15"/>
  <c r="L4" i="15"/>
  <c r="K5" i="15" s="1"/>
  <c r="E22" i="15" s="1"/>
  <c r="E10" i="15" l="1"/>
  <c r="S8" i="3"/>
  <c r="U8" i="3" s="1"/>
  <c r="S9" i="3"/>
  <c r="U9" i="3" s="1"/>
  <c r="S10" i="3"/>
  <c r="U10" i="3" s="1"/>
  <c r="S11" i="3"/>
  <c r="U11" i="3" s="1"/>
  <c r="S12" i="3"/>
  <c r="U12" i="3" s="1"/>
  <c r="S13" i="3"/>
  <c r="U13" i="3" s="1"/>
  <c r="S14" i="3"/>
  <c r="U14" i="3" s="1"/>
  <c r="S15" i="3"/>
  <c r="U15" i="3" s="1"/>
  <c r="S16" i="3"/>
  <c r="S17" i="3"/>
  <c r="U17" i="3" s="1"/>
  <c r="S18" i="3"/>
  <c r="U18" i="3" s="1"/>
  <c r="S19" i="3"/>
  <c r="U19" i="3" s="1"/>
  <c r="S20" i="3"/>
  <c r="U20" i="3" s="1"/>
  <c r="S21" i="3"/>
  <c r="U21" i="3" s="1"/>
  <c r="S22" i="3"/>
  <c r="U22" i="3" s="1"/>
  <c r="S23" i="3"/>
  <c r="U23" i="3" s="1"/>
  <c r="S24" i="3"/>
  <c r="U24" i="3" s="1"/>
  <c r="S25" i="3"/>
  <c r="U25" i="3" s="1"/>
  <c r="S26" i="3"/>
  <c r="U26" i="3" s="1"/>
  <c r="S27" i="3"/>
  <c r="U27" i="3" s="1"/>
  <c r="S28" i="3"/>
  <c r="U28" i="3" s="1"/>
  <c r="S29" i="3"/>
  <c r="U29" i="3" s="1"/>
  <c r="S30" i="3"/>
  <c r="U30" i="3" s="1"/>
  <c r="S31" i="3"/>
  <c r="U31" i="3" s="1"/>
  <c r="S32" i="3"/>
  <c r="U32" i="3" s="1"/>
  <c r="S7" i="3"/>
  <c r="U7" i="3" s="1"/>
  <c r="K4" i="28"/>
  <c r="L4" i="28" s="1"/>
  <c r="G4" i="28"/>
  <c r="H4" i="28" s="1"/>
  <c r="K3" i="28"/>
  <c r="L3" i="28" s="1"/>
  <c r="K2" i="28"/>
  <c r="L2" i="28" s="1"/>
  <c r="L1" i="28"/>
  <c r="A1" i="28"/>
  <c r="K12" i="26"/>
  <c r="I12" i="26"/>
  <c r="H12" i="26"/>
  <c r="G12" i="26"/>
  <c r="F12" i="26"/>
  <c r="K6" i="26"/>
  <c r="I6" i="26"/>
  <c r="H6" i="26"/>
  <c r="G6" i="26"/>
  <c r="F6" i="26"/>
  <c r="E6" i="26"/>
  <c r="K5" i="26"/>
  <c r="I5" i="26"/>
  <c r="H5" i="26"/>
  <c r="G5" i="26"/>
  <c r="F5" i="26"/>
  <c r="E5" i="26"/>
  <c r="D645" i="12"/>
  <c r="D644" i="12"/>
  <c r="D643" i="12"/>
  <c r="D642" i="12"/>
  <c r="D641" i="12"/>
  <c r="D640" i="12"/>
  <c r="D639" i="12"/>
  <c r="D638" i="12"/>
  <c r="D637" i="12"/>
  <c r="D636" i="12"/>
  <c r="D635" i="12"/>
  <c r="D634" i="12"/>
  <c r="D633" i="12"/>
  <c r="D632" i="12"/>
  <c r="D631" i="12"/>
  <c r="D630" i="12"/>
  <c r="D629" i="12"/>
  <c r="D628" i="12"/>
  <c r="D627" i="12"/>
  <c r="D626" i="12"/>
  <c r="D625" i="12"/>
  <c r="D624" i="12"/>
  <c r="D623" i="12"/>
  <c r="D622" i="12"/>
  <c r="D621" i="12"/>
  <c r="D620" i="12"/>
  <c r="D619" i="12"/>
  <c r="D618" i="12"/>
  <c r="D617" i="12"/>
  <c r="D616" i="12"/>
  <c r="D615" i="12"/>
  <c r="D614" i="12"/>
  <c r="D613" i="12"/>
  <c r="D612" i="12"/>
  <c r="D611" i="12"/>
  <c r="D610" i="12"/>
  <c r="D609" i="12"/>
  <c r="D608" i="12"/>
  <c r="D607" i="12"/>
  <c r="D606" i="12"/>
  <c r="D605" i="12"/>
  <c r="D604" i="12"/>
  <c r="D603" i="12"/>
  <c r="D602" i="12"/>
  <c r="D601" i="12"/>
  <c r="D600" i="12"/>
  <c r="D599" i="12"/>
  <c r="D598" i="12"/>
  <c r="D597" i="12"/>
  <c r="D596" i="12"/>
  <c r="D595" i="12"/>
  <c r="D594" i="12"/>
  <c r="D593" i="12"/>
  <c r="D592" i="12"/>
  <c r="D591" i="12"/>
  <c r="D590" i="12"/>
  <c r="D589" i="12"/>
  <c r="D588" i="12"/>
  <c r="D587" i="12"/>
  <c r="D586" i="12"/>
  <c r="D585" i="12"/>
  <c r="D584" i="12"/>
  <c r="D583" i="12"/>
  <c r="D582" i="12"/>
  <c r="D581" i="12"/>
  <c r="D580" i="12"/>
  <c r="D579" i="12"/>
  <c r="D578" i="12"/>
  <c r="D577" i="12"/>
  <c r="D576" i="12"/>
  <c r="D575" i="12"/>
  <c r="D574" i="12"/>
  <c r="D573" i="12"/>
  <c r="D572" i="12"/>
  <c r="D571" i="12"/>
  <c r="D570" i="12"/>
  <c r="D569" i="12"/>
  <c r="D568" i="12"/>
  <c r="D567" i="12"/>
  <c r="D566" i="12"/>
  <c r="D565" i="12"/>
  <c r="D564" i="12"/>
  <c r="D563" i="12"/>
  <c r="D562" i="12"/>
  <c r="D561" i="12"/>
  <c r="D560" i="12"/>
  <c r="D559" i="12"/>
  <c r="D558" i="12"/>
  <c r="D557" i="12"/>
  <c r="D556" i="12"/>
  <c r="D555" i="12"/>
  <c r="D554" i="12"/>
  <c r="D553" i="12"/>
  <c r="D552" i="12"/>
  <c r="D551" i="12"/>
  <c r="D550" i="12"/>
  <c r="D549" i="12"/>
  <c r="D548" i="12"/>
  <c r="D547" i="12"/>
  <c r="D546" i="12"/>
  <c r="D545" i="12"/>
  <c r="D544" i="12"/>
  <c r="D543" i="12"/>
  <c r="D542" i="12"/>
  <c r="D541" i="12"/>
  <c r="D540" i="12"/>
  <c r="D539" i="12"/>
  <c r="D538" i="12"/>
  <c r="D537" i="12"/>
  <c r="D536" i="12"/>
  <c r="D535" i="12"/>
  <c r="D534" i="12"/>
  <c r="D533" i="12"/>
  <c r="D532" i="12"/>
  <c r="D531" i="12"/>
  <c r="D530" i="12"/>
  <c r="D529" i="12"/>
  <c r="D528" i="12"/>
  <c r="D527" i="12"/>
  <c r="D526" i="12"/>
  <c r="D525" i="12"/>
  <c r="D524" i="12"/>
  <c r="D523" i="12"/>
  <c r="D522" i="12"/>
  <c r="D521" i="12"/>
  <c r="D520" i="12"/>
  <c r="D519" i="12"/>
  <c r="D518" i="12"/>
  <c r="D517" i="12"/>
  <c r="D516" i="12"/>
  <c r="D515" i="12"/>
  <c r="D514" i="12"/>
  <c r="D513" i="12"/>
  <c r="D512" i="12"/>
  <c r="D511" i="12"/>
  <c r="D510" i="12"/>
  <c r="D509" i="12"/>
  <c r="D508" i="12"/>
  <c r="D507" i="12"/>
  <c r="D506" i="12"/>
  <c r="D505" i="12"/>
  <c r="D504" i="12"/>
  <c r="D503" i="12"/>
  <c r="D502" i="12"/>
  <c r="D501" i="12"/>
  <c r="D500" i="12"/>
  <c r="D499" i="12"/>
  <c r="D498" i="12"/>
  <c r="D497" i="12"/>
  <c r="D496" i="12"/>
  <c r="D495" i="12"/>
  <c r="D494" i="12"/>
  <c r="D493" i="12"/>
  <c r="D492" i="12"/>
  <c r="D491" i="12"/>
  <c r="D490" i="12"/>
  <c r="D489" i="12"/>
  <c r="D488" i="12"/>
  <c r="D487" i="12"/>
  <c r="D486" i="12"/>
  <c r="D485" i="12"/>
  <c r="D484" i="12"/>
  <c r="D483" i="12"/>
  <c r="D482" i="12"/>
  <c r="D481" i="12"/>
  <c r="D480" i="12"/>
  <c r="D479" i="12"/>
  <c r="D478" i="12"/>
  <c r="D477" i="12"/>
  <c r="D476" i="12"/>
  <c r="D475" i="12"/>
  <c r="D474" i="12"/>
  <c r="D473" i="12"/>
  <c r="D472" i="12"/>
  <c r="D471" i="12"/>
  <c r="D470" i="12"/>
  <c r="D469" i="12"/>
  <c r="D468" i="12"/>
  <c r="D467" i="12"/>
  <c r="D466" i="12"/>
  <c r="D465" i="12"/>
  <c r="D464" i="12"/>
  <c r="D463" i="12"/>
  <c r="D462" i="12"/>
  <c r="D461" i="12"/>
  <c r="D460" i="12"/>
  <c r="D459" i="12"/>
  <c r="D458" i="12"/>
  <c r="D457" i="12"/>
  <c r="D456" i="12"/>
  <c r="D455" i="12"/>
  <c r="D454" i="12"/>
  <c r="D453" i="12"/>
  <c r="D452" i="12"/>
  <c r="D451" i="12"/>
  <c r="D450" i="12"/>
  <c r="D449" i="12"/>
  <c r="D448" i="12"/>
  <c r="D447" i="12"/>
  <c r="D446" i="12"/>
  <c r="D445" i="12"/>
  <c r="D444" i="12"/>
  <c r="D443" i="12"/>
  <c r="D442" i="12"/>
  <c r="D441" i="12"/>
  <c r="D440" i="12"/>
  <c r="D439" i="12"/>
  <c r="D438" i="12"/>
  <c r="D437" i="12"/>
  <c r="D436" i="12"/>
  <c r="D435" i="12"/>
  <c r="D434" i="12"/>
  <c r="D433" i="12"/>
  <c r="D432" i="12"/>
  <c r="D431" i="12"/>
  <c r="D430" i="12"/>
  <c r="D429" i="12"/>
  <c r="D428" i="12"/>
  <c r="D427" i="12"/>
  <c r="D426" i="12"/>
  <c r="D425" i="12"/>
  <c r="D424" i="12"/>
  <c r="D423" i="12"/>
  <c r="D422" i="12"/>
  <c r="D421" i="12"/>
  <c r="D420" i="12"/>
  <c r="D419" i="12"/>
  <c r="D418" i="12"/>
  <c r="D417" i="12"/>
  <c r="D416" i="12"/>
  <c r="D415" i="12"/>
  <c r="D414" i="12"/>
  <c r="D413" i="12"/>
  <c r="D412" i="12"/>
  <c r="D411" i="12"/>
  <c r="D410" i="12"/>
  <c r="D409" i="12"/>
  <c r="D408" i="12"/>
  <c r="D407" i="12"/>
  <c r="D406" i="12"/>
  <c r="D405" i="12"/>
  <c r="D404" i="12"/>
  <c r="D403" i="12"/>
  <c r="D402" i="12"/>
  <c r="D401" i="12"/>
  <c r="D400" i="12"/>
  <c r="D399" i="12"/>
  <c r="D398" i="12"/>
  <c r="D397" i="12"/>
  <c r="D396" i="12"/>
  <c r="D395" i="12"/>
  <c r="D394" i="12"/>
  <c r="D393" i="12"/>
  <c r="D392" i="12"/>
  <c r="D391" i="12"/>
  <c r="D390" i="12"/>
  <c r="D389" i="12"/>
  <c r="D388" i="12"/>
  <c r="D387" i="12"/>
  <c r="D386" i="12"/>
  <c r="D385" i="12"/>
  <c r="D384" i="12"/>
  <c r="D383" i="12"/>
  <c r="D382" i="12"/>
  <c r="D381" i="12"/>
  <c r="D380" i="12"/>
  <c r="D379" i="12"/>
  <c r="D378" i="12"/>
  <c r="D377" i="12"/>
  <c r="D376" i="12"/>
  <c r="D375" i="12"/>
  <c r="D374" i="12"/>
  <c r="D373" i="12"/>
  <c r="D372" i="12"/>
  <c r="D371" i="12"/>
  <c r="D370" i="12"/>
  <c r="D369" i="12"/>
  <c r="D368" i="12"/>
  <c r="D367" i="12"/>
  <c r="D366" i="12"/>
  <c r="D365" i="12"/>
  <c r="D364" i="12"/>
  <c r="D363" i="12"/>
  <c r="D362" i="12"/>
  <c r="D361" i="12"/>
  <c r="D360" i="12"/>
  <c r="D359" i="12"/>
  <c r="D358" i="12"/>
  <c r="D357" i="12"/>
  <c r="D356" i="12"/>
  <c r="D355" i="12"/>
  <c r="D354" i="12"/>
  <c r="D353" i="12"/>
  <c r="D352" i="12"/>
  <c r="D351" i="12"/>
  <c r="D350" i="12"/>
  <c r="D349" i="12"/>
  <c r="D348" i="12"/>
  <c r="D347" i="12"/>
  <c r="D346" i="12"/>
  <c r="D345" i="12"/>
  <c r="D344" i="12"/>
  <c r="D343" i="12"/>
  <c r="D342" i="12"/>
  <c r="D341" i="12"/>
  <c r="D340" i="12"/>
  <c r="D339" i="12"/>
  <c r="D338" i="12"/>
  <c r="D337" i="12"/>
  <c r="D336" i="12"/>
  <c r="D335" i="12"/>
  <c r="D334" i="12"/>
  <c r="D333" i="12"/>
  <c r="D332" i="12"/>
  <c r="D331" i="12"/>
  <c r="D330" i="12"/>
  <c r="D329" i="12"/>
  <c r="D328" i="12"/>
  <c r="D327" i="12"/>
  <c r="D326" i="12"/>
  <c r="D325" i="12"/>
  <c r="D324" i="12"/>
  <c r="D323" i="12"/>
  <c r="D322" i="12"/>
  <c r="D321" i="12"/>
  <c r="D320" i="12"/>
  <c r="D319" i="12"/>
  <c r="D318" i="12"/>
  <c r="D317" i="12"/>
  <c r="D316" i="12"/>
  <c r="D315" i="12"/>
  <c r="D314" i="12"/>
  <c r="D313" i="12"/>
  <c r="D312" i="12"/>
  <c r="D311" i="12"/>
  <c r="D310" i="12"/>
  <c r="D309" i="12"/>
  <c r="D308" i="12"/>
  <c r="D307" i="12"/>
  <c r="D306" i="12"/>
  <c r="D305" i="12"/>
  <c r="D304" i="12"/>
  <c r="D303" i="12"/>
  <c r="D302" i="12"/>
  <c r="D301" i="12"/>
  <c r="D300" i="12"/>
  <c r="D299" i="12"/>
  <c r="D298" i="12"/>
  <c r="D297" i="12"/>
  <c r="D296" i="12"/>
  <c r="D295" i="12"/>
  <c r="D294" i="12"/>
  <c r="D293" i="12"/>
  <c r="D292" i="12"/>
  <c r="D291" i="12"/>
  <c r="D290" i="12"/>
  <c r="D289" i="12"/>
  <c r="D288" i="12"/>
  <c r="D287" i="12"/>
  <c r="D286" i="12"/>
  <c r="D285" i="12"/>
  <c r="D284" i="12"/>
  <c r="D283" i="12"/>
  <c r="D282" i="12"/>
  <c r="D281" i="12"/>
  <c r="D280" i="12"/>
  <c r="D279" i="12"/>
  <c r="D278" i="12"/>
  <c r="D277" i="12"/>
  <c r="D276" i="12"/>
  <c r="D275" i="12"/>
  <c r="D274" i="12"/>
  <c r="D273" i="12"/>
  <c r="D272" i="12"/>
  <c r="D271" i="12"/>
  <c r="D270" i="12"/>
  <c r="D269" i="12"/>
  <c r="D268" i="12"/>
  <c r="D267" i="12"/>
  <c r="D266" i="12"/>
  <c r="D265" i="12"/>
  <c r="D264" i="12"/>
  <c r="D263" i="12"/>
  <c r="D262" i="12"/>
  <c r="D261" i="12"/>
  <c r="D260" i="12"/>
  <c r="D259" i="12"/>
  <c r="D258" i="12"/>
  <c r="D257" i="12"/>
  <c r="E256" i="12"/>
  <c r="D256" i="12"/>
  <c r="E255" i="12"/>
  <c r="D255" i="12"/>
  <c r="E254" i="12"/>
  <c r="D254" i="12"/>
  <c r="E253" i="12"/>
  <c r="D253" i="12"/>
  <c r="E252" i="12"/>
  <c r="D252" i="12"/>
  <c r="E251" i="12"/>
  <c r="D251" i="12"/>
  <c r="E250" i="12"/>
  <c r="D250" i="12"/>
  <c r="E249" i="12"/>
  <c r="D249" i="12"/>
  <c r="E248" i="12"/>
  <c r="D248" i="12"/>
  <c r="E247" i="12"/>
  <c r="D247" i="12"/>
  <c r="E246" i="12"/>
  <c r="D246" i="12"/>
  <c r="D245" i="12"/>
  <c r="D244" i="12"/>
  <c r="E243" i="12"/>
  <c r="D243" i="12"/>
  <c r="E242" i="12"/>
  <c r="D242" i="12"/>
  <c r="E241" i="12"/>
  <c r="D241" i="12"/>
  <c r="E240" i="12"/>
  <c r="D240" i="12"/>
  <c r="D239" i="12"/>
  <c r="D238" i="12"/>
  <c r="E237" i="12"/>
  <c r="D237" i="12"/>
  <c r="E236" i="12"/>
  <c r="D236" i="12"/>
  <c r="D235" i="12"/>
  <c r="D234" i="12"/>
  <c r="D233" i="12"/>
  <c r="D232" i="12"/>
  <c r="D231"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02" i="12"/>
  <c r="D201" i="12"/>
  <c r="D200" i="12"/>
  <c r="D199" i="12"/>
  <c r="D198" i="12"/>
  <c r="D197" i="12"/>
  <c r="D196" i="12"/>
  <c r="D195" i="12"/>
  <c r="D194" i="12"/>
  <c r="D193" i="12"/>
  <c r="D192" i="12"/>
  <c r="D191" i="12"/>
  <c r="D190" i="12"/>
  <c r="D189" i="12"/>
  <c r="D188" i="12"/>
  <c r="D187" i="12"/>
  <c r="D186" i="12"/>
  <c r="D185" i="12"/>
  <c r="D184" i="12"/>
  <c r="D183" i="12"/>
  <c r="D182" i="12"/>
  <c r="D181" i="12"/>
  <c r="D180" i="12"/>
  <c r="D179" i="12"/>
  <c r="D178" i="12"/>
  <c r="D177" i="12"/>
  <c r="D176" i="12"/>
  <c r="D175" i="12"/>
  <c r="D174" i="12"/>
  <c r="D173" i="12"/>
  <c r="D172" i="12"/>
  <c r="D171" i="12"/>
  <c r="D170" i="12"/>
  <c r="D169" i="12"/>
  <c r="D168" i="12"/>
  <c r="D167" i="12"/>
  <c r="D166" i="12"/>
  <c r="D165" i="12"/>
  <c r="D164" i="12"/>
  <c r="D163" i="12"/>
  <c r="D162" i="12"/>
  <c r="D161" i="12"/>
  <c r="D160" i="12"/>
  <c r="D159" i="12"/>
  <c r="D158" i="12"/>
  <c r="D157" i="12"/>
  <c r="D156" i="12"/>
  <c r="D155" i="12"/>
  <c r="D154" i="12"/>
  <c r="D153" i="12"/>
  <c r="D152" i="12"/>
  <c r="D151" i="12"/>
  <c r="D150" i="12"/>
  <c r="D149" i="12"/>
  <c r="D148" i="12"/>
  <c r="D147" i="12"/>
  <c r="D146" i="12"/>
  <c r="D145"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108" i="12"/>
  <c r="D107" i="12"/>
  <c r="D106" i="12"/>
  <c r="D105" i="12"/>
  <c r="D104" i="12"/>
  <c r="D103" i="12"/>
  <c r="D102" i="12"/>
  <c r="D101" i="12"/>
  <c r="D100" i="12"/>
  <c r="D99" i="12"/>
  <c r="D98" i="12"/>
  <c r="D97" i="12"/>
  <c r="D96" i="12"/>
  <c r="D95" i="12"/>
  <c r="D94" i="12"/>
  <c r="D93" i="12"/>
  <c r="D92" i="12"/>
  <c r="D91" i="12"/>
  <c r="D90" i="12"/>
  <c r="D89" i="12"/>
  <c r="D88" i="12"/>
  <c r="D87" i="12"/>
  <c r="D86" i="12"/>
  <c r="D85" i="12"/>
  <c r="D84" i="12"/>
  <c r="D83" i="12"/>
  <c r="D82" i="12"/>
  <c r="D81" i="12"/>
  <c r="D80" i="12"/>
  <c r="D79" i="12"/>
  <c r="D78" i="12"/>
  <c r="D77" i="12"/>
  <c r="D76" i="12"/>
  <c r="D75" i="12"/>
  <c r="D74" i="12"/>
  <c r="D73" i="12"/>
  <c r="D72" i="12"/>
  <c r="D71" i="12"/>
  <c r="D70" i="12"/>
  <c r="D69" i="12"/>
  <c r="D68" i="12"/>
  <c r="D67" i="12"/>
  <c r="D66" i="12"/>
  <c r="D65" i="12"/>
  <c r="D64" i="12"/>
  <c r="D63" i="12"/>
  <c r="D62" i="12"/>
  <c r="D61" i="12"/>
  <c r="D60" i="12"/>
  <c r="D59" i="12"/>
  <c r="D58" i="12"/>
  <c r="D57" i="12"/>
  <c r="D56" i="12"/>
  <c r="D55" i="12"/>
  <c r="D54" i="12"/>
  <c r="D53" i="12"/>
  <c r="D52" i="12"/>
  <c r="D51" i="12"/>
  <c r="D50" i="12"/>
  <c r="D49" i="12"/>
  <c r="D48" i="12"/>
  <c r="D47" i="12"/>
  <c r="D46" i="12"/>
  <c r="D45" i="12"/>
  <c r="D44" i="12"/>
  <c r="D43" i="12"/>
  <c r="D42" i="12"/>
  <c r="D41" i="12"/>
  <c r="D40" i="12"/>
  <c r="D39" i="12"/>
  <c r="D38" i="12"/>
  <c r="D37" i="12"/>
  <c r="D36" i="12"/>
  <c r="D35" i="12"/>
  <c r="D34" i="12"/>
  <c r="D33" i="12"/>
  <c r="D32" i="12"/>
  <c r="D31" i="12"/>
  <c r="D30" i="12"/>
  <c r="D29" i="12"/>
  <c r="D28" i="12"/>
  <c r="D27" i="12"/>
  <c r="D26" i="12"/>
  <c r="D25" i="12"/>
  <c r="D24" i="12"/>
  <c r="D23" i="12"/>
  <c r="D22" i="12"/>
  <c r="D21" i="12"/>
  <c r="D20" i="12"/>
  <c r="D19" i="12"/>
  <c r="D18" i="12"/>
  <c r="D17" i="12"/>
  <c r="D16" i="12"/>
  <c r="E12" i="12"/>
  <c r="B13" i="12" s="1"/>
  <c r="D10" i="12"/>
  <c r="C10" i="12"/>
  <c r="O10" i="12" s="1"/>
  <c r="C9" i="12"/>
  <c r="D9" i="12" s="1"/>
  <c r="B4" i="12"/>
  <c r="BW27" i="6"/>
  <c r="CN4" i="6" a="1"/>
  <c r="CN4" i="6" s="1"/>
  <c r="A1" i="6"/>
  <c r="J453" i="34"/>
  <c r="K453" i="34" s="1"/>
  <c r="J452" i="34"/>
  <c r="K452" i="34" s="1"/>
  <c r="K451" i="34"/>
  <c r="J451" i="34"/>
  <c r="J450" i="34"/>
  <c r="K450" i="34" s="1"/>
  <c r="L450" i="34" s="1"/>
  <c r="K449" i="34"/>
  <c r="J449" i="34"/>
  <c r="J448" i="34"/>
  <c r="K448" i="34" s="1"/>
  <c r="K447" i="34"/>
  <c r="M447" i="34" s="1"/>
  <c r="J447" i="34"/>
  <c r="J446" i="34"/>
  <c r="K446" i="34" s="1"/>
  <c r="L446" i="34" s="1"/>
  <c r="L445" i="34"/>
  <c r="K445" i="34"/>
  <c r="M445" i="34" s="1"/>
  <c r="J445" i="34"/>
  <c r="M444" i="34"/>
  <c r="J444" i="34"/>
  <c r="K444" i="34" s="1"/>
  <c r="L444" i="34" s="1"/>
  <c r="K443" i="34"/>
  <c r="J443" i="34"/>
  <c r="J442" i="34"/>
  <c r="K442" i="34" s="1"/>
  <c r="L442" i="34" s="1"/>
  <c r="K441" i="34"/>
  <c r="J441" i="34"/>
  <c r="J440" i="34"/>
  <c r="K440" i="34" s="1"/>
  <c r="K439" i="34"/>
  <c r="M439" i="34" s="1"/>
  <c r="J439" i="34"/>
  <c r="J438" i="34"/>
  <c r="K438" i="34" s="1"/>
  <c r="L438" i="34" s="1"/>
  <c r="L437" i="34"/>
  <c r="K437" i="34"/>
  <c r="M437" i="34" s="1"/>
  <c r="J437" i="34"/>
  <c r="M436" i="34"/>
  <c r="J436" i="34"/>
  <c r="K436" i="34" s="1"/>
  <c r="L436" i="34" s="1"/>
  <c r="K435" i="34"/>
  <c r="J435" i="34"/>
  <c r="J434" i="34"/>
  <c r="K434" i="34" s="1"/>
  <c r="L434" i="34" s="1"/>
  <c r="K433" i="34"/>
  <c r="J433" i="34"/>
  <c r="J432" i="34"/>
  <c r="K432" i="34" s="1"/>
  <c r="K431" i="34"/>
  <c r="M431" i="34" s="1"/>
  <c r="J431" i="34"/>
  <c r="J430" i="34"/>
  <c r="K430" i="34" s="1"/>
  <c r="L430" i="34" s="1"/>
  <c r="L429" i="34"/>
  <c r="K429" i="34"/>
  <c r="M429" i="34" s="1"/>
  <c r="J429" i="34"/>
  <c r="M428" i="34"/>
  <c r="J428" i="34"/>
  <c r="K428" i="34" s="1"/>
  <c r="L428" i="34" s="1"/>
  <c r="K427" i="34"/>
  <c r="J427" i="34"/>
  <c r="J426" i="34"/>
  <c r="K426" i="34" s="1"/>
  <c r="L426" i="34" s="1"/>
  <c r="K425" i="34"/>
  <c r="J425" i="34"/>
  <c r="J424" i="34"/>
  <c r="K424" i="34" s="1"/>
  <c r="K423" i="34"/>
  <c r="M423" i="34" s="1"/>
  <c r="J423" i="34"/>
  <c r="J422" i="34"/>
  <c r="K422" i="34" s="1"/>
  <c r="L422" i="34" s="1"/>
  <c r="L421" i="34"/>
  <c r="K421" i="34"/>
  <c r="M421" i="34" s="1"/>
  <c r="J421" i="34"/>
  <c r="M420" i="34"/>
  <c r="J420" i="34"/>
  <c r="K420" i="34" s="1"/>
  <c r="L420" i="34" s="1"/>
  <c r="K419" i="34"/>
  <c r="J419" i="34"/>
  <c r="J418" i="34"/>
  <c r="K418" i="34" s="1"/>
  <c r="L418" i="34" s="1"/>
  <c r="K417" i="34"/>
  <c r="J417" i="34"/>
  <c r="J416" i="34"/>
  <c r="K416" i="34" s="1"/>
  <c r="K415" i="34"/>
  <c r="M415" i="34" s="1"/>
  <c r="J415" i="34"/>
  <c r="J414" i="34"/>
  <c r="K414" i="34" s="1"/>
  <c r="L414" i="34" s="1"/>
  <c r="L413" i="34"/>
  <c r="K413" i="34"/>
  <c r="M413" i="34" s="1"/>
  <c r="J413" i="34"/>
  <c r="M412" i="34"/>
  <c r="J412" i="34"/>
  <c r="K412" i="34" s="1"/>
  <c r="L412" i="34" s="1"/>
  <c r="K411" i="34"/>
  <c r="J411" i="34"/>
  <c r="J410" i="34"/>
  <c r="K410" i="34" s="1"/>
  <c r="L410" i="34" s="1"/>
  <c r="K409" i="34"/>
  <c r="J409" i="34"/>
  <c r="J408" i="34"/>
  <c r="K408" i="34" s="1"/>
  <c r="K407" i="34"/>
  <c r="M407" i="34" s="1"/>
  <c r="J407" i="34"/>
  <c r="J406" i="34"/>
  <c r="K406" i="34" s="1"/>
  <c r="L406" i="34" s="1"/>
  <c r="L405" i="34"/>
  <c r="K405" i="34"/>
  <c r="M405" i="34" s="1"/>
  <c r="J405" i="34"/>
  <c r="M404" i="34"/>
  <c r="J404" i="34"/>
  <c r="K404" i="34" s="1"/>
  <c r="L404" i="34" s="1"/>
  <c r="K403" i="34"/>
  <c r="J403" i="34"/>
  <c r="J402" i="34"/>
  <c r="K402" i="34" s="1"/>
  <c r="L402" i="34" s="1"/>
  <c r="K401" i="34"/>
  <c r="J401" i="34"/>
  <c r="J400" i="34"/>
  <c r="K400" i="34" s="1"/>
  <c r="M400" i="34" s="1"/>
  <c r="L399" i="34"/>
  <c r="K399" i="34"/>
  <c r="M399" i="34" s="1"/>
  <c r="J399" i="34"/>
  <c r="M398" i="34"/>
  <c r="L398" i="34"/>
  <c r="J398" i="34"/>
  <c r="K398" i="34" s="1"/>
  <c r="L397" i="34"/>
  <c r="K397" i="34"/>
  <c r="M397" i="34" s="1"/>
  <c r="J397" i="34"/>
  <c r="M396" i="34"/>
  <c r="L396" i="34"/>
  <c r="J396" i="34"/>
  <c r="K396" i="34" s="1"/>
  <c r="J395" i="34"/>
  <c r="K395" i="34" s="1"/>
  <c r="J394" i="34"/>
  <c r="K394" i="34" s="1"/>
  <c r="J393" i="34"/>
  <c r="K393" i="34" s="1"/>
  <c r="K392" i="34"/>
  <c r="M392" i="34" s="1"/>
  <c r="J392" i="34"/>
  <c r="J391" i="34"/>
  <c r="K391" i="34" s="1"/>
  <c r="L391" i="34" s="1"/>
  <c r="L390" i="34"/>
  <c r="K390" i="34"/>
  <c r="M390" i="34" s="1"/>
  <c r="J390" i="34"/>
  <c r="M389" i="34"/>
  <c r="J389" i="34"/>
  <c r="K389" i="34" s="1"/>
  <c r="L389" i="34" s="1"/>
  <c r="L388" i="34"/>
  <c r="K388" i="34"/>
  <c r="M388" i="34" s="1"/>
  <c r="J388" i="34"/>
  <c r="M387" i="34"/>
  <c r="J387" i="34"/>
  <c r="K387" i="34" s="1"/>
  <c r="L387" i="34" s="1"/>
  <c r="K386" i="34"/>
  <c r="J386" i="34"/>
  <c r="J385" i="34"/>
  <c r="K385" i="34" s="1"/>
  <c r="K384" i="34"/>
  <c r="M384" i="34" s="1"/>
  <c r="J384" i="34"/>
  <c r="J383" i="34"/>
  <c r="K383" i="34" s="1"/>
  <c r="L383" i="34" s="1"/>
  <c r="L382" i="34"/>
  <c r="K382" i="34"/>
  <c r="M382" i="34" s="1"/>
  <c r="J382" i="34"/>
  <c r="M381" i="34"/>
  <c r="J381" i="34"/>
  <c r="K381" i="34" s="1"/>
  <c r="L381" i="34" s="1"/>
  <c r="L380" i="34"/>
  <c r="K380" i="34"/>
  <c r="M380" i="34" s="1"/>
  <c r="J380" i="34"/>
  <c r="J379" i="34"/>
  <c r="K379" i="34" s="1"/>
  <c r="K378" i="34"/>
  <c r="J378" i="34"/>
  <c r="J377" i="34"/>
  <c r="K377" i="34" s="1"/>
  <c r="K376" i="34"/>
  <c r="M376" i="34" s="1"/>
  <c r="J376" i="34"/>
  <c r="J375" i="34"/>
  <c r="K375" i="34" s="1"/>
  <c r="J374" i="34"/>
  <c r="K374" i="34" s="1"/>
  <c r="L373" i="34"/>
  <c r="J373" i="34"/>
  <c r="K373" i="34" s="1"/>
  <c r="M373" i="34" s="1"/>
  <c r="K372" i="34"/>
  <c r="J372" i="34"/>
  <c r="M371" i="34"/>
  <c r="L371" i="34"/>
  <c r="J371" i="34"/>
  <c r="K371" i="34" s="1"/>
  <c r="L370" i="34"/>
  <c r="J370" i="34"/>
  <c r="K370" i="34" s="1"/>
  <c r="M370" i="34" s="1"/>
  <c r="M369" i="34"/>
  <c r="J369" i="34"/>
  <c r="K369" i="34" s="1"/>
  <c r="L369" i="34" s="1"/>
  <c r="J368" i="34"/>
  <c r="K368" i="34" s="1"/>
  <c r="J367" i="34"/>
  <c r="K367" i="34" s="1"/>
  <c r="K366" i="34"/>
  <c r="J366" i="34"/>
  <c r="J365" i="34"/>
  <c r="K365" i="34" s="1"/>
  <c r="L364" i="34"/>
  <c r="K364" i="34"/>
  <c r="M364" i="34" s="1"/>
  <c r="J364" i="34"/>
  <c r="M363" i="34"/>
  <c r="L363" i="34"/>
  <c r="J363" i="34"/>
  <c r="K363" i="34" s="1"/>
  <c r="J362" i="34"/>
  <c r="K362" i="34" s="1"/>
  <c r="M362" i="34" s="1"/>
  <c r="M361" i="34"/>
  <c r="J361" i="34"/>
  <c r="K361" i="34" s="1"/>
  <c r="L361" i="34" s="1"/>
  <c r="J360" i="34"/>
  <c r="K360" i="34" s="1"/>
  <c r="J359" i="34"/>
  <c r="K359" i="34" s="1"/>
  <c r="J358" i="34"/>
  <c r="K358" i="34" s="1"/>
  <c r="L357" i="34"/>
  <c r="J357" i="34"/>
  <c r="K357" i="34" s="1"/>
  <c r="M357" i="34" s="1"/>
  <c r="K356" i="34"/>
  <c r="J356" i="34"/>
  <c r="M355" i="34"/>
  <c r="L355" i="34"/>
  <c r="J355" i="34"/>
  <c r="K355" i="34" s="1"/>
  <c r="L354" i="34"/>
  <c r="J354" i="34"/>
  <c r="K354" i="34" s="1"/>
  <c r="M354" i="34" s="1"/>
  <c r="M353" i="34"/>
  <c r="J353" i="34"/>
  <c r="K353" i="34" s="1"/>
  <c r="L353" i="34" s="1"/>
  <c r="J352" i="34"/>
  <c r="K352" i="34" s="1"/>
  <c r="K351" i="34"/>
  <c r="J351" i="34"/>
  <c r="J350" i="34"/>
  <c r="K350" i="34" s="1"/>
  <c r="L349" i="34"/>
  <c r="K349" i="34"/>
  <c r="M349" i="34" s="1"/>
  <c r="J349" i="34"/>
  <c r="M348" i="34"/>
  <c r="J348" i="34"/>
  <c r="K348" i="34" s="1"/>
  <c r="L348" i="34" s="1"/>
  <c r="L347" i="34"/>
  <c r="K347" i="34"/>
  <c r="M347" i="34" s="1"/>
  <c r="J347" i="34"/>
  <c r="M346" i="34"/>
  <c r="J346" i="34"/>
  <c r="K346" i="34" s="1"/>
  <c r="L346" i="34" s="1"/>
  <c r="L345" i="34"/>
  <c r="K345" i="34"/>
  <c r="M345" i="34" s="1"/>
  <c r="J345" i="34"/>
  <c r="M344" i="34"/>
  <c r="J344" i="34"/>
  <c r="K344" i="34" s="1"/>
  <c r="L344" i="34" s="1"/>
  <c r="K343" i="34"/>
  <c r="J343" i="34"/>
  <c r="J342" i="34"/>
  <c r="K342" i="34" s="1"/>
  <c r="L341" i="34"/>
  <c r="K341" i="34"/>
  <c r="M341" i="34" s="1"/>
  <c r="J341" i="34"/>
  <c r="M340" i="34"/>
  <c r="J340" i="34"/>
  <c r="K340" i="34" s="1"/>
  <c r="L340" i="34" s="1"/>
  <c r="L339" i="34"/>
  <c r="K339" i="34"/>
  <c r="M339" i="34" s="1"/>
  <c r="J339" i="34"/>
  <c r="M338" i="34"/>
  <c r="J338" i="34"/>
  <c r="K338" i="34" s="1"/>
  <c r="L338" i="34" s="1"/>
  <c r="K337" i="34"/>
  <c r="J337" i="34"/>
  <c r="J336" i="34"/>
  <c r="K336" i="34" s="1"/>
  <c r="L336" i="34" s="1"/>
  <c r="K335" i="34"/>
  <c r="J335" i="34"/>
  <c r="J334" i="34"/>
  <c r="K334" i="34" s="1"/>
  <c r="L333" i="34"/>
  <c r="K333" i="34"/>
  <c r="M333" i="34" s="1"/>
  <c r="J333" i="34"/>
  <c r="M332" i="34"/>
  <c r="J332" i="34"/>
  <c r="K332" i="34" s="1"/>
  <c r="L332" i="34" s="1"/>
  <c r="L331" i="34"/>
  <c r="K331" i="34"/>
  <c r="M331" i="34" s="1"/>
  <c r="J331" i="34"/>
  <c r="M330" i="34"/>
  <c r="J330" i="34"/>
  <c r="K330" i="34" s="1"/>
  <c r="L330" i="34" s="1"/>
  <c r="L329" i="34"/>
  <c r="K329" i="34"/>
  <c r="M329" i="34" s="1"/>
  <c r="J329" i="34"/>
  <c r="J328" i="34"/>
  <c r="K328" i="34" s="1"/>
  <c r="L328" i="34" s="1"/>
  <c r="K327" i="34"/>
  <c r="J327" i="34"/>
  <c r="J326" i="34"/>
  <c r="K326" i="34" s="1"/>
  <c r="L325" i="34"/>
  <c r="K325" i="34"/>
  <c r="M325" i="34" s="1"/>
  <c r="J325" i="34"/>
  <c r="M324" i="34"/>
  <c r="J324" i="34"/>
  <c r="K324" i="34" s="1"/>
  <c r="L324" i="34" s="1"/>
  <c r="L323" i="34"/>
  <c r="K323" i="34"/>
  <c r="M323" i="34" s="1"/>
  <c r="J323" i="34"/>
  <c r="M322" i="34"/>
  <c r="J322" i="34"/>
  <c r="K322" i="34" s="1"/>
  <c r="L322" i="34" s="1"/>
  <c r="K321" i="34"/>
  <c r="J321" i="34"/>
  <c r="J320" i="34"/>
  <c r="K320" i="34" s="1"/>
  <c r="L320" i="34" s="1"/>
  <c r="K319" i="34"/>
  <c r="J319" i="34"/>
  <c r="J318" i="34"/>
  <c r="K318" i="34" s="1"/>
  <c r="L317" i="34"/>
  <c r="K317" i="34"/>
  <c r="M317" i="34" s="1"/>
  <c r="J317" i="34"/>
  <c r="M316" i="34"/>
  <c r="J316" i="34"/>
  <c r="K316" i="34" s="1"/>
  <c r="L316" i="34" s="1"/>
  <c r="L315" i="34"/>
  <c r="K315" i="34"/>
  <c r="M315" i="34" s="1"/>
  <c r="J315" i="34"/>
  <c r="M314" i="34"/>
  <c r="J314" i="34"/>
  <c r="K314" i="34" s="1"/>
  <c r="L314" i="34" s="1"/>
  <c r="L313" i="34"/>
  <c r="K313" i="34"/>
  <c r="M313" i="34" s="1"/>
  <c r="J313" i="34"/>
  <c r="M312" i="34"/>
  <c r="L312" i="34"/>
  <c r="J312" i="34"/>
  <c r="K312" i="34" s="1"/>
  <c r="J311" i="34"/>
  <c r="K311" i="34" s="1"/>
  <c r="J310" i="34"/>
  <c r="K310" i="34" s="1"/>
  <c r="J309" i="34"/>
  <c r="K309" i="34" s="1"/>
  <c r="L308" i="34"/>
  <c r="J308" i="34"/>
  <c r="K308" i="34" s="1"/>
  <c r="M308" i="34" s="1"/>
  <c r="K307" i="34"/>
  <c r="J307" i="34"/>
  <c r="M306" i="34"/>
  <c r="L306" i="34"/>
  <c r="J306" i="34"/>
  <c r="K306" i="34" s="1"/>
  <c r="L305" i="34"/>
  <c r="K305" i="34"/>
  <c r="M305" i="34" s="1"/>
  <c r="J305" i="34"/>
  <c r="M304" i="34"/>
  <c r="L304" i="34"/>
  <c r="J304" i="34"/>
  <c r="K304" i="34" s="1"/>
  <c r="J303" i="34"/>
  <c r="K303" i="34" s="1"/>
  <c r="J302" i="34"/>
  <c r="K302" i="34" s="1"/>
  <c r="J301" i="34"/>
  <c r="K301" i="34" s="1"/>
  <c r="L300" i="34"/>
  <c r="J300" i="34"/>
  <c r="K300" i="34" s="1"/>
  <c r="M300" i="34" s="1"/>
  <c r="K299" i="34"/>
  <c r="J299" i="34"/>
  <c r="M298" i="34"/>
  <c r="L298" i="34"/>
  <c r="K298" i="34"/>
  <c r="J298" i="34"/>
  <c r="J297" i="34"/>
  <c r="K297" i="34" s="1"/>
  <c r="M296" i="34"/>
  <c r="L296" i="34"/>
  <c r="K296" i="34"/>
  <c r="J296" i="34"/>
  <c r="K295" i="34"/>
  <c r="J295" i="34"/>
  <c r="M294" i="34"/>
  <c r="L294" i="34"/>
  <c r="K294" i="34"/>
  <c r="J294" i="34"/>
  <c r="J293" i="34"/>
  <c r="K293" i="34" s="1"/>
  <c r="M292" i="34"/>
  <c r="L292" i="34"/>
  <c r="K292" i="34"/>
  <c r="J292" i="34"/>
  <c r="K291" i="34"/>
  <c r="J291" i="34"/>
  <c r="M290" i="34"/>
  <c r="L290" i="34"/>
  <c r="K290" i="34"/>
  <c r="J290" i="34"/>
  <c r="J289" i="34"/>
  <c r="K289" i="34" s="1"/>
  <c r="M288" i="34"/>
  <c r="L288" i="34"/>
  <c r="K288" i="34"/>
  <c r="J288" i="34"/>
  <c r="K287" i="34"/>
  <c r="J287" i="34"/>
  <c r="M286" i="34"/>
  <c r="L286" i="34"/>
  <c r="K286" i="34"/>
  <c r="J286" i="34"/>
  <c r="J285" i="34"/>
  <c r="K285" i="34" s="1"/>
  <c r="M284" i="34"/>
  <c r="L284" i="34"/>
  <c r="K284" i="34"/>
  <c r="J284" i="34"/>
  <c r="K283" i="34"/>
  <c r="J283" i="34"/>
  <c r="M282" i="34"/>
  <c r="L282" i="34"/>
  <c r="K282" i="34"/>
  <c r="J282" i="34"/>
  <c r="J281" i="34"/>
  <c r="K281" i="34" s="1"/>
  <c r="M280" i="34"/>
  <c r="L280" i="34"/>
  <c r="K280" i="34"/>
  <c r="J280" i="34"/>
  <c r="K279" i="34"/>
  <c r="J279" i="34"/>
  <c r="M278" i="34"/>
  <c r="L278" i="34"/>
  <c r="K278" i="34"/>
  <c r="J278" i="34"/>
  <c r="J277" i="34"/>
  <c r="K277" i="34" s="1"/>
  <c r="M276" i="34"/>
  <c r="L276" i="34"/>
  <c r="K276" i="34"/>
  <c r="J276" i="34"/>
  <c r="K275" i="34"/>
  <c r="J275" i="34"/>
  <c r="M274" i="34"/>
  <c r="L274" i="34"/>
  <c r="K274" i="34"/>
  <c r="J274" i="34"/>
  <c r="J273" i="34"/>
  <c r="K273" i="34" s="1"/>
  <c r="M272" i="34"/>
  <c r="L272" i="34"/>
  <c r="K272" i="34"/>
  <c r="J272" i="34"/>
  <c r="K271" i="34"/>
  <c r="J271" i="34"/>
  <c r="M270" i="34"/>
  <c r="L270" i="34"/>
  <c r="K270" i="34"/>
  <c r="J270" i="34"/>
  <c r="J269" i="34"/>
  <c r="K269" i="34" s="1"/>
  <c r="M268" i="34"/>
  <c r="L268" i="34"/>
  <c r="K268" i="34"/>
  <c r="J268" i="34"/>
  <c r="K267" i="34"/>
  <c r="J267" i="34"/>
  <c r="M266" i="34"/>
  <c r="L266" i="34"/>
  <c r="K266" i="34"/>
  <c r="J266" i="34"/>
  <c r="J265" i="34"/>
  <c r="K265" i="34" s="1"/>
  <c r="M264" i="34"/>
  <c r="L264" i="34"/>
  <c r="K264" i="34"/>
  <c r="J264" i="34"/>
  <c r="K263" i="34"/>
  <c r="J263" i="34"/>
  <c r="M262" i="34"/>
  <c r="L262" i="34"/>
  <c r="K262" i="34"/>
  <c r="J262" i="34"/>
  <c r="J261" i="34"/>
  <c r="K261" i="34" s="1"/>
  <c r="M260" i="34"/>
  <c r="L260" i="34"/>
  <c r="K260" i="34"/>
  <c r="J260" i="34"/>
  <c r="K259" i="34"/>
  <c r="J259" i="34"/>
  <c r="M258" i="34"/>
  <c r="L258" i="34"/>
  <c r="K258" i="34"/>
  <c r="J258" i="34"/>
  <c r="J257" i="34"/>
  <c r="K257" i="34" s="1"/>
  <c r="M256" i="34"/>
  <c r="L256" i="34"/>
  <c r="K256" i="34"/>
  <c r="J256" i="34"/>
  <c r="K255" i="34"/>
  <c r="J255" i="34"/>
  <c r="M254" i="34"/>
  <c r="L254" i="34"/>
  <c r="K254" i="34"/>
  <c r="J254" i="34"/>
  <c r="J253" i="34"/>
  <c r="K253" i="34" s="1"/>
  <c r="M252" i="34"/>
  <c r="L252" i="34"/>
  <c r="K252" i="34"/>
  <c r="J252" i="34"/>
  <c r="K251" i="34"/>
  <c r="J251" i="34"/>
  <c r="M250" i="34"/>
  <c r="L250" i="34"/>
  <c r="K250" i="34"/>
  <c r="J250" i="34"/>
  <c r="J249" i="34"/>
  <c r="K249" i="34" s="1"/>
  <c r="M248" i="34"/>
  <c r="L248" i="34"/>
  <c r="K248" i="34"/>
  <c r="J248" i="34"/>
  <c r="K247" i="34"/>
  <c r="J247" i="34"/>
  <c r="M246" i="34"/>
  <c r="L246" i="34"/>
  <c r="K246" i="34"/>
  <c r="J246" i="34"/>
  <c r="J245" i="34"/>
  <c r="K245" i="34" s="1"/>
  <c r="L244" i="34"/>
  <c r="K244" i="34"/>
  <c r="M244" i="34" s="1"/>
  <c r="J244" i="34"/>
  <c r="M243" i="34"/>
  <c r="K243" i="34"/>
  <c r="L243" i="34" s="1"/>
  <c r="J243" i="34"/>
  <c r="M242" i="34"/>
  <c r="L242" i="34"/>
  <c r="K242" i="34"/>
  <c r="J242" i="34"/>
  <c r="K241" i="34"/>
  <c r="J241" i="34"/>
  <c r="K240" i="34"/>
  <c r="M240" i="34" s="1"/>
  <c r="J240" i="34"/>
  <c r="M239" i="34"/>
  <c r="K239" i="34"/>
  <c r="L239" i="34" s="1"/>
  <c r="J239" i="34"/>
  <c r="M238" i="34"/>
  <c r="L238" i="34"/>
  <c r="K238" i="34"/>
  <c r="J238" i="34"/>
  <c r="K237" i="34"/>
  <c r="J237" i="34"/>
  <c r="K236" i="34"/>
  <c r="M236" i="34" s="1"/>
  <c r="J236" i="34"/>
  <c r="M235" i="34"/>
  <c r="K235" i="34"/>
  <c r="L235" i="34" s="1"/>
  <c r="J235" i="34"/>
  <c r="M234" i="34"/>
  <c r="L234" i="34"/>
  <c r="K234" i="34"/>
  <c r="J234" i="34"/>
  <c r="J233" i="34"/>
  <c r="K233" i="34" s="1"/>
  <c r="L232" i="34"/>
  <c r="K232" i="34"/>
  <c r="M232" i="34" s="1"/>
  <c r="J232" i="34"/>
  <c r="M231" i="34"/>
  <c r="K231" i="34"/>
  <c r="L231" i="34" s="1"/>
  <c r="J231" i="34"/>
  <c r="M230" i="34"/>
  <c r="L230" i="34"/>
  <c r="K230" i="34"/>
  <c r="J230" i="34"/>
  <c r="J229" i="34"/>
  <c r="K229" i="34" s="1"/>
  <c r="L228" i="34"/>
  <c r="K228" i="34"/>
  <c r="M228" i="34" s="1"/>
  <c r="J228" i="34"/>
  <c r="M227" i="34"/>
  <c r="K227" i="34"/>
  <c r="L227" i="34" s="1"/>
  <c r="J227" i="34"/>
  <c r="M226" i="34"/>
  <c r="L226" i="34"/>
  <c r="K226" i="34"/>
  <c r="J226" i="34"/>
  <c r="K225" i="34"/>
  <c r="J225" i="34"/>
  <c r="K224" i="34"/>
  <c r="M224" i="34" s="1"/>
  <c r="J224" i="34"/>
  <c r="M223" i="34"/>
  <c r="K223" i="34"/>
  <c r="L223" i="34" s="1"/>
  <c r="J223" i="34"/>
  <c r="M222" i="34"/>
  <c r="L222" i="34"/>
  <c r="K222" i="34"/>
  <c r="J222" i="34"/>
  <c r="K221" i="34"/>
  <c r="J221" i="34"/>
  <c r="K220" i="34"/>
  <c r="M220" i="34" s="1"/>
  <c r="J220" i="34"/>
  <c r="M219" i="34"/>
  <c r="K219" i="34"/>
  <c r="L219" i="34" s="1"/>
  <c r="J219" i="34"/>
  <c r="M218" i="34"/>
  <c r="L218" i="34"/>
  <c r="K218" i="34"/>
  <c r="J218" i="34"/>
  <c r="J217" i="34"/>
  <c r="K217" i="34" s="1"/>
  <c r="L216" i="34"/>
  <c r="K216" i="34"/>
  <c r="M216" i="34" s="1"/>
  <c r="J216" i="34"/>
  <c r="M215" i="34"/>
  <c r="K215" i="34"/>
  <c r="L215" i="34" s="1"/>
  <c r="J215" i="34"/>
  <c r="M214" i="34"/>
  <c r="L214" i="34"/>
  <c r="K214" i="34"/>
  <c r="J214" i="34"/>
  <c r="J213" i="34"/>
  <c r="K213" i="34" s="1"/>
  <c r="L212" i="34"/>
  <c r="K212" i="34"/>
  <c r="M212" i="34" s="1"/>
  <c r="J212" i="34"/>
  <c r="M211" i="34"/>
  <c r="K211" i="34"/>
  <c r="L211" i="34" s="1"/>
  <c r="J211" i="34"/>
  <c r="M210" i="34"/>
  <c r="L210" i="34"/>
  <c r="K210" i="34"/>
  <c r="J210" i="34"/>
  <c r="K209" i="34"/>
  <c r="J209" i="34"/>
  <c r="K208" i="34"/>
  <c r="M208" i="34" s="1"/>
  <c r="J208" i="34"/>
  <c r="M207" i="34"/>
  <c r="K207" i="34"/>
  <c r="L207" i="34" s="1"/>
  <c r="J207" i="34"/>
  <c r="M206" i="34"/>
  <c r="L206" i="34"/>
  <c r="K206" i="34"/>
  <c r="J206" i="34"/>
  <c r="K205" i="34"/>
  <c r="J205" i="34"/>
  <c r="K204" i="34"/>
  <c r="M204" i="34" s="1"/>
  <c r="J204" i="34"/>
  <c r="M203" i="34"/>
  <c r="K203" i="34"/>
  <c r="L203" i="34" s="1"/>
  <c r="J203" i="34"/>
  <c r="M202" i="34"/>
  <c r="L202" i="34"/>
  <c r="K202" i="34"/>
  <c r="J202" i="34"/>
  <c r="J201" i="34"/>
  <c r="K201" i="34" s="1"/>
  <c r="L200" i="34"/>
  <c r="K200" i="34"/>
  <c r="M200" i="34" s="1"/>
  <c r="J200" i="34"/>
  <c r="M199" i="34"/>
  <c r="K199" i="34"/>
  <c r="L199" i="34" s="1"/>
  <c r="J199" i="34"/>
  <c r="M198" i="34"/>
  <c r="L198" i="34"/>
  <c r="K198" i="34"/>
  <c r="J198" i="34"/>
  <c r="J197" i="34"/>
  <c r="K197" i="34" s="1"/>
  <c r="L196" i="34"/>
  <c r="K196" i="34"/>
  <c r="M196" i="34" s="1"/>
  <c r="J196" i="34"/>
  <c r="M195" i="34"/>
  <c r="K195" i="34"/>
  <c r="L195" i="34" s="1"/>
  <c r="J195" i="34"/>
  <c r="M194" i="34"/>
  <c r="L194" i="34"/>
  <c r="K194" i="34"/>
  <c r="J194" i="34"/>
  <c r="K193" i="34"/>
  <c r="J193" i="34"/>
  <c r="K192" i="34"/>
  <c r="M192" i="34" s="1"/>
  <c r="J192" i="34"/>
  <c r="M191" i="34"/>
  <c r="K191" i="34"/>
  <c r="L191" i="34" s="1"/>
  <c r="J191" i="34"/>
  <c r="M190" i="34"/>
  <c r="L190" i="34"/>
  <c r="K190" i="34"/>
  <c r="J190" i="34"/>
  <c r="K189" i="34"/>
  <c r="J189" i="34"/>
  <c r="K188" i="34"/>
  <c r="M188" i="34" s="1"/>
  <c r="J188" i="34"/>
  <c r="M187" i="34"/>
  <c r="K187" i="34"/>
  <c r="L187" i="34" s="1"/>
  <c r="J187" i="34"/>
  <c r="M186" i="34"/>
  <c r="L186" i="34"/>
  <c r="K186" i="34"/>
  <c r="J186" i="34"/>
  <c r="J185" i="34"/>
  <c r="K185" i="34" s="1"/>
  <c r="L184" i="34"/>
  <c r="K184" i="34"/>
  <c r="M184" i="34" s="1"/>
  <c r="J184" i="34"/>
  <c r="M183" i="34"/>
  <c r="K183" i="34"/>
  <c r="L183" i="34" s="1"/>
  <c r="J183" i="34"/>
  <c r="M182" i="34"/>
  <c r="L182" i="34"/>
  <c r="K182" i="34"/>
  <c r="J182" i="34"/>
  <c r="J181" i="34"/>
  <c r="K181" i="34" s="1"/>
  <c r="L180" i="34"/>
  <c r="K180" i="34"/>
  <c r="M180" i="34" s="1"/>
  <c r="J180" i="34"/>
  <c r="M179" i="34"/>
  <c r="K179" i="34"/>
  <c r="L179" i="34" s="1"/>
  <c r="J179" i="34"/>
  <c r="M178" i="34"/>
  <c r="L178" i="34"/>
  <c r="K178" i="34"/>
  <c r="J178" i="34"/>
  <c r="K177" i="34"/>
  <c r="J177" i="34"/>
  <c r="K176" i="34"/>
  <c r="M176" i="34" s="1"/>
  <c r="J176" i="34"/>
  <c r="M175" i="34"/>
  <c r="K175" i="34"/>
  <c r="L175" i="34" s="1"/>
  <c r="J175" i="34"/>
  <c r="M174" i="34"/>
  <c r="L174" i="34"/>
  <c r="K174" i="34"/>
  <c r="J174" i="34"/>
  <c r="K173" i="34"/>
  <c r="J173" i="34"/>
  <c r="K172" i="34"/>
  <c r="M172" i="34" s="1"/>
  <c r="J172" i="34"/>
  <c r="M171" i="34"/>
  <c r="K171" i="34"/>
  <c r="L171" i="34" s="1"/>
  <c r="J171" i="34"/>
  <c r="M170" i="34"/>
  <c r="L170" i="34"/>
  <c r="K170" i="34"/>
  <c r="J170" i="34"/>
  <c r="J169" i="34"/>
  <c r="K169" i="34" s="1"/>
  <c r="L168" i="34"/>
  <c r="K168" i="34"/>
  <c r="M168" i="34" s="1"/>
  <c r="J168" i="34"/>
  <c r="M167" i="34"/>
  <c r="J167" i="34"/>
  <c r="K167" i="34" s="1"/>
  <c r="L167" i="34" s="1"/>
  <c r="L166" i="34"/>
  <c r="K166" i="34"/>
  <c r="M166" i="34" s="1"/>
  <c r="J166" i="34"/>
  <c r="M165" i="34"/>
  <c r="J165" i="34"/>
  <c r="K165" i="34" s="1"/>
  <c r="L165" i="34" s="1"/>
  <c r="K164" i="34"/>
  <c r="M164" i="34" s="1"/>
  <c r="J164" i="34"/>
  <c r="J163" i="34"/>
  <c r="K163" i="34" s="1"/>
  <c r="L163" i="34" s="1"/>
  <c r="K162" i="34"/>
  <c r="M162" i="34" s="1"/>
  <c r="J162" i="34"/>
  <c r="J161" i="34"/>
  <c r="K161" i="34" s="1"/>
  <c r="L161" i="34" s="1"/>
  <c r="L160" i="34"/>
  <c r="K160" i="34"/>
  <c r="M160" i="34" s="1"/>
  <c r="J160" i="34"/>
  <c r="M159" i="34"/>
  <c r="J159" i="34"/>
  <c r="K159" i="34" s="1"/>
  <c r="L159" i="34" s="1"/>
  <c r="L158" i="34"/>
  <c r="K158" i="34"/>
  <c r="M158" i="34" s="1"/>
  <c r="J158" i="34"/>
  <c r="M157" i="34"/>
  <c r="J157" i="34"/>
  <c r="K157" i="34" s="1"/>
  <c r="L157" i="34" s="1"/>
  <c r="K156" i="34"/>
  <c r="M156" i="34" s="1"/>
  <c r="J156" i="34"/>
  <c r="J155" i="34"/>
  <c r="K155" i="34" s="1"/>
  <c r="L155" i="34" s="1"/>
  <c r="K154" i="34"/>
  <c r="M154" i="34" s="1"/>
  <c r="J154" i="34"/>
  <c r="J153" i="34"/>
  <c r="K153" i="34" s="1"/>
  <c r="L153" i="34" s="1"/>
  <c r="L152" i="34"/>
  <c r="K152" i="34"/>
  <c r="M152" i="34" s="1"/>
  <c r="J152" i="34"/>
  <c r="M151" i="34"/>
  <c r="J151" i="34"/>
  <c r="K151" i="34" s="1"/>
  <c r="L151" i="34" s="1"/>
  <c r="L150" i="34"/>
  <c r="K150" i="34"/>
  <c r="M150" i="34" s="1"/>
  <c r="J150" i="34"/>
  <c r="M149" i="34"/>
  <c r="J149" i="34"/>
  <c r="K149" i="34" s="1"/>
  <c r="L149" i="34" s="1"/>
  <c r="K148" i="34"/>
  <c r="M148" i="34" s="1"/>
  <c r="J148" i="34"/>
  <c r="J147" i="34"/>
  <c r="K147" i="34" s="1"/>
  <c r="L147" i="34" s="1"/>
  <c r="K146" i="34"/>
  <c r="M146" i="34" s="1"/>
  <c r="J146" i="34"/>
  <c r="J145" i="34"/>
  <c r="K145" i="34" s="1"/>
  <c r="L145" i="34" s="1"/>
  <c r="L144" i="34"/>
  <c r="K144" i="34"/>
  <c r="M144" i="34" s="1"/>
  <c r="J144" i="34"/>
  <c r="M143" i="34"/>
  <c r="J143" i="34"/>
  <c r="K143" i="34" s="1"/>
  <c r="L143" i="34" s="1"/>
  <c r="L142" i="34"/>
  <c r="K142" i="34"/>
  <c r="M142" i="34" s="1"/>
  <c r="J142" i="34"/>
  <c r="M141" i="34"/>
  <c r="J141" i="34"/>
  <c r="K141" i="34" s="1"/>
  <c r="L141" i="34" s="1"/>
  <c r="K140" i="34"/>
  <c r="M140" i="34" s="1"/>
  <c r="J140" i="34"/>
  <c r="J139" i="34"/>
  <c r="K139" i="34" s="1"/>
  <c r="L139" i="34" s="1"/>
  <c r="K138" i="34"/>
  <c r="M138" i="34" s="1"/>
  <c r="J138" i="34"/>
  <c r="J137" i="34"/>
  <c r="K137" i="34" s="1"/>
  <c r="L137" i="34" s="1"/>
  <c r="L136" i="34"/>
  <c r="K136" i="34"/>
  <c r="M136" i="34" s="1"/>
  <c r="J136" i="34"/>
  <c r="M135" i="34"/>
  <c r="J135" i="34"/>
  <c r="K135" i="34" s="1"/>
  <c r="L135" i="34" s="1"/>
  <c r="L134" i="34"/>
  <c r="K134" i="34"/>
  <c r="M134" i="34" s="1"/>
  <c r="J134" i="34"/>
  <c r="M133" i="34"/>
  <c r="J133" i="34"/>
  <c r="K133" i="34" s="1"/>
  <c r="L133" i="34" s="1"/>
  <c r="K132" i="34"/>
  <c r="M132" i="34" s="1"/>
  <c r="J132" i="34"/>
  <c r="J131" i="34"/>
  <c r="K131" i="34" s="1"/>
  <c r="L131" i="34" s="1"/>
  <c r="K130" i="34"/>
  <c r="M130" i="34" s="1"/>
  <c r="J130" i="34"/>
  <c r="J129" i="34"/>
  <c r="K129" i="34" s="1"/>
  <c r="L129" i="34" s="1"/>
  <c r="L128" i="34"/>
  <c r="K128" i="34"/>
  <c r="M128" i="34" s="1"/>
  <c r="J128" i="34"/>
  <c r="M127" i="34"/>
  <c r="J127" i="34"/>
  <c r="K127" i="34" s="1"/>
  <c r="L127" i="34" s="1"/>
  <c r="L126" i="34"/>
  <c r="K126" i="34"/>
  <c r="M126" i="34" s="1"/>
  <c r="J126" i="34"/>
  <c r="M125" i="34"/>
  <c r="J125" i="34"/>
  <c r="K125" i="34" s="1"/>
  <c r="L125" i="34" s="1"/>
  <c r="K124" i="34"/>
  <c r="M124" i="34" s="1"/>
  <c r="J124" i="34"/>
  <c r="J123" i="34"/>
  <c r="K123" i="34" s="1"/>
  <c r="L123" i="34" s="1"/>
  <c r="K122" i="34"/>
  <c r="M122" i="34" s="1"/>
  <c r="J122" i="34"/>
  <c r="J121" i="34"/>
  <c r="K121" i="34" s="1"/>
  <c r="L121" i="34" s="1"/>
  <c r="L120" i="34"/>
  <c r="K120" i="34"/>
  <c r="M120" i="34" s="1"/>
  <c r="J120" i="34"/>
  <c r="M119" i="34"/>
  <c r="J119" i="34"/>
  <c r="K119" i="34" s="1"/>
  <c r="L119" i="34" s="1"/>
  <c r="L118" i="34"/>
  <c r="K118" i="34"/>
  <c r="M118" i="34" s="1"/>
  <c r="J118" i="34"/>
  <c r="M117" i="34"/>
  <c r="J117" i="34"/>
  <c r="K117" i="34" s="1"/>
  <c r="L117" i="34" s="1"/>
  <c r="K116" i="34"/>
  <c r="M116" i="34" s="1"/>
  <c r="J116" i="34"/>
  <c r="J115" i="34"/>
  <c r="K115" i="34" s="1"/>
  <c r="L115" i="34" s="1"/>
  <c r="K114" i="34"/>
  <c r="M114" i="34" s="1"/>
  <c r="J114" i="34"/>
  <c r="J113" i="34"/>
  <c r="K113" i="34" s="1"/>
  <c r="L113" i="34" s="1"/>
  <c r="L112" i="34"/>
  <c r="K112" i="34"/>
  <c r="M112" i="34" s="1"/>
  <c r="J112" i="34"/>
  <c r="M111" i="34"/>
  <c r="J111" i="34"/>
  <c r="K111" i="34" s="1"/>
  <c r="L111" i="34" s="1"/>
  <c r="L110" i="34"/>
  <c r="K110" i="34"/>
  <c r="M110" i="34" s="1"/>
  <c r="J110" i="34"/>
  <c r="M109" i="34"/>
  <c r="J109" i="34"/>
  <c r="K109" i="34" s="1"/>
  <c r="L109" i="34" s="1"/>
  <c r="K108" i="34"/>
  <c r="M108" i="34" s="1"/>
  <c r="J108" i="34"/>
  <c r="J107" i="34"/>
  <c r="K107" i="34" s="1"/>
  <c r="L107" i="34" s="1"/>
  <c r="K106" i="34"/>
  <c r="M106" i="34" s="1"/>
  <c r="J106" i="34"/>
  <c r="J105" i="34"/>
  <c r="K105" i="34" s="1"/>
  <c r="L105" i="34" s="1"/>
  <c r="L104" i="34"/>
  <c r="K104" i="34"/>
  <c r="M104" i="34" s="1"/>
  <c r="J104" i="34"/>
  <c r="M103" i="34"/>
  <c r="J103" i="34"/>
  <c r="K103" i="34" s="1"/>
  <c r="L103" i="34" s="1"/>
  <c r="L102" i="34"/>
  <c r="K102" i="34"/>
  <c r="M102" i="34" s="1"/>
  <c r="J102" i="34"/>
  <c r="M101" i="34"/>
  <c r="J101" i="34"/>
  <c r="K101" i="34" s="1"/>
  <c r="L101" i="34" s="1"/>
  <c r="K100" i="34"/>
  <c r="M100" i="34" s="1"/>
  <c r="J100" i="34"/>
  <c r="J99" i="34"/>
  <c r="K99" i="34" s="1"/>
  <c r="L99" i="34" s="1"/>
  <c r="K98" i="34"/>
  <c r="M98" i="34" s="1"/>
  <c r="J98" i="34"/>
  <c r="J97" i="34"/>
  <c r="K97" i="34" s="1"/>
  <c r="L97" i="34" s="1"/>
  <c r="L96" i="34"/>
  <c r="K96" i="34"/>
  <c r="M96" i="34" s="1"/>
  <c r="J96" i="34"/>
  <c r="M95" i="34"/>
  <c r="J95" i="34"/>
  <c r="K95" i="34" s="1"/>
  <c r="L95" i="34" s="1"/>
  <c r="L94" i="34"/>
  <c r="K94" i="34"/>
  <c r="M94" i="34" s="1"/>
  <c r="J94" i="34"/>
  <c r="M93" i="34"/>
  <c r="J93" i="34"/>
  <c r="K93" i="34" s="1"/>
  <c r="L93" i="34" s="1"/>
  <c r="K92" i="34"/>
  <c r="M92" i="34" s="1"/>
  <c r="J92" i="34"/>
  <c r="J91" i="34"/>
  <c r="K91" i="34" s="1"/>
  <c r="L91" i="34" s="1"/>
  <c r="K90" i="34"/>
  <c r="M90" i="34" s="1"/>
  <c r="J90" i="34"/>
  <c r="J89" i="34"/>
  <c r="K89" i="34" s="1"/>
  <c r="L89" i="34" s="1"/>
  <c r="L88" i="34"/>
  <c r="K88" i="34"/>
  <c r="M88" i="34" s="1"/>
  <c r="J88" i="34"/>
  <c r="M87" i="34"/>
  <c r="J87" i="34"/>
  <c r="K87" i="34" s="1"/>
  <c r="L87" i="34" s="1"/>
  <c r="L86" i="34"/>
  <c r="K86" i="34"/>
  <c r="M86" i="34" s="1"/>
  <c r="J86" i="34"/>
  <c r="M85" i="34"/>
  <c r="J85" i="34"/>
  <c r="K85" i="34" s="1"/>
  <c r="L85" i="34" s="1"/>
  <c r="K84" i="34"/>
  <c r="M84" i="34" s="1"/>
  <c r="J84" i="34"/>
  <c r="J83" i="34"/>
  <c r="K83" i="34" s="1"/>
  <c r="L83" i="34" s="1"/>
  <c r="K82" i="34"/>
  <c r="M82" i="34" s="1"/>
  <c r="J82" i="34"/>
  <c r="J81" i="34"/>
  <c r="K81" i="34" s="1"/>
  <c r="L81" i="34" s="1"/>
  <c r="L80" i="34"/>
  <c r="K80" i="34"/>
  <c r="M80" i="34" s="1"/>
  <c r="J80" i="34"/>
  <c r="M79" i="34"/>
  <c r="J79" i="34"/>
  <c r="K79" i="34" s="1"/>
  <c r="L79" i="34" s="1"/>
  <c r="L78" i="34"/>
  <c r="K78" i="34"/>
  <c r="M78" i="34" s="1"/>
  <c r="J78" i="34"/>
  <c r="M77" i="34"/>
  <c r="J77" i="34"/>
  <c r="K77" i="34" s="1"/>
  <c r="L77" i="34" s="1"/>
  <c r="K76" i="34"/>
  <c r="M76" i="34" s="1"/>
  <c r="J76" i="34"/>
  <c r="J75" i="34"/>
  <c r="K75" i="34" s="1"/>
  <c r="L75" i="34" s="1"/>
  <c r="K74" i="34"/>
  <c r="M74" i="34" s="1"/>
  <c r="J74" i="34"/>
  <c r="J73" i="34"/>
  <c r="K73" i="34" s="1"/>
  <c r="L73" i="34" s="1"/>
  <c r="L72" i="34"/>
  <c r="K72" i="34"/>
  <c r="M72" i="34" s="1"/>
  <c r="J72" i="34"/>
  <c r="M71" i="34"/>
  <c r="J71" i="34"/>
  <c r="K71" i="34" s="1"/>
  <c r="L71" i="34" s="1"/>
  <c r="L70" i="34"/>
  <c r="K70" i="34"/>
  <c r="M70" i="34" s="1"/>
  <c r="J70" i="34"/>
  <c r="M69" i="34"/>
  <c r="J69" i="34"/>
  <c r="K69" i="34" s="1"/>
  <c r="L69" i="34" s="1"/>
  <c r="K68" i="34"/>
  <c r="M68" i="34" s="1"/>
  <c r="J68" i="34"/>
  <c r="J67" i="34"/>
  <c r="K67" i="34" s="1"/>
  <c r="L67" i="34" s="1"/>
  <c r="K66" i="34"/>
  <c r="M66" i="34" s="1"/>
  <c r="J66" i="34"/>
  <c r="J65" i="34"/>
  <c r="K65" i="34" s="1"/>
  <c r="L65" i="34" s="1"/>
  <c r="L64" i="34"/>
  <c r="K64" i="34"/>
  <c r="M64" i="34" s="1"/>
  <c r="J64" i="34"/>
  <c r="M63" i="34"/>
  <c r="J63" i="34"/>
  <c r="K63" i="34" s="1"/>
  <c r="L63" i="34" s="1"/>
  <c r="J62" i="34"/>
  <c r="K62" i="34" s="1"/>
  <c r="J61" i="34"/>
  <c r="K61" i="34" s="1"/>
  <c r="M61" i="34" s="1"/>
  <c r="J60" i="34"/>
  <c r="K60" i="34" s="1"/>
  <c r="J59" i="34"/>
  <c r="K59" i="34" s="1"/>
  <c r="M59" i="34" s="1"/>
  <c r="K58" i="34"/>
  <c r="M58" i="34" s="1"/>
  <c r="J58" i="34"/>
  <c r="M57" i="34"/>
  <c r="L57" i="34"/>
  <c r="J57" i="34"/>
  <c r="K57" i="34" s="1"/>
  <c r="L56" i="34"/>
  <c r="K56" i="34"/>
  <c r="M56" i="34" s="1"/>
  <c r="J56" i="34"/>
  <c r="M55" i="34"/>
  <c r="L55" i="34"/>
  <c r="J55" i="34"/>
  <c r="K55" i="34" s="1"/>
  <c r="J54" i="34"/>
  <c r="K54" i="34" s="1"/>
  <c r="J53" i="34"/>
  <c r="K53" i="34" s="1"/>
  <c r="M53" i="34" s="1"/>
  <c r="J52" i="34"/>
  <c r="K52" i="34" s="1"/>
  <c r="J51" i="34"/>
  <c r="K51" i="34" s="1"/>
  <c r="M51" i="34" s="1"/>
  <c r="K50" i="34"/>
  <c r="M50" i="34" s="1"/>
  <c r="J50" i="34"/>
  <c r="M49" i="34"/>
  <c r="L49" i="34"/>
  <c r="J49" i="34"/>
  <c r="K49" i="34" s="1"/>
  <c r="L48" i="34"/>
  <c r="K48" i="34"/>
  <c r="M48" i="34" s="1"/>
  <c r="J48" i="34"/>
  <c r="M47" i="34"/>
  <c r="L47" i="34"/>
  <c r="J47" i="34"/>
  <c r="K47" i="34" s="1"/>
  <c r="J46" i="34"/>
  <c r="K46" i="34" s="1"/>
  <c r="J45" i="34"/>
  <c r="K45" i="34" s="1"/>
  <c r="M45" i="34" s="1"/>
  <c r="J44" i="34"/>
  <c r="K44" i="34" s="1"/>
  <c r="J43" i="34"/>
  <c r="K43" i="34" s="1"/>
  <c r="M43" i="34" s="1"/>
  <c r="K42" i="34"/>
  <c r="M42" i="34" s="1"/>
  <c r="J42" i="34"/>
  <c r="M41" i="34"/>
  <c r="L41" i="34"/>
  <c r="J41" i="34"/>
  <c r="K41" i="34" s="1"/>
  <c r="L40" i="34"/>
  <c r="K40" i="34"/>
  <c r="M40" i="34" s="1"/>
  <c r="J40" i="34"/>
  <c r="M39" i="34"/>
  <c r="L39" i="34"/>
  <c r="J39" i="34"/>
  <c r="K39" i="34" s="1"/>
  <c r="J38" i="34"/>
  <c r="K38" i="34" s="1"/>
  <c r="J37" i="34"/>
  <c r="K37" i="34" s="1"/>
  <c r="M37" i="34" s="1"/>
  <c r="J36" i="34"/>
  <c r="K36" i="34" s="1"/>
  <c r="J35" i="34"/>
  <c r="K35" i="34" s="1"/>
  <c r="M35" i="34" s="1"/>
  <c r="K34" i="34"/>
  <c r="M34" i="34" s="1"/>
  <c r="J34" i="34"/>
  <c r="M33" i="34"/>
  <c r="L33" i="34"/>
  <c r="J33" i="34"/>
  <c r="K33" i="34" s="1"/>
  <c r="L32" i="34"/>
  <c r="K32" i="34"/>
  <c r="M32" i="34" s="1"/>
  <c r="J32" i="34"/>
  <c r="M31" i="34"/>
  <c r="L31" i="34"/>
  <c r="J31" i="34"/>
  <c r="K31" i="34" s="1"/>
  <c r="J30" i="34"/>
  <c r="K30" i="34" s="1"/>
  <c r="J29" i="34"/>
  <c r="K29" i="34" s="1"/>
  <c r="M29" i="34" s="1"/>
  <c r="J28" i="34"/>
  <c r="K28" i="34" s="1"/>
  <c r="J27" i="34"/>
  <c r="K27" i="34" s="1"/>
  <c r="M27" i="34" s="1"/>
  <c r="K26" i="34"/>
  <c r="M26" i="34" s="1"/>
  <c r="J26" i="34"/>
  <c r="M25" i="34"/>
  <c r="L25" i="34"/>
  <c r="J25" i="34"/>
  <c r="K25" i="34" s="1"/>
  <c r="L24" i="34"/>
  <c r="K24" i="34"/>
  <c r="M24" i="34" s="1"/>
  <c r="J24" i="34"/>
  <c r="M23" i="34"/>
  <c r="L23" i="34"/>
  <c r="J23" i="34"/>
  <c r="K23" i="34" s="1"/>
  <c r="J22" i="34"/>
  <c r="K22" i="34" s="1"/>
  <c r="J21" i="34"/>
  <c r="K21" i="34" s="1"/>
  <c r="M21" i="34" s="1"/>
  <c r="J20" i="34"/>
  <c r="K20" i="34" s="1"/>
  <c r="J19" i="34"/>
  <c r="K19" i="34" s="1"/>
  <c r="M19" i="34" s="1"/>
  <c r="K18" i="34"/>
  <c r="M18" i="34" s="1"/>
  <c r="J18" i="34"/>
  <c r="M17" i="34"/>
  <c r="L17" i="34"/>
  <c r="J17" i="34"/>
  <c r="K17" i="34" s="1"/>
  <c r="L16" i="34"/>
  <c r="K16" i="34"/>
  <c r="M16" i="34" s="1"/>
  <c r="J16" i="34"/>
  <c r="M15" i="34"/>
  <c r="L15" i="34"/>
  <c r="J15" i="34"/>
  <c r="K15" i="34" s="1"/>
  <c r="J14" i="34"/>
  <c r="K14" i="34" s="1"/>
  <c r="J13" i="34"/>
  <c r="K13" i="34" s="1"/>
  <c r="M13" i="34" s="1"/>
  <c r="J12" i="34"/>
  <c r="K12" i="34" s="1"/>
  <c r="J11" i="34"/>
  <c r="K11" i="34" s="1"/>
  <c r="M11" i="34" s="1"/>
  <c r="K10" i="34"/>
  <c r="M10" i="34" s="1"/>
  <c r="J10" i="34"/>
  <c r="M9" i="34"/>
  <c r="L9" i="34"/>
  <c r="J9" i="34"/>
  <c r="K9" i="34" s="1"/>
  <c r="L8" i="34"/>
  <c r="K8" i="34"/>
  <c r="M8" i="34" s="1"/>
  <c r="J8" i="34"/>
  <c r="M7" i="34"/>
  <c r="L7" i="34"/>
  <c r="J7" i="34"/>
  <c r="K7" i="34" s="1"/>
  <c r="J6" i="34"/>
  <c r="K6" i="34" s="1"/>
  <c r="J5" i="34"/>
  <c r="K5" i="34" s="1"/>
  <c r="M5" i="34" s="1"/>
  <c r="J4" i="34"/>
  <c r="K4" i="34" s="1"/>
  <c r="H14" i="39"/>
  <c r="D12" i="39"/>
  <c r="C12" i="39"/>
  <c r="C17" i="39" s="1"/>
  <c r="D11" i="39"/>
  <c r="E6" i="39"/>
  <c r="C16" i="39" s="1"/>
  <c r="M12" i="40"/>
  <c r="M9" i="40"/>
  <c r="M8" i="40"/>
  <c r="M7" i="40" s="1"/>
  <c r="H9" i="40" s="1"/>
  <c r="H8" i="40"/>
  <c r="D8" i="40"/>
  <c r="H5" i="40"/>
  <c r="D5" i="40"/>
  <c r="N3" i="40"/>
  <c r="M4" i="40" s="1"/>
  <c r="G3" i="40"/>
  <c r="Q40" i="20"/>
  <c r="Q39" i="20"/>
  <c r="Q38" i="20"/>
  <c r="Q37" i="20"/>
  <c r="Q36" i="20"/>
  <c r="Q35" i="20"/>
  <c r="Q34" i="20"/>
  <c r="Q33" i="20"/>
  <c r="Q32" i="20"/>
  <c r="Q31" i="20"/>
  <c r="Q30" i="20"/>
  <c r="Q29" i="20"/>
  <c r="Q28" i="20"/>
  <c r="Q27" i="20"/>
  <c r="Q26" i="20"/>
  <c r="Q25" i="20"/>
  <c r="Q24" i="20"/>
  <c r="Q23" i="20"/>
  <c r="Q22" i="20"/>
  <c r="Q21" i="20"/>
  <c r="Q20" i="20"/>
  <c r="Q19" i="20"/>
  <c r="Q18" i="20"/>
  <c r="Q17" i="20"/>
  <c r="Q16" i="20"/>
  <c r="Q15" i="20"/>
  <c r="Q14" i="20"/>
  <c r="Q13" i="20"/>
  <c r="Q12" i="20"/>
  <c r="Q11" i="20"/>
  <c r="Q10" i="20"/>
  <c r="Q9" i="20"/>
  <c r="Q8" i="20"/>
  <c r="Q7" i="20"/>
  <c r="Q6" i="20"/>
  <c r="R5" i="20"/>
  <c r="R6" i="20" s="1"/>
  <c r="R7" i="20" s="1"/>
  <c r="R8" i="20" s="1"/>
  <c r="R9" i="20" s="1"/>
  <c r="R10" i="20" s="1"/>
  <c r="R11" i="20" s="1"/>
  <c r="R12" i="20" s="1"/>
  <c r="R13" i="20" s="1"/>
  <c r="R14" i="20" s="1"/>
  <c r="R15" i="20" s="1"/>
  <c r="R16" i="20" s="1"/>
  <c r="R17" i="20" s="1"/>
  <c r="R18" i="20" s="1"/>
  <c r="R19" i="20" s="1"/>
  <c r="R20" i="20" s="1"/>
  <c r="R21" i="20" s="1"/>
  <c r="R22" i="20" s="1"/>
  <c r="R23" i="20" s="1"/>
  <c r="R24" i="20" s="1"/>
  <c r="R25" i="20" s="1"/>
  <c r="R26" i="20" s="1"/>
  <c r="R27" i="20" s="1"/>
  <c r="R28" i="20" s="1"/>
  <c r="R29" i="20" s="1"/>
  <c r="R30" i="20" s="1"/>
  <c r="R31" i="20" s="1"/>
  <c r="R32" i="20" s="1"/>
  <c r="R33" i="20" s="1"/>
  <c r="R34" i="20" s="1"/>
  <c r="R35" i="20" s="1"/>
  <c r="R36" i="20" s="1"/>
  <c r="R37" i="20" s="1"/>
  <c r="R38" i="20" s="1"/>
  <c r="R39" i="20" s="1"/>
  <c r="R40" i="20" s="1"/>
  <c r="Q5" i="20"/>
  <c r="Q3" i="20"/>
  <c r="O3" i="20"/>
  <c r="L3" i="20"/>
  <c r="K3" i="20"/>
  <c r="J3" i="20"/>
  <c r="E46" i="27"/>
  <c r="D46" i="27"/>
  <c r="C46" i="27"/>
  <c r="J10" i="18"/>
  <c r="I10" i="18"/>
  <c r="M9" i="18"/>
  <c r="L9" i="18"/>
  <c r="J9" i="18"/>
  <c r="I9" i="18"/>
  <c r="M8" i="18"/>
  <c r="L8" i="18"/>
  <c r="J8" i="18"/>
  <c r="I8" i="18"/>
  <c r="M5" i="18"/>
  <c r="L5" i="18"/>
  <c r="K5" i="18"/>
  <c r="I5" i="18"/>
  <c r="H5" i="18"/>
  <c r="G5" i="18"/>
  <c r="F5" i="18"/>
  <c r="E5" i="18"/>
  <c r="C5" i="18"/>
  <c r="P4" i="18"/>
  <c r="C4" i="18"/>
  <c r="L2" i="18"/>
  <c r="M2" i="18" s="1"/>
  <c r="K2" i="18"/>
  <c r="B60" i="15"/>
  <c r="AH40" i="15"/>
  <c r="AH41" i="15" s="1"/>
  <c r="AG40" i="15"/>
  <c r="AF37" i="15"/>
  <c r="B33" i="15"/>
  <c r="AF25" i="15"/>
  <c r="F24" i="15"/>
  <c r="D24" i="15"/>
  <c r="J22" i="15"/>
  <c r="F22" i="15"/>
  <c r="D22" i="15"/>
  <c r="AI21" i="15"/>
  <c r="AQ19" i="15" s="1"/>
  <c r="AS19" i="15"/>
  <c r="AS20" i="15" s="1"/>
  <c r="AS21" i="15" s="1"/>
  <c r="AS22" i="15" s="1"/>
  <c r="AS23" i="15" s="1"/>
  <c r="AS24" i="15" s="1"/>
  <c r="AS25" i="15" s="1"/>
  <c r="AS28" i="15" s="1"/>
  <c r="AS29" i="15" s="1"/>
  <c r="AS30" i="15" s="1"/>
  <c r="AS31" i="15" s="1"/>
  <c r="AS32" i="15" s="1"/>
  <c r="AS33" i="15" s="1"/>
  <c r="AV19" i="15" s="1"/>
  <c r="AV20" i="15" s="1"/>
  <c r="AV21" i="15" s="1"/>
  <c r="AV22" i="15" s="1"/>
  <c r="AV23" i="15" s="1"/>
  <c r="AV24" i="15" s="1"/>
  <c r="AV25" i="15" s="1"/>
  <c r="AV28" i="15" s="1"/>
  <c r="AV29" i="15" s="1"/>
  <c r="AV30" i="15" s="1"/>
  <c r="AV31" i="15" s="1"/>
  <c r="AV32" i="15" s="1"/>
  <c r="AV33" i="15" s="1"/>
  <c r="AY19" i="15" s="1"/>
  <c r="AY20" i="15" s="1"/>
  <c r="AY21" i="15" s="1"/>
  <c r="AY22" i="15" s="1"/>
  <c r="AY23" i="15" s="1"/>
  <c r="AY24" i="15" s="1"/>
  <c r="AY25" i="15" s="1"/>
  <c r="AY28" i="15" s="1"/>
  <c r="AY29" i="15" s="1"/>
  <c r="AY30" i="15" s="1"/>
  <c r="AY31" i="15" s="1"/>
  <c r="AY32" i="15" s="1"/>
  <c r="AY33" i="15" s="1"/>
  <c r="F18" i="15"/>
  <c r="D18" i="15"/>
  <c r="S16" i="15"/>
  <c r="S17" i="15" s="1"/>
  <c r="S18" i="15" s="1"/>
  <c r="S19" i="15" s="1"/>
  <c r="S20" i="15" s="1"/>
  <c r="S21" i="15" s="1"/>
  <c r="S22" i="15" s="1"/>
  <c r="S23" i="15" s="1"/>
  <c r="S24" i="15" s="1"/>
  <c r="S25" i="15" s="1"/>
  <c r="S28" i="15" s="1"/>
  <c r="S29" i="15" s="1"/>
  <c r="S30" i="15" s="1"/>
  <c r="V16" i="15" s="1"/>
  <c r="V17" i="15" s="1"/>
  <c r="V18" i="15" s="1"/>
  <c r="V19" i="15" s="1"/>
  <c r="V20" i="15" s="1"/>
  <c r="V21" i="15" s="1"/>
  <c r="V22" i="15" s="1"/>
  <c r="V23" i="15" s="1"/>
  <c r="V24" i="15" s="1"/>
  <c r="V25" i="15" s="1"/>
  <c r="V28" i="15" s="1"/>
  <c r="V29" i="15" s="1"/>
  <c r="V30" i="15" s="1"/>
  <c r="Y16" i="15" s="1"/>
  <c r="Y17" i="15" s="1"/>
  <c r="Y18" i="15" s="1"/>
  <c r="Y19" i="15" s="1"/>
  <c r="Y20" i="15" s="1"/>
  <c r="Y21" i="15" s="1"/>
  <c r="Y22" i="15" s="1"/>
  <c r="Y23" i="15" s="1"/>
  <c r="Y24" i="15" s="1"/>
  <c r="Y25" i="15" s="1"/>
  <c r="Y28" i="15" s="1"/>
  <c r="Y29" i="15" s="1"/>
  <c r="Y30" i="15" s="1"/>
  <c r="R16" i="15"/>
  <c r="M25" i="15" s="1"/>
  <c r="Q16" i="15"/>
  <c r="Q17" i="15" s="1"/>
  <c r="F14" i="15"/>
  <c r="D14" i="15"/>
  <c r="F10" i="15"/>
  <c r="D10" i="15"/>
  <c r="M8" i="15"/>
  <c r="D5" i="15"/>
  <c r="K1" i="15"/>
  <c r="E18" i="45"/>
  <c r="E17" i="45"/>
  <c r="E12" i="45"/>
  <c r="E11" i="45"/>
  <c r="E10" i="45"/>
  <c r="E9" i="45"/>
  <c r="E8" i="45"/>
  <c r="E7" i="45"/>
  <c r="E6" i="45"/>
  <c r="E5" i="45"/>
  <c r="E4" i="45"/>
  <c r="E3" i="45"/>
  <c r="E2" i="45"/>
  <c r="E1" i="45"/>
  <c r="E27" i="19"/>
  <c r="E22" i="19"/>
  <c r="E20" i="19"/>
  <c r="E18" i="19"/>
  <c r="E16" i="19"/>
  <c r="E13" i="19"/>
  <c r="E11" i="19"/>
  <c r="E10" i="19"/>
  <c r="E9" i="19"/>
  <c r="G6" i="19"/>
  <c r="B5" i="19"/>
  <c r="O3" i="19"/>
  <c r="J3" i="19"/>
  <c r="H3" i="19"/>
  <c r="G3" i="19"/>
  <c r="F3" i="19"/>
  <c r="F7" i="19" s="1"/>
  <c r="B3" i="19"/>
  <c r="G9" i="44"/>
  <c r="B9" i="44"/>
  <c r="G8" i="44"/>
  <c r="B8" i="44"/>
  <c r="G7" i="44"/>
  <c r="B7" i="44"/>
  <c r="AM5" i="46" a="1"/>
  <c r="AI19" i="46"/>
  <c r="AE19" i="46"/>
  <c r="AA19" i="46"/>
  <c r="W19" i="46"/>
  <c r="AI18" i="46"/>
  <c r="AE18" i="46"/>
  <c r="AA18" i="46"/>
  <c r="W18" i="46"/>
  <c r="AI17" i="46"/>
  <c r="AE17" i="46"/>
  <c r="AA17" i="46"/>
  <c r="W17" i="46"/>
  <c r="AI16" i="46"/>
  <c r="AE16" i="46"/>
  <c r="AA16" i="46"/>
  <c r="W16" i="46"/>
  <c r="AI15" i="46"/>
  <c r="AE15" i="46"/>
  <c r="AA15" i="46"/>
  <c r="W15" i="46"/>
  <c r="AI14" i="46"/>
  <c r="AE14" i="46"/>
  <c r="AA14" i="46"/>
  <c r="W14" i="46"/>
  <c r="AI13" i="46"/>
  <c r="AE13" i="46"/>
  <c r="AA13" i="46"/>
  <c r="W13" i="46"/>
  <c r="AI12" i="46"/>
  <c r="AE12" i="46"/>
  <c r="AA12" i="46"/>
  <c r="W12" i="46"/>
  <c r="AI11" i="46"/>
  <c r="AE11" i="46"/>
  <c r="AA11" i="46"/>
  <c r="W11" i="46"/>
  <c r="AI10" i="46"/>
  <c r="AE10" i="46"/>
  <c r="AA10" i="46"/>
  <c r="W10" i="46"/>
  <c r="AI9" i="46"/>
  <c r="AE9" i="46"/>
  <c r="AA9" i="46"/>
  <c r="W9" i="46"/>
  <c r="AI8" i="46"/>
  <c r="AE8" i="46"/>
  <c r="AA8" i="46"/>
  <c r="W8" i="46"/>
  <c r="AI7" i="46"/>
  <c r="AE7" i="46"/>
  <c r="AA7" i="46"/>
  <c r="W7" i="46"/>
  <c r="AI6" i="46"/>
  <c r="AE6" i="46"/>
  <c r="AA6" i="46"/>
  <c r="W6" i="46"/>
  <c r="AI5" i="46"/>
  <c r="AE5" i="46"/>
  <c r="AA5" i="46"/>
  <c r="W5" i="46"/>
  <c r="V5" i="46" a="1"/>
  <c r="AH19" i="46" s="1"/>
  <c r="O2" i="46"/>
  <c r="M2" i="46"/>
  <c r="K2" i="46"/>
  <c r="X34" i="13"/>
  <c r="W34" i="13"/>
  <c r="X33" i="13"/>
  <c r="W33" i="13"/>
  <c r="X32" i="13"/>
  <c r="W32" i="13"/>
  <c r="X31" i="13"/>
  <c r="W31" i="13"/>
  <c r="X30" i="13"/>
  <c r="W30" i="13"/>
  <c r="X29" i="13"/>
  <c r="W29" i="13"/>
  <c r="X28" i="13"/>
  <c r="W28" i="13"/>
  <c r="X27" i="13"/>
  <c r="W27" i="13"/>
  <c r="X26" i="13"/>
  <c r="W26" i="13"/>
  <c r="X25" i="13"/>
  <c r="W25" i="13"/>
  <c r="X24" i="13"/>
  <c r="W24" i="13"/>
  <c r="X23" i="13"/>
  <c r="X35" i="13" s="1"/>
  <c r="W23" i="13"/>
  <c r="W35" i="13" s="1"/>
  <c r="X18" i="13"/>
  <c r="W18" i="13"/>
  <c r="V18" i="13"/>
  <c r="AB17" i="13"/>
  <c r="W17" i="13"/>
  <c r="V17" i="13"/>
  <c r="W16" i="13"/>
  <c r="V16" i="13"/>
  <c r="W15" i="13"/>
  <c r="V15" i="13"/>
  <c r="B15" i="13" a="1"/>
  <c r="N15" i="13" s="1"/>
  <c r="W14" i="13"/>
  <c r="V14" i="13"/>
  <c r="W13" i="13"/>
  <c r="V13" i="13"/>
  <c r="W12" i="13"/>
  <c r="V12" i="13"/>
  <c r="W11" i="13"/>
  <c r="V11" i="13"/>
  <c r="W10" i="13"/>
  <c r="V10" i="13"/>
  <c r="W9" i="13"/>
  <c r="V9" i="13"/>
  <c r="D9" i="13"/>
  <c r="D11" i="13" s="1"/>
  <c r="C9" i="13"/>
  <c r="C11" i="13" s="1"/>
  <c r="W8" i="13"/>
  <c r="V8" i="13"/>
  <c r="D8" i="13"/>
  <c r="C8" i="13"/>
  <c r="W7" i="13"/>
  <c r="V7" i="13"/>
  <c r="D7" i="13"/>
  <c r="D10" i="13" s="1"/>
  <c r="C7" i="13"/>
  <c r="C10" i="13" s="1"/>
  <c r="W6" i="13"/>
  <c r="V6" i="13"/>
  <c r="N6" i="13"/>
  <c r="M6" i="13"/>
  <c r="L6" i="13"/>
  <c r="K6" i="13"/>
  <c r="J6" i="13"/>
  <c r="I6" i="13"/>
  <c r="H6" i="13"/>
  <c r="G6" i="13"/>
  <c r="F6" i="13"/>
  <c r="E6" i="13"/>
  <c r="D6" i="13"/>
  <c r="D12" i="13" s="1"/>
  <c r="C6" i="13"/>
  <c r="C12" i="13" s="1"/>
  <c r="W5" i="13"/>
  <c r="V5" i="13"/>
  <c r="B1" i="13"/>
  <c r="O18" i="3"/>
  <c r="M18" i="3"/>
  <c r="O32" i="3"/>
  <c r="M32" i="3"/>
  <c r="O31" i="3"/>
  <c r="M31" i="3"/>
  <c r="O28" i="3"/>
  <c r="M28" i="3"/>
  <c r="O29" i="3"/>
  <c r="M29" i="3"/>
  <c r="O27" i="3"/>
  <c r="M27" i="3"/>
  <c r="O30" i="3"/>
  <c r="M30" i="3"/>
  <c r="O11" i="3"/>
  <c r="M11" i="3"/>
  <c r="O17" i="3"/>
  <c r="M17" i="3"/>
  <c r="O25" i="3"/>
  <c r="M25" i="3"/>
  <c r="O8" i="3"/>
  <c r="M8" i="3"/>
  <c r="O12" i="3"/>
  <c r="M12" i="3"/>
  <c r="O15" i="3"/>
  <c r="M15" i="3"/>
  <c r="O16" i="3"/>
  <c r="K16" i="3"/>
  <c r="M16" i="3" s="1"/>
  <c r="O22" i="3"/>
  <c r="M22" i="3"/>
  <c r="O9" i="3"/>
  <c r="M9" i="3"/>
  <c r="O26" i="3"/>
  <c r="M26" i="3"/>
  <c r="O24" i="3"/>
  <c r="M24" i="3"/>
  <c r="O7" i="3"/>
  <c r="M7" i="3"/>
  <c r="O23" i="3"/>
  <c r="M23" i="3"/>
  <c r="O20" i="3"/>
  <c r="M20" i="3"/>
  <c r="O10" i="3"/>
  <c r="M10" i="3"/>
  <c r="O13" i="3"/>
  <c r="M13" i="3"/>
  <c r="O14" i="3"/>
  <c r="M14" i="3"/>
  <c r="O19" i="3"/>
  <c r="M19" i="3"/>
  <c r="O21" i="3"/>
  <c r="M21" i="3"/>
  <c r="D43" i="1"/>
  <c r="B14" i="1" a="1"/>
  <c r="B14" i="1"/>
  <c r="AD7" i="1"/>
  <c r="E7" i="1"/>
  <c r="N9" i="36"/>
  <c r="L9" i="36"/>
  <c r="J9" i="36"/>
  <c r="H9" i="36"/>
  <c r="F9" i="36"/>
  <c r="D9" i="36"/>
  <c r="N8" i="36"/>
  <c r="L8" i="36"/>
  <c r="J8" i="36"/>
  <c r="H8" i="36"/>
  <c r="F8" i="36"/>
  <c r="C41" i="27" s="1"/>
  <c r="D8" i="36"/>
  <c r="N7" i="36"/>
  <c r="L7" i="36"/>
  <c r="J7" i="36"/>
  <c r="H7" i="36"/>
  <c r="F7" i="36"/>
  <c r="E41" i="27" s="1"/>
  <c r="D7" i="36"/>
  <c r="N6" i="36"/>
  <c r="L6" i="36"/>
  <c r="J6" i="36"/>
  <c r="H6" i="36"/>
  <c r="F6" i="36"/>
  <c r="B46" i="27" s="1"/>
  <c r="C51" i="27" s="1"/>
  <c r="D6" i="36"/>
  <c r="N5" i="36"/>
  <c r="L5" i="36"/>
  <c r="J5" i="36"/>
  <c r="H5" i="36"/>
  <c r="F5" i="36"/>
  <c r="D41" i="27" s="1"/>
  <c r="D5" i="36"/>
  <c r="N4" i="36"/>
  <c r="L4" i="36"/>
  <c r="J4" i="36"/>
  <c r="H4" i="36"/>
  <c r="F4" i="36"/>
  <c r="B41" i="27" s="1"/>
  <c r="B51" i="27" s="1"/>
  <c r="F51" i="27" s="1"/>
  <c r="D4" i="36"/>
  <c r="N3" i="36"/>
  <c r="L3" i="36"/>
  <c r="J3" i="36"/>
  <c r="H3" i="36"/>
  <c r="F3" i="36"/>
  <c r="D3" i="36"/>
  <c r="X13" i="13"/>
  <c r="X15" i="13"/>
  <c r="X16" i="13"/>
  <c r="X17" i="13"/>
  <c r="X14" i="13"/>
  <c r="X7" i="13"/>
  <c r="X11" i="13"/>
  <c r="X9" i="13"/>
  <c r="X12" i="13"/>
  <c r="X10" i="13"/>
  <c r="X8" i="13"/>
  <c r="X5" i="13"/>
  <c r="X6" i="13"/>
  <c r="G15" i="13" l="1"/>
  <c r="M643" i="13" a="1"/>
  <c r="M643" i="13" s="1"/>
  <c r="M644" i="13" a="1"/>
  <c r="M644" i="13" s="1"/>
  <c r="J643" i="13"/>
  <c r="J644" i="13"/>
  <c r="D72" i="3"/>
  <c r="D73" i="3"/>
  <c r="D81" i="3"/>
  <c r="D97" i="3"/>
  <c r="D95" i="3"/>
  <c r="D82" i="3"/>
  <c r="D94" i="3"/>
  <c r="D98" i="3"/>
  <c r="D83" i="3"/>
  <c r="D99" i="3"/>
  <c r="D100" i="3"/>
  <c r="D64" i="3"/>
  <c r="D36" i="3"/>
  <c r="D13" i="3"/>
  <c r="D14" i="3"/>
  <c r="D18" i="3"/>
  <c r="D22" i="3"/>
  <c r="D26" i="3"/>
  <c r="D30" i="3"/>
  <c r="D25" i="3"/>
  <c r="D19" i="3"/>
  <c r="D23" i="3"/>
  <c r="D27" i="3"/>
  <c r="D31" i="3"/>
  <c r="D21" i="3"/>
  <c r="D29" i="3"/>
  <c r="D16" i="3"/>
  <c r="D24" i="3"/>
  <c r="D28" i="3"/>
  <c r="D32" i="3"/>
  <c r="D17" i="3"/>
  <c r="D33" i="3"/>
  <c r="D9" i="3"/>
  <c r="D11" i="3"/>
  <c r="D7" i="3"/>
  <c r="D8" i="3"/>
  <c r="U16" i="3"/>
  <c r="Q18" i="15"/>
  <c r="R17" i="15"/>
  <c r="J642" i="13"/>
  <c r="J640" i="13"/>
  <c r="J641" i="13"/>
  <c r="J639" i="13"/>
  <c r="J635" i="13"/>
  <c r="J631" i="13"/>
  <c r="J627" i="13"/>
  <c r="J623" i="13"/>
  <c r="C51" i="15" a="1"/>
  <c r="C51" i="15" s="1"/>
  <c r="J607" i="13"/>
  <c r="T92" i="3" s="1"/>
  <c r="J603" i="13"/>
  <c r="J599" i="13"/>
  <c r="J591" i="13"/>
  <c r="J587" i="13"/>
  <c r="J583" i="13"/>
  <c r="J579" i="13"/>
  <c r="O579" i="13" s="1"/>
  <c r="M579" i="13" s="1" a="1"/>
  <c r="M579" i="13" s="1"/>
  <c r="J575" i="13"/>
  <c r="O575" i="13" s="1"/>
  <c r="J571" i="13"/>
  <c r="J628" i="13"/>
  <c r="J608" i="13"/>
  <c r="J584" i="13"/>
  <c r="J572" i="13"/>
  <c r="O572" i="13" s="1"/>
  <c r="J638" i="13"/>
  <c r="J634" i="13"/>
  <c r="J630" i="13"/>
  <c r="J626" i="13"/>
  <c r="J622" i="13"/>
  <c r="J610" i="13"/>
  <c r="J606" i="13"/>
  <c r="J602" i="13"/>
  <c r="J590" i="13"/>
  <c r="J586" i="13"/>
  <c r="J582" i="13"/>
  <c r="J578" i="13"/>
  <c r="O578" i="13" s="1"/>
  <c r="M578" i="13" s="1" a="1"/>
  <c r="M578" i="13" s="1"/>
  <c r="J574" i="13"/>
  <c r="O574" i="13" s="1"/>
  <c r="J570" i="13"/>
  <c r="J632" i="13"/>
  <c r="J624" i="13"/>
  <c r="J600" i="13"/>
  <c r="J588" i="13"/>
  <c r="J576" i="13"/>
  <c r="O576" i="13" s="1"/>
  <c r="J637" i="13"/>
  <c r="J633" i="13"/>
  <c r="J629" i="13"/>
  <c r="J625" i="13"/>
  <c r="J621" i="13"/>
  <c r="J609" i="13"/>
  <c r="J605" i="13"/>
  <c r="J601" i="13"/>
  <c r="J593" i="13"/>
  <c r="J589" i="13"/>
  <c r="J585" i="13"/>
  <c r="J581" i="13"/>
  <c r="O581" i="13" s="1"/>
  <c r="M581" i="13" s="1" a="1"/>
  <c r="M581" i="13" s="1"/>
  <c r="J577" i="13"/>
  <c r="J573" i="13"/>
  <c r="J569" i="13"/>
  <c r="J636" i="13"/>
  <c r="J604" i="13"/>
  <c r="J592" i="13"/>
  <c r="J580" i="13"/>
  <c r="O580" i="13" s="1"/>
  <c r="M580" i="13" s="1" a="1"/>
  <c r="M580" i="13" s="1"/>
  <c r="J564" i="13"/>
  <c r="O564" i="13" s="1"/>
  <c r="J560" i="13"/>
  <c r="O560" i="13" s="1"/>
  <c r="J556" i="13"/>
  <c r="O556" i="13" s="1"/>
  <c r="J552" i="13"/>
  <c r="O552" i="13" s="1"/>
  <c r="J548" i="13"/>
  <c r="O548" i="13" s="1"/>
  <c r="J544" i="13"/>
  <c r="O544" i="13" s="1"/>
  <c r="M544" i="13" s="1" a="1"/>
  <c r="M544" i="13" s="1"/>
  <c r="J540" i="13"/>
  <c r="J536" i="13"/>
  <c r="O536" i="13" s="1"/>
  <c r="J532" i="13"/>
  <c r="O532" i="13" s="1"/>
  <c r="M532" i="13" s="1" a="1"/>
  <c r="M532" i="13" s="1"/>
  <c r="J528" i="13"/>
  <c r="J524" i="13"/>
  <c r="O524" i="13" s="1"/>
  <c r="J520" i="13"/>
  <c r="O520" i="13" s="1"/>
  <c r="M520" i="13" s="1" a="1"/>
  <c r="M520" i="13" s="1"/>
  <c r="J516" i="13"/>
  <c r="O516" i="13" s="1"/>
  <c r="J512" i="13"/>
  <c r="O512" i="13" s="1"/>
  <c r="J508" i="13"/>
  <c r="J504" i="13"/>
  <c r="O504" i="13" s="1"/>
  <c r="J500" i="13"/>
  <c r="O500" i="13" s="1"/>
  <c r="J496" i="13"/>
  <c r="O496" i="13" s="1"/>
  <c r="J492" i="13"/>
  <c r="O492" i="13" s="1"/>
  <c r="J488" i="13"/>
  <c r="O488" i="13" s="1"/>
  <c r="J484" i="13"/>
  <c r="O484" i="13" s="1"/>
  <c r="J480" i="13"/>
  <c r="J476" i="13"/>
  <c r="O476" i="13" s="1"/>
  <c r="J472" i="13"/>
  <c r="J468" i="13"/>
  <c r="J464" i="13"/>
  <c r="O464" i="13" s="1"/>
  <c r="J460" i="13"/>
  <c r="O460" i="13" s="1"/>
  <c r="J456" i="13"/>
  <c r="J452" i="13"/>
  <c r="J448" i="13"/>
  <c r="J444" i="13"/>
  <c r="O444" i="13" s="1"/>
  <c r="J440" i="13"/>
  <c r="O440" i="13" s="1"/>
  <c r="J436" i="13"/>
  <c r="O436" i="13" s="1"/>
  <c r="J432" i="13"/>
  <c r="J428" i="13"/>
  <c r="O428" i="13" s="1"/>
  <c r="J424" i="13"/>
  <c r="O424" i="13" s="1"/>
  <c r="J420" i="13"/>
  <c r="O420" i="13" s="1"/>
  <c r="J416" i="13"/>
  <c r="O416" i="13" s="1"/>
  <c r="J412" i="13"/>
  <c r="J408" i="13"/>
  <c r="O408" i="13" s="1"/>
  <c r="J404" i="13"/>
  <c r="O404" i="13" s="1"/>
  <c r="J400" i="13"/>
  <c r="O400" i="13" s="1"/>
  <c r="J396" i="13"/>
  <c r="O396" i="13" s="1"/>
  <c r="J392" i="13"/>
  <c r="O392" i="13" s="1"/>
  <c r="J388" i="13"/>
  <c r="O388" i="13" s="1"/>
  <c r="J384" i="13"/>
  <c r="O384" i="13" s="1"/>
  <c r="J380" i="13"/>
  <c r="O380" i="13" s="1"/>
  <c r="J376" i="13"/>
  <c r="O376" i="13" s="1"/>
  <c r="J372" i="13"/>
  <c r="O372" i="13" s="1"/>
  <c r="J368" i="13"/>
  <c r="O368" i="13" s="1"/>
  <c r="J364" i="13"/>
  <c r="J360" i="13"/>
  <c r="O360" i="13" s="1"/>
  <c r="J356" i="13"/>
  <c r="O356" i="13" s="1"/>
  <c r="J352" i="13"/>
  <c r="O352" i="13" s="1"/>
  <c r="J348" i="13"/>
  <c r="O348" i="13" s="1"/>
  <c r="J344" i="13"/>
  <c r="O344" i="13" s="1"/>
  <c r="J340" i="13"/>
  <c r="O340" i="13" s="1"/>
  <c r="J336" i="13"/>
  <c r="O336" i="13" s="1"/>
  <c r="J332" i="13"/>
  <c r="O332" i="13" s="1"/>
  <c r="J328" i="13"/>
  <c r="O328" i="13" s="1"/>
  <c r="J324" i="13"/>
  <c r="O324" i="13" s="1"/>
  <c r="J320" i="13"/>
  <c r="O320" i="13" s="1"/>
  <c r="J316" i="13"/>
  <c r="O316" i="13" s="1"/>
  <c r="J312" i="13"/>
  <c r="O312" i="13" s="1"/>
  <c r="J308" i="13"/>
  <c r="O308" i="13" s="1"/>
  <c r="J304" i="13"/>
  <c r="O304" i="13" s="1"/>
  <c r="J300" i="13"/>
  <c r="O300" i="13" s="1"/>
  <c r="J296" i="13"/>
  <c r="J292" i="13"/>
  <c r="J288" i="13"/>
  <c r="J284" i="13"/>
  <c r="J280" i="13"/>
  <c r="O280" i="13" s="1"/>
  <c r="J276" i="13"/>
  <c r="O276" i="13" s="1"/>
  <c r="J272" i="13"/>
  <c r="O272" i="13" s="1"/>
  <c r="J268" i="13"/>
  <c r="O268" i="13" s="1"/>
  <c r="J264" i="13"/>
  <c r="O264" i="13" s="1"/>
  <c r="J260" i="13"/>
  <c r="O260" i="13" s="1"/>
  <c r="J256" i="13"/>
  <c r="O256" i="13" s="1"/>
  <c r="J252" i="13"/>
  <c r="O252" i="13" s="1"/>
  <c r="J248" i="13"/>
  <c r="O248" i="13" s="1"/>
  <c r="J244" i="13"/>
  <c r="O244" i="13" s="1"/>
  <c r="J240" i="13"/>
  <c r="O240" i="13" s="1"/>
  <c r="J236" i="13"/>
  <c r="O236" i="13" s="1"/>
  <c r="J232" i="13"/>
  <c r="O232" i="13" s="1"/>
  <c r="J228" i="13"/>
  <c r="O228" i="13" s="1"/>
  <c r="J563" i="13"/>
  <c r="J559" i="13"/>
  <c r="O559" i="13" s="1"/>
  <c r="J555" i="13"/>
  <c r="O555" i="13" s="1"/>
  <c r="J551" i="13"/>
  <c r="O551" i="13" s="1"/>
  <c r="J547" i="13"/>
  <c r="J543" i="13"/>
  <c r="O543" i="13" s="1"/>
  <c r="M543" i="13" s="1" a="1"/>
  <c r="M543" i="13" s="1"/>
  <c r="J539" i="13"/>
  <c r="O539" i="13" s="1"/>
  <c r="J535" i="13"/>
  <c r="J531" i="13"/>
  <c r="O531" i="13" s="1"/>
  <c r="M531" i="13" s="1" a="1"/>
  <c r="M531" i="13" s="1"/>
  <c r="J527" i="13"/>
  <c r="O527" i="13" s="1"/>
  <c r="J523" i="13"/>
  <c r="J519" i="13"/>
  <c r="O519" i="13" s="1"/>
  <c r="M519" i="13" s="1" a="1"/>
  <c r="M519" i="13" s="1"/>
  <c r="J515" i="13"/>
  <c r="O515" i="13" s="1"/>
  <c r="J511" i="13"/>
  <c r="O511" i="13" s="1"/>
  <c r="J507" i="13"/>
  <c r="O507" i="13" s="1"/>
  <c r="M507" i="13" s="1" a="1"/>
  <c r="M507" i="13" s="1"/>
  <c r="J503" i="13"/>
  <c r="O503" i="13" s="1"/>
  <c r="M503" i="13" s="1" a="1"/>
  <c r="M503" i="13" s="1"/>
  <c r="J499" i="13"/>
  <c r="O499" i="13" s="1"/>
  <c r="J495" i="13"/>
  <c r="O495" i="13" s="1"/>
  <c r="J491" i="13"/>
  <c r="O491" i="13" s="1"/>
  <c r="J487" i="13"/>
  <c r="J483" i="13"/>
  <c r="O483" i="13" s="1"/>
  <c r="J479" i="13"/>
  <c r="O479" i="13" s="1"/>
  <c r="J475" i="13"/>
  <c r="O475" i="13" s="1"/>
  <c r="J471" i="13"/>
  <c r="O471" i="13" s="1"/>
  <c r="J467" i="13"/>
  <c r="O467" i="13" s="1"/>
  <c r="J463" i="13"/>
  <c r="O463" i="13" s="1"/>
  <c r="J459" i="13"/>
  <c r="O459" i="13" s="1"/>
  <c r="J455" i="13"/>
  <c r="O455" i="13" s="1"/>
  <c r="J451" i="13"/>
  <c r="O451" i="13" s="1"/>
  <c r="J447" i="13"/>
  <c r="O447" i="13" s="1"/>
  <c r="J443" i="13"/>
  <c r="J439" i="13"/>
  <c r="J435" i="13"/>
  <c r="O435" i="13" s="1"/>
  <c r="J431" i="13"/>
  <c r="O431" i="13" s="1"/>
  <c r="J427" i="13"/>
  <c r="O427" i="13" s="1"/>
  <c r="J423" i="13"/>
  <c r="J419" i="13"/>
  <c r="O419" i="13" s="1"/>
  <c r="J415" i="13"/>
  <c r="J411" i="13"/>
  <c r="O411" i="13" s="1"/>
  <c r="J407" i="13"/>
  <c r="O407" i="13" s="1"/>
  <c r="J403" i="13"/>
  <c r="O403" i="13" s="1"/>
  <c r="J399" i="13"/>
  <c r="O399" i="13" s="1"/>
  <c r="J395" i="13"/>
  <c r="O395" i="13" s="1"/>
  <c r="J391" i="13"/>
  <c r="O391" i="13" s="1"/>
  <c r="J387" i="13"/>
  <c r="O387" i="13" s="1"/>
  <c r="J383" i="13"/>
  <c r="J379" i="13"/>
  <c r="O379" i="13" s="1"/>
  <c r="J375" i="13"/>
  <c r="O375" i="13" s="1"/>
  <c r="J371" i="13"/>
  <c r="O371" i="13" s="1"/>
  <c r="J367" i="13"/>
  <c r="O367" i="13" s="1"/>
  <c r="J363" i="13"/>
  <c r="O363" i="13" s="1"/>
  <c r="J359" i="13"/>
  <c r="O359" i="13" s="1"/>
  <c r="J355" i="13"/>
  <c r="O355" i="13" s="1"/>
  <c r="J351" i="13"/>
  <c r="O351" i="13" s="1"/>
  <c r="J347" i="13"/>
  <c r="O347" i="13" s="1"/>
  <c r="J343" i="13"/>
  <c r="O343" i="13" s="1"/>
  <c r="J339" i="13"/>
  <c r="O339" i="13" s="1"/>
  <c r="J335" i="13"/>
  <c r="J331" i="13"/>
  <c r="O331" i="13" s="1"/>
  <c r="J327" i="13"/>
  <c r="O327" i="13" s="1"/>
  <c r="J323" i="13"/>
  <c r="J319" i="13"/>
  <c r="O319" i="13" s="1"/>
  <c r="J315" i="13"/>
  <c r="O315" i="13" s="1"/>
  <c r="J311" i="13"/>
  <c r="O311" i="13" s="1"/>
  <c r="J307" i="13"/>
  <c r="O307" i="13" s="1"/>
  <c r="J303" i="13"/>
  <c r="O303" i="13" s="1"/>
  <c r="J299" i="13"/>
  <c r="O299" i="13" s="1"/>
  <c r="J295" i="13"/>
  <c r="J291" i="13"/>
  <c r="J287" i="13"/>
  <c r="O283" i="13"/>
  <c r="J279" i="13"/>
  <c r="O279" i="13" s="1"/>
  <c r="J275" i="13"/>
  <c r="O275" i="13" s="1"/>
  <c r="J271" i="13"/>
  <c r="O271" i="13" s="1"/>
  <c r="J267" i="13"/>
  <c r="O267" i="13" s="1"/>
  <c r="J263" i="13"/>
  <c r="O263" i="13" s="1"/>
  <c r="J562" i="13"/>
  <c r="J558" i="13"/>
  <c r="O558" i="13" s="1"/>
  <c r="J554" i="13"/>
  <c r="O554" i="13" s="1"/>
  <c r="J550" i="13"/>
  <c r="J546" i="13"/>
  <c r="O546" i="13" s="1"/>
  <c r="M546" i="13" s="1" a="1"/>
  <c r="M546" i="13" s="1"/>
  <c r="J542" i="13"/>
  <c r="O542" i="13" s="1"/>
  <c r="M542" i="13" s="1" a="1"/>
  <c r="M542" i="13" s="1"/>
  <c r="J538" i="13"/>
  <c r="O538" i="13" s="1"/>
  <c r="J534" i="13"/>
  <c r="O534" i="13" s="1"/>
  <c r="M534" i="13" s="1" a="1"/>
  <c r="M534" i="13" s="1"/>
  <c r="J530" i="13"/>
  <c r="O530" i="13" s="1"/>
  <c r="M530" i="13" s="1" a="1"/>
  <c r="M530" i="13" s="1"/>
  <c r="J526" i="13"/>
  <c r="O526" i="13" s="1"/>
  <c r="J522" i="13"/>
  <c r="O522" i="13" s="1"/>
  <c r="M522" i="13" s="1" a="1"/>
  <c r="M522" i="13" s="1"/>
  <c r="J518" i="13"/>
  <c r="O518" i="13" s="1"/>
  <c r="M518" i="13" s="1" a="1"/>
  <c r="M518" i="13" s="1"/>
  <c r="J514" i="13"/>
  <c r="O514" i="13" s="1"/>
  <c r="J510" i="13"/>
  <c r="O510" i="13" s="1"/>
  <c r="J506" i="13"/>
  <c r="O506" i="13" s="1"/>
  <c r="J502" i="13"/>
  <c r="O502" i="13" s="1"/>
  <c r="J498" i="13"/>
  <c r="J494" i="13"/>
  <c r="O494" i="13" s="1"/>
  <c r="J490" i="13"/>
  <c r="O490" i="13" s="1"/>
  <c r="J486" i="13"/>
  <c r="O486" i="13" s="1"/>
  <c r="J482" i="13"/>
  <c r="J478" i="13"/>
  <c r="O478" i="13" s="1"/>
  <c r="J474" i="13"/>
  <c r="J470" i="13"/>
  <c r="J466" i="13"/>
  <c r="J462" i="13"/>
  <c r="J458" i="13"/>
  <c r="O458" i="13" s="1"/>
  <c r="J454" i="13"/>
  <c r="O454" i="13" s="1"/>
  <c r="J450" i="13"/>
  <c r="O450" i="13" s="1"/>
  <c r="J446" i="13"/>
  <c r="O446" i="13" s="1"/>
  <c r="J442" i="13"/>
  <c r="J438" i="13"/>
  <c r="O438" i="13" s="1"/>
  <c r="J434" i="13"/>
  <c r="O434" i="13" s="1"/>
  <c r="J430" i="13"/>
  <c r="O430" i="13" s="1"/>
  <c r="J426" i="13"/>
  <c r="J422" i="13"/>
  <c r="O422" i="13" s="1"/>
  <c r="J418" i="13"/>
  <c r="O418" i="13" s="1"/>
  <c r="J414" i="13"/>
  <c r="O414" i="13" s="1"/>
  <c r="J410" i="13"/>
  <c r="O410" i="13" s="1"/>
  <c r="J406" i="13"/>
  <c r="O406" i="13" s="1"/>
  <c r="J402" i="13"/>
  <c r="O402" i="13" s="1"/>
  <c r="J398" i="13"/>
  <c r="J394" i="13"/>
  <c r="O394" i="13" s="1"/>
  <c r="J390" i="13"/>
  <c r="O390" i="13" s="1"/>
  <c r="J386" i="13"/>
  <c r="J382" i="13"/>
  <c r="O382" i="13" s="1"/>
  <c r="J378" i="13"/>
  <c r="O378" i="13" s="1"/>
  <c r="J374" i="13"/>
  <c r="O374" i="13" s="1"/>
  <c r="J370" i="13"/>
  <c r="O370" i="13" s="1"/>
  <c r="J366" i="13"/>
  <c r="O366" i="13" s="1"/>
  <c r="J362" i="13"/>
  <c r="O362" i="13" s="1"/>
  <c r="J358" i="13"/>
  <c r="O358" i="13" s="1"/>
  <c r="J354" i="13"/>
  <c r="O354" i="13" s="1"/>
  <c r="J350" i="13"/>
  <c r="J346" i="13"/>
  <c r="O346" i="13" s="1"/>
  <c r="J342" i="13"/>
  <c r="O342" i="13" s="1"/>
  <c r="J338" i="13"/>
  <c r="J334" i="13"/>
  <c r="O334" i="13" s="1"/>
  <c r="J330" i="13"/>
  <c r="O330" i="13" s="1"/>
  <c r="J326" i="13"/>
  <c r="O326" i="13" s="1"/>
  <c r="J322" i="13"/>
  <c r="J318" i="13"/>
  <c r="O318" i="13" s="1"/>
  <c r="J314" i="13"/>
  <c r="O314" i="13" s="1"/>
  <c r="J310" i="13"/>
  <c r="J306" i="13"/>
  <c r="O306" i="13" s="1"/>
  <c r="J302" i="13"/>
  <c r="O302" i="13" s="1"/>
  <c r="J298" i="13"/>
  <c r="J294" i="13"/>
  <c r="O294" i="13" s="1"/>
  <c r="J290" i="13"/>
  <c r="J286" i="13"/>
  <c r="O282" i="13"/>
  <c r="J278" i="13"/>
  <c r="O278" i="13" s="1"/>
  <c r="J274" i="13"/>
  <c r="O274" i="13" s="1"/>
  <c r="J270" i="13"/>
  <c r="O270" i="13" s="1"/>
  <c r="J266" i="13"/>
  <c r="O266" i="13" s="1"/>
  <c r="J262" i="13"/>
  <c r="O262" i="13" s="1"/>
  <c r="J258" i="13"/>
  <c r="J254" i="13"/>
  <c r="O254" i="13" s="1"/>
  <c r="J250" i="13"/>
  <c r="O250" i="13" s="1"/>
  <c r="J246" i="13"/>
  <c r="O246" i="13" s="1"/>
  <c r="J242" i="13"/>
  <c r="O242" i="13" s="1"/>
  <c r="J238" i="13"/>
  <c r="O238" i="13" s="1"/>
  <c r="J234" i="13"/>
  <c r="O234" i="13" s="1"/>
  <c r="J230" i="13"/>
  <c r="O230" i="13" s="1"/>
  <c r="J226" i="13"/>
  <c r="O226" i="13" s="1"/>
  <c r="J561" i="13"/>
  <c r="O561" i="13" s="1"/>
  <c r="J545" i="13"/>
  <c r="O545" i="13" s="1"/>
  <c r="M545" i="13" s="1" a="1"/>
  <c r="M545" i="13" s="1"/>
  <c r="J529" i="13"/>
  <c r="O529" i="13" s="1"/>
  <c r="M529" i="13" s="1" a="1"/>
  <c r="M529" i="13" s="1"/>
  <c r="J513" i="13"/>
  <c r="O513" i="13" s="1"/>
  <c r="J497" i="13"/>
  <c r="O497" i="13" s="1"/>
  <c r="J481" i="13"/>
  <c r="J465" i="13"/>
  <c r="J449" i="13"/>
  <c r="O449" i="13" s="1"/>
  <c r="J433" i="13"/>
  <c r="O433" i="13" s="1"/>
  <c r="J417" i="13"/>
  <c r="O417" i="13" s="1"/>
  <c r="J401" i="13"/>
  <c r="O401" i="13" s="1"/>
  <c r="J385" i="13"/>
  <c r="O385" i="13" s="1"/>
  <c r="J369" i="13"/>
  <c r="O369" i="13" s="1"/>
  <c r="J353" i="13"/>
  <c r="O353" i="13" s="1"/>
  <c r="J337" i="13"/>
  <c r="O337" i="13" s="1"/>
  <c r="J321" i="13"/>
  <c r="O321" i="13" s="1"/>
  <c r="J305" i="13"/>
  <c r="O305" i="13" s="1"/>
  <c r="J289" i="13"/>
  <c r="J273" i="13"/>
  <c r="O273" i="13" s="1"/>
  <c r="J259" i="13"/>
  <c r="O259" i="13" s="1"/>
  <c r="J251" i="13"/>
  <c r="O251" i="13" s="1"/>
  <c r="J243" i="13"/>
  <c r="O243" i="13" s="1"/>
  <c r="J235" i="13"/>
  <c r="O235" i="13" s="1"/>
  <c r="J227" i="13"/>
  <c r="O227" i="13" s="1"/>
  <c r="J222" i="13"/>
  <c r="O222" i="13" s="1"/>
  <c r="J218" i="13"/>
  <c r="O218" i="13" s="1"/>
  <c r="J214" i="13"/>
  <c r="O214" i="13" s="1"/>
  <c r="J210" i="13"/>
  <c r="O210" i="13" s="1"/>
  <c r="J206" i="13"/>
  <c r="O206" i="13" s="1"/>
  <c r="J202" i="13"/>
  <c r="O202" i="13" s="1"/>
  <c r="J198" i="13"/>
  <c r="O198" i="13" s="1"/>
  <c r="J194" i="13"/>
  <c r="O194" i="13" s="1"/>
  <c r="J190" i="13"/>
  <c r="O190" i="13" s="1"/>
  <c r="J186" i="13"/>
  <c r="O186" i="13" s="1"/>
  <c r="J182" i="13"/>
  <c r="O182" i="13" s="1"/>
  <c r="J178" i="13"/>
  <c r="O178" i="13" s="1"/>
  <c r="J174" i="13"/>
  <c r="O174" i="13" s="1"/>
  <c r="J170" i="13"/>
  <c r="O170" i="13" s="1"/>
  <c r="J166" i="13"/>
  <c r="O166" i="13" s="1"/>
  <c r="J162" i="13"/>
  <c r="O162" i="13" s="1"/>
  <c r="J158" i="13"/>
  <c r="O158" i="13" s="1"/>
  <c r="J154" i="13"/>
  <c r="O154" i="13" s="1"/>
  <c r="J150" i="13"/>
  <c r="O150" i="13" s="1"/>
  <c r="J146" i="13"/>
  <c r="O146" i="13" s="1"/>
  <c r="J142" i="13"/>
  <c r="O142" i="13" s="1"/>
  <c r="J138" i="13"/>
  <c r="O138" i="13" s="1"/>
  <c r="J134" i="13"/>
  <c r="O134" i="13" s="1"/>
  <c r="J130" i="13"/>
  <c r="O130" i="13" s="1"/>
  <c r="J126" i="13"/>
  <c r="O126" i="13" s="1"/>
  <c r="J122" i="13"/>
  <c r="O122" i="13" s="1"/>
  <c r="J118" i="13"/>
  <c r="J114" i="13"/>
  <c r="O114" i="13" s="1"/>
  <c r="J110" i="13"/>
  <c r="J106" i="13"/>
  <c r="J102" i="13"/>
  <c r="O102" i="13" s="1"/>
  <c r="J98" i="13"/>
  <c r="O98" i="13" s="1"/>
  <c r="J94" i="13"/>
  <c r="O94" i="13" s="1"/>
  <c r="J90" i="13"/>
  <c r="O90" i="13" s="1"/>
  <c r="J86" i="13"/>
  <c r="O86" i="13" s="1"/>
  <c r="O82" i="13"/>
  <c r="O78" i="13"/>
  <c r="O74" i="13"/>
  <c r="J557" i="13"/>
  <c r="O557" i="13" s="1"/>
  <c r="J541" i="13"/>
  <c r="O541" i="13" s="1"/>
  <c r="M541" i="13" s="1" a="1"/>
  <c r="M541" i="13" s="1"/>
  <c r="J525" i="13"/>
  <c r="O525" i="13" s="1"/>
  <c r="J509" i="13"/>
  <c r="O509" i="13" s="1"/>
  <c r="J493" i="13"/>
  <c r="O493" i="13" s="1"/>
  <c r="J477" i="13"/>
  <c r="O477" i="13" s="1"/>
  <c r="J461" i="13"/>
  <c r="J445" i="13"/>
  <c r="O445" i="13" s="1"/>
  <c r="J429" i="13"/>
  <c r="O429" i="13" s="1"/>
  <c r="J413" i="13"/>
  <c r="O413" i="13" s="1"/>
  <c r="J397" i="13"/>
  <c r="O397" i="13" s="1"/>
  <c r="J381" i="13"/>
  <c r="O381" i="13" s="1"/>
  <c r="J365" i="13"/>
  <c r="O365" i="13" s="1"/>
  <c r="J349" i="13"/>
  <c r="O349" i="13" s="1"/>
  <c r="J333" i="13"/>
  <c r="O333" i="13" s="1"/>
  <c r="J317" i="13"/>
  <c r="O317" i="13" s="1"/>
  <c r="J301" i="13"/>
  <c r="O301" i="13" s="1"/>
  <c r="J285" i="13"/>
  <c r="J269" i="13"/>
  <c r="O269" i="13" s="1"/>
  <c r="J257" i="13"/>
  <c r="J249" i="13"/>
  <c r="J241" i="13"/>
  <c r="O241" i="13" s="1"/>
  <c r="J233" i="13"/>
  <c r="O233" i="13" s="1"/>
  <c r="J225" i="13"/>
  <c r="O225" i="13" s="1"/>
  <c r="J221" i="13"/>
  <c r="O221" i="13" s="1"/>
  <c r="J217" i="13"/>
  <c r="O217" i="13" s="1"/>
  <c r="J213" i="13"/>
  <c r="O213" i="13" s="1"/>
  <c r="J209" i="13"/>
  <c r="O209" i="13" s="1"/>
  <c r="J205" i="13"/>
  <c r="O205" i="13" s="1"/>
  <c r="J201" i="13"/>
  <c r="O201" i="13" s="1"/>
  <c r="J197" i="13"/>
  <c r="O197" i="13" s="1"/>
  <c r="J193" i="13"/>
  <c r="O193" i="13" s="1"/>
  <c r="J189" i="13"/>
  <c r="O189" i="13" s="1"/>
  <c r="J185" i="13"/>
  <c r="O185" i="13" s="1"/>
  <c r="J181" i="13"/>
  <c r="O181" i="13" s="1"/>
  <c r="J177" i="13"/>
  <c r="O177" i="13" s="1"/>
  <c r="J173" i="13"/>
  <c r="O173" i="13" s="1"/>
  <c r="J169" i="13"/>
  <c r="O169" i="13" s="1"/>
  <c r="J165" i="13"/>
  <c r="O165" i="13" s="1"/>
  <c r="J161" i="13"/>
  <c r="O161" i="13" s="1"/>
  <c r="J157" i="13"/>
  <c r="O157" i="13" s="1"/>
  <c r="J153" i="13"/>
  <c r="O153" i="13" s="1"/>
  <c r="J149" i="13"/>
  <c r="O149" i="13" s="1"/>
  <c r="J145" i="13"/>
  <c r="O145" i="13" s="1"/>
  <c r="J141" i="13"/>
  <c r="O141" i="13" s="1"/>
  <c r="J137" i="13"/>
  <c r="J133" i="13"/>
  <c r="O133" i="13" s="1"/>
  <c r="J129" i="13"/>
  <c r="O129" i="13" s="1"/>
  <c r="J125" i="13"/>
  <c r="O125" i="13" s="1"/>
  <c r="J121" i="13"/>
  <c r="O121" i="13" s="1"/>
  <c r="J117" i="13"/>
  <c r="J113" i="13"/>
  <c r="O113" i="13" s="1"/>
  <c r="J109" i="13"/>
  <c r="O109" i="13" s="1"/>
  <c r="J105" i="13"/>
  <c r="O105" i="13" s="1"/>
  <c r="J101" i="13"/>
  <c r="O101" i="13" s="1"/>
  <c r="J97" i="13"/>
  <c r="O97" i="13" s="1"/>
  <c r="J93" i="13"/>
  <c r="O93" i="13" s="1"/>
  <c r="J89" i="13"/>
  <c r="O89" i="13" s="1"/>
  <c r="J85" i="13"/>
  <c r="O85" i="13" s="1"/>
  <c r="O81" i="13"/>
  <c r="O77" i="13"/>
  <c r="J553" i="13"/>
  <c r="O553" i="13" s="1"/>
  <c r="J537" i="13"/>
  <c r="O537" i="13" s="1"/>
  <c r="J521" i="13"/>
  <c r="O521" i="13" s="1"/>
  <c r="M521" i="13" s="1" a="1"/>
  <c r="M521" i="13" s="1"/>
  <c r="J505" i="13"/>
  <c r="O505" i="13" s="1"/>
  <c r="J489" i="13"/>
  <c r="O489" i="13" s="1"/>
  <c r="J473" i="13"/>
  <c r="J457" i="13"/>
  <c r="J441" i="13"/>
  <c r="O441" i="13" s="1"/>
  <c r="J425" i="13"/>
  <c r="O425" i="13" s="1"/>
  <c r="J409" i="13"/>
  <c r="O409" i="13" s="1"/>
  <c r="J393" i="13"/>
  <c r="O393" i="13" s="1"/>
  <c r="J377" i="13"/>
  <c r="J361" i="13"/>
  <c r="O361" i="13" s="1"/>
  <c r="M361" i="13" s="1" a="1"/>
  <c r="M361" i="13" s="1"/>
  <c r="J345" i="13"/>
  <c r="O345" i="13" s="1"/>
  <c r="J329" i="13"/>
  <c r="O329" i="13" s="1"/>
  <c r="J313" i="13"/>
  <c r="O313" i="13" s="1"/>
  <c r="J297" i="13"/>
  <c r="J281" i="13"/>
  <c r="O281" i="13" s="1"/>
  <c r="J265" i="13"/>
  <c r="J255" i="13"/>
  <c r="O255" i="13" s="1"/>
  <c r="J247" i="13"/>
  <c r="O247" i="13" s="1"/>
  <c r="J239" i="13"/>
  <c r="O239" i="13" s="1"/>
  <c r="J231" i="13"/>
  <c r="O231" i="13" s="1"/>
  <c r="J224" i="13"/>
  <c r="O224" i="13" s="1"/>
  <c r="J220" i="13"/>
  <c r="O220" i="13" s="1"/>
  <c r="J216" i="13"/>
  <c r="O216" i="13" s="1"/>
  <c r="J212" i="13"/>
  <c r="O212" i="13" s="1"/>
  <c r="J208" i="13"/>
  <c r="O208" i="13" s="1"/>
  <c r="J204" i="13"/>
  <c r="O204" i="13" s="1"/>
  <c r="J200" i="13"/>
  <c r="O200" i="13" s="1"/>
  <c r="J196" i="13"/>
  <c r="O196" i="13" s="1"/>
  <c r="J192" i="13"/>
  <c r="O192" i="13" s="1"/>
  <c r="J188" i="13"/>
  <c r="O188" i="13" s="1"/>
  <c r="J184" i="13"/>
  <c r="O184" i="13" s="1"/>
  <c r="J180" i="13"/>
  <c r="O180" i="13" s="1"/>
  <c r="J176" i="13"/>
  <c r="O176" i="13" s="1"/>
  <c r="J172" i="13"/>
  <c r="J168" i="13"/>
  <c r="O168" i="13" s="1"/>
  <c r="J164" i="13"/>
  <c r="O164" i="13" s="1"/>
  <c r="J160" i="13"/>
  <c r="O160" i="13" s="1"/>
  <c r="J156" i="13"/>
  <c r="O156" i="13" s="1"/>
  <c r="J152" i="13"/>
  <c r="O152" i="13" s="1"/>
  <c r="J148" i="13"/>
  <c r="O148" i="13" s="1"/>
  <c r="J144" i="13"/>
  <c r="O144" i="13" s="1"/>
  <c r="J140" i="13"/>
  <c r="O140" i="13" s="1"/>
  <c r="J136" i="13"/>
  <c r="O136" i="13" s="1"/>
  <c r="J132" i="13"/>
  <c r="O132" i="13" s="1"/>
  <c r="J128" i="13"/>
  <c r="O128" i="13" s="1"/>
  <c r="J124" i="13"/>
  <c r="O124" i="13" s="1"/>
  <c r="J120" i="13"/>
  <c r="O120" i="13" s="1"/>
  <c r="J116" i="13"/>
  <c r="O116" i="13" s="1"/>
  <c r="J112" i="13"/>
  <c r="O112" i="13" s="1"/>
  <c r="J108" i="13"/>
  <c r="O108" i="13" s="1"/>
  <c r="J104" i="13"/>
  <c r="O104" i="13" s="1"/>
  <c r="J100" i="13"/>
  <c r="O100" i="13" s="1"/>
  <c r="J96" i="13"/>
  <c r="O96" i="13" s="1"/>
  <c r="J92" i="13"/>
  <c r="O92" i="13" s="1"/>
  <c r="J88" i="13"/>
  <c r="O88" i="13" s="1"/>
  <c r="J84" i="13"/>
  <c r="O84" i="13" s="1"/>
  <c r="O80" i="13"/>
  <c r="O76" i="13"/>
  <c r="J549" i="13"/>
  <c r="O549" i="13" s="1"/>
  <c r="J485" i="13"/>
  <c r="O485" i="13" s="1"/>
  <c r="J421" i="13"/>
  <c r="J357" i="13"/>
  <c r="O357" i="13" s="1"/>
  <c r="J293" i="13"/>
  <c r="O293" i="13" s="1"/>
  <c r="J245" i="13"/>
  <c r="O245" i="13" s="1"/>
  <c r="J219" i="13"/>
  <c r="O219" i="13" s="1"/>
  <c r="J203" i="13"/>
  <c r="O203" i="13" s="1"/>
  <c r="J187" i="13"/>
  <c r="O187" i="13" s="1"/>
  <c r="J171" i="13"/>
  <c r="O171" i="13" s="1"/>
  <c r="J155" i="13"/>
  <c r="O155" i="13" s="1"/>
  <c r="J139" i="13"/>
  <c r="O139" i="13" s="1"/>
  <c r="J123" i="13"/>
  <c r="O123" i="13" s="1"/>
  <c r="J107" i="13"/>
  <c r="J91" i="13"/>
  <c r="O91" i="13" s="1"/>
  <c r="O75" i="13"/>
  <c r="J175" i="13"/>
  <c r="O175" i="13" s="1"/>
  <c r="J111" i="13"/>
  <c r="O111" i="13" s="1"/>
  <c r="O79" i="13"/>
  <c r="J533" i="13"/>
  <c r="O533" i="13" s="1"/>
  <c r="M533" i="13" s="1" a="1"/>
  <c r="M533" i="13" s="1"/>
  <c r="J469" i="13"/>
  <c r="J405" i="13"/>
  <c r="O405" i="13" s="1"/>
  <c r="J341" i="13"/>
  <c r="O341" i="13" s="1"/>
  <c r="J277" i="13"/>
  <c r="O277" i="13" s="1"/>
  <c r="J237" i="13"/>
  <c r="O237" i="13" s="1"/>
  <c r="J215" i="13"/>
  <c r="O215" i="13" s="1"/>
  <c r="J199" i="13"/>
  <c r="O199" i="13" s="1"/>
  <c r="J183" i="13"/>
  <c r="O183" i="13" s="1"/>
  <c r="J167" i="13"/>
  <c r="O167" i="13" s="1"/>
  <c r="J151" i="13"/>
  <c r="O151" i="13" s="1"/>
  <c r="J135" i="13"/>
  <c r="O135" i="13" s="1"/>
  <c r="J119" i="13"/>
  <c r="J103" i="13"/>
  <c r="O103" i="13" s="1"/>
  <c r="J87" i="13"/>
  <c r="O87" i="13" s="1"/>
  <c r="J207" i="13"/>
  <c r="O207" i="13" s="1"/>
  <c r="J517" i="13"/>
  <c r="O517" i="13" s="1"/>
  <c r="M517" i="13" s="1" a="1"/>
  <c r="M517" i="13" s="1"/>
  <c r="J453" i="13"/>
  <c r="J389" i="13"/>
  <c r="O389" i="13" s="1"/>
  <c r="J325" i="13"/>
  <c r="O325" i="13" s="1"/>
  <c r="J261" i="13"/>
  <c r="O261" i="13" s="1"/>
  <c r="J229" i="13"/>
  <c r="O229" i="13" s="1"/>
  <c r="J211" i="13"/>
  <c r="O211" i="13" s="1"/>
  <c r="J195" i="13"/>
  <c r="O195" i="13" s="1"/>
  <c r="J179" i="13"/>
  <c r="O179" i="13" s="1"/>
  <c r="J163" i="13"/>
  <c r="O163" i="13" s="1"/>
  <c r="J147" i="13"/>
  <c r="O147" i="13" s="1"/>
  <c r="J131" i="13"/>
  <c r="O131" i="13" s="1"/>
  <c r="J115" i="13"/>
  <c r="O115" i="13" s="1"/>
  <c r="J99" i="13"/>
  <c r="O99" i="13" s="1"/>
  <c r="J83" i="13"/>
  <c r="O83" i="13" s="1"/>
  <c r="J501" i="13"/>
  <c r="O501" i="13" s="1"/>
  <c r="J437" i="13"/>
  <c r="O437" i="13" s="1"/>
  <c r="J373" i="13"/>
  <c r="O373" i="13" s="1"/>
  <c r="J309" i="13"/>
  <c r="O309" i="13" s="1"/>
  <c r="J253" i="13"/>
  <c r="O253" i="13" s="1"/>
  <c r="J223" i="13"/>
  <c r="O223" i="13" s="1"/>
  <c r="J191" i="13"/>
  <c r="O191" i="13" s="1"/>
  <c r="J159" i="13"/>
  <c r="O159" i="13" s="1"/>
  <c r="J143" i="13"/>
  <c r="O143" i="13" s="1"/>
  <c r="J127" i="13"/>
  <c r="O127" i="13" s="1"/>
  <c r="J95" i="13"/>
  <c r="O95" i="13" s="1"/>
  <c r="J71" i="13"/>
  <c r="O71" i="13" s="1"/>
  <c r="J67" i="13"/>
  <c r="O67" i="13" s="1"/>
  <c r="J63" i="13"/>
  <c r="O63" i="13" s="1"/>
  <c r="J59" i="13"/>
  <c r="O59" i="13" s="1"/>
  <c r="J55" i="13"/>
  <c r="O55" i="13" s="1"/>
  <c r="J51" i="13"/>
  <c r="O51" i="13" s="1"/>
  <c r="J47" i="13"/>
  <c r="J43" i="13"/>
  <c r="O43" i="13" s="1"/>
  <c r="J65" i="13"/>
  <c r="O65" i="13" s="1"/>
  <c r="J57" i="13"/>
  <c r="O57" i="13" s="1"/>
  <c r="J49" i="13"/>
  <c r="O49" i="13" s="1"/>
  <c r="J45" i="13"/>
  <c r="O45" i="13" s="1"/>
  <c r="J64" i="13"/>
  <c r="O64" i="13" s="1"/>
  <c r="J56" i="13"/>
  <c r="O56" i="13" s="1"/>
  <c r="J48" i="13"/>
  <c r="J40" i="13"/>
  <c r="O40" i="13" s="1"/>
  <c r="J70" i="13"/>
  <c r="O70" i="13" s="1"/>
  <c r="J66" i="13"/>
  <c r="O66" i="13" s="1"/>
  <c r="J62" i="13"/>
  <c r="J58" i="13"/>
  <c r="O58" i="13" s="1"/>
  <c r="J54" i="13"/>
  <c r="O54" i="13" s="1"/>
  <c r="J50" i="13"/>
  <c r="J46" i="13"/>
  <c r="J42" i="13"/>
  <c r="O42" i="13" s="1"/>
  <c r="J69" i="13"/>
  <c r="O69" i="13" s="1"/>
  <c r="J61" i="13"/>
  <c r="O61" i="13" s="1"/>
  <c r="J53" i="13"/>
  <c r="O53" i="13" s="1"/>
  <c r="J41" i="13"/>
  <c r="O41" i="13" s="1"/>
  <c r="J68" i="13"/>
  <c r="O68" i="13" s="1"/>
  <c r="J60" i="13"/>
  <c r="O60" i="13" s="1"/>
  <c r="J52" i="13"/>
  <c r="O52" i="13" s="1"/>
  <c r="J44" i="13"/>
  <c r="O44" i="13" s="1"/>
  <c r="M639" i="13" a="1"/>
  <c r="M639" i="13" s="1"/>
  <c r="M635" i="13" a="1"/>
  <c r="M635" i="13" s="1"/>
  <c r="M636" i="13" a="1"/>
  <c r="M636" i="13" s="1"/>
  <c r="M641" i="13" a="1"/>
  <c r="M641" i="13" s="1"/>
  <c r="M637" i="13" a="1"/>
  <c r="M637" i="13" s="1"/>
  <c r="M634" i="13" a="1"/>
  <c r="M634" i="13" s="1"/>
  <c r="M642" i="13" a="1"/>
  <c r="M642" i="13" s="1"/>
  <c r="M638" i="13" a="1"/>
  <c r="M638" i="13" s="1"/>
  <c r="M630" i="13" a="1"/>
  <c r="M630" i="13" s="1"/>
  <c r="M628" i="13" a="1"/>
  <c r="M628" i="13" s="1"/>
  <c r="M632" i="13" a="1"/>
  <c r="M632" i="13" s="1"/>
  <c r="M631" i="13" a="1"/>
  <c r="M631" i="13" s="1"/>
  <c r="M629" i="13" a="1"/>
  <c r="M629" i="13" s="1"/>
  <c r="M624" i="13" a="1"/>
  <c r="M624" i="13" s="1"/>
  <c r="M626" i="13" a="1"/>
  <c r="M626" i="13" s="1"/>
  <c r="M623" i="13" a="1"/>
  <c r="M623" i="13" s="1"/>
  <c r="M625" i="13" a="1"/>
  <c r="M625" i="13" s="1"/>
  <c r="M601" i="13" a="1"/>
  <c r="M601" i="13" s="1"/>
  <c r="M618" i="13" a="1"/>
  <c r="M618" i="13" s="1"/>
  <c r="M616" i="13" a="1"/>
  <c r="M616" i="13" s="1"/>
  <c r="M620" i="13" a="1"/>
  <c r="M620" i="13" s="1"/>
  <c r="M614" i="13" a="1"/>
  <c r="M614" i="13" s="1"/>
  <c r="M612" i="13" a="1"/>
  <c r="M612" i="13" s="1"/>
  <c r="M617" i="13" a="1"/>
  <c r="M617" i="13" s="1"/>
  <c r="M615" i="13" a="1"/>
  <c r="M615" i="13" s="1"/>
  <c r="M611" i="13" a="1"/>
  <c r="M611" i="13" s="1"/>
  <c r="M619" i="13" a="1"/>
  <c r="M619" i="13" s="1"/>
  <c r="M613" i="13" a="1"/>
  <c r="M613" i="13" s="1"/>
  <c r="M593" i="13" a="1"/>
  <c r="M593" i="13" s="1"/>
  <c r="M590" i="13" a="1"/>
  <c r="M590" i="13" s="1"/>
  <c r="M588" i="13" a="1"/>
  <c r="M588" i="13" s="1"/>
  <c r="M589" i="13" a="1"/>
  <c r="M589" i="13" s="1"/>
  <c r="M582" i="13" a="1"/>
  <c r="M582" i="13" s="1"/>
  <c r="K15" i="13"/>
  <c r="O15" i="13"/>
  <c r="C15" i="13"/>
  <c r="K8" i="15"/>
  <c r="O72" i="13"/>
  <c r="O73" i="13"/>
  <c r="J39" i="13"/>
  <c r="O39" i="13" s="1"/>
  <c r="AQ20" i="15"/>
  <c r="AQ21" i="15" s="1"/>
  <c r="AR21" i="15" s="1"/>
  <c r="AR19" i="15"/>
  <c r="AI30" i="15" s="1"/>
  <c r="BA333" i="46"/>
  <c r="AW333" i="46"/>
  <c r="AS333" i="46"/>
  <c r="AO333" i="46"/>
  <c r="BA332" i="46"/>
  <c r="AW332" i="46"/>
  <c r="AS332" i="46"/>
  <c r="AO332" i="46"/>
  <c r="BA331" i="46"/>
  <c r="AW331" i="46"/>
  <c r="AS331" i="46"/>
  <c r="AO331" i="46"/>
  <c r="BA330" i="46"/>
  <c r="AW330" i="46"/>
  <c r="AS330" i="46"/>
  <c r="AO330" i="46"/>
  <c r="BA329" i="46"/>
  <c r="AW329" i="46"/>
  <c r="AS329" i="46"/>
  <c r="AO329" i="46"/>
  <c r="BA328" i="46"/>
  <c r="AW328" i="46"/>
  <c r="AS328" i="46"/>
  <c r="AO328" i="46"/>
  <c r="BA327" i="46"/>
  <c r="AW327" i="46"/>
  <c r="AS327" i="46"/>
  <c r="AO327" i="46"/>
  <c r="BA326" i="46"/>
  <c r="AW326" i="46"/>
  <c r="AS326" i="46"/>
  <c r="AO326" i="46"/>
  <c r="BA325" i="46"/>
  <c r="AW325" i="46"/>
  <c r="AS325" i="46"/>
  <c r="AO325" i="46"/>
  <c r="BA324" i="46"/>
  <c r="AW324" i="46"/>
  <c r="AS324" i="46"/>
  <c r="AO324" i="46"/>
  <c r="BA323" i="46"/>
  <c r="AW323" i="46"/>
  <c r="AS323" i="46"/>
  <c r="AO323" i="46"/>
  <c r="BA322" i="46"/>
  <c r="AW322" i="46"/>
  <c r="AS322" i="46"/>
  <c r="AO322" i="46"/>
  <c r="BA321" i="46"/>
  <c r="AW321" i="46"/>
  <c r="AS321" i="46"/>
  <c r="AO321" i="46"/>
  <c r="BA320" i="46"/>
  <c r="AW320" i="46"/>
  <c r="AS320" i="46"/>
  <c r="AO320" i="46"/>
  <c r="BA319" i="46"/>
  <c r="AW319" i="46"/>
  <c r="AS319" i="46"/>
  <c r="AO319" i="46"/>
  <c r="BA318" i="46"/>
  <c r="AW318" i="46"/>
  <c r="AS318" i="46"/>
  <c r="AO318" i="46"/>
  <c r="BA317" i="46"/>
  <c r="AW317" i="46"/>
  <c r="AS317" i="46"/>
  <c r="AO317" i="46"/>
  <c r="BA316" i="46"/>
  <c r="AW316" i="46"/>
  <c r="AS316" i="46"/>
  <c r="AO316" i="46"/>
  <c r="BA315" i="46"/>
  <c r="AW315" i="46"/>
  <c r="AS315" i="46"/>
  <c r="AO315" i="46"/>
  <c r="BA314" i="46"/>
  <c r="AW314" i="46"/>
  <c r="AS314" i="46"/>
  <c r="AO314" i="46"/>
  <c r="BA313" i="46"/>
  <c r="AW313" i="46"/>
  <c r="AS313" i="46"/>
  <c r="AO313" i="46"/>
  <c r="BA312" i="46"/>
  <c r="AW312" i="46"/>
  <c r="AS312" i="46"/>
  <c r="AO312" i="46"/>
  <c r="BA311" i="46"/>
  <c r="AW311" i="46"/>
  <c r="AS311" i="46"/>
  <c r="AO311" i="46"/>
  <c r="BA310" i="46"/>
  <c r="AW310" i="46"/>
  <c r="AS310" i="46"/>
  <c r="AO310" i="46"/>
  <c r="BA309" i="46"/>
  <c r="AW309" i="46"/>
  <c r="AS309" i="46"/>
  <c r="AO309" i="46"/>
  <c r="BA308" i="46"/>
  <c r="AW308" i="46"/>
  <c r="AS308" i="46"/>
  <c r="AO308" i="46"/>
  <c r="BA307" i="46"/>
  <c r="AW307" i="46"/>
  <c r="AS307" i="46"/>
  <c r="AO307" i="46"/>
  <c r="BA306" i="46"/>
  <c r="AW306" i="46"/>
  <c r="AS306" i="46"/>
  <c r="AO306" i="46"/>
  <c r="BA305" i="46"/>
  <c r="AW305" i="46"/>
  <c r="AS305" i="46"/>
  <c r="AO305" i="46"/>
  <c r="BA304" i="46"/>
  <c r="AW304" i="46"/>
  <c r="AS304" i="46"/>
  <c r="AO304" i="46"/>
  <c r="BA303" i="46"/>
  <c r="AW303" i="46"/>
  <c r="AS303" i="46"/>
  <c r="AO303" i="46"/>
  <c r="BA302" i="46"/>
  <c r="AW302" i="46"/>
  <c r="AS302" i="46"/>
  <c r="AO302" i="46"/>
  <c r="BA301" i="46"/>
  <c r="AW301" i="46"/>
  <c r="AS301" i="46"/>
  <c r="AO301" i="46"/>
  <c r="BA300" i="46"/>
  <c r="AW300" i="46"/>
  <c r="AS300" i="46"/>
  <c r="AO300" i="46"/>
  <c r="BA299" i="46"/>
  <c r="AW299" i="46"/>
  <c r="AS299" i="46"/>
  <c r="AO299" i="46"/>
  <c r="BA298" i="46"/>
  <c r="AW298" i="46"/>
  <c r="AS298" i="46"/>
  <c r="AO298" i="46"/>
  <c r="BA297" i="46"/>
  <c r="AW297" i="46"/>
  <c r="AS297" i="46"/>
  <c r="AO297" i="46"/>
  <c r="BA296" i="46"/>
  <c r="AW296" i="46"/>
  <c r="AS296" i="46"/>
  <c r="AO296" i="46"/>
  <c r="BA295" i="46"/>
  <c r="AW295" i="46"/>
  <c r="AS295" i="46"/>
  <c r="AO295" i="46"/>
  <c r="BA294" i="46"/>
  <c r="AW294" i="46"/>
  <c r="AS294" i="46"/>
  <c r="AO294" i="46"/>
  <c r="BA293" i="46"/>
  <c r="AW293" i="46"/>
  <c r="AS293" i="46"/>
  <c r="AO293" i="46"/>
  <c r="BA292" i="46"/>
  <c r="AW292" i="46"/>
  <c r="AS292" i="46"/>
  <c r="AO292" i="46"/>
  <c r="BA291" i="46"/>
  <c r="AW291" i="46"/>
  <c r="AS291" i="46"/>
  <c r="AO291" i="46"/>
  <c r="BA290" i="46"/>
  <c r="AW290" i="46"/>
  <c r="AS290" i="46"/>
  <c r="AO290" i="46"/>
  <c r="BA289" i="46"/>
  <c r="AW289" i="46"/>
  <c r="AS289" i="46"/>
  <c r="AO289" i="46"/>
  <c r="BA288" i="46"/>
  <c r="AW288" i="46"/>
  <c r="AS288" i="46"/>
  <c r="AO288" i="46"/>
  <c r="BA287" i="46"/>
  <c r="AW287" i="46"/>
  <c r="AS287" i="46"/>
  <c r="AO287" i="46"/>
  <c r="BA286" i="46"/>
  <c r="AW286" i="46"/>
  <c r="AS286" i="46"/>
  <c r="AO286" i="46"/>
  <c r="BA285" i="46"/>
  <c r="AW285" i="46"/>
  <c r="AS285" i="46"/>
  <c r="AO285" i="46"/>
  <c r="BA284" i="46"/>
  <c r="AW284" i="46"/>
  <c r="AS284" i="46"/>
  <c r="AO284" i="46"/>
  <c r="BA283" i="46"/>
  <c r="AW283" i="46"/>
  <c r="AS283" i="46"/>
  <c r="AO283" i="46"/>
  <c r="BA282" i="46"/>
  <c r="AW282" i="46"/>
  <c r="AS282" i="46"/>
  <c r="AO282" i="46"/>
  <c r="BA281" i="46"/>
  <c r="AW281" i="46"/>
  <c r="AS281" i="46"/>
  <c r="AO281" i="46"/>
  <c r="BA280" i="46"/>
  <c r="AW280" i="46"/>
  <c r="AS280" i="46"/>
  <c r="AO280" i="46"/>
  <c r="BA279" i="46"/>
  <c r="AW279" i="46"/>
  <c r="AS279" i="46"/>
  <c r="AO279" i="46"/>
  <c r="BA278" i="46"/>
  <c r="AW278" i="46"/>
  <c r="AS278" i="46"/>
  <c r="AO278" i="46"/>
  <c r="BA277" i="46"/>
  <c r="AW277" i="46"/>
  <c r="AS277" i="46"/>
  <c r="AO277" i="46"/>
  <c r="BA276" i="46"/>
  <c r="AW276" i="46"/>
  <c r="AS276" i="46"/>
  <c r="AO276" i="46"/>
  <c r="BA275" i="46"/>
  <c r="AW275" i="46"/>
  <c r="AS275" i="46"/>
  <c r="AO275" i="46"/>
  <c r="BA274" i="46"/>
  <c r="AW274" i="46"/>
  <c r="AS274" i="46"/>
  <c r="AO274" i="46"/>
  <c r="BA273" i="46"/>
  <c r="AW273" i="46"/>
  <c r="AS273" i="46"/>
  <c r="AO273" i="46"/>
  <c r="BA272" i="46"/>
  <c r="AW272" i="46"/>
  <c r="AS272" i="46"/>
  <c r="AO272" i="46"/>
  <c r="BA271" i="46"/>
  <c r="AX333" i="46"/>
  <c r="AR333" i="46"/>
  <c r="AM333" i="46"/>
  <c r="AX332" i="46"/>
  <c r="AR332" i="46"/>
  <c r="AM332" i="46"/>
  <c r="AX331" i="46"/>
  <c r="AR331" i="46"/>
  <c r="AM331" i="46"/>
  <c r="AX330" i="46"/>
  <c r="AR330" i="46"/>
  <c r="AM330" i="46"/>
  <c r="AX329" i="46"/>
  <c r="AR329" i="46"/>
  <c r="AM329" i="46"/>
  <c r="AX328" i="46"/>
  <c r="AR328" i="46"/>
  <c r="AM328" i="46"/>
  <c r="AX327" i="46"/>
  <c r="AR327" i="46"/>
  <c r="AM327" i="46"/>
  <c r="AX326" i="46"/>
  <c r="AR326" i="46"/>
  <c r="AM326" i="46"/>
  <c r="AX325" i="46"/>
  <c r="AR325" i="46"/>
  <c r="AM325" i="46"/>
  <c r="AX324" i="46"/>
  <c r="AR324" i="46"/>
  <c r="AM324" i="46"/>
  <c r="AX323" i="46"/>
  <c r="AR323" i="46"/>
  <c r="AM323" i="46"/>
  <c r="AX322" i="46"/>
  <c r="AR322" i="46"/>
  <c r="AM322" i="46"/>
  <c r="AX321" i="46"/>
  <c r="AR321" i="46"/>
  <c r="AM321" i="46"/>
  <c r="AX320" i="46"/>
  <c r="AR320" i="46"/>
  <c r="AM320" i="46"/>
  <c r="AX319" i="46"/>
  <c r="AR319" i="46"/>
  <c r="AM319" i="46"/>
  <c r="AX318" i="46"/>
  <c r="AR318" i="46"/>
  <c r="AM318" i="46"/>
  <c r="AX317" i="46"/>
  <c r="AR317" i="46"/>
  <c r="AM317" i="46"/>
  <c r="AX316" i="46"/>
  <c r="AR316" i="46"/>
  <c r="AM316" i="46"/>
  <c r="AX315" i="46"/>
  <c r="AR315" i="46"/>
  <c r="AM315" i="46"/>
  <c r="AX314" i="46"/>
  <c r="AR314" i="46"/>
  <c r="AM314" i="46"/>
  <c r="AX313" i="46"/>
  <c r="AR313" i="46"/>
  <c r="AM313" i="46"/>
  <c r="AX312" i="46"/>
  <c r="AR312" i="46"/>
  <c r="AM312" i="46"/>
  <c r="AX311" i="46"/>
  <c r="AR311" i="46"/>
  <c r="AM311" i="46"/>
  <c r="AX310" i="46"/>
  <c r="AR310" i="46"/>
  <c r="AM310" i="46"/>
  <c r="AX309" i="46"/>
  <c r="AR309" i="46"/>
  <c r="AM309" i="46"/>
  <c r="AX308" i="46"/>
  <c r="AR308" i="46"/>
  <c r="AM308" i="46"/>
  <c r="AX307" i="46"/>
  <c r="AR307" i="46"/>
  <c r="AM307" i="46"/>
  <c r="AX306" i="46"/>
  <c r="AR306" i="46"/>
  <c r="AM306" i="46"/>
  <c r="AX305" i="46"/>
  <c r="AR305" i="46"/>
  <c r="AM305" i="46"/>
  <c r="AX304" i="46"/>
  <c r="AR304" i="46"/>
  <c r="AM304" i="46"/>
  <c r="AX303" i="46"/>
  <c r="AR303" i="46"/>
  <c r="AM303" i="46"/>
  <c r="AX302" i="46"/>
  <c r="AR302" i="46"/>
  <c r="AM302" i="46"/>
  <c r="AX301" i="46"/>
  <c r="AR301" i="46"/>
  <c r="AM301" i="46"/>
  <c r="AX300" i="46"/>
  <c r="AR300" i="46"/>
  <c r="AM300" i="46"/>
  <c r="AX299" i="46"/>
  <c r="AR299" i="46"/>
  <c r="AM299" i="46"/>
  <c r="AX298" i="46"/>
  <c r="AR298" i="46"/>
  <c r="AM298" i="46"/>
  <c r="AX297" i="46"/>
  <c r="AR297" i="46"/>
  <c r="AM297" i="46"/>
  <c r="AX296" i="46"/>
  <c r="AR296" i="46"/>
  <c r="AM296" i="46"/>
  <c r="AX295" i="46"/>
  <c r="AR295" i="46"/>
  <c r="AM295" i="46"/>
  <c r="AX294" i="46"/>
  <c r="AR294" i="46"/>
  <c r="AM294" i="46"/>
  <c r="AX293" i="46"/>
  <c r="AR293" i="46"/>
  <c r="AM293" i="46"/>
  <c r="AX292" i="46"/>
  <c r="AR292" i="46"/>
  <c r="AM292" i="46"/>
  <c r="AX291" i="46"/>
  <c r="AR291" i="46"/>
  <c r="AM291" i="46"/>
  <c r="AX290" i="46"/>
  <c r="AR290" i="46"/>
  <c r="AM290" i="46"/>
  <c r="AX289" i="46"/>
  <c r="AR289" i="46"/>
  <c r="AM289" i="46"/>
  <c r="AX288" i="46"/>
  <c r="AR288" i="46"/>
  <c r="AM288" i="46"/>
  <c r="AX287" i="46"/>
  <c r="AR287" i="46"/>
  <c r="AM287" i="46"/>
  <c r="AX286" i="46"/>
  <c r="AR286" i="46"/>
  <c r="AM286" i="46"/>
  <c r="AX285" i="46"/>
  <c r="AR285" i="46"/>
  <c r="AM285" i="46"/>
  <c r="AX284" i="46"/>
  <c r="AR284" i="46"/>
  <c r="AM284" i="46"/>
  <c r="AX283" i="46"/>
  <c r="AR283" i="46"/>
  <c r="AM283" i="46"/>
  <c r="AX282" i="46"/>
  <c r="AR282" i="46"/>
  <c r="AM282" i="46"/>
  <c r="AX281" i="46"/>
  <c r="AR281" i="46"/>
  <c r="AM281" i="46"/>
  <c r="AX280" i="46"/>
  <c r="AR280" i="46"/>
  <c r="BB333" i="46"/>
  <c r="AV333" i="46"/>
  <c r="AQ333" i="46"/>
  <c r="BB332" i="46"/>
  <c r="AV332" i="46"/>
  <c r="AQ332" i="46"/>
  <c r="BB331" i="46"/>
  <c r="AV331" i="46"/>
  <c r="AQ331" i="46"/>
  <c r="BB330" i="46"/>
  <c r="AV330" i="46"/>
  <c r="AQ330" i="46"/>
  <c r="BB329" i="46"/>
  <c r="AV329" i="46"/>
  <c r="AQ329" i="46"/>
  <c r="BB328" i="46"/>
  <c r="AV328" i="46"/>
  <c r="AQ328" i="46"/>
  <c r="BB327" i="46"/>
  <c r="AV327" i="46"/>
  <c r="AQ327" i="46"/>
  <c r="BB326" i="46"/>
  <c r="AV326" i="46"/>
  <c r="AQ326" i="46"/>
  <c r="BB325" i="46"/>
  <c r="AV325" i="46"/>
  <c r="AQ325" i="46"/>
  <c r="BB324" i="46"/>
  <c r="AV324" i="46"/>
  <c r="AQ324" i="46"/>
  <c r="BB323" i="46"/>
  <c r="AV323" i="46"/>
  <c r="AQ323" i="46"/>
  <c r="BB322" i="46"/>
  <c r="AV322" i="46"/>
  <c r="AQ322" i="46"/>
  <c r="BB321" i="46"/>
  <c r="AV321" i="46"/>
  <c r="AQ321" i="46"/>
  <c r="BB320" i="46"/>
  <c r="AV320" i="46"/>
  <c r="AQ320" i="46"/>
  <c r="BB319" i="46"/>
  <c r="AV319" i="46"/>
  <c r="AQ319" i="46"/>
  <c r="BB318" i="46"/>
  <c r="AV318" i="46"/>
  <c r="AQ318" i="46"/>
  <c r="BB317" i="46"/>
  <c r="AV317" i="46"/>
  <c r="AQ317" i="46"/>
  <c r="BB316" i="46"/>
  <c r="AV316" i="46"/>
  <c r="AQ316" i="46"/>
  <c r="BB315" i="46"/>
  <c r="AV315" i="46"/>
  <c r="AQ315" i="46"/>
  <c r="BB314" i="46"/>
  <c r="AV314" i="46"/>
  <c r="AQ314" i="46"/>
  <c r="BB313" i="46"/>
  <c r="AV313" i="46"/>
  <c r="AQ313" i="46"/>
  <c r="BB312" i="46"/>
  <c r="AV312" i="46"/>
  <c r="AQ312" i="46"/>
  <c r="BB311" i="46"/>
  <c r="AV311" i="46"/>
  <c r="AQ311" i="46"/>
  <c r="BB310" i="46"/>
  <c r="AZ333" i="46"/>
  <c r="AU333" i="46"/>
  <c r="AP333" i="46"/>
  <c r="AZ332" i="46"/>
  <c r="AU332" i="46"/>
  <c r="AP332" i="46"/>
  <c r="AZ331" i="46"/>
  <c r="AU331" i="46"/>
  <c r="AP331" i="46"/>
  <c r="AZ330" i="46"/>
  <c r="AU330" i="46"/>
  <c r="AP330" i="46"/>
  <c r="AZ329" i="46"/>
  <c r="AU329" i="46"/>
  <c r="AP329" i="46"/>
  <c r="AZ328" i="46"/>
  <c r="AU328" i="46"/>
  <c r="AP328" i="46"/>
  <c r="AZ327" i="46"/>
  <c r="AU327" i="46"/>
  <c r="AP327" i="46"/>
  <c r="AZ326" i="46"/>
  <c r="AU326" i="46"/>
  <c r="AP326" i="46"/>
  <c r="AZ325" i="46"/>
  <c r="AU325" i="46"/>
  <c r="AP325" i="46"/>
  <c r="AZ324" i="46"/>
  <c r="AU324" i="46"/>
  <c r="AP324" i="46"/>
  <c r="AZ323" i="46"/>
  <c r="AU323" i="46"/>
  <c r="AP323" i="46"/>
  <c r="AZ322" i="46"/>
  <c r="AU322" i="46"/>
  <c r="AP322" i="46"/>
  <c r="AZ321" i="46"/>
  <c r="AU321" i="46"/>
  <c r="AP321" i="46"/>
  <c r="AZ320" i="46"/>
  <c r="AU320" i="46"/>
  <c r="AP320" i="46"/>
  <c r="AZ319" i="46"/>
  <c r="AU319" i="46"/>
  <c r="AP319" i="46"/>
  <c r="AZ318" i="46"/>
  <c r="AU318" i="46"/>
  <c r="AP318" i="46"/>
  <c r="AZ317" i="46"/>
  <c r="AU317" i="46"/>
  <c r="AP317" i="46"/>
  <c r="AZ316" i="46"/>
  <c r="AU316" i="46"/>
  <c r="AP316" i="46"/>
  <c r="AZ315" i="46"/>
  <c r="AU315" i="46"/>
  <c r="AP315" i="46"/>
  <c r="AZ314" i="46"/>
  <c r="AU314" i="46"/>
  <c r="AP314" i="46"/>
  <c r="AZ313" i="46"/>
  <c r="AU313" i="46"/>
  <c r="AP313" i="46"/>
  <c r="AZ312" i="46"/>
  <c r="AU312" i="46"/>
  <c r="AP312" i="46"/>
  <c r="AZ311" i="46"/>
  <c r="AU311" i="46"/>
  <c r="AP311" i="46"/>
  <c r="AZ310" i="46"/>
  <c r="AU310" i="46"/>
  <c r="AP310" i="46"/>
  <c r="AZ309" i="46"/>
  <c r="AU309" i="46"/>
  <c r="AP309" i="46"/>
  <c r="AZ308" i="46"/>
  <c r="AU308" i="46"/>
  <c r="AP308" i="46"/>
  <c r="AZ307" i="46"/>
  <c r="AU307" i="46"/>
  <c r="AP307" i="46"/>
  <c r="AZ306" i="46"/>
  <c r="AU306" i="46"/>
  <c r="AP306" i="46"/>
  <c r="AZ305" i="46"/>
  <c r="AU305" i="46"/>
  <c r="AP305" i="46"/>
  <c r="AZ304" i="46"/>
  <c r="AU304" i="46"/>
  <c r="AP304" i="46"/>
  <c r="AZ303" i="46"/>
  <c r="AU303" i="46"/>
  <c r="AP303" i="46"/>
  <c r="AZ302" i="46"/>
  <c r="AU302" i="46"/>
  <c r="AP302" i="46"/>
  <c r="AZ301" i="46"/>
  <c r="AU301" i="46"/>
  <c r="AP301" i="46"/>
  <c r="AZ300" i="46"/>
  <c r="AU300" i="46"/>
  <c r="AP300" i="46"/>
  <c r="AZ299" i="46"/>
  <c r="AU299" i="46"/>
  <c r="AP299" i="46"/>
  <c r="AZ298" i="46"/>
  <c r="AU298" i="46"/>
  <c r="AP298" i="46"/>
  <c r="AZ297" i="46"/>
  <c r="AU297" i="46"/>
  <c r="AP297" i="46"/>
  <c r="AZ296" i="46"/>
  <c r="AU296" i="46"/>
  <c r="AP296" i="46"/>
  <c r="AZ295" i="46"/>
  <c r="AU295" i="46"/>
  <c r="AP295" i="46"/>
  <c r="AZ294" i="46"/>
  <c r="AU294" i="46"/>
  <c r="AP294" i="46"/>
  <c r="AZ293" i="46"/>
  <c r="AU293" i="46"/>
  <c r="AP293" i="46"/>
  <c r="AZ292" i="46"/>
  <c r="AU292" i="46"/>
  <c r="AP292" i="46"/>
  <c r="AZ291" i="46"/>
  <c r="AU291" i="46"/>
  <c r="AP291" i="46"/>
  <c r="AZ290" i="46"/>
  <c r="AU290" i="46"/>
  <c r="AP290" i="46"/>
  <c r="AZ289" i="46"/>
  <c r="AU289" i="46"/>
  <c r="AP289" i="46"/>
  <c r="AZ288" i="46"/>
  <c r="AU288" i="46"/>
  <c r="AP288" i="46"/>
  <c r="AZ287" i="46"/>
  <c r="AU287" i="46"/>
  <c r="AP287" i="46"/>
  <c r="AZ286" i="46"/>
  <c r="AU286" i="46"/>
  <c r="AP286" i="46"/>
  <c r="AZ285" i="46"/>
  <c r="AU285" i="46"/>
  <c r="AP285" i="46"/>
  <c r="AZ284" i="46"/>
  <c r="AU284" i="46"/>
  <c r="AP284" i="46"/>
  <c r="AZ283" i="46"/>
  <c r="AU283" i="46"/>
  <c r="AP283" i="46"/>
  <c r="AZ282" i="46"/>
  <c r="AU282" i="46"/>
  <c r="AP282" i="46"/>
  <c r="AZ281" i="46"/>
  <c r="AU281" i="46"/>
  <c r="AP281" i="46"/>
  <c r="AZ280" i="46"/>
  <c r="AU280" i="46"/>
  <c r="AP280" i="46"/>
  <c r="AZ279" i="46"/>
  <c r="AU279" i="46"/>
  <c r="AP279" i="46"/>
  <c r="AZ278" i="46"/>
  <c r="AU278" i="46"/>
  <c r="AP278" i="46"/>
  <c r="AZ277" i="46"/>
  <c r="AU277" i="46"/>
  <c r="AP277" i="46"/>
  <c r="AZ276" i="46"/>
  <c r="AU276" i="46"/>
  <c r="AP276" i="46"/>
  <c r="AZ275" i="46"/>
  <c r="AU275" i="46"/>
  <c r="AP275" i="46"/>
  <c r="AZ274" i="46"/>
  <c r="AU274" i="46"/>
  <c r="AP274" i="46"/>
  <c r="AZ273" i="46"/>
  <c r="AU273" i="46"/>
  <c r="AP273" i="46"/>
  <c r="AZ272" i="46"/>
  <c r="AU272" i="46"/>
  <c r="AP272" i="46"/>
  <c r="AZ271" i="46"/>
  <c r="AV271" i="46"/>
  <c r="AR271" i="46"/>
  <c r="AN271" i="46"/>
  <c r="AZ270" i="46"/>
  <c r="AV270" i="46"/>
  <c r="AR270" i="46"/>
  <c r="AN270" i="46"/>
  <c r="AZ269" i="46"/>
  <c r="AV269" i="46"/>
  <c r="AR269" i="46"/>
  <c r="AN269" i="46"/>
  <c r="AZ268" i="46"/>
  <c r="AV268" i="46"/>
  <c r="AR268" i="46"/>
  <c r="AN268" i="46"/>
  <c r="AZ267" i="46"/>
  <c r="AV267" i="46"/>
  <c r="AR267" i="46"/>
  <c r="AN267" i="46"/>
  <c r="AZ266" i="46"/>
  <c r="AV266" i="46"/>
  <c r="AR266" i="46"/>
  <c r="AN266" i="46"/>
  <c r="AZ265" i="46"/>
  <c r="AV265" i="46"/>
  <c r="AR265" i="46"/>
  <c r="AN265" i="46"/>
  <c r="AZ264" i="46"/>
  <c r="AV264" i="46"/>
  <c r="AR264" i="46"/>
  <c r="AN264" i="46"/>
  <c r="AZ263" i="46"/>
  <c r="AV263" i="46"/>
  <c r="AR263" i="46"/>
  <c r="AN263" i="46"/>
  <c r="AZ262" i="46"/>
  <c r="AV262" i="46"/>
  <c r="AR262" i="46"/>
  <c r="AN262" i="46"/>
  <c r="AZ261" i="46"/>
  <c r="AV261" i="46"/>
  <c r="AR261" i="46"/>
  <c r="AN261" i="46"/>
  <c r="AZ260" i="46"/>
  <c r="AV260" i="46"/>
  <c r="AR260" i="46"/>
  <c r="AN260" i="46"/>
  <c r="AZ259" i="46"/>
  <c r="AV259" i="46"/>
  <c r="AR259" i="46"/>
  <c r="AN259" i="46"/>
  <c r="AZ258" i="46"/>
  <c r="AV258" i="46"/>
  <c r="AR258" i="46"/>
  <c r="AN258" i="46"/>
  <c r="AZ257" i="46"/>
  <c r="AV257" i="46"/>
  <c r="AR257" i="46"/>
  <c r="AN257" i="46"/>
  <c r="AZ256" i="46"/>
  <c r="AV256" i="46"/>
  <c r="AR256" i="46"/>
  <c r="AN256" i="46"/>
  <c r="AZ255" i="46"/>
  <c r="AV255" i="46"/>
  <c r="AR255" i="46"/>
  <c r="AN255" i="46"/>
  <c r="AZ254" i="46"/>
  <c r="AV254" i="46"/>
  <c r="AR254" i="46"/>
  <c r="AN254" i="46"/>
  <c r="AZ253" i="46"/>
  <c r="AV253" i="46"/>
  <c r="AR253" i="46"/>
  <c r="AN253" i="46"/>
  <c r="AZ252" i="46"/>
  <c r="AV252" i="46"/>
  <c r="AR252" i="46"/>
  <c r="AN252" i="46"/>
  <c r="AZ251" i="46"/>
  <c r="AV251" i="46"/>
  <c r="AR251" i="46"/>
  <c r="AN251" i="46"/>
  <c r="AZ250" i="46"/>
  <c r="AV250" i="46"/>
  <c r="AR250" i="46"/>
  <c r="AN250" i="46"/>
  <c r="AZ249" i="46"/>
  <c r="AV249" i="46"/>
  <c r="AR249" i="46"/>
  <c r="AN249" i="46"/>
  <c r="AZ248" i="46"/>
  <c r="AV248" i="46"/>
  <c r="AR248" i="46"/>
  <c r="AN248" i="46"/>
  <c r="AZ247" i="46"/>
  <c r="AV247" i="46"/>
  <c r="AR247" i="46"/>
  <c r="AN247" i="46"/>
  <c r="AZ246" i="46"/>
  <c r="AV246" i="46"/>
  <c r="AR246" i="46"/>
  <c r="AN246" i="46"/>
  <c r="AZ245" i="46"/>
  <c r="AV245" i="46"/>
  <c r="AR245" i="46"/>
  <c r="AN245" i="46"/>
  <c r="AZ244" i="46"/>
  <c r="AV244" i="46"/>
  <c r="AR244" i="46"/>
  <c r="AN244" i="46"/>
  <c r="AZ243" i="46"/>
  <c r="AV243" i="46"/>
  <c r="AR243" i="46"/>
  <c r="AN243" i="46"/>
  <c r="AZ242" i="46"/>
  <c r="AV242" i="46"/>
  <c r="AR242" i="46"/>
  <c r="AN242" i="46"/>
  <c r="AZ241" i="46"/>
  <c r="AV241" i="46"/>
  <c r="AR241" i="46"/>
  <c r="AN241" i="46"/>
  <c r="AZ240" i="46"/>
  <c r="AV240" i="46"/>
  <c r="AR240" i="46"/>
  <c r="AN240" i="46"/>
  <c r="AZ239" i="46"/>
  <c r="AV239" i="46"/>
  <c r="AR239" i="46"/>
  <c r="AN239" i="46"/>
  <c r="AZ238" i="46"/>
  <c r="AV238" i="46"/>
  <c r="AR238" i="46"/>
  <c r="AN238" i="46"/>
  <c r="AZ237" i="46"/>
  <c r="AV237" i="46"/>
  <c r="AR237" i="46"/>
  <c r="AN237" i="46"/>
  <c r="AZ236" i="46"/>
  <c r="AV236" i="46"/>
  <c r="AR236" i="46"/>
  <c r="AN236" i="46"/>
  <c r="AZ235" i="46"/>
  <c r="AV235" i="46"/>
  <c r="AR235" i="46"/>
  <c r="AN235" i="46"/>
  <c r="AZ234" i="46"/>
  <c r="AV234" i="46"/>
  <c r="AR234" i="46"/>
  <c r="AN234" i="46"/>
  <c r="AZ233" i="46"/>
  <c r="AV233" i="46"/>
  <c r="AR233" i="46"/>
  <c r="AN233" i="46"/>
  <c r="AZ232" i="46"/>
  <c r="AV232" i="46"/>
  <c r="AR232" i="46"/>
  <c r="AN232" i="46"/>
  <c r="AZ231" i="46"/>
  <c r="AV231" i="46"/>
  <c r="AR231" i="46"/>
  <c r="AN231" i="46"/>
  <c r="AZ230" i="46"/>
  <c r="AV230" i="46"/>
  <c r="AR230" i="46"/>
  <c r="AN230" i="46"/>
  <c r="AZ229" i="46"/>
  <c r="AV229" i="46"/>
  <c r="AR229" i="46"/>
  <c r="AN229" i="46"/>
  <c r="AZ228" i="46"/>
  <c r="AV228" i="46"/>
  <c r="AR228" i="46"/>
  <c r="AN228" i="46"/>
  <c r="AZ227" i="46"/>
  <c r="AV227" i="46"/>
  <c r="AR227" i="46"/>
  <c r="AN227" i="46"/>
  <c r="AZ226" i="46"/>
  <c r="AV226" i="46"/>
  <c r="AR226" i="46"/>
  <c r="AN226" i="46"/>
  <c r="AZ225" i="46"/>
  <c r="AV225" i="46"/>
  <c r="AR225" i="46"/>
  <c r="AN225" i="46"/>
  <c r="AZ224" i="46"/>
  <c r="AV224" i="46"/>
  <c r="AR224" i="46"/>
  <c r="AN224" i="46"/>
  <c r="AZ223" i="46"/>
  <c r="AV223" i="46"/>
  <c r="AR223" i="46"/>
  <c r="AN223" i="46"/>
  <c r="AZ222" i="46"/>
  <c r="AV222" i="46"/>
  <c r="AR222" i="46"/>
  <c r="AN222" i="46"/>
  <c r="AZ221" i="46"/>
  <c r="AV221" i="46"/>
  <c r="AR221" i="46"/>
  <c r="AN221" i="46"/>
  <c r="AZ220" i="46"/>
  <c r="AV220" i="46"/>
  <c r="AR220" i="46"/>
  <c r="AN220" i="46"/>
  <c r="AZ219" i="46"/>
  <c r="AV219" i="46"/>
  <c r="AR219" i="46"/>
  <c r="AN219" i="46"/>
  <c r="AZ218" i="46"/>
  <c r="AV218" i="46"/>
  <c r="AR218" i="46"/>
  <c r="AN218" i="46"/>
  <c r="AZ217" i="46"/>
  <c r="AV217" i="46"/>
  <c r="AR217" i="46"/>
  <c r="AN217" i="46"/>
  <c r="AZ216" i="46"/>
  <c r="AV216" i="46"/>
  <c r="AR216" i="46"/>
  <c r="AN216" i="46"/>
  <c r="AZ215" i="46"/>
  <c r="AV215" i="46"/>
  <c r="AR215" i="46"/>
  <c r="AN215" i="46"/>
  <c r="AZ214" i="46"/>
  <c r="AV214" i="46"/>
  <c r="AY333" i="46"/>
  <c r="AT333" i="46"/>
  <c r="AN333" i="46"/>
  <c r="AY332" i="46"/>
  <c r="AT332" i="46"/>
  <c r="AN332" i="46"/>
  <c r="AY331" i="46"/>
  <c r="AT331" i="46"/>
  <c r="AN331" i="46"/>
  <c r="AY330" i="46"/>
  <c r="AT330" i="46"/>
  <c r="AN330" i="46"/>
  <c r="AY329" i="46"/>
  <c r="AT329" i="46"/>
  <c r="AN329" i="46"/>
  <c r="AY328" i="46"/>
  <c r="AT328" i="46"/>
  <c r="AN328" i="46"/>
  <c r="AY327" i="46"/>
  <c r="AT327" i="46"/>
  <c r="AN327" i="46"/>
  <c r="AY326" i="46"/>
  <c r="AT326" i="46"/>
  <c r="AN326" i="46"/>
  <c r="AY325" i="46"/>
  <c r="AT325" i="46"/>
  <c r="AN325" i="46"/>
  <c r="AY324" i="46"/>
  <c r="AT324" i="46"/>
  <c r="AN324" i="46"/>
  <c r="AY323" i="46"/>
  <c r="AT323" i="46"/>
  <c r="AN323" i="46"/>
  <c r="AY322" i="46"/>
  <c r="AT322" i="46"/>
  <c r="AN322" i="46"/>
  <c r="AY321" i="46"/>
  <c r="AT321" i="46"/>
  <c r="AN321" i="46"/>
  <c r="AY320" i="46"/>
  <c r="AT320" i="46"/>
  <c r="AN320" i="46"/>
  <c r="AY319" i="46"/>
  <c r="AT319" i="46"/>
  <c r="AN319" i="46"/>
  <c r="AY318" i="46"/>
  <c r="AT318" i="46"/>
  <c r="AN318" i="46"/>
  <c r="AY317" i="46"/>
  <c r="AT317" i="46"/>
  <c r="AN317" i="46"/>
  <c r="AY316" i="46"/>
  <c r="AT316" i="46"/>
  <c r="AN316" i="46"/>
  <c r="AY315" i="46"/>
  <c r="AT315" i="46"/>
  <c r="AN315" i="46"/>
  <c r="AY314" i="46"/>
  <c r="AT314" i="46"/>
  <c r="AN314" i="46"/>
  <c r="AY313" i="46"/>
  <c r="AT313" i="46"/>
  <c r="AN313" i="46"/>
  <c r="AY312" i="46"/>
  <c r="AT312" i="46"/>
  <c r="AT311" i="46"/>
  <c r="AT310" i="46"/>
  <c r="AY309" i="46"/>
  <c r="AN309" i="46"/>
  <c r="AT308" i="46"/>
  <c r="AY307" i="46"/>
  <c r="AN307" i="46"/>
  <c r="AT306" i="46"/>
  <c r="AY305" i="46"/>
  <c r="AN305" i="46"/>
  <c r="AT304" i="46"/>
  <c r="AY303" i="46"/>
  <c r="AN303" i="46"/>
  <c r="AT302" i="46"/>
  <c r="AY301" i="46"/>
  <c r="AN301" i="46"/>
  <c r="AT300" i="46"/>
  <c r="AY299" i="46"/>
  <c r="AN299" i="46"/>
  <c r="AT298" i="46"/>
  <c r="AY297" i="46"/>
  <c r="AN297" i="46"/>
  <c r="AT296" i="46"/>
  <c r="AY295" i="46"/>
  <c r="AN295" i="46"/>
  <c r="AT294" i="46"/>
  <c r="AY293" i="46"/>
  <c r="AN293" i="46"/>
  <c r="AT292" i="46"/>
  <c r="AY291" i="46"/>
  <c r="AN291" i="46"/>
  <c r="AT290" i="46"/>
  <c r="AY289" i="46"/>
  <c r="AN289" i="46"/>
  <c r="AT288" i="46"/>
  <c r="AY287" i="46"/>
  <c r="AN287" i="46"/>
  <c r="AT286" i="46"/>
  <c r="AY285" i="46"/>
  <c r="AN285" i="46"/>
  <c r="AT284" i="46"/>
  <c r="AY283" i="46"/>
  <c r="AN283" i="46"/>
  <c r="AT282" i="46"/>
  <c r="AY281" i="46"/>
  <c r="AN281" i="46"/>
  <c r="AT280" i="46"/>
  <c r="BB279" i="46"/>
  <c r="AT279" i="46"/>
  <c r="AM279" i="46"/>
  <c r="AV278" i="46"/>
  <c r="AN278" i="46"/>
  <c r="AX277" i="46"/>
  <c r="AQ277" i="46"/>
  <c r="AY276" i="46"/>
  <c r="AR276" i="46"/>
  <c r="BB275" i="46"/>
  <c r="AT275" i="46"/>
  <c r="AM275" i="46"/>
  <c r="AV274" i="46"/>
  <c r="AN274" i="46"/>
  <c r="AX273" i="46"/>
  <c r="AQ273" i="46"/>
  <c r="AY272" i="46"/>
  <c r="AR272" i="46"/>
  <c r="BB271" i="46"/>
  <c r="AU271" i="46"/>
  <c r="AP271" i="46"/>
  <c r="BA270" i="46"/>
  <c r="AU270" i="46"/>
  <c r="AP270" i="46"/>
  <c r="BA269" i="46"/>
  <c r="AU269" i="46"/>
  <c r="AP269" i="46"/>
  <c r="BA268" i="46"/>
  <c r="AU268" i="46"/>
  <c r="AP268" i="46"/>
  <c r="BA267" i="46"/>
  <c r="AU267" i="46"/>
  <c r="AP267" i="46"/>
  <c r="BA266" i="46"/>
  <c r="AU266" i="46"/>
  <c r="AP266" i="46"/>
  <c r="BA265" i="46"/>
  <c r="AU265" i="46"/>
  <c r="AP265" i="46"/>
  <c r="BA264" i="46"/>
  <c r="AU264" i="46"/>
  <c r="AP264" i="46"/>
  <c r="BA263" i="46"/>
  <c r="AU263" i="46"/>
  <c r="AP263" i="46"/>
  <c r="BA262" i="46"/>
  <c r="AU262" i="46"/>
  <c r="AP262" i="46"/>
  <c r="BA261" i="46"/>
  <c r="AU261" i="46"/>
  <c r="AP261" i="46"/>
  <c r="BA260" i="46"/>
  <c r="AU260" i="46"/>
  <c r="AP260" i="46"/>
  <c r="BA259" i="46"/>
  <c r="AU259" i="46"/>
  <c r="AP259" i="46"/>
  <c r="BA258" i="46"/>
  <c r="AU258" i="46"/>
  <c r="AP258" i="46"/>
  <c r="BA257" i="46"/>
  <c r="AU257" i="46"/>
  <c r="AP257" i="46"/>
  <c r="BA256" i="46"/>
  <c r="AU256" i="46"/>
  <c r="AP256" i="46"/>
  <c r="BA255" i="46"/>
  <c r="AU255" i="46"/>
  <c r="AP255" i="46"/>
  <c r="BA254" i="46"/>
  <c r="AU254" i="46"/>
  <c r="AP254" i="46"/>
  <c r="BA253" i="46"/>
  <c r="AU253" i="46"/>
  <c r="AP253" i="46"/>
  <c r="BA252" i="46"/>
  <c r="AU252" i="46"/>
  <c r="AP252" i="46"/>
  <c r="BA251" i="46"/>
  <c r="AU251" i="46"/>
  <c r="AP251" i="46"/>
  <c r="BA250" i="46"/>
  <c r="AU250" i="46"/>
  <c r="AP250" i="46"/>
  <c r="BA249" i="46"/>
  <c r="AU249" i="46"/>
  <c r="AP249" i="46"/>
  <c r="BA248" i="46"/>
  <c r="AU248" i="46"/>
  <c r="AP248" i="46"/>
  <c r="BA247" i="46"/>
  <c r="AU247" i="46"/>
  <c r="AP247" i="46"/>
  <c r="BA246" i="46"/>
  <c r="AU246" i="46"/>
  <c r="AP246" i="46"/>
  <c r="BA245" i="46"/>
  <c r="AU245" i="46"/>
  <c r="AP245" i="46"/>
  <c r="BA244" i="46"/>
  <c r="AU244" i="46"/>
  <c r="AP244" i="46"/>
  <c r="BA243" i="46"/>
  <c r="AU243" i="46"/>
  <c r="AP243" i="46"/>
  <c r="BA242" i="46"/>
  <c r="AU242" i="46"/>
  <c r="AP242" i="46"/>
  <c r="BA241" i="46"/>
  <c r="AU241" i="46"/>
  <c r="AP241" i="46"/>
  <c r="BA240" i="46"/>
  <c r="AU240" i="46"/>
  <c r="AP240" i="46"/>
  <c r="BA239" i="46"/>
  <c r="AU239" i="46"/>
  <c r="AP239" i="46"/>
  <c r="BA238" i="46"/>
  <c r="AU238" i="46"/>
  <c r="AP238" i="46"/>
  <c r="BA237" i="46"/>
  <c r="AU237" i="46"/>
  <c r="AP237" i="46"/>
  <c r="BA236" i="46"/>
  <c r="AU236" i="46"/>
  <c r="AP236" i="46"/>
  <c r="BA235" i="46"/>
  <c r="AU235" i="46"/>
  <c r="AP235" i="46"/>
  <c r="BA234" i="46"/>
  <c r="AU234" i="46"/>
  <c r="AP234" i="46"/>
  <c r="BA233" i="46"/>
  <c r="AU233" i="46"/>
  <c r="AP233" i="46"/>
  <c r="BA232" i="46"/>
  <c r="AU232" i="46"/>
  <c r="AP232" i="46"/>
  <c r="BA231" i="46"/>
  <c r="AU231" i="46"/>
  <c r="AP231" i="46"/>
  <c r="BA230" i="46"/>
  <c r="AU230" i="46"/>
  <c r="AP230" i="46"/>
  <c r="BA229" i="46"/>
  <c r="AU229" i="46"/>
  <c r="AP229" i="46"/>
  <c r="BA228" i="46"/>
  <c r="AU228" i="46"/>
  <c r="AP228" i="46"/>
  <c r="BA227" i="46"/>
  <c r="AU227" i="46"/>
  <c r="AP227" i="46"/>
  <c r="BA226" i="46"/>
  <c r="AU226" i="46"/>
  <c r="AP226" i="46"/>
  <c r="BA225" i="46"/>
  <c r="AU225" i="46"/>
  <c r="AP225" i="46"/>
  <c r="BA224" i="46"/>
  <c r="AU224" i="46"/>
  <c r="AP224" i="46"/>
  <c r="BA223" i="46"/>
  <c r="AU223" i="46"/>
  <c r="AP223" i="46"/>
  <c r="BA222" i="46"/>
  <c r="AU222" i="46"/>
  <c r="AP222" i="46"/>
  <c r="BA221" i="46"/>
  <c r="AU221" i="46"/>
  <c r="AP221" i="46"/>
  <c r="BA220" i="46"/>
  <c r="AU220" i="46"/>
  <c r="AP220" i="46"/>
  <c r="BA219" i="46"/>
  <c r="AU219" i="46"/>
  <c r="AP219" i="46"/>
  <c r="BA218" i="46"/>
  <c r="AU218" i="46"/>
  <c r="AP218" i="46"/>
  <c r="BA217" i="46"/>
  <c r="AU217" i="46"/>
  <c r="AP217" i="46"/>
  <c r="BA216" i="46"/>
  <c r="AU216" i="46"/>
  <c r="AP216" i="46"/>
  <c r="BA215" i="46"/>
  <c r="AU215" i="46"/>
  <c r="AP215" i="46"/>
  <c r="BA214" i="46"/>
  <c r="AU214" i="46"/>
  <c r="AQ214" i="46"/>
  <c r="AM214" i="46"/>
  <c r="AY213" i="46"/>
  <c r="AU213" i="46"/>
  <c r="AQ213" i="46"/>
  <c r="AM213" i="46"/>
  <c r="AY212" i="46"/>
  <c r="AU212" i="46"/>
  <c r="AQ212" i="46"/>
  <c r="AM212" i="46"/>
  <c r="AY211" i="46"/>
  <c r="AU211" i="46"/>
  <c r="AQ211" i="46"/>
  <c r="AM211" i="46"/>
  <c r="AY210" i="46"/>
  <c r="AU210" i="46"/>
  <c r="AQ210" i="46"/>
  <c r="AM210" i="46"/>
  <c r="AY209" i="46"/>
  <c r="AU209" i="46"/>
  <c r="AQ209" i="46"/>
  <c r="AM209" i="46"/>
  <c r="AY208" i="46"/>
  <c r="AU208" i="46"/>
  <c r="AQ208" i="46"/>
  <c r="AM208" i="46"/>
  <c r="AY207" i="46"/>
  <c r="AU207" i="46"/>
  <c r="AQ207" i="46"/>
  <c r="AM207" i="46"/>
  <c r="AY206" i="46"/>
  <c r="AU206" i="46"/>
  <c r="AQ206" i="46"/>
  <c r="AM206" i="46"/>
  <c r="AY205" i="46"/>
  <c r="AU205" i="46"/>
  <c r="AQ205" i="46"/>
  <c r="AM205" i="46"/>
  <c r="AY204" i="46"/>
  <c r="AU204" i="46"/>
  <c r="AQ204" i="46"/>
  <c r="AM204" i="46"/>
  <c r="AY203" i="46"/>
  <c r="AU203" i="46"/>
  <c r="AQ203" i="46"/>
  <c r="AN311" i="46"/>
  <c r="AQ310" i="46"/>
  <c r="AV309" i="46"/>
  <c r="BB308" i="46"/>
  <c r="AQ308" i="46"/>
  <c r="AV307" i="46"/>
  <c r="BB306" i="46"/>
  <c r="AQ306" i="46"/>
  <c r="AV305" i="46"/>
  <c r="BB304" i="46"/>
  <c r="AQ304" i="46"/>
  <c r="AV303" i="46"/>
  <c r="BB302" i="46"/>
  <c r="AQ302" i="46"/>
  <c r="AV301" i="46"/>
  <c r="BB300" i="46"/>
  <c r="AQ300" i="46"/>
  <c r="AV299" i="46"/>
  <c r="BB298" i="46"/>
  <c r="AQ298" i="46"/>
  <c r="AV297" i="46"/>
  <c r="BB296" i="46"/>
  <c r="AQ296" i="46"/>
  <c r="AV295" i="46"/>
  <c r="BB294" i="46"/>
  <c r="AQ294" i="46"/>
  <c r="AV293" i="46"/>
  <c r="BB292" i="46"/>
  <c r="AQ292" i="46"/>
  <c r="AV291" i="46"/>
  <c r="BB290" i="46"/>
  <c r="AQ290" i="46"/>
  <c r="AV289" i="46"/>
  <c r="BB288" i="46"/>
  <c r="AQ288" i="46"/>
  <c r="AV287" i="46"/>
  <c r="BB286" i="46"/>
  <c r="AQ286" i="46"/>
  <c r="AV285" i="46"/>
  <c r="BB284" i="46"/>
  <c r="AQ284" i="46"/>
  <c r="AV283" i="46"/>
  <c r="BB282" i="46"/>
  <c r="AQ282" i="46"/>
  <c r="AV281" i="46"/>
  <c r="BB280" i="46"/>
  <c r="AQ280" i="46"/>
  <c r="AY279" i="46"/>
  <c r="AR279" i="46"/>
  <c r="BB278" i="46"/>
  <c r="AT278" i="46"/>
  <c r="AM278" i="46"/>
  <c r="AV277" i="46"/>
  <c r="AN277" i="46"/>
  <c r="AX276" i="46"/>
  <c r="AQ276" i="46"/>
  <c r="AY275" i="46"/>
  <c r="AR275" i="46"/>
  <c r="BB274" i="46"/>
  <c r="AT274" i="46"/>
  <c r="AM274" i="46"/>
  <c r="AV273" i="46"/>
  <c r="AN273" i="46"/>
  <c r="AX272" i="46"/>
  <c r="AQ272" i="46"/>
  <c r="AY271" i="46"/>
  <c r="AT271" i="46"/>
  <c r="AO271" i="46"/>
  <c r="AY270" i="46"/>
  <c r="AT270" i="46"/>
  <c r="AO270" i="46"/>
  <c r="AY269" i="46"/>
  <c r="AT269" i="46"/>
  <c r="AO269" i="46"/>
  <c r="AY268" i="46"/>
  <c r="AT268" i="46"/>
  <c r="AO268" i="46"/>
  <c r="AY267" i="46"/>
  <c r="AT267" i="46"/>
  <c r="AO267" i="46"/>
  <c r="AY266" i="46"/>
  <c r="AT266" i="46"/>
  <c r="AO266" i="46"/>
  <c r="AY265" i="46"/>
  <c r="AT265" i="46"/>
  <c r="AO265" i="46"/>
  <c r="AY264" i="46"/>
  <c r="AT264" i="46"/>
  <c r="AO264" i="46"/>
  <c r="AY263" i="46"/>
  <c r="AT263" i="46"/>
  <c r="AO263" i="46"/>
  <c r="AY262" i="46"/>
  <c r="AT262" i="46"/>
  <c r="AO262" i="46"/>
  <c r="AY261" i="46"/>
  <c r="AT261" i="46"/>
  <c r="AO261" i="46"/>
  <c r="AY260" i="46"/>
  <c r="AT260" i="46"/>
  <c r="AO260" i="46"/>
  <c r="AY259" i="46"/>
  <c r="AT259" i="46"/>
  <c r="AO259" i="46"/>
  <c r="AY258" i="46"/>
  <c r="AT258" i="46"/>
  <c r="AO258" i="46"/>
  <c r="AY257" i="46"/>
  <c r="AT257" i="46"/>
  <c r="AO257" i="46"/>
  <c r="AY256" i="46"/>
  <c r="AT256" i="46"/>
  <c r="AO256" i="46"/>
  <c r="AY255" i="46"/>
  <c r="AT255" i="46"/>
  <c r="AO255" i="46"/>
  <c r="AY254" i="46"/>
  <c r="AT254" i="46"/>
  <c r="AO254" i="46"/>
  <c r="AY253" i="46"/>
  <c r="AT253" i="46"/>
  <c r="AO253" i="46"/>
  <c r="AY252" i="46"/>
  <c r="AT252" i="46"/>
  <c r="AO252" i="46"/>
  <c r="AY251" i="46"/>
  <c r="AT251" i="46"/>
  <c r="AO251" i="46"/>
  <c r="AY250" i="46"/>
  <c r="AT250" i="46"/>
  <c r="AO250" i="46"/>
  <c r="AY249" i="46"/>
  <c r="AT249" i="46"/>
  <c r="AO249" i="46"/>
  <c r="AY248" i="46"/>
  <c r="AT248" i="46"/>
  <c r="AO248" i="46"/>
  <c r="AY247" i="46"/>
  <c r="AT247" i="46"/>
  <c r="AO247" i="46"/>
  <c r="AY246" i="46"/>
  <c r="AT246" i="46"/>
  <c r="AO246" i="46"/>
  <c r="AY245" i="46"/>
  <c r="AT245" i="46"/>
  <c r="AO245" i="46"/>
  <c r="AY244" i="46"/>
  <c r="AT244" i="46"/>
  <c r="AO244" i="46"/>
  <c r="AY243" i="46"/>
  <c r="AT243" i="46"/>
  <c r="AO243" i="46"/>
  <c r="AY242" i="46"/>
  <c r="AT242" i="46"/>
  <c r="AO242" i="46"/>
  <c r="AY241" i="46"/>
  <c r="AT241" i="46"/>
  <c r="AO241" i="46"/>
  <c r="AY240" i="46"/>
  <c r="AT240" i="46"/>
  <c r="AO240" i="46"/>
  <c r="AY239" i="46"/>
  <c r="AT239" i="46"/>
  <c r="AO239" i="46"/>
  <c r="AY238" i="46"/>
  <c r="AT238" i="46"/>
  <c r="AO238" i="46"/>
  <c r="AY237" i="46"/>
  <c r="AT237" i="46"/>
  <c r="AO237" i="46"/>
  <c r="AY236" i="46"/>
  <c r="AT236" i="46"/>
  <c r="AO236" i="46"/>
  <c r="AY235" i="46"/>
  <c r="AT235" i="46"/>
  <c r="AO235" i="46"/>
  <c r="AY234" i="46"/>
  <c r="AT234" i="46"/>
  <c r="AO234" i="46"/>
  <c r="AY233" i="46"/>
  <c r="AT233" i="46"/>
  <c r="AO233" i="46"/>
  <c r="AY232" i="46"/>
  <c r="AT232" i="46"/>
  <c r="AO232" i="46"/>
  <c r="AY231" i="46"/>
  <c r="AT231" i="46"/>
  <c r="AO231" i="46"/>
  <c r="AY230" i="46"/>
  <c r="AT230" i="46"/>
  <c r="AO230" i="46"/>
  <c r="AY229" i="46"/>
  <c r="AT229" i="46"/>
  <c r="AO229" i="46"/>
  <c r="AY228" i="46"/>
  <c r="AT228" i="46"/>
  <c r="AO228" i="46"/>
  <c r="AY227" i="46"/>
  <c r="AT227" i="46"/>
  <c r="AO227" i="46"/>
  <c r="AY226" i="46"/>
  <c r="AT226" i="46"/>
  <c r="AO226" i="46"/>
  <c r="AY225" i="46"/>
  <c r="AT225" i="46"/>
  <c r="AO225" i="46"/>
  <c r="AY224" i="46"/>
  <c r="AT224" i="46"/>
  <c r="AO224" i="46"/>
  <c r="AY223" i="46"/>
  <c r="AT223" i="46"/>
  <c r="AO223" i="46"/>
  <c r="AY222" i="46"/>
  <c r="AT222" i="46"/>
  <c r="AO222" i="46"/>
  <c r="AY221" i="46"/>
  <c r="AT221" i="46"/>
  <c r="AO221" i="46"/>
  <c r="AY220" i="46"/>
  <c r="AT220" i="46"/>
  <c r="AO220" i="46"/>
  <c r="AY219" i="46"/>
  <c r="AT219" i="46"/>
  <c r="AO219" i="46"/>
  <c r="AY218" i="46"/>
  <c r="AT218" i="46"/>
  <c r="AO218" i="46"/>
  <c r="AY217" i="46"/>
  <c r="AT217" i="46"/>
  <c r="AO217" i="46"/>
  <c r="AY216" i="46"/>
  <c r="AT216" i="46"/>
  <c r="AO216" i="46"/>
  <c r="AY215" i="46"/>
  <c r="AT215" i="46"/>
  <c r="AO215" i="46"/>
  <c r="AY214" i="46"/>
  <c r="AT214" i="46"/>
  <c r="AP214" i="46"/>
  <c r="BB213" i="46"/>
  <c r="AX213" i="46"/>
  <c r="AT213" i="46"/>
  <c r="AP213" i="46"/>
  <c r="BB212" i="46"/>
  <c r="AX212" i="46"/>
  <c r="AT212" i="46"/>
  <c r="AP212" i="46"/>
  <c r="BB211" i="46"/>
  <c r="AX211" i="46"/>
  <c r="AT211" i="46"/>
  <c r="AP211" i="46"/>
  <c r="BB210" i="46"/>
  <c r="AX210" i="46"/>
  <c r="AT210" i="46"/>
  <c r="AP210" i="46"/>
  <c r="BB209" i="46"/>
  <c r="AX209" i="46"/>
  <c r="AT209" i="46"/>
  <c r="AP209" i="46"/>
  <c r="BB208" i="46"/>
  <c r="AX208" i="46"/>
  <c r="AT208" i="46"/>
  <c r="AP208" i="46"/>
  <c r="BB207" i="46"/>
  <c r="AX207" i="46"/>
  <c r="AT207" i="46"/>
  <c r="AP207" i="46"/>
  <c r="BB206" i="46"/>
  <c r="AX206" i="46"/>
  <c r="AT206" i="46"/>
  <c r="AP206" i="46"/>
  <c r="BB205" i="46"/>
  <c r="AX205" i="46"/>
  <c r="AT205" i="46"/>
  <c r="AP205" i="46"/>
  <c r="BB204" i="46"/>
  <c r="AX204" i="46"/>
  <c r="AT204" i="46"/>
  <c r="AP204" i="46"/>
  <c r="BB203" i="46"/>
  <c r="AX203" i="46"/>
  <c r="AT203" i="46"/>
  <c r="AP203" i="46"/>
  <c r="BB202" i="46"/>
  <c r="AX202" i="46"/>
  <c r="AT202" i="46"/>
  <c r="AP202" i="46"/>
  <c r="BB201" i="46"/>
  <c r="AX201" i="46"/>
  <c r="AT201" i="46"/>
  <c r="AP201" i="46"/>
  <c r="BB200" i="46"/>
  <c r="AX200" i="46"/>
  <c r="AT200" i="46"/>
  <c r="AP200" i="46"/>
  <c r="BB199" i="46"/>
  <c r="AX199" i="46"/>
  <c r="AT199" i="46"/>
  <c r="AP199" i="46"/>
  <c r="BB198" i="46"/>
  <c r="AX198" i="46"/>
  <c r="AT198" i="46"/>
  <c r="AP198" i="46"/>
  <c r="BB197" i="46"/>
  <c r="AX197" i="46"/>
  <c r="AT197" i="46"/>
  <c r="AP197" i="46"/>
  <c r="BB196" i="46"/>
  <c r="AX196" i="46"/>
  <c r="AT196" i="46"/>
  <c r="AP196" i="46"/>
  <c r="BB195" i="46"/>
  <c r="AX195" i="46"/>
  <c r="AT195" i="46"/>
  <c r="AP195" i="46"/>
  <c r="BB194" i="46"/>
  <c r="AX194" i="46"/>
  <c r="AT194" i="46"/>
  <c r="AP194" i="46"/>
  <c r="BB193" i="46"/>
  <c r="AX193" i="46"/>
  <c r="AT193" i="46"/>
  <c r="AP193" i="46"/>
  <c r="BB192" i="46"/>
  <c r="AX192" i="46"/>
  <c r="AT192" i="46"/>
  <c r="AP192" i="46"/>
  <c r="BB191" i="46"/>
  <c r="AX191" i="46"/>
  <c r="AT191" i="46"/>
  <c r="AP191" i="46"/>
  <c r="BB190" i="46"/>
  <c r="AX190" i="46"/>
  <c r="AT190" i="46"/>
  <c r="AP190" i="46"/>
  <c r="BB189" i="46"/>
  <c r="AX189" i="46"/>
  <c r="AT189" i="46"/>
  <c r="AP189" i="46"/>
  <c r="BB188" i="46"/>
  <c r="AX188" i="46"/>
  <c r="AN312" i="46"/>
  <c r="AY310" i="46"/>
  <c r="AN310" i="46"/>
  <c r="AT309" i="46"/>
  <c r="AY308" i="46"/>
  <c r="AN308" i="46"/>
  <c r="AT307" i="46"/>
  <c r="AY306" i="46"/>
  <c r="AN306" i="46"/>
  <c r="AT305" i="46"/>
  <c r="AY304" i="46"/>
  <c r="AN304" i="46"/>
  <c r="AT303" i="46"/>
  <c r="AY302" i="46"/>
  <c r="AN302" i="46"/>
  <c r="AT301" i="46"/>
  <c r="AY300" i="46"/>
  <c r="AN300" i="46"/>
  <c r="AT299" i="46"/>
  <c r="AY298" i="46"/>
  <c r="AN298" i="46"/>
  <c r="AT297" i="46"/>
  <c r="AY296" i="46"/>
  <c r="AN296" i="46"/>
  <c r="AT295" i="46"/>
  <c r="AY294" i="46"/>
  <c r="AN294" i="46"/>
  <c r="AT293" i="46"/>
  <c r="AY292" i="46"/>
  <c r="AN292" i="46"/>
  <c r="AT291" i="46"/>
  <c r="AY290" i="46"/>
  <c r="AN290" i="46"/>
  <c r="AT289" i="46"/>
  <c r="AY288" i="46"/>
  <c r="AN288" i="46"/>
  <c r="AT287" i="46"/>
  <c r="AY286" i="46"/>
  <c r="AN286" i="46"/>
  <c r="AT285" i="46"/>
  <c r="AY284" i="46"/>
  <c r="AN284" i="46"/>
  <c r="AT283" i="46"/>
  <c r="AY282" i="46"/>
  <c r="AN282" i="46"/>
  <c r="AT281" i="46"/>
  <c r="AY280" i="46"/>
  <c r="AN280" i="46"/>
  <c r="AX279" i="46"/>
  <c r="AQ279" i="46"/>
  <c r="AY278" i="46"/>
  <c r="AR278" i="46"/>
  <c r="BB277" i="46"/>
  <c r="AT277" i="46"/>
  <c r="AM277" i="46"/>
  <c r="AV276" i="46"/>
  <c r="AN276" i="46"/>
  <c r="AX275" i="46"/>
  <c r="AQ275" i="46"/>
  <c r="AY274" i="46"/>
  <c r="AR274" i="46"/>
  <c r="BB273" i="46"/>
  <c r="AT273" i="46"/>
  <c r="AM273" i="46"/>
  <c r="AV272" i="46"/>
  <c r="AN272" i="46"/>
  <c r="AX271" i="46"/>
  <c r="AS271" i="46"/>
  <c r="AM271" i="46"/>
  <c r="AX270" i="46"/>
  <c r="AS270" i="46"/>
  <c r="AM270" i="46"/>
  <c r="AX269" i="46"/>
  <c r="AS269" i="46"/>
  <c r="AM269" i="46"/>
  <c r="AX268" i="46"/>
  <c r="AS268" i="46"/>
  <c r="AM268" i="46"/>
  <c r="AX267" i="46"/>
  <c r="AS267" i="46"/>
  <c r="AM267" i="46"/>
  <c r="AX266" i="46"/>
  <c r="AS266" i="46"/>
  <c r="AM266" i="46"/>
  <c r="AX265" i="46"/>
  <c r="AS265" i="46"/>
  <c r="AM265" i="46"/>
  <c r="AX264" i="46"/>
  <c r="AS264" i="46"/>
  <c r="AM264" i="46"/>
  <c r="AX263" i="46"/>
  <c r="AS263" i="46"/>
  <c r="AM263" i="46"/>
  <c r="AX262" i="46"/>
  <c r="AS262" i="46"/>
  <c r="AM262" i="46"/>
  <c r="AX261" i="46"/>
  <c r="AS261" i="46"/>
  <c r="AM261" i="46"/>
  <c r="AX260" i="46"/>
  <c r="AS260" i="46"/>
  <c r="AM260" i="46"/>
  <c r="AX259" i="46"/>
  <c r="AS259" i="46"/>
  <c r="AM259" i="46"/>
  <c r="AX258" i="46"/>
  <c r="AS258" i="46"/>
  <c r="AM258" i="46"/>
  <c r="AX257" i="46"/>
  <c r="AS257" i="46"/>
  <c r="AM257" i="46"/>
  <c r="AX256" i="46"/>
  <c r="AS256" i="46"/>
  <c r="AM256" i="46"/>
  <c r="AX255" i="46"/>
  <c r="AS255" i="46"/>
  <c r="AM255" i="46"/>
  <c r="AX254" i="46"/>
  <c r="AS254" i="46"/>
  <c r="AM254" i="46"/>
  <c r="AX253" i="46"/>
  <c r="AS253" i="46"/>
  <c r="AM253" i="46"/>
  <c r="AX252" i="46"/>
  <c r="AS252" i="46"/>
  <c r="AM252" i="46"/>
  <c r="AX251" i="46"/>
  <c r="AS251" i="46"/>
  <c r="AM251" i="46"/>
  <c r="AX250" i="46"/>
  <c r="AS250" i="46"/>
  <c r="AM250" i="46"/>
  <c r="AX249" i="46"/>
  <c r="AS249" i="46"/>
  <c r="AM249" i="46"/>
  <c r="AX248" i="46"/>
  <c r="AS248" i="46"/>
  <c r="AM248" i="46"/>
  <c r="AX247" i="46"/>
  <c r="AS247" i="46"/>
  <c r="AM247" i="46"/>
  <c r="AX246" i="46"/>
  <c r="AS246" i="46"/>
  <c r="AM246" i="46"/>
  <c r="AX245" i="46"/>
  <c r="AS245" i="46"/>
  <c r="AM245" i="46"/>
  <c r="AX244" i="46"/>
  <c r="AS244" i="46"/>
  <c r="AM244" i="46"/>
  <c r="AX243" i="46"/>
  <c r="AS243" i="46"/>
  <c r="AM243" i="46"/>
  <c r="AX242" i="46"/>
  <c r="AS242" i="46"/>
  <c r="AM242" i="46"/>
  <c r="AX241" i="46"/>
  <c r="AS241" i="46"/>
  <c r="AM241" i="46"/>
  <c r="AX240" i="46"/>
  <c r="AS240" i="46"/>
  <c r="AM240" i="46"/>
  <c r="AX239" i="46"/>
  <c r="AS239" i="46"/>
  <c r="AM239" i="46"/>
  <c r="AX238" i="46"/>
  <c r="AS238" i="46"/>
  <c r="AM238" i="46"/>
  <c r="AX237" i="46"/>
  <c r="AS237" i="46"/>
  <c r="AM237" i="46"/>
  <c r="AX236" i="46"/>
  <c r="AS236" i="46"/>
  <c r="AM236" i="46"/>
  <c r="AX235" i="46"/>
  <c r="AS235" i="46"/>
  <c r="AM235" i="46"/>
  <c r="AX234" i="46"/>
  <c r="AS234" i="46"/>
  <c r="AM234" i="46"/>
  <c r="AX233" i="46"/>
  <c r="AS233" i="46"/>
  <c r="AM233" i="46"/>
  <c r="AX232" i="46"/>
  <c r="AS232" i="46"/>
  <c r="AM232" i="46"/>
  <c r="AX231" i="46"/>
  <c r="AS231" i="46"/>
  <c r="AM231" i="46"/>
  <c r="AX230" i="46"/>
  <c r="AS230" i="46"/>
  <c r="AM230" i="46"/>
  <c r="AX229" i="46"/>
  <c r="AS229" i="46"/>
  <c r="AM229" i="46"/>
  <c r="AX228" i="46"/>
  <c r="AS228" i="46"/>
  <c r="AM228" i="46"/>
  <c r="AX227" i="46"/>
  <c r="AS227" i="46"/>
  <c r="AM227" i="46"/>
  <c r="AX226" i="46"/>
  <c r="AS226" i="46"/>
  <c r="AM226" i="46"/>
  <c r="AX225" i="46"/>
  <c r="AS225" i="46"/>
  <c r="AM225" i="46"/>
  <c r="AX224" i="46"/>
  <c r="AS224" i="46"/>
  <c r="AM224" i="46"/>
  <c r="AX223" i="46"/>
  <c r="AS223" i="46"/>
  <c r="AM223" i="46"/>
  <c r="AX222" i="46"/>
  <c r="AS222" i="46"/>
  <c r="AM222" i="46"/>
  <c r="AX221" i="46"/>
  <c r="AS221" i="46"/>
  <c r="AM221" i="46"/>
  <c r="AX220" i="46"/>
  <c r="AS220" i="46"/>
  <c r="AM220" i="46"/>
  <c r="AX219" i="46"/>
  <c r="AS219" i="46"/>
  <c r="AM219" i="46"/>
  <c r="AX218" i="46"/>
  <c r="AS218" i="46"/>
  <c r="AM218" i="46"/>
  <c r="AX217" i="46"/>
  <c r="AS217" i="46"/>
  <c r="AM217" i="46"/>
  <c r="AX216" i="46"/>
  <c r="AS216" i="46"/>
  <c r="AM216" i="46"/>
  <c r="AX215" i="46"/>
  <c r="AS215" i="46"/>
  <c r="AM215" i="46"/>
  <c r="AX214" i="46"/>
  <c r="AS214" i="46"/>
  <c r="AO214" i="46"/>
  <c r="BA213" i="46"/>
  <c r="AW213" i="46"/>
  <c r="AS213" i="46"/>
  <c r="AO213" i="46"/>
  <c r="BA212" i="46"/>
  <c r="AW212" i="46"/>
  <c r="AS212" i="46"/>
  <c r="AO212" i="46"/>
  <c r="BA211" i="46"/>
  <c r="AW211" i="46"/>
  <c r="AS211" i="46"/>
  <c r="AO211" i="46"/>
  <c r="BA210" i="46"/>
  <c r="AW210" i="46"/>
  <c r="AS210" i="46"/>
  <c r="AO210" i="46"/>
  <c r="BA209" i="46"/>
  <c r="AW209" i="46"/>
  <c r="AS209" i="46"/>
  <c r="AO209" i="46"/>
  <c r="BA208" i="46"/>
  <c r="BB309" i="46"/>
  <c r="AQ307" i="46"/>
  <c r="AV304" i="46"/>
  <c r="BB301" i="46"/>
  <c r="AQ299" i="46"/>
  <c r="AV296" i="46"/>
  <c r="BB293" i="46"/>
  <c r="AQ291" i="46"/>
  <c r="AV288" i="46"/>
  <c r="BB285" i="46"/>
  <c r="AQ283" i="46"/>
  <c r="AV280" i="46"/>
  <c r="AX278" i="46"/>
  <c r="BB276" i="46"/>
  <c r="AN275" i="46"/>
  <c r="AR273" i="46"/>
  <c r="AW271" i="46"/>
  <c r="AQ270" i="46"/>
  <c r="BB268" i="46"/>
  <c r="AW267" i="46"/>
  <c r="AQ266" i="46"/>
  <c r="BB264" i="46"/>
  <c r="AW263" i="46"/>
  <c r="AQ262" i="46"/>
  <c r="BB260" i="46"/>
  <c r="AW259" i="46"/>
  <c r="AQ258" i="46"/>
  <c r="BB256" i="46"/>
  <c r="AW255" i="46"/>
  <c r="AQ254" i="46"/>
  <c r="BB252" i="46"/>
  <c r="AW251" i="46"/>
  <c r="AQ250" i="46"/>
  <c r="BB248" i="46"/>
  <c r="AW247" i="46"/>
  <c r="AQ246" i="46"/>
  <c r="BB244" i="46"/>
  <c r="AW243" i="46"/>
  <c r="AQ242" i="46"/>
  <c r="BB240" i="46"/>
  <c r="AW239" i="46"/>
  <c r="AQ238" i="46"/>
  <c r="BB236" i="46"/>
  <c r="AW235" i="46"/>
  <c r="AQ234" i="46"/>
  <c r="BB232" i="46"/>
  <c r="AW231" i="46"/>
  <c r="AQ230" i="46"/>
  <c r="BB228" i="46"/>
  <c r="AW227" i="46"/>
  <c r="AQ226" i="46"/>
  <c r="BB224" i="46"/>
  <c r="AW223" i="46"/>
  <c r="AQ222" i="46"/>
  <c r="BB220" i="46"/>
  <c r="AW219" i="46"/>
  <c r="AQ218" i="46"/>
  <c r="BB216" i="46"/>
  <c r="AW215" i="46"/>
  <c r="AR214" i="46"/>
  <c r="AR213" i="46"/>
  <c r="AR212" i="46"/>
  <c r="AR211" i="46"/>
  <c r="AR210" i="46"/>
  <c r="AR209" i="46"/>
  <c r="AV208" i="46"/>
  <c r="AN208" i="46"/>
  <c r="AV207" i="46"/>
  <c r="AN207" i="46"/>
  <c r="AV206" i="46"/>
  <c r="AN206" i="46"/>
  <c r="AV205" i="46"/>
  <c r="AN205" i="46"/>
  <c r="AV204" i="46"/>
  <c r="AN204" i="46"/>
  <c r="AV203" i="46"/>
  <c r="AN203" i="46"/>
  <c r="AY202" i="46"/>
  <c r="AS202" i="46"/>
  <c r="AN202" i="46"/>
  <c r="AY201" i="46"/>
  <c r="AS201" i="46"/>
  <c r="AN201" i="46"/>
  <c r="AY200" i="46"/>
  <c r="AS200" i="46"/>
  <c r="AN200" i="46"/>
  <c r="AY199" i="46"/>
  <c r="AS199" i="46"/>
  <c r="AN199" i="46"/>
  <c r="AY198" i="46"/>
  <c r="AS198" i="46"/>
  <c r="AN198" i="46"/>
  <c r="AY197" i="46"/>
  <c r="AS197" i="46"/>
  <c r="AN197" i="46"/>
  <c r="AY196" i="46"/>
  <c r="AS196" i="46"/>
  <c r="AN196" i="46"/>
  <c r="AY195" i="46"/>
  <c r="AS195" i="46"/>
  <c r="AN195" i="46"/>
  <c r="AY194" i="46"/>
  <c r="AS194" i="46"/>
  <c r="AN194" i="46"/>
  <c r="AY193" i="46"/>
  <c r="AS193" i="46"/>
  <c r="AN193" i="46"/>
  <c r="AY192" i="46"/>
  <c r="AS192" i="46"/>
  <c r="AN192" i="46"/>
  <c r="AY191" i="46"/>
  <c r="AS191" i="46"/>
  <c r="AN191" i="46"/>
  <c r="AY190" i="46"/>
  <c r="AS190" i="46"/>
  <c r="AN190" i="46"/>
  <c r="AY189" i="46"/>
  <c r="AS189" i="46"/>
  <c r="AN189" i="46"/>
  <c r="AY188" i="46"/>
  <c r="AT188" i="46"/>
  <c r="AP188" i="46"/>
  <c r="BB187" i="46"/>
  <c r="AX187" i="46"/>
  <c r="AT187" i="46"/>
  <c r="AP187" i="46"/>
  <c r="BB186" i="46"/>
  <c r="AX186" i="46"/>
  <c r="AT186" i="46"/>
  <c r="AP186" i="46"/>
  <c r="BB185" i="46"/>
  <c r="AX185" i="46"/>
  <c r="AT185" i="46"/>
  <c r="AP185" i="46"/>
  <c r="BB184" i="46"/>
  <c r="AX184" i="46"/>
  <c r="AT184" i="46"/>
  <c r="AP184" i="46"/>
  <c r="BB183" i="46"/>
  <c r="AX183" i="46"/>
  <c r="AT183" i="46"/>
  <c r="AP183" i="46"/>
  <c r="BB182" i="46"/>
  <c r="AX182" i="46"/>
  <c r="AT182" i="46"/>
  <c r="AP182" i="46"/>
  <c r="BB181" i="46"/>
  <c r="AX181" i="46"/>
  <c r="AT181" i="46"/>
  <c r="AP181" i="46"/>
  <c r="BB180" i="46"/>
  <c r="AX180" i="46"/>
  <c r="AT180" i="46"/>
  <c r="AP180" i="46"/>
  <c r="BB179" i="46"/>
  <c r="AX179" i="46"/>
  <c r="AT179" i="46"/>
  <c r="AP179" i="46"/>
  <c r="BB178" i="46"/>
  <c r="AX178" i="46"/>
  <c r="AT178" i="46"/>
  <c r="AP178" i="46"/>
  <c r="BB177" i="46"/>
  <c r="AX177" i="46"/>
  <c r="AT177" i="46"/>
  <c r="AP177" i="46"/>
  <c r="BB176" i="46"/>
  <c r="AX176" i="46"/>
  <c r="AT176" i="46"/>
  <c r="AP176" i="46"/>
  <c r="BB175" i="46"/>
  <c r="AX175" i="46"/>
  <c r="AT175" i="46"/>
  <c r="AP175" i="46"/>
  <c r="BB174" i="46"/>
  <c r="AX174" i="46"/>
  <c r="AT174" i="46"/>
  <c r="AP174" i="46"/>
  <c r="BB173" i="46"/>
  <c r="AX173" i="46"/>
  <c r="AT173" i="46"/>
  <c r="AP173" i="46"/>
  <c r="BB172" i="46"/>
  <c r="AX172" i="46"/>
  <c r="AT172" i="46"/>
  <c r="AP172" i="46"/>
  <c r="BB171" i="46"/>
  <c r="AX171" i="46"/>
  <c r="AT171" i="46"/>
  <c r="AP171" i="46"/>
  <c r="BB170" i="46"/>
  <c r="AX170" i="46"/>
  <c r="AT170" i="46"/>
  <c r="AP170" i="46"/>
  <c r="BB169" i="46"/>
  <c r="AX169" i="46"/>
  <c r="AT169" i="46"/>
  <c r="AP169" i="46"/>
  <c r="BB168" i="46"/>
  <c r="AX168" i="46"/>
  <c r="AT168" i="46"/>
  <c r="AP168" i="46"/>
  <c r="BB167" i="46"/>
  <c r="AX167" i="46"/>
  <c r="AT167" i="46"/>
  <c r="AP167" i="46"/>
  <c r="BB166" i="46"/>
  <c r="AX166" i="46"/>
  <c r="AT166" i="46"/>
  <c r="AP166" i="46"/>
  <c r="BB165" i="46"/>
  <c r="AX165" i="46"/>
  <c r="AT165" i="46"/>
  <c r="AP165" i="46"/>
  <c r="BB164" i="46"/>
  <c r="AX164" i="46"/>
  <c r="AT164" i="46"/>
  <c r="AP164" i="46"/>
  <c r="BB163" i="46"/>
  <c r="AX163" i="46"/>
  <c r="AT163" i="46"/>
  <c r="AP163" i="46"/>
  <c r="BB162" i="46"/>
  <c r="AX162" i="46"/>
  <c r="AT162" i="46"/>
  <c r="AP162" i="46"/>
  <c r="BB161" i="46"/>
  <c r="AX161" i="46"/>
  <c r="AT161" i="46"/>
  <c r="AP161" i="46"/>
  <c r="BB160" i="46"/>
  <c r="AX160" i="46"/>
  <c r="AT160" i="46"/>
  <c r="AP160" i="46"/>
  <c r="BB159" i="46"/>
  <c r="AX159" i="46"/>
  <c r="AT159" i="46"/>
  <c r="AP159" i="46"/>
  <c r="BB158" i="46"/>
  <c r="AX158" i="46"/>
  <c r="AT158" i="46"/>
  <c r="AP158" i="46"/>
  <c r="BB157" i="46"/>
  <c r="AX157" i="46"/>
  <c r="AT157" i="46"/>
  <c r="AP157" i="46"/>
  <c r="BB156" i="46"/>
  <c r="AX156" i="46"/>
  <c r="AT156" i="46"/>
  <c r="AP156" i="46"/>
  <c r="BB155" i="46"/>
  <c r="AX155" i="46"/>
  <c r="AT155" i="46"/>
  <c r="AP155" i="46"/>
  <c r="BB154" i="46"/>
  <c r="AX154" i="46"/>
  <c r="AT154" i="46"/>
  <c r="AP154" i="46"/>
  <c r="BB153" i="46"/>
  <c r="AX153" i="46"/>
  <c r="AT153" i="46"/>
  <c r="AP153" i="46"/>
  <c r="BB152" i="46"/>
  <c r="AX152" i="46"/>
  <c r="AT152" i="46"/>
  <c r="AP152" i="46"/>
  <c r="BB151" i="46"/>
  <c r="AX151" i="46"/>
  <c r="AT151" i="46"/>
  <c r="AP151" i="46"/>
  <c r="BB150" i="46"/>
  <c r="AX150" i="46"/>
  <c r="AT150" i="46"/>
  <c r="AP150" i="46"/>
  <c r="BB149" i="46"/>
  <c r="AX149" i="46"/>
  <c r="AT149" i="46"/>
  <c r="AP149" i="46"/>
  <c r="BB148" i="46"/>
  <c r="AX148" i="46"/>
  <c r="AT148" i="46"/>
  <c r="AP148" i="46"/>
  <c r="BB147" i="46"/>
  <c r="AX147" i="46"/>
  <c r="AT147" i="46"/>
  <c r="AP147" i="46"/>
  <c r="BB146" i="46"/>
  <c r="AX146" i="46"/>
  <c r="AT146" i="46"/>
  <c r="AP146" i="46"/>
  <c r="BB145" i="46"/>
  <c r="AX145" i="46"/>
  <c r="AT145" i="46"/>
  <c r="AP145" i="46"/>
  <c r="BB144" i="46"/>
  <c r="AX144" i="46"/>
  <c r="AT144" i="46"/>
  <c r="AP144" i="46"/>
  <c r="BB143" i="46"/>
  <c r="AX143" i="46"/>
  <c r="AT143" i="46"/>
  <c r="AP143" i="46"/>
  <c r="BB142" i="46"/>
  <c r="AX142" i="46"/>
  <c r="AT142" i="46"/>
  <c r="AP142" i="46"/>
  <c r="BB141" i="46"/>
  <c r="AX141" i="46"/>
  <c r="AT141" i="46"/>
  <c r="AP141" i="46"/>
  <c r="BB140" i="46"/>
  <c r="AX140" i="46"/>
  <c r="AT140" i="46"/>
  <c r="AP140" i="46"/>
  <c r="BB139" i="46"/>
  <c r="AX139" i="46"/>
  <c r="AT139" i="46"/>
  <c r="AP139" i="46"/>
  <c r="BB138" i="46"/>
  <c r="AX138" i="46"/>
  <c r="AT138" i="46"/>
  <c r="AP138" i="46"/>
  <c r="BB137" i="46"/>
  <c r="AX137" i="46"/>
  <c r="AT137" i="46"/>
  <c r="AP137" i="46"/>
  <c r="BB136" i="46"/>
  <c r="AX136" i="46"/>
  <c r="AT136" i="46"/>
  <c r="AP136" i="46"/>
  <c r="BB135" i="46"/>
  <c r="AX135" i="46"/>
  <c r="AT135" i="46"/>
  <c r="AP135" i="46"/>
  <c r="BB134" i="46"/>
  <c r="AX134" i="46"/>
  <c r="AT134" i="46"/>
  <c r="AP134" i="46"/>
  <c r="BB133" i="46"/>
  <c r="AX133" i="46"/>
  <c r="AT133" i="46"/>
  <c r="AQ309" i="46"/>
  <c r="AV306" i="46"/>
  <c r="BB303" i="46"/>
  <c r="AQ301" i="46"/>
  <c r="AV298" i="46"/>
  <c r="BB295" i="46"/>
  <c r="AQ293" i="46"/>
  <c r="AV290" i="46"/>
  <c r="BB287" i="46"/>
  <c r="AQ285" i="46"/>
  <c r="AV282" i="46"/>
  <c r="AM280" i="46"/>
  <c r="AQ278" i="46"/>
  <c r="AT276" i="46"/>
  <c r="AX274" i="46"/>
  <c r="BB272" i="46"/>
  <c r="AQ271" i="46"/>
  <c r="BB269" i="46"/>
  <c r="AW268" i="46"/>
  <c r="AQ267" i="46"/>
  <c r="BB265" i="46"/>
  <c r="AW264" i="46"/>
  <c r="AQ263" i="46"/>
  <c r="BB261" i="46"/>
  <c r="AW260" i="46"/>
  <c r="AQ259" i="46"/>
  <c r="BB257" i="46"/>
  <c r="AW256" i="46"/>
  <c r="AQ255" i="46"/>
  <c r="BB253" i="46"/>
  <c r="AW252" i="46"/>
  <c r="AQ251" i="46"/>
  <c r="BB249" i="46"/>
  <c r="AW248" i="46"/>
  <c r="AQ247" i="46"/>
  <c r="BB245" i="46"/>
  <c r="AW244" i="46"/>
  <c r="AQ243" i="46"/>
  <c r="BB241" i="46"/>
  <c r="AW240" i="46"/>
  <c r="AQ239" i="46"/>
  <c r="BB237" i="46"/>
  <c r="AW236" i="46"/>
  <c r="AQ235" i="46"/>
  <c r="BB233" i="46"/>
  <c r="AW232" i="46"/>
  <c r="AQ231" i="46"/>
  <c r="BB229" i="46"/>
  <c r="AW228" i="46"/>
  <c r="AQ227" i="46"/>
  <c r="BB225" i="46"/>
  <c r="AW224" i="46"/>
  <c r="AQ223" i="46"/>
  <c r="BB221" i="46"/>
  <c r="AW220" i="46"/>
  <c r="AQ219" i="46"/>
  <c r="BB217" i="46"/>
  <c r="AW216" i="46"/>
  <c r="AQ215" i="46"/>
  <c r="AN214" i="46"/>
  <c r="AN213" i="46"/>
  <c r="AN212" i="46"/>
  <c r="AN211" i="46"/>
  <c r="AN210" i="46"/>
  <c r="AN209" i="46"/>
  <c r="AS208" i="46"/>
  <c r="BA207" i="46"/>
  <c r="AS207" i="46"/>
  <c r="BA206" i="46"/>
  <c r="AS206" i="46"/>
  <c r="BA205" i="46"/>
  <c r="AS205" i="46"/>
  <c r="BA204" i="46"/>
  <c r="AS204" i="46"/>
  <c r="BA203" i="46"/>
  <c r="AS203" i="46"/>
  <c r="AM203" i="46"/>
  <c r="AW202" i="46"/>
  <c r="AR202" i="46"/>
  <c r="AM202" i="46"/>
  <c r="AW201" i="46"/>
  <c r="AR201" i="46"/>
  <c r="AM201" i="46"/>
  <c r="AW200" i="46"/>
  <c r="AR200" i="46"/>
  <c r="AM200" i="46"/>
  <c r="AW199" i="46"/>
  <c r="AR199" i="46"/>
  <c r="AM199" i="46"/>
  <c r="AW198" i="46"/>
  <c r="AR198" i="46"/>
  <c r="AM198" i="46"/>
  <c r="AW197" i="46"/>
  <c r="AR197" i="46"/>
  <c r="AM197" i="46"/>
  <c r="AW196" i="46"/>
  <c r="AR196" i="46"/>
  <c r="AM196" i="46"/>
  <c r="AW195" i="46"/>
  <c r="AR195" i="46"/>
  <c r="AM195" i="46"/>
  <c r="AW194" i="46"/>
  <c r="AR194" i="46"/>
  <c r="AM194" i="46"/>
  <c r="AW193" i="46"/>
  <c r="AR193" i="46"/>
  <c r="AM193" i="46"/>
  <c r="AW192" i="46"/>
  <c r="AR192" i="46"/>
  <c r="AM192" i="46"/>
  <c r="AW191" i="46"/>
  <c r="AR191" i="46"/>
  <c r="AM191" i="46"/>
  <c r="AW190" i="46"/>
  <c r="AR190" i="46"/>
  <c r="AM190" i="46"/>
  <c r="AW189" i="46"/>
  <c r="AR189" i="46"/>
  <c r="AM189" i="46"/>
  <c r="AW188" i="46"/>
  <c r="AS188" i="46"/>
  <c r="AO188" i="46"/>
  <c r="BA187" i="46"/>
  <c r="AW187" i="46"/>
  <c r="AS187" i="46"/>
  <c r="AO187" i="46"/>
  <c r="BA186" i="46"/>
  <c r="AW186" i="46"/>
  <c r="AS186" i="46"/>
  <c r="AO186" i="46"/>
  <c r="BA185" i="46"/>
  <c r="AW185" i="46"/>
  <c r="AS185" i="46"/>
  <c r="AO185" i="46"/>
  <c r="BA184" i="46"/>
  <c r="AW184" i="46"/>
  <c r="AS184" i="46"/>
  <c r="AO184" i="46"/>
  <c r="BA183" i="46"/>
  <c r="AW183" i="46"/>
  <c r="AS183" i="46"/>
  <c r="AO183" i="46"/>
  <c r="BA182" i="46"/>
  <c r="AW182" i="46"/>
  <c r="AS182" i="46"/>
  <c r="AO182" i="46"/>
  <c r="BA181" i="46"/>
  <c r="AW181" i="46"/>
  <c r="AS181" i="46"/>
  <c r="AO181" i="46"/>
  <c r="BA180" i="46"/>
  <c r="AW180" i="46"/>
  <c r="AS180" i="46"/>
  <c r="AO180" i="46"/>
  <c r="BA179" i="46"/>
  <c r="AW179" i="46"/>
  <c r="AS179" i="46"/>
  <c r="AO179" i="46"/>
  <c r="BA178" i="46"/>
  <c r="AW178" i="46"/>
  <c r="AS178" i="46"/>
  <c r="AO178" i="46"/>
  <c r="BA177" i="46"/>
  <c r="AW177" i="46"/>
  <c r="AS177" i="46"/>
  <c r="AO177" i="46"/>
  <c r="BA176" i="46"/>
  <c r="AW176" i="46"/>
  <c r="AS176" i="46"/>
  <c r="AO176" i="46"/>
  <c r="BA175" i="46"/>
  <c r="AW175" i="46"/>
  <c r="AS175" i="46"/>
  <c r="AO175" i="46"/>
  <c r="BA174" i="46"/>
  <c r="AW174" i="46"/>
  <c r="AS174" i="46"/>
  <c r="AO174" i="46"/>
  <c r="BA173" i="46"/>
  <c r="AW173" i="46"/>
  <c r="AS173" i="46"/>
  <c r="AO173" i="46"/>
  <c r="BA172" i="46"/>
  <c r="AW172" i="46"/>
  <c r="AS172" i="46"/>
  <c r="AO172" i="46"/>
  <c r="BA171" i="46"/>
  <c r="AW171" i="46"/>
  <c r="AS171" i="46"/>
  <c r="AO171" i="46"/>
  <c r="BA170" i="46"/>
  <c r="AW170" i="46"/>
  <c r="AS170" i="46"/>
  <c r="AO170" i="46"/>
  <c r="BA169" i="46"/>
  <c r="AW169" i="46"/>
  <c r="AS169" i="46"/>
  <c r="AO169" i="46"/>
  <c r="BA168" i="46"/>
  <c r="AW168" i="46"/>
  <c r="AS168" i="46"/>
  <c r="AO168" i="46"/>
  <c r="BA167" i="46"/>
  <c r="AW167" i="46"/>
  <c r="AS167" i="46"/>
  <c r="AO167" i="46"/>
  <c r="BA166" i="46"/>
  <c r="AW166" i="46"/>
  <c r="AS166" i="46"/>
  <c r="AO166" i="46"/>
  <c r="BA165" i="46"/>
  <c r="AW165" i="46"/>
  <c r="AS165" i="46"/>
  <c r="AO165" i="46"/>
  <c r="BA164" i="46"/>
  <c r="AW164" i="46"/>
  <c r="AS164" i="46"/>
  <c r="AO164" i="46"/>
  <c r="BA163" i="46"/>
  <c r="AW163" i="46"/>
  <c r="AS163" i="46"/>
  <c r="AO163" i="46"/>
  <c r="BA162" i="46"/>
  <c r="AW162" i="46"/>
  <c r="AS162" i="46"/>
  <c r="AO162" i="46"/>
  <c r="BA161" i="46"/>
  <c r="AW161" i="46"/>
  <c r="AS161" i="46"/>
  <c r="AO161" i="46"/>
  <c r="BA160" i="46"/>
  <c r="AW160" i="46"/>
  <c r="AS160" i="46"/>
  <c r="AO160" i="46"/>
  <c r="BA159" i="46"/>
  <c r="AW159" i="46"/>
  <c r="AS159" i="46"/>
  <c r="AO159" i="46"/>
  <c r="BA158" i="46"/>
  <c r="AW158" i="46"/>
  <c r="AS158" i="46"/>
  <c r="AO158" i="46"/>
  <c r="BA157" i="46"/>
  <c r="AW157" i="46"/>
  <c r="AS157" i="46"/>
  <c r="AO157" i="46"/>
  <c r="BA156" i="46"/>
  <c r="AW156" i="46"/>
  <c r="AS156" i="46"/>
  <c r="AO156" i="46"/>
  <c r="BA155" i="46"/>
  <c r="AW155" i="46"/>
  <c r="AS155" i="46"/>
  <c r="AO155" i="46"/>
  <c r="BA154" i="46"/>
  <c r="AW154" i="46"/>
  <c r="AS154" i="46"/>
  <c r="AO154" i="46"/>
  <c r="BA153" i="46"/>
  <c r="AW153" i="46"/>
  <c r="AS153" i="46"/>
  <c r="AO153" i="46"/>
  <c r="BA152" i="46"/>
  <c r="AW152" i="46"/>
  <c r="AS152" i="46"/>
  <c r="AO152" i="46"/>
  <c r="BA151" i="46"/>
  <c r="AW151" i="46"/>
  <c r="AS151" i="46"/>
  <c r="AO151" i="46"/>
  <c r="BA150" i="46"/>
  <c r="AW150" i="46"/>
  <c r="AS150" i="46"/>
  <c r="AO150" i="46"/>
  <c r="BA149" i="46"/>
  <c r="AW149" i="46"/>
  <c r="AS149" i="46"/>
  <c r="AO149" i="46"/>
  <c r="BA148" i="46"/>
  <c r="AW148" i="46"/>
  <c r="AS148" i="46"/>
  <c r="AO148" i="46"/>
  <c r="BA147" i="46"/>
  <c r="AW147" i="46"/>
  <c r="AS147" i="46"/>
  <c r="AO147" i="46"/>
  <c r="BA146" i="46"/>
  <c r="AW146" i="46"/>
  <c r="AS146" i="46"/>
  <c r="AO146" i="46"/>
  <c r="BA145" i="46"/>
  <c r="AW145" i="46"/>
  <c r="AS145" i="46"/>
  <c r="AO145" i="46"/>
  <c r="BA144" i="46"/>
  <c r="AW144" i="46"/>
  <c r="AS144" i="46"/>
  <c r="AO144" i="46"/>
  <c r="BA143" i="46"/>
  <c r="AW143" i="46"/>
  <c r="AS143" i="46"/>
  <c r="AO143" i="46"/>
  <c r="BA142" i="46"/>
  <c r="AW142" i="46"/>
  <c r="AS142" i="46"/>
  <c r="AO142" i="46"/>
  <c r="BA141" i="46"/>
  <c r="AW141" i="46"/>
  <c r="AS141" i="46"/>
  <c r="AO141" i="46"/>
  <c r="BA140" i="46"/>
  <c r="AW140" i="46"/>
  <c r="AS140" i="46"/>
  <c r="AO140" i="46"/>
  <c r="BA139" i="46"/>
  <c r="AW139" i="46"/>
  <c r="AS139" i="46"/>
  <c r="AO139" i="46"/>
  <c r="BA138" i="46"/>
  <c r="AW138" i="46"/>
  <c r="AS138" i="46"/>
  <c r="AO138" i="46"/>
  <c r="BA137" i="46"/>
  <c r="AW137" i="46"/>
  <c r="AS137" i="46"/>
  <c r="AO137" i="46"/>
  <c r="BA136" i="46"/>
  <c r="AW136" i="46"/>
  <c r="AS136" i="46"/>
  <c r="AO136" i="46"/>
  <c r="BA135" i="46"/>
  <c r="AW135" i="46"/>
  <c r="AS135" i="46"/>
  <c r="AO135" i="46"/>
  <c r="BA134" i="46"/>
  <c r="AW134" i="46"/>
  <c r="AS134" i="46"/>
  <c r="AO134" i="46"/>
  <c r="BA133" i="46"/>
  <c r="AW133" i="46"/>
  <c r="AS133" i="46"/>
  <c r="AO133" i="46"/>
  <c r="BA132" i="46"/>
  <c r="AW132" i="46"/>
  <c r="AS132" i="46"/>
  <c r="AO132" i="46"/>
  <c r="BA131" i="46"/>
  <c r="AW131" i="46"/>
  <c r="AS131" i="46"/>
  <c r="AO131" i="46"/>
  <c r="BA130" i="46"/>
  <c r="AW130" i="46"/>
  <c r="AS130" i="46"/>
  <c r="AO130" i="46"/>
  <c r="BA129" i="46"/>
  <c r="AW129" i="46"/>
  <c r="AS129" i="46"/>
  <c r="AO129" i="46"/>
  <c r="BA128" i="46"/>
  <c r="AW128" i="46"/>
  <c r="AS128" i="46"/>
  <c r="AO128" i="46"/>
  <c r="BA127" i="46"/>
  <c r="AW127" i="46"/>
  <c r="AY311" i="46"/>
  <c r="AV308" i="46"/>
  <c r="BB305" i="46"/>
  <c r="AQ303" i="46"/>
  <c r="AV300" i="46"/>
  <c r="BB297" i="46"/>
  <c r="AQ295" i="46"/>
  <c r="AV292" i="46"/>
  <c r="BB289" i="46"/>
  <c r="AQ287" i="46"/>
  <c r="AV284" i="46"/>
  <c r="BB281" i="46"/>
  <c r="AV279" i="46"/>
  <c r="AY277" i="46"/>
  <c r="AM276" i="46"/>
  <c r="AQ274" i="46"/>
  <c r="AT272" i="46"/>
  <c r="BB270" i="46"/>
  <c r="AW269" i="46"/>
  <c r="AQ268" i="46"/>
  <c r="BB266" i="46"/>
  <c r="AW265" i="46"/>
  <c r="AQ264" i="46"/>
  <c r="BB262" i="46"/>
  <c r="AW261" i="46"/>
  <c r="AQ260" i="46"/>
  <c r="BB258" i="46"/>
  <c r="AW257" i="46"/>
  <c r="AQ256" i="46"/>
  <c r="BB254" i="46"/>
  <c r="AW253" i="46"/>
  <c r="AQ252" i="46"/>
  <c r="BB250" i="46"/>
  <c r="AW249" i="46"/>
  <c r="AQ248" i="46"/>
  <c r="BB246" i="46"/>
  <c r="AW245" i="46"/>
  <c r="AQ244" i="46"/>
  <c r="BB242" i="46"/>
  <c r="AW241" i="46"/>
  <c r="AQ240" i="46"/>
  <c r="BB238" i="46"/>
  <c r="AW237" i="46"/>
  <c r="AQ236" i="46"/>
  <c r="BB234" i="46"/>
  <c r="AW233" i="46"/>
  <c r="AQ232" i="46"/>
  <c r="BB230" i="46"/>
  <c r="AW229" i="46"/>
  <c r="AQ228" i="46"/>
  <c r="BB226" i="46"/>
  <c r="AW225" i="46"/>
  <c r="AQ224" i="46"/>
  <c r="BB222" i="46"/>
  <c r="AW221" i="46"/>
  <c r="AQ220" i="46"/>
  <c r="BB218" i="46"/>
  <c r="AW217" i="46"/>
  <c r="AQ216" i="46"/>
  <c r="BB214" i="46"/>
  <c r="AZ213" i="46"/>
  <c r="AZ212" i="46"/>
  <c r="AZ211" i="46"/>
  <c r="AZ210" i="46"/>
  <c r="AZ209" i="46"/>
  <c r="AZ208" i="46"/>
  <c r="AR208" i="46"/>
  <c r="AZ207" i="46"/>
  <c r="AR207" i="46"/>
  <c r="AZ206" i="46"/>
  <c r="AR206" i="46"/>
  <c r="AZ205" i="46"/>
  <c r="AR205" i="46"/>
  <c r="AZ204" i="46"/>
  <c r="AR204" i="46"/>
  <c r="AZ203" i="46"/>
  <c r="AR203" i="46"/>
  <c r="BA202" i="46"/>
  <c r="AV202" i="46"/>
  <c r="AQ202" i="46"/>
  <c r="BA201" i="46"/>
  <c r="AV201" i="46"/>
  <c r="AQ201" i="46"/>
  <c r="BA200" i="46"/>
  <c r="AV200" i="46"/>
  <c r="AQ200" i="46"/>
  <c r="BA199" i="46"/>
  <c r="AV199" i="46"/>
  <c r="AQ199" i="46"/>
  <c r="BA198" i="46"/>
  <c r="AV198" i="46"/>
  <c r="AQ198" i="46"/>
  <c r="BA197" i="46"/>
  <c r="AV197" i="46"/>
  <c r="AQ197" i="46"/>
  <c r="BA196" i="46"/>
  <c r="AV196" i="46"/>
  <c r="AQ196" i="46"/>
  <c r="BA195" i="46"/>
  <c r="AV195" i="46"/>
  <c r="AQ195" i="46"/>
  <c r="BA194" i="46"/>
  <c r="AV194" i="46"/>
  <c r="AQ194" i="46"/>
  <c r="BA193" i="46"/>
  <c r="AV193" i="46"/>
  <c r="AQ193" i="46"/>
  <c r="BA192" i="46"/>
  <c r="AV192" i="46"/>
  <c r="AQ192" i="46"/>
  <c r="BA191" i="46"/>
  <c r="AV191" i="46"/>
  <c r="AQ191" i="46"/>
  <c r="BA190" i="46"/>
  <c r="AV190" i="46"/>
  <c r="AQ190" i="46"/>
  <c r="BA189" i="46"/>
  <c r="AV189" i="46"/>
  <c r="AQ189" i="46"/>
  <c r="BA188" i="46"/>
  <c r="AV188" i="46"/>
  <c r="AR188" i="46"/>
  <c r="AN188" i="46"/>
  <c r="AZ187" i="46"/>
  <c r="AV187" i="46"/>
  <c r="AR187" i="46"/>
  <c r="AN187" i="46"/>
  <c r="AZ186" i="46"/>
  <c r="AV186" i="46"/>
  <c r="AR186" i="46"/>
  <c r="AN186" i="46"/>
  <c r="AZ185" i="46"/>
  <c r="AV185" i="46"/>
  <c r="AR185" i="46"/>
  <c r="AN185" i="46"/>
  <c r="AZ184" i="46"/>
  <c r="AV184" i="46"/>
  <c r="AR184" i="46"/>
  <c r="AN184" i="46"/>
  <c r="AZ183" i="46"/>
  <c r="AV183" i="46"/>
  <c r="AR183" i="46"/>
  <c r="AN183" i="46"/>
  <c r="AZ182" i="46"/>
  <c r="AV182" i="46"/>
  <c r="AR182" i="46"/>
  <c r="AN182" i="46"/>
  <c r="AZ181" i="46"/>
  <c r="AV181" i="46"/>
  <c r="AR181" i="46"/>
  <c r="AN181" i="46"/>
  <c r="AZ180" i="46"/>
  <c r="AV180" i="46"/>
  <c r="AR180" i="46"/>
  <c r="AN180" i="46"/>
  <c r="AZ179" i="46"/>
  <c r="AV179" i="46"/>
  <c r="AR179" i="46"/>
  <c r="AN179" i="46"/>
  <c r="AZ178" i="46"/>
  <c r="AV178" i="46"/>
  <c r="AR178" i="46"/>
  <c r="AN178" i="46"/>
  <c r="AZ177" i="46"/>
  <c r="AV177" i="46"/>
  <c r="AR177" i="46"/>
  <c r="AN177" i="46"/>
  <c r="AZ176" i="46"/>
  <c r="AV176" i="46"/>
  <c r="AR176" i="46"/>
  <c r="AN176" i="46"/>
  <c r="AZ175" i="46"/>
  <c r="AV175" i="46"/>
  <c r="AR175" i="46"/>
  <c r="AN175" i="46"/>
  <c r="AZ174" i="46"/>
  <c r="AV174" i="46"/>
  <c r="AR174" i="46"/>
  <c r="AN174" i="46"/>
  <c r="AZ173" i="46"/>
  <c r="AV173" i="46"/>
  <c r="AR173" i="46"/>
  <c r="AN173" i="46"/>
  <c r="AZ172" i="46"/>
  <c r="AV172" i="46"/>
  <c r="AR172" i="46"/>
  <c r="AN172" i="46"/>
  <c r="AZ171" i="46"/>
  <c r="AV171" i="46"/>
  <c r="AR171" i="46"/>
  <c r="AN171" i="46"/>
  <c r="AZ170" i="46"/>
  <c r="AV170" i="46"/>
  <c r="AR170" i="46"/>
  <c r="AN170" i="46"/>
  <c r="AZ169" i="46"/>
  <c r="AV169" i="46"/>
  <c r="AR169" i="46"/>
  <c r="AN169" i="46"/>
  <c r="AZ168" i="46"/>
  <c r="AV168" i="46"/>
  <c r="AR168" i="46"/>
  <c r="AN168" i="46"/>
  <c r="AZ167" i="46"/>
  <c r="AV167" i="46"/>
  <c r="AR167" i="46"/>
  <c r="AN167" i="46"/>
  <c r="AZ166" i="46"/>
  <c r="AV166" i="46"/>
  <c r="AR166" i="46"/>
  <c r="AN166" i="46"/>
  <c r="AZ165" i="46"/>
  <c r="AV165" i="46"/>
  <c r="AR165" i="46"/>
  <c r="AN165" i="46"/>
  <c r="AZ164" i="46"/>
  <c r="AV164" i="46"/>
  <c r="AR164" i="46"/>
  <c r="AN164" i="46"/>
  <c r="AZ163" i="46"/>
  <c r="AV163" i="46"/>
  <c r="AR163" i="46"/>
  <c r="AN163" i="46"/>
  <c r="AZ162" i="46"/>
  <c r="AV162" i="46"/>
  <c r="AR162" i="46"/>
  <c r="AN162" i="46"/>
  <c r="AZ161" i="46"/>
  <c r="AV161" i="46"/>
  <c r="AR161" i="46"/>
  <c r="AN161" i="46"/>
  <c r="AZ160" i="46"/>
  <c r="AV160" i="46"/>
  <c r="AR160" i="46"/>
  <c r="AN160" i="46"/>
  <c r="AZ159" i="46"/>
  <c r="AV159" i="46"/>
  <c r="AR159" i="46"/>
  <c r="AN159" i="46"/>
  <c r="AZ158" i="46"/>
  <c r="AV158" i="46"/>
  <c r="AR158" i="46"/>
  <c r="AN158" i="46"/>
  <c r="AZ157" i="46"/>
  <c r="AV157" i="46"/>
  <c r="AR157" i="46"/>
  <c r="AN157" i="46"/>
  <c r="AZ156" i="46"/>
  <c r="AV156" i="46"/>
  <c r="AR156" i="46"/>
  <c r="AN156" i="46"/>
  <c r="AZ155" i="46"/>
  <c r="AV155" i="46"/>
  <c r="AR155" i="46"/>
  <c r="AN155" i="46"/>
  <c r="AZ154" i="46"/>
  <c r="AV154" i="46"/>
  <c r="AR154" i="46"/>
  <c r="AN154" i="46"/>
  <c r="AZ153" i="46"/>
  <c r="AV153" i="46"/>
  <c r="AR153" i="46"/>
  <c r="AN153" i="46"/>
  <c r="AZ152" i="46"/>
  <c r="AV152" i="46"/>
  <c r="AR152" i="46"/>
  <c r="AN152" i="46"/>
  <c r="AZ151" i="46"/>
  <c r="AV151" i="46"/>
  <c r="AR151" i="46"/>
  <c r="AN151" i="46"/>
  <c r="AZ150" i="46"/>
  <c r="AV150" i="46"/>
  <c r="AR150" i="46"/>
  <c r="AN150" i="46"/>
  <c r="AZ149" i="46"/>
  <c r="AV149" i="46"/>
  <c r="AR149" i="46"/>
  <c r="AN149" i="46"/>
  <c r="AZ148" i="46"/>
  <c r="AV148" i="46"/>
  <c r="AR148" i="46"/>
  <c r="AN148" i="46"/>
  <c r="AZ147" i="46"/>
  <c r="AV147" i="46"/>
  <c r="AR147" i="46"/>
  <c r="AN147" i="46"/>
  <c r="AZ146" i="46"/>
  <c r="AV146" i="46"/>
  <c r="AR146" i="46"/>
  <c r="AN146" i="46"/>
  <c r="AZ145" i="46"/>
  <c r="AV145" i="46"/>
  <c r="AR145" i="46"/>
  <c r="AN145" i="46"/>
  <c r="AZ144" i="46"/>
  <c r="AV144" i="46"/>
  <c r="AR144" i="46"/>
  <c r="AN144" i="46"/>
  <c r="AZ143" i="46"/>
  <c r="AV143" i="46"/>
  <c r="AR143" i="46"/>
  <c r="AN143" i="46"/>
  <c r="AZ142" i="46"/>
  <c r="AV142" i="46"/>
  <c r="AR142" i="46"/>
  <c r="AN142" i="46"/>
  <c r="AZ141" i="46"/>
  <c r="AV141" i="46"/>
  <c r="AR141" i="46"/>
  <c r="AN141" i="46"/>
  <c r="AZ140" i="46"/>
  <c r="AV140" i="46"/>
  <c r="AR140" i="46"/>
  <c r="AN140" i="46"/>
  <c r="AZ139" i="46"/>
  <c r="AV139" i="46"/>
  <c r="AR139" i="46"/>
  <c r="AN139" i="46"/>
  <c r="AZ138" i="46"/>
  <c r="AV138" i="46"/>
  <c r="AR138" i="46"/>
  <c r="AN138" i="46"/>
  <c r="AZ137" i="46"/>
  <c r="AV137" i="46"/>
  <c r="AR137" i="46"/>
  <c r="AN137" i="46"/>
  <c r="AZ136" i="46"/>
  <c r="AV136" i="46"/>
  <c r="AR136" i="46"/>
  <c r="AN136" i="46"/>
  <c r="AZ135" i="46"/>
  <c r="AV135" i="46"/>
  <c r="AR135" i="46"/>
  <c r="AN135" i="46"/>
  <c r="AZ134" i="46"/>
  <c r="AV134" i="46"/>
  <c r="AR134" i="46"/>
  <c r="AN134" i="46"/>
  <c r="AZ133" i="46"/>
  <c r="AV133" i="46"/>
  <c r="AR133" i="46"/>
  <c r="AN133" i="46"/>
  <c r="AZ132" i="46"/>
  <c r="AV132" i="46"/>
  <c r="AR132" i="46"/>
  <c r="AN132" i="46"/>
  <c r="AZ131" i="46"/>
  <c r="AV131" i="46"/>
  <c r="AR131" i="46"/>
  <c r="AN131" i="46"/>
  <c r="AZ130" i="46"/>
  <c r="AV130" i="46"/>
  <c r="AR130" i="46"/>
  <c r="AN130" i="46"/>
  <c r="AZ129" i="46"/>
  <c r="AV129" i="46"/>
  <c r="AR129" i="46"/>
  <c r="AN129" i="46"/>
  <c r="AZ128" i="46"/>
  <c r="AV128" i="46"/>
  <c r="AR128" i="46"/>
  <c r="AN128" i="46"/>
  <c r="AZ127" i="46"/>
  <c r="AV127" i="46"/>
  <c r="AR127" i="46"/>
  <c r="AN127" i="46"/>
  <c r="AZ126" i="46"/>
  <c r="AV126" i="46"/>
  <c r="AR126" i="46"/>
  <c r="AN126" i="46"/>
  <c r="AZ125" i="46"/>
  <c r="AV125" i="46"/>
  <c r="AR125" i="46"/>
  <c r="AN125" i="46"/>
  <c r="AZ124" i="46"/>
  <c r="AV124" i="46"/>
  <c r="AR124" i="46"/>
  <c r="AN124" i="46"/>
  <c r="AZ123" i="46"/>
  <c r="AV123" i="46"/>
  <c r="AR123" i="46"/>
  <c r="AN123" i="46"/>
  <c r="AZ122" i="46"/>
  <c r="AV122" i="46"/>
  <c r="AR122" i="46"/>
  <c r="AN122" i="46"/>
  <c r="AZ121" i="46"/>
  <c r="AV121" i="46"/>
  <c r="AR121" i="46"/>
  <c r="AN121" i="46"/>
  <c r="AZ120" i="46"/>
  <c r="AV120" i="46"/>
  <c r="AR120" i="46"/>
  <c r="AN120" i="46"/>
  <c r="AZ119" i="46"/>
  <c r="AV119" i="46"/>
  <c r="AR119" i="46"/>
  <c r="AN119" i="46"/>
  <c r="AZ118" i="46"/>
  <c r="AV118" i="46"/>
  <c r="AR118" i="46"/>
  <c r="AN118" i="46"/>
  <c r="AQ305" i="46"/>
  <c r="AV294" i="46"/>
  <c r="BB283" i="46"/>
  <c r="AV275" i="46"/>
  <c r="AQ269" i="46"/>
  <c r="BB263" i="46"/>
  <c r="AW258" i="46"/>
  <c r="AQ253" i="46"/>
  <c r="BB247" i="46"/>
  <c r="AW242" i="46"/>
  <c r="AQ237" i="46"/>
  <c r="BB231" i="46"/>
  <c r="AW226" i="46"/>
  <c r="AQ221" i="46"/>
  <c r="BB215" i="46"/>
  <c r="AV211" i="46"/>
  <c r="AO208" i="46"/>
  <c r="AO206" i="46"/>
  <c r="AO204" i="46"/>
  <c r="AU202" i="46"/>
  <c r="AO201" i="46"/>
  <c r="AZ199" i="46"/>
  <c r="AU198" i="46"/>
  <c r="AO197" i="46"/>
  <c r="AZ195" i="46"/>
  <c r="AU194" i="46"/>
  <c r="AO193" i="46"/>
  <c r="AZ191" i="46"/>
  <c r="AU190" i="46"/>
  <c r="AO189" i="46"/>
  <c r="AM188" i="46"/>
  <c r="AM187" i="46"/>
  <c r="AM186" i="46"/>
  <c r="AM185" i="46"/>
  <c r="AM184" i="46"/>
  <c r="AM183" i="46"/>
  <c r="AM182" i="46"/>
  <c r="AM181" i="46"/>
  <c r="AM180" i="46"/>
  <c r="AM179" i="46"/>
  <c r="AM178" i="46"/>
  <c r="AM177" i="46"/>
  <c r="AM176" i="46"/>
  <c r="AM175" i="46"/>
  <c r="AM174" i="46"/>
  <c r="AM173" i="46"/>
  <c r="AM172" i="46"/>
  <c r="AM171" i="46"/>
  <c r="AM170" i="46"/>
  <c r="AM169" i="46"/>
  <c r="AM168" i="46"/>
  <c r="AM167" i="46"/>
  <c r="AM166" i="46"/>
  <c r="AM165" i="46"/>
  <c r="AM164" i="46"/>
  <c r="AM163" i="46"/>
  <c r="AM162" i="46"/>
  <c r="AM161" i="46"/>
  <c r="AM160" i="46"/>
  <c r="AM159" i="46"/>
  <c r="AM158" i="46"/>
  <c r="AM157" i="46"/>
  <c r="AM156" i="46"/>
  <c r="AM155" i="46"/>
  <c r="AM154" i="46"/>
  <c r="AM153" i="46"/>
  <c r="AM152" i="46"/>
  <c r="AM151" i="46"/>
  <c r="AM150" i="46"/>
  <c r="AM149" i="46"/>
  <c r="AM148" i="46"/>
  <c r="AM147" i="46"/>
  <c r="AM146" i="46"/>
  <c r="AM145" i="46"/>
  <c r="AM144" i="46"/>
  <c r="AM143" i="46"/>
  <c r="AM142" i="46"/>
  <c r="AM141" i="46"/>
  <c r="AM140" i="46"/>
  <c r="AM139" i="46"/>
  <c r="AM138" i="46"/>
  <c r="AM137" i="46"/>
  <c r="AM136" i="46"/>
  <c r="AM135" i="46"/>
  <c r="AM134" i="46"/>
  <c r="AP133" i="46"/>
  <c r="AX132" i="46"/>
  <c r="AP132" i="46"/>
  <c r="AX131" i="46"/>
  <c r="AP131" i="46"/>
  <c r="AX130" i="46"/>
  <c r="AP130" i="46"/>
  <c r="AX129" i="46"/>
  <c r="AP129" i="46"/>
  <c r="AX128" i="46"/>
  <c r="AP128" i="46"/>
  <c r="AX127" i="46"/>
  <c r="AQ127" i="46"/>
  <c r="BB126" i="46"/>
  <c r="AW126" i="46"/>
  <c r="AQ126" i="46"/>
  <c r="BB125" i="46"/>
  <c r="AW125" i="46"/>
  <c r="AQ125" i="46"/>
  <c r="BB124" i="46"/>
  <c r="AW124" i="46"/>
  <c r="AQ124" i="46"/>
  <c r="BB123" i="46"/>
  <c r="AW123" i="46"/>
  <c r="AQ123" i="46"/>
  <c r="BB122" i="46"/>
  <c r="AW122" i="46"/>
  <c r="AQ122" i="46"/>
  <c r="BB121" i="46"/>
  <c r="AW121" i="46"/>
  <c r="AQ121" i="46"/>
  <c r="BB120" i="46"/>
  <c r="AW120" i="46"/>
  <c r="AQ120" i="46"/>
  <c r="BB119" i="46"/>
  <c r="AW119" i="46"/>
  <c r="AQ119" i="46"/>
  <c r="BB118" i="46"/>
  <c r="AW118" i="46"/>
  <c r="AQ118" i="46"/>
  <c r="BB117" i="46"/>
  <c r="AX117" i="46"/>
  <c r="AT117" i="46"/>
  <c r="AP117" i="46"/>
  <c r="BB116" i="46"/>
  <c r="AX116" i="46"/>
  <c r="AT116" i="46"/>
  <c r="AP116" i="46"/>
  <c r="BB115" i="46"/>
  <c r="AX115" i="46"/>
  <c r="AT115" i="46"/>
  <c r="AP115" i="46"/>
  <c r="BB114" i="46"/>
  <c r="AX114" i="46"/>
  <c r="AT114" i="46"/>
  <c r="AP114" i="46"/>
  <c r="BB113" i="46"/>
  <c r="AX113" i="46"/>
  <c r="AT113" i="46"/>
  <c r="AP113" i="46"/>
  <c r="BB112" i="46"/>
  <c r="AX112" i="46"/>
  <c r="AT112" i="46"/>
  <c r="AP112" i="46"/>
  <c r="BB111" i="46"/>
  <c r="AX111" i="46"/>
  <c r="AT111" i="46"/>
  <c r="AP111" i="46"/>
  <c r="BB110" i="46"/>
  <c r="AX110" i="46"/>
  <c r="AT110" i="46"/>
  <c r="AP110" i="46"/>
  <c r="BB109" i="46"/>
  <c r="AX109" i="46"/>
  <c r="AT109" i="46"/>
  <c r="AP109" i="46"/>
  <c r="BB108" i="46"/>
  <c r="AX108" i="46"/>
  <c r="AT108" i="46"/>
  <c r="AP108" i="46"/>
  <c r="BB107" i="46"/>
  <c r="AX107" i="46"/>
  <c r="AT107" i="46"/>
  <c r="AP107" i="46"/>
  <c r="BB106" i="46"/>
  <c r="AX106" i="46"/>
  <c r="AT106" i="46"/>
  <c r="AP106" i="46"/>
  <c r="BB105" i="46"/>
  <c r="AX105" i="46"/>
  <c r="AT105" i="46"/>
  <c r="AP105" i="46"/>
  <c r="BB104" i="46"/>
  <c r="AX104" i="46"/>
  <c r="AT104" i="46"/>
  <c r="AP104" i="46"/>
  <c r="BB103" i="46"/>
  <c r="AX103" i="46"/>
  <c r="AT103" i="46"/>
  <c r="AP103" i="46"/>
  <c r="BB102" i="46"/>
  <c r="AX102" i="46"/>
  <c r="AT102" i="46"/>
  <c r="AP102" i="46"/>
  <c r="BB101" i="46"/>
  <c r="AX101" i="46"/>
  <c r="AT101" i="46"/>
  <c r="AP101" i="46"/>
  <c r="BB100" i="46"/>
  <c r="AX100" i="46"/>
  <c r="AT100" i="46"/>
  <c r="AP100" i="46"/>
  <c r="BB99" i="46"/>
  <c r="AX99" i="46"/>
  <c r="AT99" i="46"/>
  <c r="AP99" i="46"/>
  <c r="BB98" i="46"/>
  <c r="AX98" i="46"/>
  <c r="AT98" i="46"/>
  <c r="AP98" i="46"/>
  <c r="BB97" i="46"/>
  <c r="AX97" i="46"/>
  <c r="AT97" i="46"/>
  <c r="AP97" i="46"/>
  <c r="BB96" i="46"/>
  <c r="AX96" i="46"/>
  <c r="AT96" i="46"/>
  <c r="AP96" i="46"/>
  <c r="BB95" i="46"/>
  <c r="AX95" i="46"/>
  <c r="AT95" i="46"/>
  <c r="AP95" i="46"/>
  <c r="BB94" i="46"/>
  <c r="AX94" i="46"/>
  <c r="AT94" i="46"/>
  <c r="AP94" i="46"/>
  <c r="BB93" i="46"/>
  <c r="AX93" i="46"/>
  <c r="AT93" i="46"/>
  <c r="AP93" i="46"/>
  <c r="BB92" i="46"/>
  <c r="AX92" i="46"/>
  <c r="AT92" i="46"/>
  <c r="AP92" i="46"/>
  <c r="BB91" i="46"/>
  <c r="AX91" i="46"/>
  <c r="AT91" i="46"/>
  <c r="AP91" i="46"/>
  <c r="BB90" i="46"/>
  <c r="AX90" i="46"/>
  <c r="AT90" i="46"/>
  <c r="AP90" i="46"/>
  <c r="BB89" i="46"/>
  <c r="AX89" i="46"/>
  <c r="AT89" i="46"/>
  <c r="AP89" i="46"/>
  <c r="BB88" i="46"/>
  <c r="AX88" i="46"/>
  <c r="AT88" i="46"/>
  <c r="AP88" i="46"/>
  <c r="BB87" i="46"/>
  <c r="AX87" i="46"/>
  <c r="AT87" i="46"/>
  <c r="AP87" i="46"/>
  <c r="BB86" i="46"/>
  <c r="AX86" i="46"/>
  <c r="AT86" i="46"/>
  <c r="AP86" i="46"/>
  <c r="BB85" i="46"/>
  <c r="AX85" i="46"/>
  <c r="AT85" i="46"/>
  <c r="AP85" i="46"/>
  <c r="BB84" i="46"/>
  <c r="AX84" i="46"/>
  <c r="AT84" i="46"/>
  <c r="AP84" i="46"/>
  <c r="BB83" i="46"/>
  <c r="AX83" i="46"/>
  <c r="AT83" i="46"/>
  <c r="AP83" i="46"/>
  <c r="BB82" i="46"/>
  <c r="AX82" i="46"/>
  <c r="AT82" i="46"/>
  <c r="AP82" i="46"/>
  <c r="BB81" i="46"/>
  <c r="AX81" i="46"/>
  <c r="AT81" i="46"/>
  <c r="AP81" i="46"/>
  <c r="BB80" i="46"/>
  <c r="AX80" i="46"/>
  <c r="AT80" i="46"/>
  <c r="AP80" i="46"/>
  <c r="BB79" i="46"/>
  <c r="AX79" i="46"/>
  <c r="AT79" i="46"/>
  <c r="AP79" i="46"/>
  <c r="BB78" i="46"/>
  <c r="AX78" i="46"/>
  <c r="AT78" i="46"/>
  <c r="AP78" i="46"/>
  <c r="BB77" i="46"/>
  <c r="AX77" i="46"/>
  <c r="AT77" i="46"/>
  <c r="AP77" i="46"/>
  <c r="BB76" i="46"/>
  <c r="AX76" i="46"/>
  <c r="AT76" i="46"/>
  <c r="AP76" i="46"/>
  <c r="BB75" i="46"/>
  <c r="AX75" i="46"/>
  <c r="AT75" i="46"/>
  <c r="AP75" i="46"/>
  <c r="BB74" i="46"/>
  <c r="AX74" i="46"/>
  <c r="AT74" i="46"/>
  <c r="AP74" i="46"/>
  <c r="BB73" i="46"/>
  <c r="AX73" i="46"/>
  <c r="AT73" i="46"/>
  <c r="AP73" i="46"/>
  <c r="BB72" i="46"/>
  <c r="AX72" i="46"/>
  <c r="AT72" i="46"/>
  <c r="AP72" i="46"/>
  <c r="BB71" i="46"/>
  <c r="AX71" i="46"/>
  <c r="AT71" i="46"/>
  <c r="AP71" i="46"/>
  <c r="BB70" i="46"/>
  <c r="AX70" i="46"/>
  <c r="AT70" i="46"/>
  <c r="AP70" i="46"/>
  <c r="BB69" i="46"/>
  <c r="AX69" i="46"/>
  <c r="AT69" i="46"/>
  <c r="AP69" i="46"/>
  <c r="BB68" i="46"/>
  <c r="AX68" i="46"/>
  <c r="AT68" i="46"/>
  <c r="AP68" i="46"/>
  <c r="BB67" i="46"/>
  <c r="AX67" i="46"/>
  <c r="AT67" i="46"/>
  <c r="AP67" i="46"/>
  <c r="BB66" i="46"/>
  <c r="AX66" i="46"/>
  <c r="AT66" i="46"/>
  <c r="AP66" i="46"/>
  <c r="BB65" i="46"/>
  <c r="AX65" i="46"/>
  <c r="AT65" i="46"/>
  <c r="AP65" i="46"/>
  <c r="BB64" i="46"/>
  <c r="AX64" i="46"/>
  <c r="AT64" i="46"/>
  <c r="AP64" i="46"/>
  <c r="BB63" i="46"/>
  <c r="AX63" i="46"/>
  <c r="AT63" i="46"/>
  <c r="AP63" i="46"/>
  <c r="BB62" i="46"/>
  <c r="AX62" i="46"/>
  <c r="AT62" i="46"/>
  <c r="AP62" i="46"/>
  <c r="BB61" i="46"/>
  <c r="AX61" i="46"/>
  <c r="AT61" i="46"/>
  <c r="AP61" i="46"/>
  <c r="BB60" i="46"/>
  <c r="AX60" i="46"/>
  <c r="AT60" i="46"/>
  <c r="AP60" i="46"/>
  <c r="BB59" i="46"/>
  <c r="AX59" i="46"/>
  <c r="AT59" i="46"/>
  <c r="AP59" i="46"/>
  <c r="BB58" i="46"/>
  <c r="AX58" i="46"/>
  <c r="AT58" i="46"/>
  <c r="AP58" i="46"/>
  <c r="BB57" i="46"/>
  <c r="AX57" i="46"/>
  <c r="AT57" i="46"/>
  <c r="AP57" i="46"/>
  <c r="BB56" i="46"/>
  <c r="AX56" i="46"/>
  <c r="AT56" i="46"/>
  <c r="AP56" i="46"/>
  <c r="BB55" i="46"/>
  <c r="AX55" i="46"/>
  <c r="AT55" i="46"/>
  <c r="AP55" i="46"/>
  <c r="BB54" i="46"/>
  <c r="AX54" i="46"/>
  <c r="AT54" i="46"/>
  <c r="AP54" i="46"/>
  <c r="BB53" i="46"/>
  <c r="AX53" i="46"/>
  <c r="AT53" i="46"/>
  <c r="AP53" i="46"/>
  <c r="BB52" i="46"/>
  <c r="AX52" i="46"/>
  <c r="AT52" i="46"/>
  <c r="AP52" i="46"/>
  <c r="BB51" i="46"/>
  <c r="AX51" i="46"/>
  <c r="AT51" i="46"/>
  <c r="AP51" i="46"/>
  <c r="BB50" i="46"/>
  <c r="AX50" i="46"/>
  <c r="AT50" i="46"/>
  <c r="AP50" i="46"/>
  <c r="BB49" i="46"/>
  <c r="AX49" i="46"/>
  <c r="AT49" i="46"/>
  <c r="AP49" i="46"/>
  <c r="BB48" i="46"/>
  <c r="AX48" i="46"/>
  <c r="AT48" i="46"/>
  <c r="AP48" i="46"/>
  <c r="BB47" i="46"/>
  <c r="AX47" i="46"/>
  <c r="AT47" i="46"/>
  <c r="AP47" i="46"/>
  <c r="BB46" i="46"/>
  <c r="AX46" i="46"/>
  <c r="AT46" i="46"/>
  <c r="AP46" i="46"/>
  <c r="BB45" i="46"/>
  <c r="AX45" i="46"/>
  <c r="AT45" i="46"/>
  <c r="AP45" i="46"/>
  <c r="BB44" i="46"/>
  <c r="AX44" i="46"/>
  <c r="AT44" i="46"/>
  <c r="AP44" i="46"/>
  <c r="BB43" i="46"/>
  <c r="AX43" i="46"/>
  <c r="AT43" i="46"/>
  <c r="AP43" i="46"/>
  <c r="BB42" i="46"/>
  <c r="AX42" i="46"/>
  <c r="AT42" i="46"/>
  <c r="AP42" i="46"/>
  <c r="BB41" i="46"/>
  <c r="AX41" i="46"/>
  <c r="AT41" i="46"/>
  <c r="AP41" i="46"/>
  <c r="BB40" i="46"/>
  <c r="AX40" i="46"/>
  <c r="AT40" i="46"/>
  <c r="AP40" i="46"/>
  <c r="BB39" i="46"/>
  <c r="AX39" i="46"/>
  <c r="AT39" i="46"/>
  <c r="AP39" i="46"/>
  <c r="BB38" i="46"/>
  <c r="AX38" i="46"/>
  <c r="AT38" i="46"/>
  <c r="AP38" i="46"/>
  <c r="BB37" i="46"/>
  <c r="AX37" i="46"/>
  <c r="AT37" i="46"/>
  <c r="AP37" i="46"/>
  <c r="BB36" i="46"/>
  <c r="AX36" i="46"/>
  <c r="AT36" i="46"/>
  <c r="AP36" i="46"/>
  <c r="BB35" i="46"/>
  <c r="AX35" i="46"/>
  <c r="AT35" i="46"/>
  <c r="AP35" i="46"/>
  <c r="BB34" i="46"/>
  <c r="AX34" i="46"/>
  <c r="AT34" i="46"/>
  <c r="AP34" i="46"/>
  <c r="BB33" i="46"/>
  <c r="AX33" i="46"/>
  <c r="AT33" i="46"/>
  <c r="AP33" i="46"/>
  <c r="BB32" i="46"/>
  <c r="AX32" i="46"/>
  <c r="AT32" i="46"/>
  <c r="AP32" i="46"/>
  <c r="BB31" i="46"/>
  <c r="AX31" i="46"/>
  <c r="AT31" i="46"/>
  <c r="AP31" i="46"/>
  <c r="BB30" i="46"/>
  <c r="AX30" i="46"/>
  <c r="AT30" i="46"/>
  <c r="AP30" i="46"/>
  <c r="BB29" i="46"/>
  <c r="AX29" i="46"/>
  <c r="AT29" i="46"/>
  <c r="AP29" i="46"/>
  <c r="BB28" i="46"/>
  <c r="AX28" i="46"/>
  <c r="AT28" i="46"/>
  <c r="AP28" i="46"/>
  <c r="BB27" i="46"/>
  <c r="AX27" i="46"/>
  <c r="AT27" i="46"/>
  <c r="AP27" i="46"/>
  <c r="BB26" i="46"/>
  <c r="AX26" i="46"/>
  <c r="AT26" i="46"/>
  <c r="AP26" i="46"/>
  <c r="BB25" i="46"/>
  <c r="AX25" i="46"/>
  <c r="AT25" i="46"/>
  <c r="AP25" i="46"/>
  <c r="BB24" i="46"/>
  <c r="AX24" i="46"/>
  <c r="AT24" i="46"/>
  <c r="AP24" i="46"/>
  <c r="BB23" i="46"/>
  <c r="AX23" i="46"/>
  <c r="AT23" i="46"/>
  <c r="AP23" i="46"/>
  <c r="BB22" i="46"/>
  <c r="AX22" i="46"/>
  <c r="AT22" i="46"/>
  <c r="AP22" i="46"/>
  <c r="BB21" i="46"/>
  <c r="AX21" i="46"/>
  <c r="AT21" i="46"/>
  <c r="AP21" i="46"/>
  <c r="BB20" i="46"/>
  <c r="AX20" i="46"/>
  <c r="AT20" i="46"/>
  <c r="AP20" i="46"/>
  <c r="BB19" i="46"/>
  <c r="AX19" i="46"/>
  <c r="AT19" i="46"/>
  <c r="AP19" i="46"/>
  <c r="BB18" i="46"/>
  <c r="AX18" i="46"/>
  <c r="AT18" i="46"/>
  <c r="AP18" i="46"/>
  <c r="BB17" i="46"/>
  <c r="AX17" i="46"/>
  <c r="AT17" i="46"/>
  <c r="AP17" i="46"/>
  <c r="BB16" i="46"/>
  <c r="AX16" i="46"/>
  <c r="AT16" i="46"/>
  <c r="AP16" i="46"/>
  <c r="BB15" i="46"/>
  <c r="AX15" i="46"/>
  <c r="AT15" i="46"/>
  <c r="AP15" i="46"/>
  <c r="BB14" i="46"/>
  <c r="AX14" i="46"/>
  <c r="AT14" i="46"/>
  <c r="AP14" i="46"/>
  <c r="BB13" i="46"/>
  <c r="AX13" i="46"/>
  <c r="AT13" i="46"/>
  <c r="AP13" i="46"/>
  <c r="BB12" i="46"/>
  <c r="AX12" i="46"/>
  <c r="AT12" i="46"/>
  <c r="AP12" i="46"/>
  <c r="BB11" i="46"/>
  <c r="AX11" i="46"/>
  <c r="AT11" i="46"/>
  <c r="AP11" i="46"/>
  <c r="BB10" i="46"/>
  <c r="AX10" i="46"/>
  <c r="AT10" i="46"/>
  <c r="AP10" i="46"/>
  <c r="BB9" i="46"/>
  <c r="AX9" i="46"/>
  <c r="AT9" i="46"/>
  <c r="AP9" i="46"/>
  <c r="BB8" i="46"/>
  <c r="AX8" i="46"/>
  <c r="AT8" i="46"/>
  <c r="AP8" i="46"/>
  <c r="BB7" i="46"/>
  <c r="AX7" i="46"/>
  <c r="AT7" i="46"/>
  <c r="AP7" i="46"/>
  <c r="BB6" i="46"/>
  <c r="AX6" i="46"/>
  <c r="AT6" i="46"/>
  <c r="AP6" i="46"/>
  <c r="BB5" i="46"/>
  <c r="AX5" i="46"/>
  <c r="AT5" i="46"/>
  <c r="AP5" i="46"/>
  <c r="AM5" i="46"/>
  <c r="AV302" i="46"/>
  <c r="BB291" i="46"/>
  <c r="AQ281" i="46"/>
  <c r="AY273" i="46"/>
  <c r="BB267" i="46"/>
  <c r="AW262" i="46"/>
  <c r="AQ257" i="46"/>
  <c r="BB251" i="46"/>
  <c r="AW246" i="46"/>
  <c r="AQ241" i="46"/>
  <c r="BB235" i="46"/>
  <c r="AW230" i="46"/>
  <c r="AQ225" i="46"/>
  <c r="BB219" i="46"/>
  <c r="AW214" i="46"/>
  <c r="AV210" i="46"/>
  <c r="AW207" i="46"/>
  <c r="AW205" i="46"/>
  <c r="AW203" i="46"/>
  <c r="AO202" i="46"/>
  <c r="AZ200" i="46"/>
  <c r="AU199" i="46"/>
  <c r="AO198" i="46"/>
  <c r="AZ196" i="46"/>
  <c r="AU195" i="46"/>
  <c r="AO194" i="46"/>
  <c r="AZ192" i="46"/>
  <c r="AU191" i="46"/>
  <c r="AO190" i="46"/>
  <c r="AZ188" i="46"/>
  <c r="AY187" i="46"/>
  <c r="AY186" i="46"/>
  <c r="AY185" i="46"/>
  <c r="AY184" i="46"/>
  <c r="AY183" i="46"/>
  <c r="AY182" i="46"/>
  <c r="AY181" i="46"/>
  <c r="AY180" i="46"/>
  <c r="AY179" i="46"/>
  <c r="AY178" i="46"/>
  <c r="AY177" i="46"/>
  <c r="AY176" i="46"/>
  <c r="AY175" i="46"/>
  <c r="AY174" i="46"/>
  <c r="AY173" i="46"/>
  <c r="AY172" i="46"/>
  <c r="AY171" i="46"/>
  <c r="AY170" i="46"/>
  <c r="AY169" i="46"/>
  <c r="AY168" i="46"/>
  <c r="AY167" i="46"/>
  <c r="AY166" i="46"/>
  <c r="AY165" i="46"/>
  <c r="AY164" i="46"/>
  <c r="AY163" i="46"/>
  <c r="AY162" i="46"/>
  <c r="AY161" i="46"/>
  <c r="AY160" i="46"/>
  <c r="AY159" i="46"/>
  <c r="AY158" i="46"/>
  <c r="AY157" i="46"/>
  <c r="AY156" i="46"/>
  <c r="AY155" i="46"/>
  <c r="AY154" i="46"/>
  <c r="AY153" i="46"/>
  <c r="AY152" i="46"/>
  <c r="AY151" i="46"/>
  <c r="AY150" i="46"/>
  <c r="AY149" i="46"/>
  <c r="AY148" i="46"/>
  <c r="AY147" i="46"/>
  <c r="AY146" i="46"/>
  <c r="AY145" i="46"/>
  <c r="AY144" i="46"/>
  <c r="AY143" i="46"/>
  <c r="AY142" i="46"/>
  <c r="AY141" i="46"/>
  <c r="AY140" i="46"/>
  <c r="AY139" i="46"/>
  <c r="AY138" i="46"/>
  <c r="AY137" i="46"/>
  <c r="AY136" i="46"/>
  <c r="AY135" i="46"/>
  <c r="AY134" i="46"/>
  <c r="AY133" i="46"/>
  <c r="AM133" i="46"/>
  <c r="AU132" i="46"/>
  <c r="AM132" i="46"/>
  <c r="AU131" i="46"/>
  <c r="AM131" i="46"/>
  <c r="AU130" i="46"/>
  <c r="AM130" i="46"/>
  <c r="AU129" i="46"/>
  <c r="AM129" i="46"/>
  <c r="AU128" i="46"/>
  <c r="AM128" i="46"/>
  <c r="AU127" i="46"/>
  <c r="AP127" i="46"/>
  <c r="BA126" i="46"/>
  <c r="AU126" i="46"/>
  <c r="AP126" i="46"/>
  <c r="BA125" i="46"/>
  <c r="AU125" i="46"/>
  <c r="AP125" i="46"/>
  <c r="BA124" i="46"/>
  <c r="AU124" i="46"/>
  <c r="AP124" i="46"/>
  <c r="BA123" i="46"/>
  <c r="AU123" i="46"/>
  <c r="AP123" i="46"/>
  <c r="BA122" i="46"/>
  <c r="AU122" i="46"/>
  <c r="AP122" i="46"/>
  <c r="BA121" i="46"/>
  <c r="AU121" i="46"/>
  <c r="AP121" i="46"/>
  <c r="BA120" i="46"/>
  <c r="AU120" i="46"/>
  <c r="AP120" i="46"/>
  <c r="BA119" i="46"/>
  <c r="AU119" i="46"/>
  <c r="AP119" i="46"/>
  <c r="BA118" i="46"/>
  <c r="AU118" i="46"/>
  <c r="AP118" i="46"/>
  <c r="BA117" i="46"/>
  <c r="AW117" i="46"/>
  <c r="AS117" i="46"/>
  <c r="AO117" i="46"/>
  <c r="BA116" i="46"/>
  <c r="AW116" i="46"/>
  <c r="AS116" i="46"/>
  <c r="AO116" i="46"/>
  <c r="BA115" i="46"/>
  <c r="AW115" i="46"/>
  <c r="AS115" i="46"/>
  <c r="AO115" i="46"/>
  <c r="BA114" i="46"/>
  <c r="AW114" i="46"/>
  <c r="AS114" i="46"/>
  <c r="AO114" i="46"/>
  <c r="BA113" i="46"/>
  <c r="AW113" i="46"/>
  <c r="AS113" i="46"/>
  <c r="AO113" i="46"/>
  <c r="BA112" i="46"/>
  <c r="AW112" i="46"/>
  <c r="AS112" i="46"/>
  <c r="AO112" i="46"/>
  <c r="BA111" i="46"/>
  <c r="AW111" i="46"/>
  <c r="AS111" i="46"/>
  <c r="AO111" i="46"/>
  <c r="BA110" i="46"/>
  <c r="AW110" i="46"/>
  <c r="AS110" i="46"/>
  <c r="AO110" i="46"/>
  <c r="BA109" i="46"/>
  <c r="AW109" i="46"/>
  <c r="AS109" i="46"/>
  <c r="AO109" i="46"/>
  <c r="BA108" i="46"/>
  <c r="AW108" i="46"/>
  <c r="AS108" i="46"/>
  <c r="AO108" i="46"/>
  <c r="BA107" i="46"/>
  <c r="AW107" i="46"/>
  <c r="AS107" i="46"/>
  <c r="AO107" i="46"/>
  <c r="BA106" i="46"/>
  <c r="AW106" i="46"/>
  <c r="AS106" i="46"/>
  <c r="AO106" i="46"/>
  <c r="BA105" i="46"/>
  <c r="AW105" i="46"/>
  <c r="AS105" i="46"/>
  <c r="AO105" i="46"/>
  <c r="BA104" i="46"/>
  <c r="AW104" i="46"/>
  <c r="AS104" i="46"/>
  <c r="AO104" i="46"/>
  <c r="BA103" i="46"/>
  <c r="AW103" i="46"/>
  <c r="AS103" i="46"/>
  <c r="AO103" i="46"/>
  <c r="BA102" i="46"/>
  <c r="AW102" i="46"/>
  <c r="AS102" i="46"/>
  <c r="AO102" i="46"/>
  <c r="BA101" i="46"/>
  <c r="AW101" i="46"/>
  <c r="AS101" i="46"/>
  <c r="AO101" i="46"/>
  <c r="BA100" i="46"/>
  <c r="AW100" i="46"/>
  <c r="AS100" i="46"/>
  <c r="AO100" i="46"/>
  <c r="BA99" i="46"/>
  <c r="AW99" i="46"/>
  <c r="AS99" i="46"/>
  <c r="AO99" i="46"/>
  <c r="BA98" i="46"/>
  <c r="AW98" i="46"/>
  <c r="AS98" i="46"/>
  <c r="AO98" i="46"/>
  <c r="BA97" i="46"/>
  <c r="AW97" i="46"/>
  <c r="AS97" i="46"/>
  <c r="AO97" i="46"/>
  <c r="BA96" i="46"/>
  <c r="AW96" i="46"/>
  <c r="AS96" i="46"/>
  <c r="AO96" i="46"/>
  <c r="BA95" i="46"/>
  <c r="AW95" i="46"/>
  <c r="AS95" i="46"/>
  <c r="AO95" i="46"/>
  <c r="BA94" i="46"/>
  <c r="AW94" i="46"/>
  <c r="AS94" i="46"/>
  <c r="AO94" i="46"/>
  <c r="BA93" i="46"/>
  <c r="AW93" i="46"/>
  <c r="AS93" i="46"/>
  <c r="AO93" i="46"/>
  <c r="BA92" i="46"/>
  <c r="AW92" i="46"/>
  <c r="AS92" i="46"/>
  <c r="AO92" i="46"/>
  <c r="BA91" i="46"/>
  <c r="AW91" i="46"/>
  <c r="AS91" i="46"/>
  <c r="AO91" i="46"/>
  <c r="BA90" i="46"/>
  <c r="AW90" i="46"/>
  <c r="AS90" i="46"/>
  <c r="AO90" i="46"/>
  <c r="BA89" i="46"/>
  <c r="AW89" i="46"/>
  <c r="AS89" i="46"/>
  <c r="AO89" i="46"/>
  <c r="BA88" i="46"/>
  <c r="AW88" i="46"/>
  <c r="AS88" i="46"/>
  <c r="AO88" i="46"/>
  <c r="BA87" i="46"/>
  <c r="AW87" i="46"/>
  <c r="AS87" i="46"/>
  <c r="AO87" i="46"/>
  <c r="BA86" i="46"/>
  <c r="AW86" i="46"/>
  <c r="AS86" i="46"/>
  <c r="AO86" i="46"/>
  <c r="BA85" i="46"/>
  <c r="AW85" i="46"/>
  <c r="AS85" i="46"/>
  <c r="AO85" i="46"/>
  <c r="BA84" i="46"/>
  <c r="AW84" i="46"/>
  <c r="AS84" i="46"/>
  <c r="AO84" i="46"/>
  <c r="BA83" i="46"/>
  <c r="AW83" i="46"/>
  <c r="AS83" i="46"/>
  <c r="AO83" i="46"/>
  <c r="BA82" i="46"/>
  <c r="AW82" i="46"/>
  <c r="AS82" i="46"/>
  <c r="AO82" i="46"/>
  <c r="BA81" i="46"/>
  <c r="AW81" i="46"/>
  <c r="AS81" i="46"/>
  <c r="AO81" i="46"/>
  <c r="BA80" i="46"/>
  <c r="AW80" i="46"/>
  <c r="AS80" i="46"/>
  <c r="AO80" i="46"/>
  <c r="BA79" i="46"/>
  <c r="AW79" i="46"/>
  <c r="AS79" i="46"/>
  <c r="AO79" i="46"/>
  <c r="BA78" i="46"/>
  <c r="AW78" i="46"/>
  <c r="AS78" i="46"/>
  <c r="AO78" i="46"/>
  <c r="BA77" i="46"/>
  <c r="AW77" i="46"/>
  <c r="AS77" i="46"/>
  <c r="AO77" i="46"/>
  <c r="BA76" i="46"/>
  <c r="AW76" i="46"/>
  <c r="AS76" i="46"/>
  <c r="AO76" i="46"/>
  <c r="BA75" i="46"/>
  <c r="AW75" i="46"/>
  <c r="AS75" i="46"/>
  <c r="AO75" i="46"/>
  <c r="BA74" i="46"/>
  <c r="AW74" i="46"/>
  <c r="AS74" i="46"/>
  <c r="AO74" i="46"/>
  <c r="BA73" i="46"/>
  <c r="AW73" i="46"/>
  <c r="AS73" i="46"/>
  <c r="AO73" i="46"/>
  <c r="BA72" i="46"/>
  <c r="AW72" i="46"/>
  <c r="AS72" i="46"/>
  <c r="AO72" i="46"/>
  <c r="BA71" i="46"/>
  <c r="AW71" i="46"/>
  <c r="AS71" i="46"/>
  <c r="AO71" i="46"/>
  <c r="BA70" i="46"/>
  <c r="AW70" i="46"/>
  <c r="AS70" i="46"/>
  <c r="AO70" i="46"/>
  <c r="BA69" i="46"/>
  <c r="AW69" i="46"/>
  <c r="AS69" i="46"/>
  <c r="AO69" i="46"/>
  <c r="BA68" i="46"/>
  <c r="AW68" i="46"/>
  <c r="AS68" i="46"/>
  <c r="AO68" i="46"/>
  <c r="BA67" i="46"/>
  <c r="AW67" i="46"/>
  <c r="AS67" i="46"/>
  <c r="AO67" i="46"/>
  <c r="BA66" i="46"/>
  <c r="AW66" i="46"/>
  <c r="AS66" i="46"/>
  <c r="AO66" i="46"/>
  <c r="BA65" i="46"/>
  <c r="AW65" i="46"/>
  <c r="AS65" i="46"/>
  <c r="AO65" i="46"/>
  <c r="BA64" i="46"/>
  <c r="AW64" i="46"/>
  <c r="AS64" i="46"/>
  <c r="AO64" i="46"/>
  <c r="BA63" i="46"/>
  <c r="AW63" i="46"/>
  <c r="AS63" i="46"/>
  <c r="AO63" i="46"/>
  <c r="BA62" i="46"/>
  <c r="AW62" i="46"/>
  <c r="AS62" i="46"/>
  <c r="AO62" i="46"/>
  <c r="BA61" i="46"/>
  <c r="AW61" i="46"/>
  <c r="AS61" i="46"/>
  <c r="AO61" i="46"/>
  <c r="BA60" i="46"/>
  <c r="AW60" i="46"/>
  <c r="AS60" i="46"/>
  <c r="AO60" i="46"/>
  <c r="BA59" i="46"/>
  <c r="AW59" i="46"/>
  <c r="AS59" i="46"/>
  <c r="AO59" i="46"/>
  <c r="BA58" i="46"/>
  <c r="AW58" i="46"/>
  <c r="AS58" i="46"/>
  <c r="AO58" i="46"/>
  <c r="BA57" i="46"/>
  <c r="AW57" i="46"/>
  <c r="AS57" i="46"/>
  <c r="AO57" i="46"/>
  <c r="BA56" i="46"/>
  <c r="AW56" i="46"/>
  <c r="AS56" i="46"/>
  <c r="AO56" i="46"/>
  <c r="BA55" i="46"/>
  <c r="AW55" i="46"/>
  <c r="AS55" i="46"/>
  <c r="AO55" i="46"/>
  <c r="BA54" i="46"/>
  <c r="AW54" i="46"/>
  <c r="AS54" i="46"/>
  <c r="AO54" i="46"/>
  <c r="BA53" i="46"/>
  <c r="AW53" i="46"/>
  <c r="AS53" i="46"/>
  <c r="AO53" i="46"/>
  <c r="BA52" i="46"/>
  <c r="AW52" i="46"/>
  <c r="AS52" i="46"/>
  <c r="AO52" i="46"/>
  <c r="BA51" i="46"/>
  <c r="AW51" i="46"/>
  <c r="AS51" i="46"/>
  <c r="AO51" i="46"/>
  <c r="BA50" i="46"/>
  <c r="AW50" i="46"/>
  <c r="AS50" i="46"/>
  <c r="AO50" i="46"/>
  <c r="BA49" i="46"/>
  <c r="AW49" i="46"/>
  <c r="AS49" i="46"/>
  <c r="AO49" i="46"/>
  <c r="BA48" i="46"/>
  <c r="AW48" i="46"/>
  <c r="AS48" i="46"/>
  <c r="AO48" i="46"/>
  <c r="BA47" i="46"/>
  <c r="AW47" i="46"/>
  <c r="AS47" i="46"/>
  <c r="AO47" i="46"/>
  <c r="BA46" i="46"/>
  <c r="AW46" i="46"/>
  <c r="AS46" i="46"/>
  <c r="AO46" i="46"/>
  <c r="BA45" i="46"/>
  <c r="AW45" i="46"/>
  <c r="AS45" i="46"/>
  <c r="AO45" i="46"/>
  <c r="BA44" i="46"/>
  <c r="AW44" i="46"/>
  <c r="AS44" i="46"/>
  <c r="AO44" i="46"/>
  <c r="BA43" i="46"/>
  <c r="AW43" i="46"/>
  <c r="AS43" i="46"/>
  <c r="AO43" i="46"/>
  <c r="BA42" i="46"/>
  <c r="AW42" i="46"/>
  <c r="AS42" i="46"/>
  <c r="AO42" i="46"/>
  <c r="BA41" i="46"/>
  <c r="AW41" i="46"/>
  <c r="AS41" i="46"/>
  <c r="AO41" i="46"/>
  <c r="BA40" i="46"/>
  <c r="AW40" i="46"/>
  <c r="AS40" i="46"/>
  <c r="AO40" i="46"/>
  <c r="BA39" i="46"/>
  <c r="AW39" i="46"/>
  <c r="AS39" i="46"/>
  <c r="AO39" i="46"/>
  <c r="BA38" i="46"/>
  <c r="AW38" i="46"/>
  <c r="AS38" i="46"/>
  <c r="AO38" i="46"/>
  <c r="BA37" i="46"/>
  <c r="AW37" i="46"/>
  <c r="AS37" i="46"/>
  <c r="AO37" i="46"/>
  <c r="BA36" i="46"/>
  <c r="AW36" i="46"/>
  <c r="AS36" i="46"/>
  <c r="AO36" i="46"/>
  <c r="BA35" i="46"/>
  <c r="AW35" i="46"/>
  <c r="AS35" i="46"/>
  <c r="AO35" i="46"/>
  <c r="BA34" i="46"/>
  <c r="AW34" i="46"/>
  <c r="AS34" i="46"/>
  <c r="AO34" i="46"/>
  <c r="BA33" i="46"/>
  <c r="AW33" i="46"/>
  <c r="AS33" i="46"/>
  <c r="AO33" i="46"/>
  <c r="BA32" i="46"/>
  <c r="AW32" i="46"/>
  <c r="AS32" i="46"/>
  <c r="AO32" i="46"/>
  <c r="BA31" i="46"/>
  <c r="AW31" i="46"/>
  <c r="AS31" i="46"/>
  <c r="AO31" i="46"/>
  <c r="BA30" i="46"/>
  <c r="AW30" i="46"/>
  <c r="AS30" i="46"/>
  <c r="AO30" i="46"/>
  <c r="BA29" i="46"/>
  <c r="AW29" i="46"/>
  <c r="AS29" i="46"/>
  <c r="AO29" i="46"/>
  <c r="BA28" i="46"/>
  <c r="AW28" i="46"/>
  <c r="AS28" i="46"/>
  <c r="AO28" i="46"/>
  <c r="BA27" i="46"/>
  <c r="AW27" i="46"/>
  <c r="AS27" i="46"/>
  <c r="AO27" i="46"/>
  <c r="BA26" i="46"/>
  <c r="AW26" i="46"/>
  <c r="AS26" i="46"/>
  <c r="AO26" i="46"/>
  <c r="BA25" i="46"/>
  <c r="AW25" i="46"/>
  <c r="AS25" i="46"/>
  <c r="AO25" i="46"/>
  <c r="BA24" i="46"/>
  <c r="AW24" i="46"/>
  <c r="AS24" i="46"/>
  <c r="AO24" i="46"/>
  <c r="BA23" i="46"/>
  <c r="AW23" i="46"/>
  <c r="AS23" i="46"/>
  <c r="AO23" i="46"/>
  <c r="BA22" i="46"/>
  <c r="AW22" i="46"/>
  <c r="AS22" i="46"/>
  <c r="AO22" i="46"/>
  <c r="BA21" i="46"/>
  <c r="AW21" i="46"/>
  <c r="AS21" i="46"/>
  <c r="AO21" i="46"/>
  <c r="BA20" i="46"/>
  <c r="AW20" i="46"/>
  <c r="AS20" i="46"/>
  <c r="AO20" i="46"/>
  <c r="BA19" i="46"/>
  <c r="AW19" i="46"/>
  <c r="AS19" i="46"/>
  <c r="AO19" i="46"/>
  <c r="BA18" i="46"/>
  <c r="AW18" i="46"/>
  <c r="AS18" i="46"/>
  <c r="AO18" i="46"/>
  <c r="BA17" i="46"/>
  <c r="AW17" i="46"/>
  <c r="AS17" i="46"/>
  <c r="AO17" i="46"/>
  <c r="BA16" i="46"/>
  <c r="AW16" i="46"/>
  <c r="AS16" i="46"/>
  <c r="AO16" i="46"/>
  <c r="BA15" i="46"/>
  <c r="AW15" i="46"/>
  <c r="AS15" i="46"/>
  <c r="AO15" i="46"/>
  <c r="BA14" i="46"/>
  <c r="AW14" i="46"/>
  <c r="AS14" i="46"/>
  <c r="AO14" i="46"/>
  <c r="BA13" i="46"/>
  <c r="AW13" i="46"/>
  <c r="AS13" i="46"/>
  <c r="AO13" i="46"/>
  <c r="BA12" i="46"/>
  <c r="AW12" i="46"/>
  <c r="AS12" i="46"/>
  <c r="AO12" i="46"/>
  <c r="BA11" i="46"/>
  <c r="AW11" i="46"/>
  <c r="AS11" i="46"/>
  <c r="AO11" i="46"/>
  <c r="BA10" i="46"/>
  <c r="AW10" i="46"/>
  <c r="AS10" i="46"/>
  <c r="AO10" i="46"/>
  <c r="BA9" i="46"/>
  <c r="AW9" i="46"/>
  <c r="AS9" i="46"/>
  <c r="AO9" i="46"/>
  <c r="BA8" i="46"/>
  <c r="AW8" i="46"/>
  <c r="AS8" i="46"/>
  <c r="AO8" i="46"/>
  <c r="BA7" i="46"/>
  <c r="AW7" i="46"/>
  <c r="AS7" i="46"/>
  <c r="AO7" i="46"/>
  <c r="BA6" i="46"/>
  <c r="AW6" i="46"/>
  <c r="AS6" i="46"/>
  <c r="AO6" i="46"/>
  <c r="BA5" i="46"/>
  <c r="AW5" i="46"/>
  <c r="AS5" i="46"/>
  <c r="AO5" i="46"/>
  <c r="AV310" i="46"/>
  <c r="BB299" i="46"/>
  <c r="AQ289" i="46"/>
  <c r="AN279" i="46"/>
  <c r="AM272" i="46"/>
  <c r="AW266" i="46"/>
  <c r="AQ261" i="46"/>
  <c r="BB255" i="46"/>
  <c r="AW250" i="46"/>
  <c r="AQ245" i="46"/>
  <c r="BB239" i="46"/>
  <c r="AW234" i="46"/>
  <c r="AQ229" i="46"/>
  <c r="BB223" i="46"/>
  <c r="AW218" i="46"/>
  <c r="AV213" i="46"/>
  <c r="AV209" i="46"/>
  <c r="AO207" i="46"/>
  <c r="AO205" i="46"/>
  <c r="AO203" i="46"/>
  <c r="AZ201" i="46"/>
  <c r="AU200" i="46"/>
  <c r="AO199" i="46"/>
  <c r="AZ197" i="46"/>
  <c r="AU196" i="46"/>
  <c r="AO195" i="46"/>
  <c r="AZ193" i="46"/>
  <c r="AU192" i="46"/>
  <c r="AO191" i="46"/>
  <c r="AZ189" i="46"/>
  <c r="AU188" i="46"/>
  <c r="AU187" i="46"/>
  <c r="AU186" i="46"/>
  <c r="AU185" i="46"/>
  <c r="AU184" i="46"/>
  <c r="AU183" i="46"/>
  <c r="AU182" i="46"/>
  <c r="AU181" i="46"/>
  <c r="AU180" i="46"/>
  <c r="AU179" i="46"/>
  <c r="AU178" i="46"/>
  <c r="AU177" i="46"/>
  <c r="AU176" i="46"/>
  <c r="AU175" i="46"/>
  <c r="AU174" i="46"/>
  <c r="AU173" i="46"/>
  <c r="AU172" i="46"/>
  <c r="AU171" i="46"/>
  <c r="AU170" i="46"/>
  <c r="AU169" i="46"/>
  <c r="AU168" i="46"/>
  <c r="AU167" i="46"/>
  <c r="AU166" i="46"/>
  <c r="AU165" i="46"/>
  <c r="AU164" i="46"/>
  <c r="AU163" i="46"/>
  <c r="AU162" i="46"/>
  <c r="AU161" i="46"/>
  <c r="AU160" i="46"/>
  <c r="AU159" i="46"/>
  <c r="AU158" i="46"/>
  <c r="AU157" i="46"/>
  <c r="AU156" i="46"/>
  <c r="AU155" i="46"/>
  <c r="AU154" i="46"/>
  <c r="AU153" i="46"/>
  <c r="AU152" i="46"/>
  <c r="AU151" i="46"/>
  <c r="AU150" i="46"/>
  <c r="AU149" i="46"/>
  <c r="AU148" i="46"/>
  <c r="AU147" i="46"/>
  <c r="AU146" i="46"/>
  <c r="AU145" i="46"/>
  <c r="AU144" i="46"/>
  <c r="AU143" i="46"/>
  <c r="AU142" i="46"/>
  <c r="AU141" i="46"/>
  <c r="AU140" i="46"/>
  <c r="AU139" i="46"/>
  <c r="AU138" i="46"/>
  <c r="AU137" i="46"/>
  <c r="AU136" i="46"/>
  <c r="AU135" i="46"/>
  <c r="AU134" i="46"/>
  <c r="AU133" i="46"/>
  <c r="BB132" i="46"/>
  <c r="AT132" i="46"/>
  <c r="BB131" i="46"/>
  <c r="AT131" i="46"/>
  <c r="BB130" i="46"/>
  <c r="AT130" i="46"/>
  <c r="BB129" i="46"/>
  <c r="AT129" i="46"/>
  <c r="BB128" i="46"/>
  <c r="AT128" i="46"/>
  <c r="BB127" i="46"/>
  <c r="AT127" i="46"/>
  <c r="AO127" i="46"/>
  <c r="AY126" i="46"/>
  <c r="AT126" i="46"/>
  <c r="AO126" i="46"/>
  <c r="AY125" i="46"/>
  <c r="AT125" i="46"/>
  <c r="AO125" i="46"/>
  <c r="AY124" i="46"/>
  <c r="AT124" i="46"/>
  <c r="AO124" i="46"/>
  <c r="AY123" i="46"/>
  <c r="AT123" i="46"/>
  <c r="AO123" i="46"/>
  <c r="AY122" i="46"/>
  <c r="AT122" i="46"/>
  <c r="AO122" i="46"/>
  <c r="AY121" i="46"/>
  <c r="AT121" i="46"/>
  <c r="AO121" i="46"/>
  <c r="AY120" i="46"/>
  <c r="AT120" i="46"/>
  <c r="AO120" i="46"/>
  <c r="AY119" i="46"/>
  <c r="AT119" i="46"/>
  <c r="AO119" i="46"/>
  <c r="AY118" i="46"/>
  <c r="AT118" i="46"/>
  <c r="AO118" i="46"/>
  <c r="AZ117" i="46"/>
  <c r="AV117" i="46"/>
  <c r="AR117" i="46"/>
  <c r="AN117" i="46"/>
  <c r="AZ116" i="46"/>
  <c r="AV116" i="46"/>
  <c r="AR116" i="46"/>
  <c r="AN116" i="46"/>
  <c r="AZ115" i="46"/>
  <c r="AV115" i="46"/>
  <c r="AR115" i="46"/>
  <c r="AN115" i="46"/>
  <c r="AZ114" i="46"/>
  <c r="AV114" i="46"/>
  <c r="AR114" i="46"/>
  <c r="AN114" i="46"/>
  <c r="AZ113" i="46"/>
  <c r="AV113" i="46"/>
  <c r="AR113" i="46"/>
  <c r="AN113" i="46"/>
  <c r="AZ112" i="46"/>
  <c r="AV112" i="46"/>
  <c r="AR112" i="46"/>
  <c r="AN112" i="46"/>
  <c r="AZ111" i="46"/>
  <c r="AV111" i="46"/>
  <c r="AR111" i="46"/>
  <c r="AN111" i="46"/>
  <c r="AZ110" i="46"/>
  <c r="AV110" i="46"/>
  <c r="AR110" i="46"/>
  <c r="AN110" i="46"/>
  <c r="AZ109" i="46"/>
  <c r="AV109" i="46"/>
  <c r="AR109" i="46"/>
  <c r="AN109" i="46"/>
  <c r="AZ108" i="46"/>
  <c r="AV108" i="46"/>
  <c r="AR108" i="46"/>
  <c r="AN108" i="46"/>
  <c r="AZ107" i="46"/>
  <c r="AV107" i="46"/>
  <c r="AR107" i="46"/>
  <c r="AN107" i="46"/>
  <c r="AZ106" i="46"/>
  <c r="AV106" i="46"/>
  <c r="AR106" i="46"/>
  <c r="AN106" i="46"/>
  <c r="AZ105" i="46"/>
  <c r="AV105" i="46"/>
  <c r="AR105" i="46"/>
  <c r="AN105" i="46"/>
  <c r="AZ104" i="46"/>
  <c r="AV104" i="46"/>
  <c r="AR104" i="46"/>
  <c r="AN104" i="46"/>
  <c r="AZ103" i="46"/>
  <c r="AV103" i="46"/>
  <c r="AR103" i="46"/>
  <c r="AN103" i="46"/>
  <c r="AZ102" i="46"/>
  <c r="AV102" i="46"/>
  <c r="AR102" i="46"/>
  <c r="AN102" i="46"/>
  <c r="AZ101" i="46"/>
  <c r="AV101" i="46"/>
  <c r="AR101" i="46"/>
  <c r="AN101" i="46"/>
  <c r="AZ100" i="46"/>
  <c r="AV100" i="46"/>
  <c r="AR100" i="46"/>
  <c r="AN100" i="46"/>
  <c r="AZ99" i="46"/>
  <c r="AV99" i="46"/>
  <c r="AR99" i="46"/>
  <c r="AN99" i="46"/>
  <c r="AZ98" i="46"/>
  <c r="AV98" i="46"/>
  <c r="AR98" i="46"/>
  <c r="AN98" i="46"/>
  <c r="AZ97" i="46"/>
  <c r="AV97" i="46"/>
  <c r="AR97" i="46"/>
  <c r="AN97" i="46"/>
  <c r="AZ96" i="46"/>
  <c r="AV96" i="46"/>
  <c r="AR96" i="46"/>
  <c r="AN96" i="46"/>
  <c r="AZ95" i="46"/>
  <c r="AV95" i="46"/>
  <c r="AR95" i="46"/>
  <c r="AN95" i="46"/>
  <c r="AZ94" i="46"/>
  <c r="AV94" i="46"/>
  <c r="AR94" i="46"/>
  <c r="AN94" i="46"/>
  <c r="AZ93" i="46"/>
  <c r="AV93" i="46"/>
  <c r="AR93" i="46"/>
  <c r="AN93" i="46"/>
  <c r="AZ92" i="46"/>
  <c r="AV92" i="46"/>
  <c r="AR92" i="46"/>
  <c r="AN92" i="46"/>
  <c r="AZ91" i="46"/>
  <c r="AV91" i="46"/>
  <c r="AR91" i="46"/>
  <c r="AN91" i="46"/>
  <c r="AZ90" i="46"/>
  <c r="AV90" i="46"/>
  <c r="AR90" i="46"/>
  <c r="AN90" i="46"/>
  <c r="AZ89" i="46"/>
  <c r="AV89" i="46"/>
  <c r="AR89" i="46"/>
  <c r="AN89" i="46"/>
  <c r="AZ88" i="46"/>
  <c r="AV88" i="46"/>
  <c r="AR88" i="46"/>
  <c r="AN88" i="46"/>
  <c r="AZ87" i="46"/>
  <c r="AV87" i="46"/>
  <c r="AR87" i="46"/>
  <c r="AN87" i="46"/>
  <c r="AZ86" i="46"/>
  <c r="AV86" i="46"/>
  <c r="AR86" i="46"/>
  <c r="AN86" i="46"/>
  <c r="AZ85" i="46"/>
  <c r="AV85" i="46"/>
  <c r="AR85" i="46"/>
  <c r="AN85" i="46"/>
  <c r="AZ84" i="46"/>
  <c r="AV84" i="46"/>
  <c r="AR84" i="46"/>
  <c r="AN84" i="46"/>
  <c r="AZ83" i="46"/>
  <c r="AV83" i="46"/>
  <c r="AR83" i="46"/>
  <c r="AN83" i="46"/>
  <c r="AZ82" i="46"/>
  <c r="AV82" i="46"/>
  <c r="AR82" i="46"/>
  <c r="AN82" i="46"/>
  <c r="AZ81" i="46"/>
  <c r="AV81" i="46"/>
  <c r="AR81" i="46"/>
  <c r="AN81" i="46"/>
  <c r="AZ80" i="46"/>
  <c r="AV80" i="46"/>
  <c r="AR80" i="46"/>
  <c r="AN80" i="46"/>
  <c r="AZ79" i="46"/>
  <c r="AV79" i="46"/>
  <c r="AR79" i="46"/>
  <c r="AN79" i="46"/>
  <c r="AZ78" i="46"/>
  <c r="AV78" i="46"/>
  <c r="AR78" i="46"/>
  <c r="AN78" i="46"/>
  <c r="AZ77" i="46"/>
  <c r="AV77" i="46"/>
  <c r="AR77" i="46"/>
  <c r="AN77" i="46"/>
  <c r="AZ76" i="46"/>
  <c r="AV76" i="46"/>
  <c r="AR76" i="46"/>
  <c r="AN76" i="46"/>
  <c r="AZ75" i="46"/>
  <c r="AV75" i="46"/>
  <c r="AR75" i="46"/>
  <c r="AN75" i="46"/>
  <c r="AZ74" i="46"/>
  <c r="AV74" i="46"/>
  <c r="AR74" i="46"/>
  <c r="AN74" i="46"/>
  <c r="AZ73" i="46"/>
  <c r="AV73" i="46"/>
  <c r="AR73" i="46"/>
  <c r="AN73" i="46"/>
  <c r="AZ72" i="46"/>
  <c r="AV72" i="46"/>
  <c r="AR72" i="46"/>
  <c r="AN72" i="46"/>
  <c r="AZ71" i="46"/>
  <c r="AV71" i="46"/>
  <c r="AR71" i="46"/>
  <c r="AN71" i="46"/>
  <c r="AZ70" i="46"/>
  <c r="AV70" i="46"/>
  <c r="AR70" i="46"/>
  <c r="AN70" i="46"/>
  <c r="AZ69" i="46"/>
  <c r="AV69" i="46"/>
  <c r="AR69" i="46"/>
  <c r="AN69" i="46"/>
  <c r="AZ68" i="46"/>
  <c r="AV68" i="46"/>
  <c r="AR68" i="46"/>
  <c r="AN68" i="46"/>
  <c r="AZ67" i="46"/>
  <c r="AV67" i="46"/>
  <c r="AR67" i="46"/>
  <c r="AN67" i="46"/>
  <c r="AZ66" i="46"/>
  <c r="AV66" i="46"/>
  <c r="AR66" i="46"/>
  <c r="AN66" i="46"/>
  <c r="AZ65" i="46"/>
  <c r="AV65" i="46"/>
  <c r="AR65" i="46"/>
  <c r="AN65" i="46"/>
  <c r="AZ64" i="46"/>
  <c r="AV64" i="46"/>
  <c r="AR64" i="46"/>
  <c r="AN64" i="46"/>
  <c r="AZ63" i="46"/>
  <c r="AV63" i="46"/>
  <c r="AR63" i="46"/>
  <c r="AN63" i="46"/>
  <c r="AZ62" i="46"/>
  <c r="AV62" i="46"/>
  <c r="AR62" i="46"/>
  <c r="AN62" i="46"/>
  <c r="AZ61" i="46"/>
  <c r="AV61" i="46"/>
  <c r="AR61" i="46"/>
  <c r="AN61" i="46"/>
  <c r="AZ60" i="46"/>
  <c r="AV60" i="46"/>
  <c r="AR60" i="46"/>
  <c r="AN60" i="46"/>
  <c r="AZ59" i="46"/>
  <c r="AV59" i="46"/>
  <c r="AR59" i="46"/>
  <c r="AN59" i="46"/>
  <c r="AZ58" i="46"/>
  <c r="AV58" i="46"/>
  <c r="AR58" i="46"/>
  <c r="AN58" i="46"/>
  <c r="AZ57" i="46"/>
  <c r="AV57" i="46"/>
  <c r="AR57" i="46"/>
  <c r="AN57" i="46"/>
  <c r="AZ56" i="46"/>
  <c r="AV56" i="46"/>
  <c r="AR56" i="46"/>
  <c r="AN56" i="46"/>
  <c r="AZ55" i="46"/>
  <c r="AV55" i="46"/>
  <c r="AR55" i="46"/>
  <c r="AN55" i="46"/>
  <c r="AZ54" i="46"/>
  <c r="AV54" i="46"/>
  <c r="AR54" i="46"/>
  <c r="AN54" i="46"/>
  <c r="AZ53" i="46"/>
  <c r="AV53" i="46"/>
  <c r="AR53" i="46"/>
  <c r="AN53" i="46"/>
  <c r="AZ52" i="46"/>
  <c r="AV52" i="46"/>
  <c r="AR52" i="46"/>
  <c r="AN52" i="46"/>
  <c r="AZ51" i="46"/>
  <c r="AV51" i="46"/>
  <c r="AR51" i="46"/>
  <c r="AN51" i="46"/>
  <c r="AZ50" i="46"/>
  <c r="AV50" i="46"/>
  <c r="AR50" i="46"/>
  <c r="AN50" i="46"/>
  <c r="AZ49" i="46"/>
  <c r="AV49" i="46"/>
  <c r="AR49" i="46"/>
  <c r="AN49" i="46"/>
  <c r="AZ48" i="46"/>
  <c r="AV48" i="46"/>
  <c r="AR48" i="46"/>
  <c r="AN48" i="46"/>
  <c r="AZ47" i="46"/>
  <c r="AV47" i="46"/>
  <c r="AR47" i="46"/>
  <c r="AN47" i="46"/>
  <c r="AZ46" i="46"/>
  <c r="AV46" i="46"/>
  <c r="AR46" i="46"/>
  <c r="AN46" i="46"/>
  <c r="AZ45" i="46"/>
  <c r="AV45" i="46"/>
  <c r="AR45" i="46"/>
  <c r="AN45" i="46"/>
  <c r="AZ44" i="46"/>
  <c r="AV44" i="46"/>
  <c r="AR44" i="46"/>
  <c r="AN44" i="46"/>
  <c r="AZ43" i="46"/>
  <c r="AV43" i="46"/>
  <c r="AR43" i="46"/>
  <c r="AN43" i="46"/>
  <c r="AZ42" i="46"/>
  <c r="AV42" i="46"/>
  <c r="AR42" i="46"/>
  <c r="AN42" i="46"/>
  <c r="AZ41" i="46"/>
  <c r="AV41" i="46"/>
  <c r="AR41" i="46"/>
  <c r="AN41" i="46"/>
  <c r="AZ40" i="46"/>
  <c r="AV40" i="46"/>
  <c r="AR40" i="46"/>
  <c r="AN40" i="46"/>
  <c r="AZ39" i="46"/>
  <c r="AV39" i="46"/>
  <c r="AR39" i="46"/>
  <c r="AN39" i="46"/>
  <c r="AZ38" i="46"/>
  <c r="AV38" i="46"/>
  <c r="AR38" i="46"/>
  <c r="AN38" i="46"/>
  <c r="AZ37" i="46"/>
  <c r="AV37" i="46"/>
  <c r="AR37" i="46"/>
  <c r="AN37" i="46"/>
  <c r="AZ36" i="46"/>
  <c r="AV36" i="46"/>
  <c r="AR36" i="46"/>
  <c r="AN36" i="46"/>
  <c r="AZ35" i="46"/>
  <c r="AV35" i="46"/>
  <c r="AR35" i="46"/>
  <c r="AN35" i="46"/>
  <c r="AZ34" i="46"/>
  <c r="AV34" i="46"/>
  <c r="AR34" i="46"/>
  <c r="AN34" i="46"/>
  <c r="AZ33" i="46"/>
  <c r="AV33" i="46"/>
  <c r="AR33" i="46"/>
  <c r="AN33" i="46"/>
  <c r="AZ32" i="46"/>
  <c r="AV32" i="46"/>
  <c r="AR32" i="46"/>
  <c r="AN32" i="46"/>
  <c r="AZ31" i="46"/>
  <c r="AV31" i="46"/>
  <c r="AR31" i="46"/>
  <c r="AN31" i="46"/>
  <c r="AZ30" i="46"/>
  <c r="AV30" i="46"/>
  <c r="AR30" i="46"/>
  <c r="AN30" i="46"/>
  <c r="AZ29" i="46"/>
  <c r="AV29" i="46"/>
  <c r="AR29" i="46"/>
  <c r="AN29" i="46"/>
  <c r="AZ28" i="46"/>
  <c r="AV28" i="46"/>
  <c r="AR28" i="46"/>
  <c r="AN28" i="46"/>
  <c r="AZ27" i="46"/>
  <c r="AV27" i="46"/>
  <c r="AR27" i="46"/>
  <c r="AN27" i="46"/>
  <c r="AZ26" i="46"/>
  <c r="AV26" i="46"/>
  <c r="AR26" i="46"/>
  <c r="AN26" i="46"/>
  <c r="AZ25" i="46"/>
  <c r="AV25" i="46"/>
  <c r="AR25" i="46"/>
  <c r="AN25" i="46"/>
  <c r="AZ24" i="46"/>
  <c r="AV24" i="46"/>
  <c r="AR24" i="46"/>
  <c r="AN24" i="46"/>
  <c r="AZ23" i="46"/>
  <c r="AV23" i="46"/>
  <c r="AR23" i="46"/>
  <c r="AN23" i="46"/>
  <c r="AZ22" i="46"/>
  <c r="AV22" i="46"/>
  <c r="AR22" i="46"/>
  <c r="AN22" i="46"/>
  <c r="AZ21" i="46"/>
  <c r="AV21" i="46"/>
  <c r="AR21" i="46"/>
  <c r="AN21" i="46"/>
  <c r="AZ20" i="46"/>
  <c r="AV20" i="46"/>
  <c r="AR20" i="46"/>
  <c r="AN20" i="46"/>
  <c r="AZ19" i="46"/>
  <c r="AV19" i="46"/>
  <c r="AR19" i="46"/>
  <c r="AN19" i="46"/>
  <c r="AZ18" i="46"/>
  <c r="AV18" i="46"/>
  <c r="AR18" i="46"/>
  <c r="AN18" i="46"/>
  <c r="AZ17" i="46"/>
  <c r="AV17" i="46"/>
  <c r="AR17" i="46"/>
  <c r="AN17" i="46"/>
  <c r="AZ16" i="46"/>
  <c r="AV16" i="46"/>
  <c r="AR16" i="46"/>
  <c r="AN16" i="46"/>
  <c r="AZ15" i="46"/>
  <c r="AV15" i="46"/>
  <c r="AR15" i="46"/>
  <c r="AN15" i="46"/>
  <c r="AZ14" i="46"/>
  <c r="AV14" i="46"/>
  <c r="AR14" i="46"/>
  <c r="AN14" i="46"/>
  <c r="AZ13" i="46"/>
  <c r="AV13" i="46"/>
  <c r="AR13" i="46"/>
  <c r="AN13" i="46"/>
  <c r="AZ12" i="46"/>
  <c r="AV12" i="46"/>
  <c r="AR12" i="46"/>
  <c r="AN12" i="46"/>
  <c r="AZ11" i="46"/>
  <c r="AV11" i="46"/>
  <c r="AR11" i="46"/>
  <c r="AN11" i="46"/>
  <c r="AZ10" i="46"/>
  <c r="AV10" i="46"/>
  <c r="AR10" i="46"/>
  <c r="AN10" i="46"/>
  <c r="AZ9" i="46"/>
  <c r="AV9" i="46"/>
  <c r="AR9" i="46"/>
  <c r="AN9" i="46"/>
  <c r="AZ8" i="46"/>
  <c r="AV8" i="46"/>
  <c r="AR8" i="46"/>
  <c r="AN8" i="46"/>
  <c r="AZ7" i="46"/>
  <c r="AV7" i="46"/>
  <c r="AR7" i="46"/>
  <c r="AN7" i="46"/>
  <c r="AZ6" i="46"/>
  <c r="AV6" i="46"/>
  <c r="AR6" i="46"/>
  <c r="AN6" i="46"/>
  <c r="AZ5" i="46"/>
  <c r="AV5" i="46"/>
  <c r="AR5" i="46"/>
  <c r="AN5" i="46"/>
  <c r="AM6" i="46"/>
  <c r="AM7" i="46"/>
  <c r="AM8" i="46"/>
  <c r="AM9" i="46"/>
  <c r="AM10" i="46"/>
  <c r="AM11" i="46"/>
  <c r="AM12" i="46"/>
  <c r="AM13" i="46"/>
  <c r="AM14" i="46"/>
  <c r="AM15" i="46"/>
  <c r="AM16" i="46"/>
  <c r="AM17" i="46"/>
  <c r="AM18" i="46"/>
  <c r="AM19" i="46"/>
  <c r="AM20" i="46"/>
  <c r="AM21" i="46"/>
  <c r="AM22" i="46"/>
  <c r="AM23" i="46"/>
  <c r="AM24" i="46"/>
  <c r="AM25" i="46"/>
  <c r="AM26" i="46"/>
  <c r="AM27" i="46"/>
  <c r="AM28" i="46"/>
  <c r="AM29" i="46"/>
  <c r="AM30" i="46"/>
  <c r="AM31" i="46"/>
  <c r="AM32" i="46"/>
  <c r="AM33" i="46"/>
  <c r="AM34" i="46"/>
  <c r="AM35" i="46"/>
  <c r="AM36" i="46"/>
  <c r="AM37" i="46"/>
  <c r="AM38" i="46"/>
  <c r="AM39" i="46"/>
  <c r="AM40" i="46"/>
  <c r="AM41" i="46"/>
  <c r="AM42" i="46"/>
  <c r="AM43" i="46"/>
  <c r="AM44" i="46"/>
  <c r="AM45" i="46"/>
  <c r="AM46" i="46"/>
  <c r="AM47" i="46"/>
  <c r="AM48" i="46"/>
  <c r="AM49" i="46"/>
  <c r="AM50" i="46"/>
  <c r="AM51" i="46"/>
  <c r="AM52" i="46"/>
  <c r="AM53" i="46"/>
  <c r="AM54" i="46"/>
  <c r="AM55" i="46"/>
  <c r="AM56" i="46"/>
  <c r="AM57" i="46"/>
  <c r="AM58" i="46"/>
  <c r="AM59" i="46"/>
  <c r="AM60" i="46"/>
  <c r="AM61" i="46"/>
  <c r="AM62" i="46"/>
  <c r="AM63" i="46"/>
  <c r="AM64" i="46"/>
  <c r="AM65" i="46"/>
  <c r="AM66" i="46"/>
  <c r="AM67" i="46"/>
  <c r="AM68" i="46"/>
  <c r="AM69" i="46"/>
  <c r="AM70" i="46"/>
  <c r="AM71" i="46"/>
  <c r="AM72" i="46"/>
  <c r="AM73" i="46"/>
  <c r="AM74" i="46"/>
  <c r="AM75" i="46"/>
  <c r="AM76" i="46"/>
  <c r="AM77" i="46"/>
  <c r="AM78" i="46"/>
  <c r="AM79" i="46"/>
  <c r="AM80" i="46"/>
  <c r="AM81" i="46"/>
  <c r="AM82" i="46"/>
  <c r="AM83" i="46"/>
  <c r="AM84" i="46"/>
  <c r="AM85" i="46"/>
  <c r="AM86" i="46"/>
  <c r="AM87" i="46"/>
  <c r="AM88" i="46"/>
  <c r="AM89" i="46"/>
  <c r="AM90" i="46"/>
  <c r="AM91" i="46"/>
  <c r="AM92" i="46"/>
  <c r="AM93" i="46"/>
  <c r="AM94" i="46"/>
  <c r="AM95" i="46"/>
  <c r="AM96" i="46"/>
  <c r="AM97" i="46"/>
  <c r="AM98" i="46"/>
  <c r="AM99" i="46"/>
  <c r="AM100" i="46"/>
  <c r="AM101" i="46"/>
  <c r="AM102" i="46"/>
  <c r="AM103" i="46"/>
  <c r="AM104" i="46"/>
  <c r="AM105" i="46"/>
  <c r="AM106" i="46"/>
  <c r="AM107" i="46"/>
  <c r="AM108" i="46"/>
  <c r="AM109" i="46"/>
  <c r="AM110" i="46"/>
  <c r="AM111" i="46"/>
  <c r="AM112" i="46"/>
  <c r="AM113" i="46"/>
  <c r="AM114" i="46"/>
  <c r="AM115" i="46"/>
  <c r="AM116" i="46"/>
  <c r="AM117" i="46"/>
  <c r="AM118" i="46"/>
  <c r="AS119" i="46"/>
  <c r="AX120" i="46"/>
  <c r="AM122" i="46"/>
  <c r="AS123" i="46"/>
  <c r="AX124" i="46"/>
  <c r="AM126" i="46"/>
  <c r="AS127" i="46"/>
  <c r="AQ129" i="46"/>
  <c r="AQ131" i="46"/>
  <c r="AQ133" i="46"/>
  <c r="AQ137" i="46"/>
  <c r="AQ141" i="46"/>
  <c r="AQ145" i="46"/>
  <c r="AQ149" i="46"/>
  <c r="AQ153" i="46"/>
  <c r="AQ157" i="46"/>
  <c r="AQ161" i="46"/>
  <c r="AQ165" i="46"/>
  <c r="AQ169" i="46"/>
  <c r="AQ173" i="46"/>
  <c r="AQ177" i="46"/>
  <c r="AQ181" i="46"/>
  <c r="AQ185" i="46"/>
  <c r="AU189" i="46"/>
  <c r="AZ194" i="46"/>
  <c r="AO200" i="46"/>
  <c r="AW206" i="46"/>
  <c r="AW222" i="46"/>
  <c r="BB243" i="46"/>
  <c r="AQ265" i="46"/>
  <c r="AQ297" i="46"/>
  <c r="D15" i="13"/>
  <c r="H15" i="13"/>
  <c r="L15" i="13"/>
  <c r="P15" i="13"/>
  <c r="AQ5" i="46"/>
  <c r="AQ6" i="46"/>
  <c r="AQ7" i="46"/>
  <c r="AQ8" i="46"/>
  <c r="AQ9" i="46"/>
  <c r="AQ10" i="46"/>
  <c r="AQ11" i="46"/>
  <c r="AQ12" i="46"/>
  <c r="AQ13" i="46"/>
  <c r="AQ14" i="46"/>
  <c r="AQ15" i="46"/>
  <c r="AQ16" i="46"/>
  <c r="AQ17" i="46"/>
  <c r="AQ18" i="46"/>
  <c r="AQ19" i="46"/>
  <c r="AQ20" i="46"/>
  <c r="AQ21" i="46"/>
  <c r="AQ22" i="46"/>
  <c r="AQ23" i="46"/>
  <c r="AQ24" i="46"/>
  <c r="AQ25" i="46"/>
  <c r="AQ26" i="46"/>
  <c r="AQ27" i="46"/>
  <c r="AQ28" i="46"/>
  <c r="AQ29" i="46"/>
  <c r="AQ30" i="46"/>
  <c r="AQ31" i="46"/>
  <c r="AQ32" i="46"/>
  <c r="AQ33" i="46"/>
  <c r="AQ34" i="46"/>
  <c r="AQ35" i="46"/>
  <c r="AQ36" i="46"/>
  <c r="AQ37" i="46"/>
  <c r="AQ38" i="46"/>
  <c r="AQ39" i="46"/>
  <c r="AQ40" i="46"/>
  <c r="AQ41" i="46"/>
  <c r="AQ42" i="46"/>
  <c r="AQ43" i="46"/>
  <c r="AQ44" i="46"/>
  <c r="AQ45" i="46"/>
  <c r="AQ46" i="46"/>
  <c r="AQ47" i="46"/>
  <c r="AQ48" i="46"/>
  <c r="AQ49" i="46"/>
  <c r="AQ50" i="46"/>
  <c r="AQ51" i="46"/>
  <c r="AQ52" i="46"/>
  <c r="AQ53" i="46"/>
  <c r="AQ54" i="46"/>
  <c r="AQ55" i="46"/>
  <c r="AQ56" i="46"/>
  <c r="AQ57" i="46"/>
  <c r="AQ58" i="46"/>
  <c r="AQ59" i="46"/>
  <c r="AQ60" i="46"/>
  <c r="AQ61" i="46"/>
  <c r="AQ62" i="46"/>
  <c r="AQ63" i="46"/>
  <c r="AQ64" i="46"/>
  <c r="AQ65" i="46"/>
  <c r="AQ66" i="46"/>
  <c r="AQ67" i="46"/>
  <c r="AQ68" i="46"/>
  <c r="AQ69" i="46"/>
  <c r="AQ70" i="46"/>
  <c r="AQ71" i="46"/>
  <c r="AQ72" i="46"/>
  <c r="AQ73" i="46"/>
  <c r="AQ74" i="46"/>
  <c r="AQ75" i="46"/>
  <c r="AQ76" i="46"/>
  <c r="AQ77" i="46"/>
  <c r="AQ78" i="46"/>
  <c r="AQ79" i="46"/>
  <c r="AQ80" i="46"/>
  <c r="AQ81" i="46"/>
  <c r="AQ82" i="46"/>
  <c r="AQ83" i="46"/>
  <c r="AQ84" i="46"/>
  <c r="AQ85" i="46"/>
  <c r="AQ86" i="46"/>
  <c r="AQ87" i="46"/>
  <c r="AQ88" i="46"/>
  <c r="AQ89" i="46"/>
  <c r="AQ90" i="46"/>
  <c r="AQ91" i="46"/>
  <c r="AQ92" i="46"/>
  <c r="AQ93" i="46"/>
  <c r="AQ94" i="46"/>
  <c r="AQ95" i="46"/>
  <c r="AQ96" i="46"/>
  <c r="AQ97" i="46"/>
  <c r="AQ98" i="46"/>
  <c r="AQ99" i="46"/>
  <c r="AQ100" i="46"/>
  <c r="AQ101" i="46"/>
  <c r="AQ102" i="46"/>
  <c r="AQ103" i="46"/>
  <c r="AQ104" i="46"/>
  <c r="AQ105" i="46"/>
  <c r="AQ106" i="46"/>
  <c r="AQ107" i="46"/>
  <c r="AQ108" i="46"/>
  <c r="AQ109" i="46"/>
  <c r="AQ110" i="46"/>
  <c r="AQ111" i="46"/>
  <c r="AQ112" i="46"/>
  <c r="AQ113" i="46"/>
  <c r="AQ114" i="46"/>
  <c r="AQ115" i="46"/>
  <c r="AQ116" i="46"/>
  <c r="AQ117" i="46"/>
  <c r="AS118" i="46"/>
  <c r="AX119" i="46"/>
  <c r="AM121" i="46"/>
  <c r="AS122" i="46"/>
  <c r="AX123" i="46"/>
  <c r="AM125" i="46"/>
  <c r="AS126" i="46"/>
  <c r="AY127" i="46"/>
  <c r="AY129" i="46"/>
  <c r="AY131" i="46"/>
  <c r="AQ134" i="46"/>
  <c r="AQ138" i="46"/>
  <c r="AQ142" i="46"/>
  <c r="AQ146" i="46"/>
  <c r="AQ150" i="46"/>
  <c r="AQ154" i="46"/>
  <c r="AQ158" i="46"/>
  <c r="AQ162" i="46"/>
  <c r="AQ166" i="46"/>
  <c r="AQ170" i="46"/>
  <c r="AQ174" i="46"/>
  <c r="AQ178" i="46"/>
  <c r="AQ182" i="46"/>
  <c r="AQ186" i="46"/>
  <c r="AZ190" i="46"/>
  <c r="AO196" i="46"/>
  <c r="AU201" i="46"/>
  <c r="AW208" i="46"/>
  <c r="BB227" i="46"/>
  <c r="AQ249" i="46"/>
  <c r="AW270" i="46"/>
  <c r="BB307" i="46"/>
  <c r="B15" i="13"/>
  <c r="E15" i="13"/>
  <c r="I15" i="13"/>
  <c r="M15" i="13"/>
  <c r="Q15" i="13"/>
  <c r="AU5" i="46"/>
  <c r="AU6" i="46"/>
  <c r="AU7" i="46"/>
  <c r="AU8" i="46"/>
  <c r="AU9" i="46"/>
  <c r="AU10" i="46"/>
  <c r="AU11" i="46"/>
  <c r="AU12" i="46"/>
  <c r="AU13" i="46"/>
  <c r="AU14" i="46"/>
  <c r="AU15" i="46"/>
  <c r="AU16" i="46"/>
  <c r="AU17" i="46"/>
  <c r="AU18" i="46"/>
  <c r="AU19" i="46"/>
  <c r="AU20" i="46"/>
  <c r="AU21" i="46"/>
  <c r="AU22" i="46"/>
  <c r="AU23" i="46"/>
  <c r="AU24" i="46"/>
  <c r="AU25" i="46"/>
  <c r="AU26" i="46"/>
  <c r="AU27" i="46"/>
  <c r="AU28" i="46"/>
  <c r="AU29" i="46"/>
  <c r="AU30" i="46"/>
  <c r="AU31" i="46"/>
  <c r="AU32" i="46"/>
  <c r="AU33" i="46"/>
  <c r="AU34" i="46"/>
  <c r="AU35" i="46"/>
  <c r="AU36" i="46"/>
  <c r="AU37" i="46"/>
  <c r="AU38" i="46"/>
  <c r="AU39" i="46"/>
  <c r="AU40" i="46"/>
  <c r="AU41" i="46"/>
  <c r="AU42" i="46"/>
  <c r="AU43" i="46"/>
  <c r="AU44" i="46"/>
  <c r="AU45" i="46"/>
  <c r="AU46" i="46"/>
  <c r="AU47" i="46"/>
  <c r="AU48" i="46"/>
  <c r="AU49" i="46"/>
  <c r="AU50" i="46"/>
  <c r="AU51" i="46"/>
  <c r="AU52" i="46"/>
  <c r="AU53" i="46"/>
  <c r="AU54" i="46"/>
  <c r="AU55" i="46"/>
  <c r="AU56" i="46"/>
  <c r="AU57" i="46"/>
  <c r="AU58" i="46"/>
  <c r="AU59" i="46"/>
  <c r="AU60" i="46"/>
  <c r="AU61" i="46"/>
  <c r="AU62" i="46"/>
  <c r="AU63" i="46"/>
  <c r="AU64" i="46"/>
  <c r="AU65" i="46"/>
  <c r="AU66" i="46"/>
  <c r="AU67" i="46"/>
  <c r="AU68" i="46"/>
  <c r="AU69" i="46"/>
  <c r="AU70" i="46"/>
  <c r="AU71" i="46"/>
  <c r="AU72" i="46"/>
  <c r="AU73" i="46"/>
  <c r="AU74" i="46"/>
  <c r="AU75" i="46"/>
  <c r="AU76" i="46"/>
  <c r="AU77" i="46"/>
  <c r="AU78" i="46"/>
  <c r="AU79" i="46"/>
  <c r="AU80" i="46"/>
  <c r="AU81" i="46"/>
  <c r="AU82" i="46"/>
  <c r="AU83" i="46"/>
  <c r="AU84" i="46"/>
  <c r="AU85" i="46"/>
  <c r="AU86" i="46"/>
  <c r="AU87" i="46"/>
  <c r="AU88" i="46"/>
  <c r="AU89" i="46"/>
  <c r="AU90" i="46"/>
  <c r="AU91" i="46"/>
  <c r="AU92" i="46"/>
  <c r="AU93" i="46"/>
  <c r="AU94" i="46"/>
  <c r="AU95" i="46"/>
  <c r="AU96" i="46"/>
  <c r="AU97" i="46"/>
  <c r="AU98" i="46"/>
  <c r="AU99" i="46"/>
  <c r="AU100" i="46"/>
  <c r="AU101" i="46"/>
  <c r="AU102" i="46"/>
  <c r="AU103" i="46"/>
  <c r="AU104" i="46"/>
  <c r="AU105" i="46"/>
  <c r="AU106" i="46"/>
  <c r="AU107" i="46"/>
  <c r="AU108" i="46"/>
  <c r="AU109" i="46"/>
  <c r="AU110" i="46"/>
  <c r="AU111" i="46"/>
  <c r="AU112" i="46"/>
  <c r="AU113" i="46"/>
  <c r="AU114" i="46"/>
  <c r="AU115" i="46"/>
  <c r="AU116" i="46"/>
  <c r="AU117" i="46"/>
  <c r="AX118" i="46"/>
  <c r="AM120" i="46"/>
  <c r="AS121" i="46"/>
  <c r="AX122" i="46"/>
  <c r="AM124" i="46"/>
  <c r="AS125" i="46"/>
  <c r="AX126" i="46"/>
  <c r="AQ128" i="46"/>
  <c r="AQ130" i="46"/>
  <c r="AQ132" i="46"/>
  <c r="AQ135" i="46"/>
  <c r="AQ139" i="46"/>
  <c r="AQ143" i="46"/>
  <c r="AQ147" i="46"/>
  <c r="AQ151" i="46"/>
  <c r="AQ155" i="46"/>
  <c r="AQ159" i="46"/>
  <c r="AQ163" i="46"/>
  <c r="AQ167" i="46"/>
  <c r="AQ171" i="46"/>
  <c r="AQ175" i="46"/>
  <c r="AQ179" i="46"/>
  <c r="AQ183" i="46"/>
  <c r="AQ187" i="46"/>
  <c r="AO192" i="46"/>
  <c r="AU197" i="46"/>
  <c r="AZ202" i="46"/>
  <c r="AV212" i="46"/>
  <c r="AQ233" i="46"/>
  <c r="AW254" i="46"/>
  <c r="AR277" i="46"/>
  <c r="F15" i="13"/>
  <c r="J15" i="13"/>
  <c r="AY5" i="46"/>
  <c r="AY6" i="46"/>
  <c r="AY7" i="46"/>
  <c r="AY8" i="46"/>
  <c r="AY9" i="46"/>
  <c r="AY10" i="46"/>
  <c r="AY11" i="46"/>
  <c r="AY12" i="46"/>
  <c r="AY13" i="46"/>
  <c r="AY14" i="46"/>
  <c r="AY15" i="46"/>
  <c r="AY16" i="46"/>
  <c r="AY17" i="46"/>
  <c r="AY18" i="46"/>
  <c r="AY19" i="46"/>
  <c r="AY20" i="46"/>
  <c r="AY21" i="46"/>
  <c r="AY22" i="46"/>
  <c r="AY23" i="46"/>
  <c r="AY24" i="46"/>
  <c r="AY25" i="46"/>
  <c r="AY26" i="46"/>
  <c r="AY27" i="46"/>
  <c r="AY28" i="46"/>
  <c r="AY29" i="46"/>
  <c r="AY30" i="46"/>
  <c r="AY31" i="46"/>
  <c r="AY32" i="46"/>
  <c r="AY33" i="46"/>
  <c r="AY34" i="46"/>
  <c r="AY35" i="46"/>
  <c r="AY36" i="46"/>
  <c r="AY37" i="46"/>
  <c r="AY38" i="46"/>
  <c r="AY39" i="46"/>
  <c r="AY40" i="46"/>
  <c r="AY41" i="46"/>
  <c r="AY42" i="46"/>
  <c r="AY43" i="46"/>
  <c r="AY44" i="46"/>
  <c r="AY45" i="46"/>
  <c r="AY46" i="46"/>
  <c r="AY47" i="46"/>
  <c r="AY48" i="46"/>
  <c r="AY49" i="46"/>
  <c r="AY50" i="46"/>
  <c r="AY51" i="46"/>
  <c r="AY52" i="46"/>
  <c r="AY53" i="46"/>
  <c r="AY54" i="46"/>
  <c r="AY55" i="46"/>
  <c r="AY56" i="46"/>
  <c r="AY57" i="46"/>
  <c r="AY58" i="46"/>
  <c r="AY59" i="46"/>
  <c r="AY60" i="46"/>
  <c r="AY61" i="46"/>
  <c r="AY62" i="46"/>
  <c r="AY63" i="46"/>
  <c r="AY64" i="46"/>
  <c r="AY65" i="46"/>
  <c r="AY66" i="46"/>
  <c r="AY67" i="46"/>
  <c r="AY68" i="46"/>
  <c r="AY69" i="46"/>
  <c r="AY70" i="46"/>
  <c r="AY71" i="46"/>
  <c r="AY72" i="46"/>
  <c r="AY73" i="46"/>
  <c r="AY74" i="46"/>
  <c r="AY75" i="46"/>
  <c r="AY76" i="46"/>
  <c r="AY77" i="46"/>
  <c r="AY78" i="46"/>
  <c r="AY79" i="46"/>
  <c r="AY80" i="46"/>
  <c r="AY81" i="46"/>
  <c r="AY82" i="46"/>
  <c r="AY83" i="46"/>
  <c r="AY84" i="46"/>
  <c r="AY85" i="46"/>
  <c r="AY86" i="46"/>
  <c r="AY87" i="46"/>
  <c r="AY88" i="46"/>
  <c r="AY89" i="46"/>
  <c r="AY90" i="46"/>
  <c r="AY91" i="46"/>
  <c r="AY92" i="46"/>
  <c r="AY93" i="46"/>
  <c r="AY94" i="46"/>
  <c r="AY95" i="46"/>
  <c r="AY96" i="46"/>
  <c r="AY97" i="46"/>
  <c r="AY98" i="46"/>
  <c r="AY99" i="46"/>
  <c r="AY100" i="46"/>
  <c r="AY101" i="46"/>
  <c r="AY102" i="46"/>
  <c r="AY103" i="46"/>
  <c r="AY104" i="46"/>
  <c r="AY105" i="46"/>
  <c r="AY106" i="46"/>
  <c r="AY107" i="46"/>
  <c r="AY108" i="46"/>
  <c r="AY109" i="46"/>
  <c r="AY110" i="46"/>
  <c r="AY111" i="46"/>
  <c r="AY112" i="46"/>
  <c r="AY113" i="46"/>
  <c r="AY114" i="46"/>
  <c r="AY115" i="46"/>
  <c r="AY116" i="46"/>
  <c r="AY117" i="46"/>
  <c r="AM119" i="46"/>
  <c r="AS120" i="46"/>
  <c r="AX121" i="46"/>
  <c r="AM123" i="46"/>
  <c r="AS124" i="46"/>
  <c r="AX125" i="46"/>
  <c r="AM127" i="46"/>
  <c r="AY128" i="46"/>
  <c r="AY130" i="46"/>
  <c r="AY132" i="46"/>
  <c r="AQ136" i="46"/>
  <c r="AQ140" i="46"/>
  <c r="AQ144" i="46"/>
  <c r="AQ148" i="46"/>
  <c r="AQ152" i="46"/>
  <c r="AQ156" i="46"/>
  <c r="AQ160" i="46"/>
  <c r="AQ164" i="46"/>
  <c r="AQ168" i="46"/>
  <c r="AQ172" i="46"/>
  <c r="AQ176" i="46"/>
  <c r="AQ180" i="46"/>
  <c r="AQ184" i="46"/>
  <c r="AQ188" i="46"/>
  <c r="AU193" i="46"/>
  <c r="AZ198" i="46"/>
  <c r="AW204" i="46"/>
  <c r="AQ217" i="46"/>
  <c r="AW238" i="46"/>
  <c r="BB259" i="46"/>
  <c r="AV286" i="46"/>
  <c r="X5" i="46"/>
  <c r="AB5" i="46"/>
  <c r="AF5" i="46"/>
  <c r="AJ5" i="46"/>
  <c r="X6" i="46"/>
  <c r="AB6" i="46"/>
  <c r="AF6" i="46"/>
  <c r="AJ6" i="46"/>
  <c r="X7" i="46"/>
  <c r="AB7" i="46"/>
  <c r="AF7" i="46"/>
  <c r="AJ7" i="46"/>
  <c r="X8" i="46"/>
  <c r="AB8" i="46"/>
  <c r="AF8" i="46"/>
  <c r="AJ8" i="46"/>
  <c r="X9" i="46"/>
  <c r="AB9" i="46"/>
  <c r="AF9" i="46"/>
  <c r="AJ9" i="46"/>
  <c r="X10" i="46"/>
  <c r="AB10" i="46"/>
  <c r="AF10" i="46"/>
  <c r="AJ10" i="46"/>
  <c r="X11" i="46"/>
  <c r="AB11" i="46"/>
  <c r="AF11" i="46"/>
  <c r="AJ11" i="46"/>
  <c r="X12" i="46"/>
  <c r="AB12" i="46"/>
  <c r="AF12" i="46"/>
  <c r="AJ12" i="46"/>
  <c r="X13" i="46"/>
  <c r="AB13" i="46"/>
  <c r="AF13" i="46"/>
  <c r="AJ13" i="46"/>
  <c r="X14" i="46"/>
  <c r="AB14" i="46"/>
  <c r="AF14" i="46"/>
  <c r="AJ14" i="46"/>
  <c r="X15" i="46"/>
  <c r="AB15" i="46"/>
  <c r="AF15" i="46"/>
  <c r="AJ15" i="46"/>
  <c r="X16" i="46"/>
  <c r="AB16" i="46"/>
  <c r="AF16" i="46"/>
  <c r="AJ16" i="46"/>
  <c r="X17" i="46"/>
  <c r="AB17" i="46"/>
  <c r="AF17" i="46"/>
  <c r="AJ17" i="46"/>
  <c r="X18" i="46"/>
  <c r="AB18" i="46"/>
  <c r="AF18" i="46"/>
  <c r="AJ18" i="46"/>
  <c r="X19" i="46"/>
  <c r="AB19" i="46"/>
  <c r="AF19" i="46"/>
  <c r="AJ19" i="46"/>
  <c r="V5" i="46"/>
  <c r="Y5" i="46"/>
  <c r="AC5" i="46"/>
  <c r="AG5" i="46"/>
  <c r="AK5" i="46"/>
  <c r="Y6" i="46"/>
  <c r="AC6" i="46"/>
  <c r="AG6" i="46"/>
  <c r="AK6" i="46"/>
  <c r="Y7" i="46"/>
  <c r="AC7" i="46"/>
  <c r="AG7" i="46"/>
  <c r="AK7" i="46"/>
  <c r="Y8" i="46"/>
  <c r="AC8" i="46"/>
  <c r="AG8" i="46"/>
  <c r="AK8" i="46"/>
  <c r="Y9" i="46"/>
  <c r="AC9" i="46"/>
  <c r="AG9" i="46"/>
  <c r="AK9" i="46"/>
  <c r="Y10" i="46"/>
  <c r="AC10" i="46"/>
  <c r="AG10" i="46"/>
  <c r="AK10" i="46"/>
  <c r="Y11" i="46"/>
  <c r="AC11" i="46"/>
  <c r="AG11" i="46"/>
  <c r="AK11" i="46"/>
  <c r="Y12" i="46"/>
  <c r="AC12" i="46"/>
  <c r="AG12" i="46"/>
  <c r="AK12" i="46"/>
  <c r="Y13" i="46"/>
  <c r="AC13" i="46"/>
  <c r="AG13" i="46"/>
  <c r="AK13" i="46"/>
  <c r="Y14" i="46"/>
  <c r="AC14" i="46"/>
  <c r="AG14" i="46"/>
  <c r="AK14" i="46"/>
  <c r="Y15" i="46"/>
  <c r="AC15" i="46"/>
  <c r="AG15" i="46"/>
  <c r="AK15" i="46"/>
  <c r="Y16" i="46"/>
  <c r="AC16" i="46"/>
  <c r="AG16" i="46"/>
  <c r="AK16" i="46"/>
  <c r="Y17" i="46"/>
  <c r="AC17" i="46"/>
  <c r="AG17" i="46"/>
  <c r="AK17" i="46"/>
  <c r="Y18" i="46"/>
  <c r="AC18" i="46"/>
  <c r="AG18" i="46"/>
  <c r="AK18" i="46"/>
  <c r="Y19" i="46"/>
  <c r="AC19" i="46"/>
  <c r="AG19" i="46"/>
  <c r="AK19" i="46"/>
  <c r="Z5" i="46"/>
  <c r="AD5" i="46"/>
  <c r="AH5" i="46"/>
  <c r="V6" i="46"/>
  <c r="Z6" i="46"/>
  <c r="AD6" i="46"/>
  <c r="AH6" i="46"/>
  <c r="V7" i="46"/>
  <c r="Z7" i="46"/>
  <c r="AD7" i="46"/>
  <c r="AH7" i="46"/>
  <c r="V8" i="46"/>
  <c r="Z8" i="46"/>
  <c r="AD8" i="46"/>
  <c r="AH8" i="46"/>
  <c r="V9" i="46"/>
  <c r="Z9" i="46"/>
  <c r="AD9" i="46"/>
  <c r="AH9" i="46"/>
  <c r="V10" i="46"/>
  <c r="Z10" i="46"/>
  <c r="AD10" i="46"/>
  <c r="AH10" i="46"/>
  <c r="V11" i="46"/>
  <c r="Z11" i="46"/>
  <c r="AD11" i="46"/>
  <c r="AH11" i="46"/>
  <c r="V12" i="46"/>
  <c r="Z12" i="46"/>
  <c r="AD12" i="46"/>
  <c r="AH12" i="46"/>
  <c r="V13" i="46"/>
  <c r="Z13" i="46"/>
  <c r="AD13" i="46"/>
  <c r="AH13" i="46"/>
  <c r="V14" i="46"/>
  <c r="Z14" i="46"/>
  <c r="AD14" i="46"/>
  <c r="AH14" i="46"/>
  <c r="V15" i="46"/>
  <c r="Z15" i="46"/>
  <c r="AD15" i="46"/>
  <c r="AH15" i="46"/>
  <c r="V16" i="46"/>
  <c r="Z16" i="46"/>
  <c r="AD16" i="46"/>
  <c r="AH16" i="46"/>
  <c r="V17" i="46"/>
  <c r="Z17" i="46"/>
  <c r="AD17" i="46"/>
  <c r="AH17" i="46"/>
  <c r="V18" i="46"/>
  <c r="Z18" i="46"/>
  <c r="AD18" i="46"/>
  <c r="AH18" i="46"/>
  <c r="V19" i="46"/>
  <c r="Z19" i="46"/>
  <c r="AD19" i="46"/>
  <c r="D16" i="39"/>
  <c r="G11" i="39"/>
  <c r="D24" i="39"/>
  <c r="G16" i="39"/>
  <c r="D23" i="39" s="1"/>
  <c r="M12" i="34"/>
  <c r="L12" i="34"/>
  <c r="M30" i="34"/>
  <c r="L30" i="34"/>
  <c r="M44" i="34"/>
  <c r="L44" i="34"/>
  <c r="M62" i="34"/>
  <c r="L62" i="34"/>
  <c r="M257" i="34"/>
  <c r="L257" i="34"/>
  <c r="M273" i="34"/>
  <c r="L273" i="34"/>
  <c r="M289" i="34"/>
  <c r="L289" i="34"/>
  <c r="R18" i="15"/>
  <c r="Q19" i="15"/>
  <c r="AI40" i="15"/>
  <c r="AI41" i="15" s="1"/>
  <c r="AG41" i="15"/>
  <c r="M4" i="34"/>
  <c r="L4" i="34"/>
  <c r="M22" i="34"/>
  <c r="L22" i="34"/>
  <c r="M36" i="34"/>
  <c r="L36" i="34"/>
  <c r="M54" i="34"/>
  <c r="L54" i="34"/>
  <c r="M253" i="34"/>
  <c r="L253" i="34"/>
  <c r="M269" i="34"/>
  <c r="L269" i="34"/>
  <c r="M285" i="34"/>
  <c r="L285" i="34"/>
  <c r="D17" i="39"/>
  <c r="G12" i="39"/>
  <c r="G17" i="39"/>
  <c r="F23" i="39"/>
  <c r="F24" i="39"/>
  <c r="M14" i="34"/>
  <c r="L14" i="34"/>
  <c r="M28" i="34"/>
  <c r="L28" i="34"/>
  <c r="M46" i="34"/>
  <c r="L46" i="34"/>
  <c r="M60" i="34"/>
  <c r="L60" i="34"/>
  <c r="L169" i="34"/>
  <c r="M169" i="34"/>
  <c r="L185" i="34"/>
  <c r="M185" i="34"/>
  <c r="L201" i="34"/>
  <c r="M201" i="34"/>
  <c r="L217" i="34"/>
  <c r="M217" i="34"/>
  <c r="L233" i="34"/>
  <c r="M233" i="34"/>
  <c r="M249" i="34"/>
  <c r="L249" i="34"/>
  <c r="M265" i="34"/>
  <c r="L265" i="34"/>
  <c r="M281" i="34"/>
  <c r="L281" i="34"/>
  <c r="M297" i="34"/>
  <c r="L297" i="34"/>
  <c r="G24" i="39"/>
  <c r="M6" i="34"/>
  <c r="L6" i="34"/>
  <c r="M20" i="34"/>
  <c r="L20" i="34"/>
  <c r="M38" i="34"/>
  <c r="L38" i="34"/>
  <c r="M52" i="34"/>
  <c r="L52" i="34"/>
  <c r="L181" i="34"/>
  <c r="M181" i="34"/>
  <c r="L197" i="34"/>
  <c r="M197" i="34"/>
  <c r="L213" i="34"/>
  <c r="M213" i="34"/>
  <c r="L229" i="34"/>
  <c r="M229" i="34"/>
  <c r="M245" i="34"/>
  <c r="L245" i="34"/>
  <c r="M261" i="34"/>
  <c r="L261" i="34"/>
  <c r="M277" i="34"/>
  <c r="L277" i="34"/>
  <c r="M293" i="34"/>
  <c r="L293" i="34"/>
  <c r="L173" i="34"/>
  <c r="M173" i="34"/>
  <c r="L189" i="34"/>
  <c r="M189" i="34"/>
  <c r="L205" i="34"/>
  <c r="M205" i="34"/>
  <c r="L221" i="34"/>
  <c r="M221" i="34"/>
  <c r="L237" i="34"/>
  <c r="M237" i="34"/>
  <c r="M247" i="34"/>
  <c r="L247" i="34"/>
  <c r="M251" i="34"/>
  <c r="L251" i="34"/>
  <c r="M255" i="34"/>
  <c r="L255" i="34"/>
  <c r="M259" i="34"/>
  <c r="L259" i="34"/>
  <c r="M263" i="34"/>
  <c r="L263" i="34"/>
  <c r="M267" i="34"/>
  <c r="L267" i="34"/>
  <c r="M271" i="34"/>
  <c r="L271" i="34"/>
  <c r="M275" i="34"/>
  <c r="L275" i="34"/>
  <c r="M279" i="34"/>
  <c r="L279" i="34"/>
  <c r="M283" i="34"/>
  <c r="L283" i="34"/>
  <c r="M287" i="34"/>
  <c r="L287" i="34"/>
  <c r="M291" i="34"/>
  <c r="L291" i="34"/>
  <c r="M295" i="34"/>
  <c r="L295" i="34"/>
  <c r="M299" i="34"/>
  <c r="L299" i="34"/>
  <c r="M302" i="34"/>
  <c r="L302" i="34"/>
  <c r="M307" i="34"/>
  <c r="L307" i="34"/>
  <c r="M310" i="34"/>
  <c r="L310" i="34"/>
  <c r="M319" i="34"/>
  <c r="L319" i="34"/>
  <c r="L342" i="34"/>
  <c r="M342" i="34"/>
  <c r="M351" i="34"/>
  <c r="L351" i="34"/>
  <c r="M365" i="34"/>
  <c r="L365" i="34"/>
  <c r="M368" i="34"/>
  <c r="L368" i="34"/>
  <c r="E24" i="39"/>
  <c r="L10" i="34"/>
  <c r="L11" i="34"/>
  <c r="L18" i="34"/>
  <c r="L19" i="34"/>
  <c r="L26" i="34"/>
  <c r="L27" i="34"/>
  <c r="L34" i="34"/>
  <c r="L35" i="34"/>
  <c r="L42" i="34"/>
  <c r="L43" i="34"/>
  <c r="L50" i="34"/>
  <c r="L51" i="34"/>
  <c r="L58" i="34"/>
  <c r="L59" i="34"/>
  <c r="M67" i="34"/>
  <c r="L68" i="34"/>
  <c r="M75" i="34"/>
  <c r="L76" i="34"/>
  <c r="M83" i="34"/>
  <c r="L84" i="34"/>
  <c r="M91" i="34"/>
  <c r="L92" i="34"/>
  <c r="M99" i="34"/>
  <c r="L100" i="34"/>
  <c r="M107" i="34"/>
  <c r="L108" i="34"/>
  <c r="M115" i="34"/>
  <c r="L116" i="34"/>
  <c r="M123" i="34"/>
  <c r="L124" i="34"/>
  <c r="M131" i="34"/>
  <c r="L132" i="34"/>
  <c r="M139" i="34"/>
  <c r="L140" i="34"/>
  <c r="M147" i="34"/>
  <c r="L148" i="34"/>
  <c r="M155" i="34"/>
  <c r="L156" i="34"/>
  <c r="M163" i="34"/>
  <c r="L164" i="34"/>
  <c r="L176" i="34"/>
  <c r="L192" i="34"/>
  <c r="L208" i="34"/>
  <c r="L224" i="34"/>
  <c r="L240" i="34"/>
  <c r="M337" i="34"/>
  <c r="L337" i="34"/>
  <c r="L362" i="34"/>
  <c r="M395" i="34"/>
  <c r="L395" i="34"/>
  <c r="M453" i="34"/>
  <c r="L453" i="34"/>
  <c r="L5" i="34"/>
  <c r="L13" i="34"/>
  <c r="L21" i="34"/>
  <c r="L29" i="34"/>
  <c r="L37" i="34"/>
  <c r="L45" i="34"/>
  <c r="L53" i="34"/>
  <c r="L61" i="34"/>
  <c r="M65" i="34"/>
  <c r="L66" i="34"/>
  <c r="M73" i="34"/>
  <c r="L74" i="34"/>
  <c r="M81" i="34"/>
  <c r="L82" i="34"/>
  <c r="M89" i="34"/>
  <c r="L90" i="34"/>
  <c r="M97" i="34"/>
  <c r="L98" i="34"/>
  <c r="M105" i="34"/>
  <c r="L106" i="34"/>
  <c r="M113" i="34"/>
  <c r="L114" i="34"/>
  <c r="M121" i="34"/>
  <c r="L122" i="34"/>
  <c r="M129" i="34"/>
  <c r="L130" i="34"/>
  <c r="M137" i="34"/>
  <c r="L138" i="34"/>
  <c r="M145" i="34"/>
  <c r="L146" i="34"/>
  <c r="M153" i="34"/>
  <c r="L154" i="34"/>
  <c r="M161" i="34"/>
  <c r="L162" i="34"/>
  <c r="L172" i="34"/>
  <c r="L188" i="34"/>
  <c r="L204" i="34"/>
  <c r="L220" i="34"/>
  <c r="L236" i="34"/>
  <c r="L326" i="34"/>
  <c r="M326" i="34"/>
  <c r="M328" i="34"/>
  <c r="M335" i="34"/>
  <c r="L335" i="34"/>
  <c r="M358" i="34"/>
  <c r="L358" i="34"/>
  <c r="M374" i="34"/>
  <c r="L374" i="34"/>
  <c r="L379" i="34"/>
  <c r="M379" i="34"/>
  <c r="L177" i="34"/>
  <c r="M177" i="34"/>
  <c r="L193" i="34"/>
  <c r="M193" i="34"/>
  <c r="L209" i="34"/>
  <c r="M209" i="34"/>
  <c r="L225" i="34"/>
  <c r="M225" i="34"/>
  <c r="L241" i="34"/>
  <c r="M241" i="34"/>
  <c r="M301" i="34"/>
  <c r="L301" i="34"/>
  <c r="M309" i="34"/>
  <c r="L309" i="34"/>
  <c r="M321" i="34"/>
  <c r="L321" i="34"/>
  <c r="M372" i="34"/>
  <c r="L372" i="34"/>
  <c r="M375" i="34"/>
  <c r="L375" i="34"/>
  <c r="L385" i="34"/>
  <c r="M385" i="34"/>
  <c r="M393" i="34"/>
  <c r="L393" i="34"/>
  <c r="M303" i="34"/>
  <c r="L303" i="34"/>
  <c r="M311" i="34"/>
  <c r="L311" i="34"/>
  <c r="M352" i="34"/>
  <c r="L352" i="34"/>
  <c r="M356" i="34"/>
  <c r="L356" i="34"/>
  <c r="M359" i="34"/>
  <c r="L359" i="34"/>
  <c r="M366" i="34"/>
  <c r="L366" i="34"/>
  <c r="L377" i="34"/>
  <c r="M377" i="34"/>
  <c r="L318" i="34"/>
  <c r="M318" i="34"/>
  <c r="M320" i="34"/>
  <c r="M327" i="34"/>
  <c r="L327" i="34"/>
  <c r="L334" i="34"/>
  <c r="M334" i="34"/>
  <c r="M336" i="34"/>
  <c r="M343" i="34"/>
  <c r="L343" i="34"/>
  <c r="L350" i="34"/>
  <c r="M350" i="34"/>
  <c r="M360" i="34"/>
  <c r="L360" i="34"/>
  <c r="M367" i="34"/>
  <c r="L367" i="34"/>
  <c r="M403" i="34"/>
  <c r="L403" i="34"/>
  <c r="M411" i="34"/>
  <c r="L411" i="34"/>
  <c r="M419" i="34"/>
  <c r="L419" i="34"/>
  <c r="M427" i="34"/>
  <c r="L427" i="34"/>
  <c r="M435" i="34"/>
  <c r="L435" i="34"/>
  <c r="M443" i="34"/>
  <c r="L443" i="34"/>
  <c r="M451" i="34"/>
  <c r="L451" i="34"/>
  <c r="M378" i="34"/>
  <c r="L378" i="34"/>
  <c r="M386" i="34"/>
  <c r="L386" i="34"/>
  <c r="M401" i="34"/>
  <c r="L401" i="34"/>
  <c r="M409" i="34"/>
  <c r="L409" i="34"/>
  <c r="M417" i="34"/>
  <c r="L417" i="34"/>
  <c r="M425" i="34"/>
  <c r="L425" i="34"/>
  <c r="M433" i="34"/>
  <c r="L433" i="34"/>
  <c r="M441" i="34"/>
  <c r="L441" i="34"/>
  <c r="M449" i="34"/>
  <c r="L449" i="34"/>
  <c r="L376" i="34"/>
  <c r="M383" i="34"/>
  <c r="L384" i="34"/>
  <c r="M391" i="34"/>
  <c r="L392" i="34"/>
  <c r="M394" i="34"/>
  <c r="L394" i="34"/>
  <c r="L400" i="34"/>
  <c r="M402" i="34"/>
  <c r="L408" i="34"/>
  <c r="M408" i="34"/>
  <c r="M410" i="34"/>
  <c r="L416" i="34"/>
  <c r="M416" i="34"/>
  <c r="M418" i="34"/>
  <c r="L424" i="34"/>
  <c r="M424" i="34"/>
  <c r="M426" i="34"/>
  <c r="L432" i="34"/>
  <c r="M432" i="34"/>
  <c r="M434" i="34"/>
  <c r="L440" i="34"/>
  <c r="M440" i="34"/>
  <c r="M442" i="34"/>
  <c r="L448" i="34"/>
  <c r="M448" i="34"/>
  <c r="M450" i="34"/>
  <c r="M452" i="34"/>
  <c r="L452" i="34"/>
  <c r="M406" i="34"/>
  <c r="L407" i="34"/>
  <c r="M414" i="34"/>
  <c r="L415" i="34"/>
  <c r="M422" i="34"/>
  <c r="L423" i="34"/>
  <c r="M430" i="34"/>
  <c r="L431" i="34"/>
  <c r="M438" i="34"/>
  <c r="L439" i="34"/>
  <c r="M446" i="34"/>
  <c r="L447" i="34"/>
  <c r="H438" i="34" a="1"/>
  <c r="H116" i="34" a="1"/>
  <c r="H373" i="34" a="1"/>
  <c r="H236" i="34" a="1"/>
  <c r="H37" i="34" a="1"/>
  <c r="H427" i="34" a="1"/>
  <c r="H218" i="34" a="1"/>
  <c r="H422" i="34" a="1"/>
  <c r="H121" i="34" a="1"/>
  <c r="H140" i="34" a="1"/>
  <c r="H314" i="34" a="1"/>
  <c r="H287" i="34" a="1"/>
  <c r="H124" i="34" a="1"/>
  <c r="H210" i="34" a="1"/>
  <c r="H433" i="34" a="1"/>
  <c r="H288" i="34" a="1"/>
  <c r="H230" i="34" a="1"/>
  <c r="H293" i="34" a="1"/>
  <c r="H264" i="34" a="1"/>
  <c r="H232" i="34" a="1"/>
  <c r="H414" i="34" a="1"/>
  <c r="H35" i="34" a="1"/>
  <c r="H285" i="34" a="1"/>
  <c r="H40" i="34" a="1"/>
  <c r="H421" i="34" a="1"/>
  <c r="H367" i="34" a="1"/>
  <c r="H179" i="34" a="1"/>
  <c r="H205" i="34" a="1"/>
  <c r="H289" i="34" a="1"/>
  <c r="H172" i="34" a="1"/>
  <c r="H39" i="34" a="1"/>
  <c r="H56" i="34" a="1"/>
  <c r="H376" i="34" a="1"/>
  <c r="H106" i="34" a="1"/>
  <c r="H436" i="34" a="1"/>
  <c r="H280" i="34" a="1"/>
  <c r="H345" i="34" a="1"/>
  <c r="H257" i="34" a="1"/>
  <c r="H420" i="34" a="1"/>
  <c r="H391" i="34" a="1"/>
  <c r="H189" i="34" a="1"/>
  <c r="H237" i="34" a="1"/>
  <c r="H14" i="34" a="1"/>
  <c r="H190" i="34" a="1"/>
  <c r="H311" i="34" a="1"/>
  <c r="H330" i="34" a="1"/>
  <c r="H186" i="34" a="1"/>
  <c r="H214" i="34" a="1"/>
  <c r="H113" i="34" a="1"/>
  <c r="H152" i="34" a="1"/>
  <c r="H159" i="34" a="1"/>
  <c r="H368" i="34" a="1"/>
  <c r="H425" i="34" a="1"/>
  <c r="H99" i="34" a="1"/>
  <c r="H295" i="34" a="1"/>
  <c r="H43" i="34" a="1"/>
  <c r="H399" i="34" a="1"/>
  <c r="H199" i="34" a="1"/>
  <c r="H110" i="34" a="1"/>
  <c r="H180" i="34" a="1"/>
  <c r="H24" i="34" a="1"/>
  <c r="H72" i="34" a="1"/>
  <c r="H312" i="34" a="1"/>
  <c r="H445" i="34" a="1"/>
  <c r="H115" i="34" a="1"/>
  <c r="H321" i="34" a="1"/>
  <c r="H68" i="34" a="1"/>
  <c r="H340" i="34" a="1"/>
  <c r="H65" i="34" a="1"/>
  <c r="H451" i="34" a="1"/>
  <c r="H277" i="34" a="1"/>
  <c r="H92" i="34" a="1"/>
  <c r="H263" i="34" a="1"/>
  <c r="H13" i="34" a="1"/>
  <c r="H46" i="34" a="1"/>
  <c r="H428" i="34" a="1"/>
  <c r="H452" i="34" a="1"/>
  <c r="H162" i="34" a="1"/>
  <c r="H82" i="34" a="1"/>
  <c r="H354" i="34" a="1"/>
  <c r="H192" i="34" a="1"/>
  <c r="H323" i="34" a="1"/>
  <c r="H146" i="34" a="1"/>
  <c r="H222" i="34" a="1"/>
  <c r="H247" i="34" a="1"/>
  <c r="H363" i="34" a="1"/>
  <c r="H370" i="34" a="1"/>
  <c r="H238" i="34" a="1"/>
  <c r="H243" i="34" a="1"/>
  <c r="H334" i="34" a="1"/>
  <c r="H15" i="34" a="1"/>
  <c r="H313" i="34" a="1"/>
  <c r="H126" i="34" a="1"/>
  <c r="H245" i="34" a="1"/>
  <c r="H76" i="34" a="1"/>
  <c r="H316" i="34" a="1"/>
  <c r="H34" i="34" a="1"/>
  <c r="H252" i="34" a="1"/>
  <c r="H41" i="34" a="1"/>
  <c r="H441" i="34" a="1"/>
  <c r="H32" i="34" a="1"/>
  <c r="H156" i="34" a="1"/>
  <c r="H117" i="34" a="1"/>
  <c r="H30" i="34" a="1"/>
  <c r="H33" i="34" a="1"/>
  <c r="H71" i="34" a="1"/>
  <c r="H283" i="34" a="1"/>
  <c r="H119" i="34" a="1"/>
  <c r="H142" i="34" a="1"/>
  <c r="H260" i="34" a="1"/>
  <c r="H271" i="34" a="1"/>
  <c r="H394" i="34" a="1"/>
  <c r="H348" i="34" a="1"/>
  <c r="H393" i="34" a="1"/>
  <c r="H19" i="34" a="1"/>
  <c r="H443" i="34" a="1"/>
  <c r="H48" i="34" a="1"/>
  <c r="H261" i="34" a="1"/>
  <c r="H338" i="34" a="1"/>
  <c r="H27" i="34" a="1"/>
  <c r="H375" i="34" a="1"/>
  <c r="H219" i="34" a="1"/>
  <c r="H324" i="34" a="1"/>
  <c r="H404" i="34" a="1"/>
  <c r="H350" i="34" a="1"/>
  <c r="H333" i="34" a="1"/>
  <c r="H405" i="34" a="1"/>
  <c r="H407" i="34" a="1"/>
  <c r="H144" i="34" a="1"/>
  <c r="H169" i="34" a="1"/>
  <c r="H134" i="34" a="1"/>
  <c r="H79" i="34" a="1"/>
  <c r="H201" i="34" a="1"/>
  <c r="H322" i="34" a="1"/>
  <c r="H62" i="34" a="1"/>
  <c r="H329" i="34" a="1"/>
  <c r="H409" i="34" a="1"/>
  <c r="H131" i="34" a="1"/>
  <c r="H371" i="34" a="1"/>
  <c r="H164" i="34" a="1"/>
  <c r="H416" i="34" a="1"/>
  <c r="H197" i="34" a="1"/>
  <c r="H359" i="34" a="1"/>
  <c r="H100" i="34" a="1"/>
  <c r="H45" i="34" a="1"/>
  <c r="H221" i="34" a="1"/>
  <c r="H342" i="34" a="1"/>
  <c r="H25" i="34" a="1"/>
  <c r="H23" i="34" a="1"/>
  <c r="H270" i="34" a="1"/>
  <c r="H88" i="34" a="1"/>
  <c r="H69" i="34" a="1"/>
  <c r="H55" i="34" a="1"/>
  <c r="H216" i="34" a="1"/>
  <c r="H168" i="34" a="1"/>
  <c r="H227" i="34" a="1"/>
  <c r="H91" i="34" a="1"/>
  <c r="H268" i="34" a="1"/>
  <c r="H54" i="34" a="1"/>
  <c r="H101" i="34" a="1"/>
  <c r="H153" i="34" a="1"/>
  <c r="H341" i="34" a="1"/>
  <c r="H325" i="34" a="1"/>
  <c r="H125" i="34" a="1"/>
  <c r="H235" i="34" a="1"/>
  <c r="H364" i="34" a="1"/>
  <c r="H22" i="34" a="1"/>
  <c r="H307" i="34" a="1"/>
  <c r="H228" i="34" a="1"/>
  <c r="H81" i="34" a="1"/>
  <c r="H93" i="34" a="1"/>
  <c r="H431" i="34" a="1"/>
  <c r="H60" i="34" a="1"/>
  <c r="H9" i="34" a="1"/>
  <c r="H58" i="34" a="1"/>
  <c r="H102" i="34" a="1"/>
  <c r="H114" i="34" a="1"/>
  <c r="H279" i="34" a="1"/>
  <c r="H128" i="34" a="1"/>
  <c r="H53" i="34" a="1"/>
  <c r="H388" i="34" a="1"/>
  <c r="H442" i="34" a="1"/>
  <c r="H379" i="34" a="1"/>
  <c r="H174" i="34" a="1"/>
  <c r="H450" i="34" a="1"/>
  <c r="H385" i="34" a="1"/>
  <c r="H44" i="34" a="1"/>
  <c r="H256" i="34" a="1"/>
  <c r="H278" i="34" a="1"/>
  <c r="H195" i="34" a="1"/>
  <c r="H305" i="34" a="1"/>
  <c r="H177" i="34" a="1"/>
  <c r="H17" i="34" a="1"/>
  <c r="H290" i="34" a="1"/>
  <c r="H446" i="34" a="1"/>
  <c r="H343" i="34" a="1"/>
  <c r="H132" i="34" a="1"/>
  <c r="H229" i="34" a="1"/>
  <c r="H213" i="34" a="1"/>
  <c r="H94" i="34" a="1"/>
  <c r="H182" i="34" a="1"/>
  <c r="H309" i="34" a="1"/>
  <c r="H198" i="34" a="1"/>
  <c r="H42" i="34" a="1"/>
  <c r="H435" i="34" a="1"/>
  <c r="H387" i="34" a="1"/>
  <c r="H181" i="34" a="1"/>
  <c r="H158" i="34" a="1"/>
  <c r="H127" i="34" a="1"/>
  <c r="H6" i="34" a="1"/>
  <c r="H148" i="34" a="1"/>
  <c r="H89" i="34" a="1"/>
  <c r="H155" i="34" a="1"/>
  <c r="H366" i="34" a="1"/>
  <c r="H36" i="34" a="1"/>
  <c r="H383" i="34" a="1"/>
  <c r="H418" i="34" a="1"/>
  <c r="H61" i="34" a="1"/>
  <c r="H298" i="34" a="1"/>
  <c r="H98" i="34" a="1"/>
  <c r="H145" i="34" a="1"/>
  <c r="H70" i="34" a="1"/>
  <c r="H319" i="34" a="1"/>
  <c r="H284" i="34" a="1"/>
  <c r="H191" i="34" a="1"/>
  <c r="H196" i="34" a="1"/>
  <c r="H449" i="34" a="1"/>
  <c r="H400" i="34" a="1"/>
  <c r="H21" i="34" a="1"/>
  <c r="H4" i="34" a="1"/>
  <c r="H209" i="34" a="1"/>
  <c r="H20" i="34" a="1"/>
  <c r="H251" i="34" a="1"/>
  <c r="H175" i="34" a="1"/>
  <c r="H104" i="34" a="1"/>
  <c r="H120" i="34" a="1"/>
  <c r="H437" i="34" a="1"/>
  <c r="H187" i="34" a="1"/>
  <c r="H419" i="34" a="1"/>
  <c r="H123" i="34" a="1"/>
  <c r="H401" i="34" a="1"/>
  <c r="H77" i="34" a="1"/>
  <c r="H327" i="34" a="1"/>
  <c r="H170" i="34" a="1"/>
  <c r="H63" i="34" a="1"/>
  <c r="H12" i="34" a="1"/>
  <c r="H286" i="34" a="1"/>
  <c r="H129" i="34" a="1"/>
  <c r="H274" i="34" a="1"/>
  <c r="H300" i="34" a="1"/>
  <c r="H392" i="34" a="1"/>
  <c r="H398" i="34" a="1"/>
  <c r="H253" i="34" a="1"/>
  <c r="H16" i="34" a="1"/>
  <c r="H299" i="34" a="1"/>
  <c r="H384" i="34" a="1"/>
  <c r="H265" i="34" a="1"/>
  <c r="H138" i="34" a="1"/>
  <c r="H410" i="34" a="1"/>
  <c r="H149" i="34" a="1"/>
  <c r="H234" i="34" a="1"/>
  <c r="H412" i="34" a="1"/>
  <c r="H258" i="34" a="1"/>
  <c r="H432" i="34" a="1"/>
  <c r="H296" i="34" a="1"/>
  <c r="H18" i="34" a="1"/>
  <c r="H355" i="34" a="1"/>
  <c r="H194" i="34" a="1"/>
  <c r="H184" i="34" a="1"/>
  <c r="H57" i="34" a="1"/>
  <c r="H73" i="34" a="1"/>
  <c r="H413" i="34" a="1"/>
  <c r="H353" i="34" a="1"/>
  <c r="H415" i="34" a="1"/>
  <c r="H272" i="34" a="1"/>
  <c r="H315" i="34" a="1"/>
  <c r="H90" i="34" a="1"/>
  <c r="H304" i="34" a="1"/>
  <c r="H275" i="34" a="1"/>
  <c r="H377" i="34" a="1"/>
  <c r="H320" i="34" a="1"/>
  <c r="H202" i="34" a="1"/>
  <c r="H302" i="34" a="1"/>
  <c r="H122" i="34" a="1"/>
  <c r="H374" i="34" a="1"/>
  <c r="H143" i="34" a="1"/>
  <c r="H211" i="34" a="1"/>
  <c r="H254" i="34" a="1"/>
  <c r="H406" i="34" a="1"/>
  <c r="H349" i="34" a="1"/>
  <c r="H5" i="34" a="1"/>
  <c r="H223" i="34" a="1"/>
  <c r="H378" i="34" a="1"/>
  <c r="H249" i="34" a="1"/>
  <c r="H453" i="34" a="1"/>
  <c r="H105" i="34" a="1"/>
  <c r="H166" i="34" a="1"/>
  <c r="H426" i="34" a="1"/>
  <c r="H291" i="34" a="1"/>
  <c r="H147" i="34" a="1"/>
  <c r="H360" i="34" a="1"/>
  <c r="H83" i="34" a="1"/>
  <c r="H31" i="34" a="1"/>
  <c r="H276" i="34" a="1"/>
  <c r="H207" i="34" a="1"/>
  <c r="H403" i="34" a="1"/>
  <c r="H185" i="34" a="1"/>
  <c r="H109" i="34" a="1"/>
  <c r="H136" i="34" a="1"/>
  <c r="H303" i="34" a="1"/>
  <c r="H112" i="34" a="1"/>
  <c r="H332" i="34" a="1"/>
  <c r="H328" i="34" a="1"/>
  <c r="H165" i="34" a="1"/>
  <c r="H11" i="34" a="1"/>
  <c r="H176" i="34" a="1"/>
  <c r="H96" i="34" a="1"/>
  <c r="H29" i="34" a="1"/>
  <c r="H231" i="34" a="1"/>
  <c r="H267" i="34" a="1"/>
  <c r="H78" i="34" a="1"/>
  <c r="H381" i="34" a="1"/>
  <c r="H226" i="34" a="1"/>
  <c r="H85" i="34" a="1"/>
  <c r="H347" i="34" a="1"/>
  <c r="H365" i="34" a="1"/>
  <c r="H306" i="34" a="1"/>
  <c r="H133" i="34" a="1"/>
  <c r="H108" i="34" a="1"/>
  <c r="H240" i="34" a="1"/>
  <c r="H151" i="34" a="1"/>
  <c r="H160" i="34" a="1"/>
  <c r="H193" i="34" a="1"/>
  <c r="H318" i="34" a="1"/>
  <c r="H444" i="34" a="1"/>
  <c r="H204" i="34" a="1"/>
  <c r="H203" i="34" a="1"/>
  <c r="H224" i="34" a="1"/>
  <c r="H389" i="34" a="1"/>
  <c r="H339" i="34" a="1"/>
  <c r="H429" i="34" a="1"/>
  <c r="H215" i="34" a="1"/>
  <c r="H242" i="34" a="1"/>
  <c r="H408" i="34" a="1"/>
  <c r="H282" i="34" a="1"/>
  <c r="H402" i="34" a="1"/>
  <c r="H417" i="34" a="1"/>
  <c r="H212" i="34" a="1"/>
  <c r="H154" i="34" a="1"/>
  <c r="H74" i="34" a="1"/>
  <c r="H239" i="34" a="1"/>
  <c r="H440" i="34" a="1"/>
  <c r="H241" i="34" a="1"/>
  <c r="H356" i="34" a="1"/>
  <c r="H250" i="34" a="1"/>
  <c r="H38" i="34" a="1"/>
  <c r="H397" i="34" a="1"/>
  <c r="H163" i="34" a="1"/>
  <c r="H178" i="34" a="1"/>
  <c r="H10" i="34" a="1"/>
  <c r="H28" i="34" a="1"/>
  <c r="H8" i="34" a="1"/>
  <c r="H372" i="34" a="1"/>
  <c r="H259" i="34" a="1"/>
  <c r="H310" i="34" a="1"/>
  <c r="H103" i="34" a="1"/>
  <c r="H362" i="34" a="1"/>
  <c r="H337" i="34" a="1"/>
  <c r="H262" i="34" a="1"/>
  <c r="H167" i="34" a="1"/>
  <c r="H430" i="34" a="1"/>
  <c r="H382" i="34" a="1"/>
  <c r="H64" i="34" a="1"/>
  <c r="H246" i="34" a="1"/>
  <c r="H75" i="34" a="1"/>
  <c r="H208" i="34" a="1"/>
  <c r="H97" i="34" a="1"/>
  <c r="H150" i="34" a="1"/>
  <c r="H308" i="34" a="1"/>
  <c r="H51" i="34" a="1"/>
  <c r="H390" i="34" a="1"/>
  <c r="H361" i="34" a="1"/>
  <c r="H217" i="34" a="1"/>
  <c r="H220" i="34" a="1"/>
  <c r="H161" i="34" a="1"/>
  <c r="H273" i="34" a="1"/>
  <c r="H317" i="34" a="1"/>
  <c r="H439" i="34" a="1"/>
  <c r="H326" i="34" a="1"/>
  <c r="H183" i="34" a="1"/>
  <c r="H137" i="34" a="1"/>
  <c r="H50" i="34" a="1"/>
  <c r="H266" i="34" a="1"/>
  <c r="H351" i="34" a="1"/>
  <c r="H357" i="34" a="1"/>
  <c r="H171" i="34" a="1"/>
  <c r="H424" i="34" a="1"/>
  <c r="H294" i="34" a="1"/>
  <c r="H118" i="34" a="1"/>
  <c r="H107" i="34" a="1"/>
  <c r="H380" i="34" a="1"/>
  <c r="H157" i="34" a="1"/>
  <c r="H301" i="34" a="1"/>
  <c r="H59" i="34" a="1"/>
  <c r="H66" i="34" a="1"/>
  <c r="H111" i="34" a="1"/>
  <c r="H49" i="34" a="1"/>
  <c r="H336" i="34" a="1"/>
  <c r="H411" i="34" a="1"/>
  <c r="H47" i="34" a="1"/>
  <c r="H188" i="34" a="1"/>
  <c r="H352" i="34" a="1"/>
  <c r="H269" i="34" a="1"/>
  <c r="H447" i="34" a="1"/>
  <c r="H200" i="34" a="1"/>
  <c r="H448" i="34" a="1"/>
  <c r="H255" i="34" a="1"/>
  <c r="H281" i="34" a="1"/>
  <c r="H84" i="34" a="1"/>
  <c r="H206" i="34" a="1"/>
  <c r="H95" i="34" a="1"/>
  <c r="H396" i="34" a="1"/>
  <c r="H233" i="34" a="1"/>
  <c r="H369" i="34" a="1"/>
  <c r="H331" i="34" a="1"/>
  <c r="H173" i="34" a="1"/>
  <c r="H52" i="34" a="1"/>
  <c r="H344" i="34" a="1"/>
  <c r="H358" i="34" a="1"/>
  <c r="H135" i="34" a="1"/>
  <c r="H67" i="34" a="1"/>
  <c r="H7" i="34" a="1"/>
  <c r="H395" i="34" a="1"/>
  <c r="H248" i="34" a="1"/>
  <c r="H297" i="34" a="1"/>
  <c r="H26" i="34" a="1"/>
  <c r="H87" i="34" a="1"/>
  <c r="H423" i="34" a="1"/>
  <c r="H141" i="34" a="1"/>
  <c r="H346" i="34" a="1"/>
  <c r="H292" i="34" a="1"/>
  <c r="H244" i="34" a="1"/>
  <c r="H225" i="34" a="1"/>
  <c r="H386" i="34" a="1"/>
  <c r="H86" i="34" a="1"/>
  <c r="H434" i="34" a="1"/>
  <c r="H130" i="34" a="1"/>
  <c r="H139" i="34" a="1"/>
  <c r="H335" i="34" a="1"/>
  <c r="H80" i="34" a="1"/>
  <c r="H348" i="34" l="1"/>
  <c r="H224" i="34"/>
  <c r="H419" i="34"/>
  <c r="H151" i="34"/>
  <c r="H394" i="34"/>
  <c r="H304" i="34"/>
  <c r="H187" i="34"/>
  <c r="H244" i="34"/>
  <c r="H271" i="34"/>
  <c r="H352" i="34"/>
  <c r="H437" i="34"/>
  <c r="H240" i="34"/>
  <c r="H260" i="34"/>
  <c r="H80" i="34"/>
  <c r="H120" i="34"/>
  <c r="H10" i="34"/>
  <c r="H142" i="34"/>
  <c r="H203" i="34"/>
  <c r="H104" i="34"/>
  <c r="H108" i="34"/>
  <c r="H119" i="34"/>
  <c r="H103" i="34"/>
  <c r="H175" i="34"/>
  <c r="H292" i="34"/>
  <c r="H283" i="34"/>
  <c r="H188" i="34"/>
  <c r="H251" i="34"/>
  <c r="H133" i="34"/>
  <c r="H71" i="34"/>
  <c r="H90" i="34"/>
  <c r="H20" i="34"/>
  <c r="H178" i="34"/>
  <c r="H33" i="34"/>
  <c r="H204" i="34"/>
  <c r="H209" i="34"/>
  <c r="H306" i="34"/>
  <c r="H30" i="34"/>
  <c r="H335" i="34"/>
  <c r="H4" i="34"/>
  <c r="H346" i="34"/>
  <c r="H117" i="34"/>
  <c r="H47" i="34"/>
  <c r="H21" i="34"/>
  <c r="H365" i="34"/>
  <c r="H156" i="34"/>
  <c r="H310" i="34"/>
  <c r="H400" i="34"/>
  <c r="H163" i="34"/>
  <c r="H32" i="34"/>
  <c r="H444" i="34"/>
  <c r="H449" i="34"/>
  <c r="H347" i="34"/>
  <c r="H441" i="34"/>
  <c r="H139" i="34"/>
  <c r="H196" i="34"/>
  <c r="H141" i="34"/>
  <c r="H41" i="34"/>
  <c r="H411" i="34"/>
  <c r="H191" i="34"/>
  <c r="H85" i="34"/>
  <c r="H252" i="34"/>
  <c r="H315" i="34"/>
  <c r="H284" i="34"/>
  <c r="H397" i="34"/>
  <c r="H34" i="34"/>
  <c r="H336" i="34"/>
  <c r="H319" i="34"/>
  <c r="H226" i="34"/>
  <c r="H316" i="34"/>
  <c r="H259" i="34"/>
  <c r="H70" i="34"/>
  <c r="H423" i="34"/>
  <c r="H76" i="34"/>
  <c r="H318" i="34"/>
  <c r="H145" i="34"/>
  <c r="H381" i="34"/>
  <c r="H245" i="34"/>
  <c r="H130" i="34"/>
  <c r="H98" i="34"/>
  <c r="H38" i="34"/>
  <c r="H126" i="34"/>
  <c r="H49" i="34"/>
  <c r="H298" i="34"/>
  <c r="H78" i="34"/>
  <c r="H313" i="34"/>
  <c r="H272" i="34"/>
  <c r="H61" i="34"/>
  <c r="H87" i="34"/>
  <c r="H15" i="34"/>
  <c r="H111" i="34"/>
  <c r="H418" i="34"/>
  <c r="H267" i="34"/>
  <c r="H334" i="34"/>
  <c r="H434" i="34"/>
  <c r="H383" i="34"/>
  <c r="H250" i="34"/>
  <c r="H243" i="34"/>
  <c r="H66" i="34"/>
  <c r="H36" i="34"/>
  <c r="H231" i="34"/>
  <c r="H238" i="34"/>
  <c r="H372" i="34"/>
  <c r="H366" i="34"/>
  <c r="H26" i="34"/>
  <c r="H370" i="34"/>
  <c r="H193" i="34"/>
  <c r="H155" i="34"/>
  <c r="H29" i="34"/>
  <c r="H363" i="34"/>
  <c r="H415" i="34"/>
  <c r="H89" i="34"/>
  <c r="H356" i="34"/>
  <c r="H247" i="34"/>
  <c r="H59" i="34"/>
  <c r="H148" i="34"/>
  <c r="H96" i="34"/>
  <c r="H222" i="34"/>
  <c r="H86" i="34"/>
  <c r="H6" i="34"/>
  <c r="H297" i="34"/>
  <c r="H146" i="34"/>
  <c r="H301" i="34"/>
  <c r="H127" i="34"/>
  <c r="H176" i="34"/>
  <c r="H323" i="34"/>
  <c r="H353" i="34"/>
  <c r="H158" i="34"/>
  <c r="H241" i="34"/>
  <c r="H192" i="34"/>
  <c r="H157" i="34"/>
  <c r="H181" i="34"/>
  <c r="H11" i="34"/>
  <c r="H354" i="34"/>
  <c r="H8" i="34"/>
  <c r="H387" i="34"/>
  <c r="H248" i="34"/>
  <c r="H82" i="34"/>
  <c r="H380" i="34"/>
  <c r="H435" i="34"/>
  <c r="H165" i="34"/>
  <c r="H162" i="34"/>
  <c r="H386" i="34"/>
  <c r="H42" i="34"/>
  <c r="H395" i="34"/>
  <c r="H452" i="34"/>
  <c r="H107" i="34"/>
  <c r="H198" i="34"/>
  <c r="H328" i="34"/>
  <c r="H428" i="34"/>
  <c r="H413" i="34"/>
  <c r="H309" i="34"/>
  <c r="H440" i="34"/>
  <c r="H46" i="34"/>
  <c r="H118" i="34"/>
  <c r="H182" i="34"/>
  <c r="H332" i="34"/>
  <c r="H13" i="34"/>
  <c r="H28" i="34"/>
  <c r="H94" i="34"/>
  <c r="H7" i="34"/>
  <c r="H263" i="34"/>
  <c r="H294" i="34"/>
  <c r="H213" i="34"/>
  <c r="H112" i="34"/>
  <c r="H92" i="34"/>
  <c r="H225" i="34"/>
  <c r="H229" i="34"/>
  <c r="H239" i="34"/>
  <c r="H277" i="34"/>
  <c r="H424" i="34"/>
  <c r="H132" i="34"/>
  <c r="H303" i="34"/>
  <c r="H451" i="34"/>
  <c r="H73" i="34"/>
  <c r="H343" i="34"/>
  <c r="H67" i="34"/>
  <c r="H65" i="34"/>
  <c r="H171" i="34"/>
  <c r="H446" i="34"/>
  <c r="H136" i="34"/>
  <c r="H340" i="34"/>
  <c r="H57" i="34"/>
  <c r="H290" i="34"/>
  <c r="H74" i="34"/>
  <c r="H68" i="34"/>
  <c r="H357" i="34"/>
  <c r="H17" i="34"/>
  <c r="H109" i="34"/>
  <c r="H321" i="34"/>
  <c r="H184" i="34"/>
  <c r="H177" i="34"/>
  <c r="H135" i="34"/>
  <c r="H115" i="34"/>
  <c r="H351" i="34"/>
  <c r="H305" i="34"/>
  <c r="H185" i="34"/>
  <c r="H445" i="34"/>
  <c r="H194" i="34"/>
  <c r="H195" i="34"/>
  <c r="H154" i="34"/>
  <c r="H312" i="34"/>
  <c r="H266" i="34"/>
  <c r="H278" i="34"/>
  <c r="H403" i="34"/>
  <c r="H72" i="34"/>
  <c r="H355" i="34"/>
  <c r="H256" i="34"/>
  <c r="H358" i="34"/>
  <c r="H24" i="34"/>
  <c r="H50" i="34"/>
  <c r="H44" i="34"/>
  <c r="H207" i="34"/>
  <c r="H180" i="34"/>
  <c r="H18" i="34"/>
  <c r="H385" i="34"/>
  <c r="H344" i="34"/>
  <c r="H110" i="34"/>
  <c r="H137" i="34"/>
  <c r="H450" i="34"/>
  <c r="H276" i="34"/>
  <c r="H199" i="34"/>
  <c r="H296" i="34"/>
  <c r="H174" i="34"/>
  <c r="H212" i="34"/>
  <c r="H399" i="34"/>
  <c r="H183" i="34"/>
  <c r="H379" i="34"/>
  <c r="H31" i="34"/>
  <c r="H43" i="34"/>
  <c r="H432" i="34"/>
  <c r="H442" i="34"/>
  <c r="H52" i="34"/>
  <c r="H295" i="34"/>
  <c r="H326" i="34"/>
  <c r="H388" i="34"/>
  <c r="H83" i="34"/>
  <c r="H99" i="34"/>
  <c r="H258" i="34"/>
  <c r="H53" i="34"/>
  <c r="H417" i="34"/>
  <c r="H425" i="34"/>
  <c r="H439" i="34"/>
  <c r="H128" i="34"/>
  <c r="H360" i="34"/>
  <c r="H368" i="34"/>
  <c r="H412" i="34"/>
  <c r="H279" i="34"/>
  <c r="H173" i="34"/>
  <c r="H159" i="34"/>
  <c r="H317" i="34"/>
  <c r="H114" i="34"/>
  <c r="H147" i="34"/>
  <c r="H152" i="34"/>
  <c r="H234" i="34"/>
  <c r="H102" i="34"/>
  <c r="H402" i="34"/>
  <c r="H113" i="34"/>
  <c r="H273" i="34"/>
  <c r="H58" i="34"/>
  <c r="H291" i="34"/>
  <c r="H214" i="34"/>
  <c r="H149" i="34"/>
  <c r="H9" i="34"/>
  <c r="H331" i="34"/>
  <c r="H186" i="34"/>
  <c r="H161" i="34"/>
  <c r="H60" i="34"/>
  <c r="H426" i="34"/>
  <c r="H330" i="34"/>
  <c r="H410" i="34"/>
  <c r="H431" i="34"/>
  <c r="H369" i="34"/>
  <c r="H311" i="34"/>
  <c r="H220" i="34"/>
  <c r="H93" i="34"/>
  <c r="H166" i="34"/>
  <c r="H190" i="34"/>
  <c r="H138" i="34"/>
  <c r="H81" i="34"/>
  <c r="H282" i="34"/>
  <c r="H14" i="34"/>
  <c r="H217" i="34"/>
  <c r="H228" i="34"/>
  <c r="H105" i="34"/>
  <c r="H237" i="34"/>
  <c r="H265" i="34"/>
  <c r="H307" i="34"/>
  <c r="H233" i="34"/>
  <c r="H189" i="34"/>
  <c r="H361" i="34"/>
  <c r="H22" i="34"/>
  <c r="H453" i="34"/>
  <c r="H391" i="34"/>
  <c r="H384" i="34"/>
  <c r="H364" i="34"/>
  <c r="H408" i="34"/>
  <c r="H420" i="34"/>
  <c r="H390" i="34"/>
  <c r="H235" i="34"/>
  <c r="H249" i="34"/>
  <c r="H257" i="34"/>
  <c r="H299" i="34"/>
  <c r="H125" i="34"/>
  <c r="H396" i="34"/>
  <c r="H345" i="34"/>
  <c r="H51" i="34"/>
  <c r="H325" i="34"/>
  <c r="H378" i="34"/>
  <c r="H280" i="34"/>
  <c r="H16" i="34"/>
  <c r="H341" i="34"/>
  <c r="H242" i="34"/>
  <c r="H436" i="34"/>
  <c r="H308" i="34"/>
  <c r="H153" i="34"/>
  <c r="H223" i="34"/>
  <c r="H106" i="34"/>
  <c r="H253" i="34"/>
  <c r="H101" i="34"/>
  <c r="H95" i="34"/>
  <c r="H376" i="34"/>
  <c r="H150" i="34"/>
  <c r="H54" i="34"/>
  <c r="H5" i="34"/>
  <c r="H56" i="34"/>
  <c r="H398" i="34"/>
  <c r="H268" i="34"/>
  <c r="H215" i="34"/>
  <c r="H39" i="34"/>
  <c r="H97" i="34"/>
  <c r="H91" i="34"/>
  <c r="H349" i="34"/>
  <c r="H172" i="34"/>
  <c r="H392" i="34"/>
  <c r="H227" i="34"/>
  <c r="H206" i="34"/>
  <c r="H289" i="34"/>
  <c r="H208" i="34"/>
  <c r="H168" i="34"/>
  <c r="H406" i="34"/>
  <c r="H205" i="34"/>
  <c r="H300" i="34"/>
  <c r="H216" i="34"/>
  <c r="H429" i="34"/>
  <c r="H179" i="34"/>
  <c r="H75" i="34"/>
  <c r="H55" i="34"/>
  <c r="H254" i="34"/>
  <c r="H367" i="34"/>
  <c r="H274" i="34"/>
  <c r="H69" i="34"/>
  <c r="H84" i="34"/>
  <c r="H421" i="34"/>
  <c r="H246" i="34"/>
  <c r="H88" i="34"/>
  <c r="H211" i="34"/>
  <c r="H40" i="34"/>
  <c r="H129" i="34"/>
  <c r="H270" i="34"/>
  <c r="H339" i="34"/>
  <c r="H285" i="34"/>
  <c r="H64" i="34"/>
  <c r="H23" i="34"/>
  <c r="H143" i="34"/>
  <c r="H35" i="34"/>
  <c r="H286" i="34"/>
  <c r="H25" i="34"/>
  <c r="H281" i="34"/>
  <c r="H414" i="34"/>
  <c r="H382" i="34"/>
  <c r="H342" i="34"/>
  <c r="H374" i="34"/>
  <c r="H232" i="34"/>
  <c r="H12" i="34"/>
  <c r="H221" i="34"/>
  <c r="H255" i="34"/>
  <c r="H264" i="34"/>
  <c r="H430" i="34"/>
  <c r="H45" i="34"/>
  <c r="H122" i="34"/>
  <c r="H293" i="34"/>
  <c r="H63" i="34"/>
  <c r="H100" i="34"/>
  <c r="H448" i="34"/>
  <c r="H230" i="34"/>
  <c r="H167" i="34"/>
  <c r="H359" i="34"/>
  <c r="H302" i="34"/>
  <c r="H288" i="34"/>
  <c r="H170" i="34"/>
  <c r="H197" i="34"/>
  <c r="H200" i="34"/>
  <c r="H433" i="34"/>
  <c r="H262" i="34"/>
  <c r="H416" i="34"/>
  <c r="H405" i="34"/>
  <c r="H210" i="34"/>
  <c r="H202" i="34"/>
  <c r="H164" i="34"/>
  <c r="H333" i="34"/>
  <c r="H124" i="34"/>
  <c r="H327" i="34"/>
  <c r="H371" i="34"/>
  <c r="H350" i="34"/>
  <c r="H287" i="34"/>
  <c r="H389" i="34"/>
  <c r="H131" i="34"/>
  <c r="H404" i="34"/>
  <c r="H314" i="34"/>
  <c r="H337" i="34"/>
  <c r="H409" i="34"/>
  <c r="H324" i="34"/>
  <c r="H140" i="34"/>
  <c r="H320" i="34"/>
  <c r="H329" i="34"/>
  <c r="H219" i="34"/>
  <c r="H121" i="34"/>
  <c r="H77" i="34"/>
  <c r="H62" i="34"/>
  <c r="H375" i="34"/>
  <c r="H422" i="34"/>
  <c r="H447" i="34"/>
  <c r="H322" i="34"/>
  <c r="H27" i="34"/>
  <c r="H218" i="34"/>
  <c r="H160" i="34"/>
  <c r="H201" i="34"/>
  <c r="H338" i="34"/>
  <c r="H427" i="34"/>
  <c r="H377" i="34"/>
  <c r="H79" i="34"/>
  <c r="H261" i="34"/>
  <c r="H37" i="34"/>
  <c r="H401" i="34"/>
  <c r="H134" i="34"/>
  <c r="H48" i="34"/>
  <c r="H236" i="34"/>
  <c r="H269" i="34"/>
  <c r="H169" i="34"/>
  <c r="H443" i="34"/>
  <c r="H373" i="34"/>
  <c r="H362" i="34"/>
  <c r="H144" i="34"/>
  <c r="H19" i="34"/>
  <c r="H116" i="34"/>
  <c r="H275" i="34"/>
  <c r="H407" i="34"/>
  <c r="H393" i="34"/>
  <c r="H438" i="34"/>
  <c r="H123" i="34"/>
  <c r="T100" i="3"/>
  <c r="T99" i="3"/>
  <c r="T97" i="3"/>
  <c r="O249" i="13"/>
  <c r="O172" i="13"/>
  <c r="O137" i="13"/>
  <c r="O265" i="13"/>
  <c r="C49" i="15" a="1"/>
  <c r="C49" i="15" s="1"/>
  <c r="O540" i="13"/>
  <c r="M540" i="13" s="1" a="1"/>
  <c r="M540" i="13" s="1"/>
  <c r="O528" i="13"/>
  <c r="M528" i="13" s="1" a="1"/>
  <c r="M528" i="13" s="1"/>
  <c r="O577" i="13"/>
  <c r="M577" i="13" s="1" a="1"/>
  <c r="M577" i="13" s="1"/>
  <c r="T98" i="3"/>
  <c r="T93" i="3"/>
  <c r="T95" i="3"/>
  <c r="T96" i="3"/>
  <c r="T94" i="3"/>
  <c r="O573" i="13"/>
  <c r="T91" i="3"/>
  <c r="O550" i="13"/>
  <c r="T85" i="3"/>
  <c r="O535" i="13"/>
  <c r="T83" i="3"/>
  <c r="O523" i="13"/>
  <c r="T82" i="3"/>
  <c r="O508" i="13"/>
  <c r="T81" i="3"/>
  <c r="O571" i="13"/>
  <c r="T90" i="3"/>
  <c r="O562" i="13"/>
  <c r="T86" i="3"/>
  <c r="T84" i="3"/>
  <c r="O563" i="13"/>
  <c r="T87" i="3"/>
  <c r="O569" i="13"/>
  <c r="M569" i="13" s="1" a="1"/>
  <c r="M569" i="13" s="1"/>
  <c r="T88" i="3"/>
  <c r="O570" i="13"/>
  <c r="T89" i="3"/>
  <c r="O547" i="13"/>
  <c r="T80" i="3"/>
  <c r="O481" i="13"/>
  <c r="T78" i="3"/>
  <c r="O498" i="13"/>
  <c r="T79" i="3"/>
  <c r="O480" i="13"/>
  <c r="T77" i="3"/>
  <c r="O465" i="13"/>
  <c r="T65" i="3"/>
  <c r="O470" i="13"/>
  <c r="T71" i="3"/>
  <c r="T75" i="3"/>
  <c r="O487" i="13"/>
  <c r="T74" i="3"/>
  <c r="O468" i="13"/>
  <c r="T68" i="3"/>
  <c r="O474" i="13"/>
  <c r="T73" i="3"/>
  <c r="O472" i="13"/>
  <c r="T69" i="3"/>
  <c r="O469" i="13"/>
  <c r="T70" i="3"/>
  <c r="O473" i="13"/>
  <c r="T67" i="3"/>
  <c r="O412" i="13"/>
  <c r="T76" i="3"/>
  <c r="O466" i="13"/>
  <c r="T66" i="3"/>
  <c r="O482" i="13"/>
  <c r="T72" i="3"/>
  <c r="O457" i="13"/>
  <c r="T62" i="3"/>
  <c r="O461" i="13"/>
  <c r="T63" i="3"/>
  <c r="O462" i="13"/>
  <c r="T64" i="3"/>
  <c r="O439" i="13"/>
  <c r="T57" i="3"/>
  <c r="O452" i="13"/>
  <c r="T59" i="3"/>
  <c r="O456" i="13"/>
  <c r="T61" i="3"/>
  <c r="O453" i="13"/>
  <c r="T60" i="3"/>
  <c r="O421" i="13"/>
  <c r="T54" i="3"/>
  <c r="O377" i="13"/>
  <c r="T48" i="3"/>
  <c r="O310" i="13"/>
  <c r="T40" i="3"/>
  <c r="O423" i="13"/>
  <c r="T49" i="3"/>
  <c r="O298" i="13"/>
  <c r="T52" i="3"/>
  <c r="O426" i="13"/>
  <c r="T38" i="3"/>
  <c r="O442" i="13"/>
  <c r="T55" i="3"/>
  <c r="O443" i="13"/>
  <c r="T51" i="3"/>
  <c r="O350" i="13"/>
  <c r="T46" i="3"/>
  <c r="O398" i="13"/>
  <c r="T45" i="3"/>
  <c r="O335" i="13"/>
  <c r="T42" i="3"/>
  <c r="O383" i="13"/>
  <c r="T50" i="3"/>
  <c r="O415" i="13"/>
  <c r="T53" i="3"/>
  <c r="O364" i="13"/>
  <c r="T47" i="3"/>
  <c r="O297" i="13"/>
  <c r="T36" i="3"/>
  <c r="O322" i="13"/>
  <c r="T34" i="3"/>
  <c r="O338" i="13"/>
  <c r="T43" i="3"/>
  <c r="O386" i="13"/>
  <c r="T44" i="3"/>
  <c r="O323" i="13"/>
  <c r="T41" i="3"/>
  <c r="O432" i="13"/>
  <c r="T37" i="3"/>
  <c r="O448" i="13"/>
  <c r="T39" i="3"/>
  <c r="O50" i="13"/>
  <c r="M50" i="13" s="1" a="1"/>
  <c r="M50" i="13" s="1"/>
  <c r="O289" i="13"/>
  <c r="M289" i="13" s="1" a="1"/>
  <c r="M289" i="13" s="1"/>
  <c r="O257" i="13"/>
  <c r="M257" i="13" s="1" a="1"/>
  <c r="M257" i="13" s="1"/>
  <c r="O288" i="13"/>
  <c r="M288" i="13" s="1" a="1"/>
  <c r="M288" i="13" s="1"/>
  <c r="O48" i="13"/>
  <c r="M48" i="13" s="1" a="1"/>
  <c r="M48" i="13" s="1"/>
  <c r="O291" i="13"/>
  <c r="M291" i="13" s="1" a="1"/>
  <c r="M291" i="13" s="1"/>
  <c r="O47" i="13"/>
  <c r="M47" i="13" s="1" a="1"/>
  <c r="M47" i="13" s="1"/>
  <c r="O286" i="13"/>
  <c r="M286" i="13" s="1" a="1"/>
  <c r="M286" i="13" s="1"/>
  <c r="O285" i="13"/>
  <c r="M285" i="13" s="1" a="1"/>
  <c r="M285" i="13" s="1"/>
  <c r="O284" i="13"/>
  <c r="M284" i="13" s="1" a="1"/>
  <c r="M284" i="13" s="1"/>
  <c r="O258" i="13"/>
  <c r="M258" i="13" s="1" a="1"/>
  <c r="M258" i="13" s="1"/>
  <c r="O290" i="13"/>
  <c r="M290" i="13" s="1" a="1"/>
  <c r="M290" i="13" s="1"/>
  <c r="O296" i="13"/>
  <c r="M296" i="13" s="1" a="1"/>
  <c r="M296" i="13" s="1"/>
  <c r="O287" i="13"/>
  <c r="M287" i="13" s="1" a="1"/>
  <c r="M287" i="13" s="1"/>
  <c r="O119" i="13"/>
  <c r="M119" i="13" s="1" a="1"/>
  <c r="M119" i="13" s="1"/>
  <c r="O46" i="13"/>
  <c r="M46" i="13" s="1" a="1"/>
  <c r="M46" i="13" s="1"/>
  <c r="O117" i="13"/>
  <c r="M117" i="13" s="1" a="1"/>
  <c r="M117" i="13" s="1"/>
  <c r="O118" i="13"/>
  <c r="M118" i="13" s="1" a="1"/>
  <c r="M118" i="13" s="1"/>
  <c r="O295" i="13"/>
  <c r="M295" i="13" s="1" a="1"/>
  <c r="M295" i="13" s="1"/>
  <c r="O107" i="13"/>
  <c r="M107" i="13" s="1" a="1"/>
  <c r="M107" i="13" s="1"/>
  <c r="O106" i="13"/>
  <c r="M106" i="13" s="1" a="1"/>
  <c r="M106" i="13" s="1"/>
  <c r="O110" i="13"/>
  <c r="M110" i="13" s="1" a="1"/>
  <c r="M110" i="13" s="1"/>
  <c r="O62" i="13"/>
  <c r="M62" i="13" s="1" a="1"/>
  <c r="M62" i="13" s="1"/>
  <c r="O292" i="13"/>
  <c r="M292" i="13" s="1" a="1"/>
  <c r="M292" i="13" s="1"/>
  <c r="T12" i="3"/>
  <c r="T33" i="3"/>
  <c r="E14" i="15"/>
  <c r="E24" i="15"/>
  <c r="T28" i="3"/>
  <c r="T15" i="3"/>
  <c r="T27" i="3"/>
  <c r="T16" i="3"/>
  <c r="T23" i="3"/>
  <c r="T32" i="3"/>
  <c r="T17" i="3"/>
  <c r="T7" i="3"/>
  <c r="T29" i="3"/>
  <c r="T30" i="3"/>
  <c r="T26" i="3"/>
  <c r="T9" i="3"/>
  <c r="T13" i="3"/>
  <c r="T18" i="3"/>
  <c r="T25" i="3"/>
  <c r="T31" i="3"/>
  <c r="T21" i="3"/>
  <c r="T19" i="3"/>
  <c r="T20" i="3"/>
  <c r="T22" i="3"/>
  <c r="T10" i="3"/>
  <c r="T24" i="3"/>
  <c r="T8" i="3"/>
  <c r="T14" i="3"/>
  <c r="T11" i="3"/>
  <c r="AQ22" i="15"/>
  <c r="AQ23" i="15" s="1"/>
  <c r="AR20" i="15"/>
  <c r="H12" i="39"/>
  <c r="H17" i="39"/>
  <c r="G23" i="39" s="1"/>
  <c r="Q20" i="15"/>
  <c r="R19" i="15"/>
  <c r="H11" i="39"/>
  <c r="E23" i="39" s="1"/>
  <c r="H16" i="39"/>
  <c r="E99" i="15" l="1"/>
  <c r="E89" i="15" s="1"/>
  <c r="AR22" i="15"/>
  <c r="Q21" i="15"/>
  <c r="R20" i="15"/>
  <c r="AQ24" i="15"/>
  <c r="AR23" i="15"/>
  <c r="AQ25" i="15" l="1"/>
  <c r="AR24" i="15"/>
  <c r="R21" i="15"/>
  <c r="Q22" i="15"/>
  <c r="Q23" i="15" l="1"/>
  <c r="R22" i="15"/>
  <c r="AQ28" i="15"/>
  <c r="AR25" i="15"/>
  <c r="AQ29" i="15" l="1"/>
  <c r="AR28" i="15"/>
  <c r="R23" i="15"/>
  <c r="Q24" i="15"/>
  <c r="Q25" i="15" l="1"/>
  <c r="R24" i="15"/>
  <c r="AQ30" i="15"/>
  <c r="AR29" i="15"/>
  <c r="AQ31" i="15" l="1"/>
  <c r="AR30" i="15"/>
  <c r="Q28" i="15"/>
  <c r="R25" i="15"/>
  <c r="Q29" i="15" l="1"/>
  <c r="R28" i="15"/>
  <c r="AQ32" i="15"/>
  <c r="AR31" i="15"/>
  <c r="AR32" i="15" l="1"/>
  <c r="AQ33" i="15"/>
  <c r="R29" i="15"/>
  <c r="Q30" i="15"/>
  <c r="AR33" i="15" l="1"/>
  <c r="AT19" i="15"/>
  <c r="T16" i="15"/>
  <c r="R30" i="15"/>
  <c r="T17" i="15" l="1"/>
  <c r="U16" i="15"/>
  <c r="AT20" i="15"/>
  <c r="AU19" i="15"/>
  <c r="AU20" i="15" l="1"/>
  <c r="AT21" i="15"/>
  <c r="U17" i="15"/>
  <c r="T18" i="15"/>
  <c r="U18" i="15" l="1"/>
  <c r="T19" i="15"/>
  <c r="AT22" i="15"/>
  <c r="AU21" i="15"/>
  <c r="AT23" i="15" l="1"/>
  <c r="AU22" i="15"/>
  <c r="T20" i="15"/>
  <c r="U19" i="15"/>
  <c r="T21" i="15" l="1"/>
  <c r="U20" i="15"/>
  <c r="AU23" i="15"/>
  <c r="AT24" i="15"/>
  <c r="AU24" i="15" l="1"/>
  <c r="AT25" i="15"/>
  <c r="T22" i="15"/>
  <c r="U21" i="15"/>
  <c r="T23" i="15" l="1"/>
  <c r="U22" i="15"/>
  <c r="AU25" i="15"/>
  <c r="AT28" i="15"/>
  <c r="T24" i="15" l="1"/>
  <c r="U23" i="15"/>
  <c r="AU28" i="15"/>
  <c r="AT29" i="15"/>
  <c r="AT30" i="15" l="1"/>
  <c r="AU29" i="15"/>
  <c r="T25" i="15"/>
  <c r="U24" i="15"/>
  <c r="T28" i="15" l="1"/>
  <c r="U25" i="15"/>
  <c r="AT31" i="15"/>
  <c r="AU30" i="15"/>
  <c r="AU31" i="15" l="1"/>
  <c r="AT32" i="15"/>
  <c r="T29" i="15"/>
  <c r="U28" i="15"/>
  <c r="T30" i="15" l="1"/>
  <c r="U29" i="15"/>
  <c r="AU32" i="15"/>
  <c r="AT33" i="15"/>
  <c r="AU33" i="15" l="1"/>
  <c r="AW19" i="15"/>
  <c r="W16" i="15"/>
  <c r="U30" i="15"/>
  <c r="AX19" i="15" l="1"/>
  <c r="AW20" i="15"/>
  <c r="W17" i="15"/>
  <c r="X16" i="15"/>
  <c r="X17" i="15" l="1"/>
  <c r="W18" i="15"/>
  <c r="AW21" i="15"/>
  <c r="AX20" i="15"/>
  <c r="AW22" i="15" l="1"/>
  <c r="AX21" i="15"/>
  <c r="W19" i="15"/>
  <c r="X18" i="15"/>
  <c r="W20" i="15" l="1"/>
  <c r="X19" i="15"/>
  <c r="AX22" i="15"/>
  <c r="AW23" i="15"/>
  <c r="AW24" i="15" l="1"/>
  <c r="AX23" i="15"/>
  <c r="X20" i="15"/>
  <c r="W21" i="15"/>
  <c r="W22" i="15" l="1"/>
  <c r="X21" i="15"/>
  <c r="AW25" i="15"/>
  <c r="AX24" i="15"/>
  <c r="AW28" i="15" l="1"/>
  <c r="AX25" i="15"/>
  <c r="W23" i="15"/>
  <c r="X22" i="15"/>
  <c r="W24" i="15" l="1"/>
  <c r="X23" i="15"/>
  <c r="AW29" i="15"/>
  <c r="AX28" i="15"/>
  <c r="AW30" i="15" l="1"/>
  <c r="AX29" i="15"/>
  <c r="X24" i="15"/>
  <c r="W25" i="15"/>
  <c r="W28" i="15" l="1"/>
  <c r="X25" i="15"/>
  <c r="AX30" i="15"/>
  <c r="AW31" i="15"/>
  <c r="AX31" i="15" l="1"/>
  <c r="AW32" i="15"/>
  <c r="X28" i="15"/>
  <c r="W29" i="15"/>
  <c r="W30" i="15" l="1"/>
  <c r="X29" i="15"/>
  <c r="AW33" i="15"/>
  <c r="AX32" i="15"/>
  <c r="AX33" i="15" l="1"/>
  <c r="AZ19" i="15"/>
  <c r="X30" i="15"/>
  <c r="Z16" i="15"/>
  <c r="AA16" i="15" l="1"/>
  <c r="Z17" i="15"/>
  <c r="AZ20" i="15"/>
  <c r="BA19" i="15"/>
  <c r="AZ21" i="15" l="1"/>
  <c r="BA20" i="15"/>
  <c r="Z18" i="15"/>
  <c r="AA17" i="15"/>
  <c r="Z19" i="15" l="1"/>
  <c r="AA18" i="15"/>
  <c r="AZ22" i="15"/>
  <c r="BA21" i="15"/>
  <c r="AZ23" i="15" l="1"/>
  <c r="BA22" i="15"/>
  <c r="AA19" i="15"/>
  <c r="Z20" i="15"/>
  <c r="Z21" i="15" l="1"/>
  <c r="AA20" i="15"/>
  <c r="BA23" i="15"/>
  <c r="AZ24" i="15"/>
  <c r="AZ25" i="15" l="1"/>
  <c r="BA24" i="15"/>
  <c r="Z22" i="15"/>
  <c r="AA21" i="15"/>
  <c r="AA22" i="15" l="1"/>
  <c r="Z23" i="15"/>
  <c r="AZ28" i="15"/>
  <c r="BA25" i="15"/>
  <c r="AZ29" i="15" l="1"/>
  <c r="BA28" i="15"/>
  <c r="AA23" i="15"/>
  <c r="Z24" i="15"/>
  <c r="Z25" i="15" l="1"/>
  <c r="AA24" i="15"/>
  <c r="BA29" i="15"/>
  <c r="AZ30" i="15"/>
  <c r="AZ31" i="15" l="1"/>
  <c r="BA30" i="15"/>
  <c r="AA25" i="15"/>
  <c r="Z28" i="15"/>
  <c r="Z29" i="15" l="1"/>
  <c r="AA28" i="15"/>
  <c r="AZ32" i="15"/>
  <c r="BA31" i="15"/>
  <c r="AZ33" i="15" l="1"/>
  <c r="BA33" i="15" s="1"/>
  <c r="BA32" i="15"/>
  <c r="Z30" i="15"/>
  <c r="AA30" i="15" s="1"/>
  <c r="AA29" i="15"/>
  <c r="M42" i="13" l="1" a="1"/>
  <c r="M42" i="13" s="1"/>
  <c r="M51" i="13" a="1"/>
  <c r="M51" i="13" s="1"/>
  <c r="M63" i="13" a="1"/>
  <c r="M63" i="13" s="1"/>
  <c r="M86" i="13" a="1"/>
  <c r="M86" i="13" s="1"/>
  <c r="M100" i="13" a="1"/>
  <c r="M100" i="13" s="1"/>
  <c r="M112" i="13" a="1"/>
  <c r="M112" i="13" s="1"/>
  <c r="M114" i="13" a="1"/>
  <c r="M114" i="13" s="1"/>
  <c r="M116" i="13" a="1"/>
  <c r="M116" i="13" s="1"/>
  <c r="M125" i="13" a="1"/>
  <c r="M125" i="13" s="1"/>
  <c r="C48" i="15" s="1" a="1"/>
  <c r="C48" i="15" s="1"/>
  <c r="M127" i="13" a="1"/>
  <c r="M127" i="13" s="1"/>
  <c r="M129" i="13" a="1"/>
  <c r="M129" i="13" s="1"/>
  <c r="M131" i="13" a="1"/>
  <c r="M131" i="13" s="1"/>
  <c r="M133" i="13" a="1"/>
  <c r="M133" i="13" s="1"/>
  <c r="M138" i="13" a="1"/>
  <c r="M138" i="13" s="1"/>
  <c r="M141" i="13" a="1"/>
  <c r="M141" i="13" s="1"/>
  <c r="M151" i="13" a="1"/>
  <c r="M151" i="13" s="1"/>
  <c r="M155" i="13" a="1"/>
  <c r="M155" i="13" s="1"/>
  <c r="M163" i="13" a="1"/>
  <c r="M163" i="13" s="1"/>
  <c r="M167" i="13" a="1"/>
  <c r="M167" i="13" s="1"/>
  <c r="M175" i="13" a="1"/>
  <c r="M175" i="13" s="1"/>
  <c r="M180" i="13" a="1"/>
  <c r="M180" i="13" s="1"/>
  <c r="M182" i="13" a="1"/>
  <c r="M182" i="13" s="1"/>
  <c r="M184" i="13" a="1"/>
  <c r="M184" i="13" s="1"/>
  <c r="M186" i="13" a="1"/>
  <c r="M186" i="13" s="1"/>
  <c r="M190" i="13" a="1"/>
  <c r="M190" i="13" s="1"/>
  <c r="M239" i="13" a="1"/>
  <c r="M239" i="13" s="1"/>
  <c r="M243" i="13" a="1"/>
  <c r="M243" i="13" s="1"/>
  <c r="M247" i="13" a="1"/>
  <c r="M247" i="13" s="1"/>
  <c r="M251" i="13" a="1"/>
  <c r="M251" i="13" s="1"/>
  <c r="M254" i="13" a="1"/>
  <c r="M254" i="13" s="1"/>
  <c r="M262" i="13" a="1"/>
  <c r="M262" i="13" s="1"/>
  <c r="M266" i="13" a="1"/>
  <c r="M266" i="13" s="1"/>
  <c r="M274" i="13" a="1"/>
  <c r="M274" i="13" s="1"/>
  <c r="M278" i="13" a="1"/>
  <c r="M278" i="13" s="1"/>
  <c r="M282" i="13" a="1"/>
  <c r="M282" i="13" s="1"/>
  <c r="M41" i="13" a="1"/>
  <c r="M41" i="13" s="1"/>
  <c r="M45" i="13" a="1"/>
  <c r="M45" i="13" s="1"/>
  <c r="M53" i="13" a="1"/>
  <c r="M53" i="13" s="1"/>
  <c r="M55" i="13" a="1"/>
  <c r="M55" i="13" s="1"/>
  <c r="M57" i="13" a="1"/>
  <c r="M57" i="13" s="1"/>
  <c r="C40" i="15" a="1"/>
  <c r="C40" i="15" s="1"/>
  <c r="M65" i="13" a="1"/>
  <c r="M65" i="13" s="1"/>
  <c r="M67" i="13" a="1"/>
  <c r="M67" i="13" s="1"/>
  <c r="M69" i="13" a="1"/>
  <c r="M69" i="13" s="1"/>
  <c r="M85" i="13" a="1"/>
  <c r="M85" i="13" s="1"/>
  <c r="C42" i="15" s="1" a="1"/>
  <c r="C42" i="15" s="1"/>
  <c r="M88" i="13" a="1"/>
  <c r="M88" i="13" s="1"/>
  <c r="M90" i="13" a="1"/>
  <c r="M90" i="13" s="1"/>
  <c r="M92" i="13" a="1"/>
  <c r="M92" i="13" s="1"/>
  <c r="M99" i="13" a="1"/>
  <c r="M99" i="13" s="1"/>
  <c r="M102" i="13" a="1"/>
  <c r="M102" i="13" s="1"/>
  <c r="M104" i="13" a="1"/>
  <c r="M104" i="13" s="1"/>
  <c r="M140" i="13" a="1"/>
  <c r="M140" i="13" s="1"/>
  <c r="M143" i="13" a="1"/>
  <c r="M143" i="13" s="1"/>
  <c r="M145" i="13" a="1"/>
  <c r="M145" i="13" s="1"/>
  <c r="M150" i="13" a="1"/>
  <c r="M150" i="13" s="1"/>
  <c r="M154" i="13" a="1"/>
  <c r="M154" i="13" s="1"/>
  <c r="M157" i="13" a="1"/>
  <c r="M157" i="13" s="1"/>
  <c r="M162" i="13" a="1"/>
  <c r="M162" i="13" s="1"/>
  <c r="M166" i="13" a="1"/>
  <c r="M166" i="13" s="1"/>
  <c r="M169" i="13" a="1"/>
  <c r="M169" i="13" s="1"/>
  <c r="M174" i="13" a="1"/>
  <c r="M174" i="13" s="1"/>
  <c r="M179" i="13" a="1"/>
  <c r="M179" i="13" s="1"/>
  <c r="M193" i="13" a="1"/>
  <c r="M193" i="13" s="1"/>
  <c r="M195" i="13" a="1"/>
  <c r="M195" i="13" s="1"/>
  <c r="M197" i="13" a="1"/>
  <c r="M197" i="13" s="1"/>
  <c r="M199" i="13" a="1"/>
  <c r="M199" i="13" s="1"/>
  <c r="M203" i="13" a="1"/>
  <c r="M203" i="13" s="1"/>
  <c r="M205" i="13" a="1"/>
  <c r="M205" i="13" s="1"/>
  <c r="M207" i="13" a="1"/>
  <c r="M207" i="13" s="1"/>
  <c r="M209" i="13" a="1"/>
  <c r="M209" i="13" s="1"/>
  <c r="M210" i="13" a="1"/>
  <c r="M210" i="13" s="1"/>
  <c r="M212" i="13" a="1"/>
  <c r="M212" i="13" s="1"/>
  <c r="M214" i="13" a="1"/>
  <c r="M214" i="13" s="1"/>
  <c r="M216" i="13" a="1"/>
  <c r="M216" i="13" s="1"/>
  <c r="M223" i="13" a="1"/>
  <c r="M223" i="13" s="1"/>
  <c r="M227" i="13" a="1"/>
  <c r="M227" i="13" s="1"/>
  <c r="M236" i="13" a="1"/>
  <c r="M236" i="13" s="1"/>
  <c r="M238" i="13" a="1"/>
  <c r="M238" i="13" s="1"/>
  <c r="M272" i="13" a="1"/>
  <c r="M272" i="13" s="1"/>
  <c r="M283" i="13" a="1"/>
  <c r="M283" i="13" s="1"/>
  <c r="M281" i="13" a="1"/>
  <c r="M281" i="13" s="1"/>
  <c r="M279" i="13" a="1"/>
  <c r="M279" i="13" s="1"/>
  <c r="M277" i="13" a="1"/>
  <c r="M277" i="13" s="1"/>
  <c r="M275" i="13" a="1"/>
  <c r="M275" i="13" s="1"/>
  <c r="M273" i="13" a="1"/>
  <c r="M273" i="13" s="1"/>
  <c r="M269" i="13" a="1"/>
  <c r="M269" i="13" s="1"/>
  <c r="M267" i="13" a="1"/>
  <c r="M267" i="13" s="1"/>
  <c r="M264" i="13" a="1"/>
  <c r="M264" i="13" s="1"/>
  <c r="M260" i="13" a="1"/>
  <c r="M260" i="13" s="1"/>
  <c r="C50" i="15" a="1"/>
  <c r="C50" i="15" s="1"/>
  <c r="M246" i="13" a="1"/>
  <c r="M246" i="13" s="1"/>
  <c r="M244" i="13" a="1"/>
  <c r="M244" i="13" s="1"/>
  <c r="M242" i="13" a="1"/>
  <c r="M242" i="13" s="1"/>
  <c r="M240" i="13" a="1"/>
  <c r="M240" i="13" s="1"/>
  <c r="M293" i="13" a="1"/>
  <c r="M293" i="13" s="1"/>
  <c r="M270" i="13" a="1"/>
  <c r="M270" i="13" s="1"/>
  <c r="C36" i="15" a="1"/>
  <c r="C36" i="15" s="1"/>
  <c r="M261" i="13" a="1"/>
  <c r="M261" i="13" s="1"/>
  <c r="M255" i="13" a="1"/>
  <c r="M255" i="13" s="1"/>
  <c r="M250" i="13" a="1"/>
  <c r="M250" i="13" s="1"/>
  <c r="M40" i="13" a="1"/>
  <c r="M40" i="13" s="1"/>
  <c r="M44" i="13" a="1"/>
  <c r="M44" i="13" s="1"/>
  <c r="M84" i="13" a="1"/>
  <c r="M84" i="13" s="1"/>
  <c r="M94" i="13" a="1"/>
  <c r="M94" i="13" s="1"/>
  <c r="M98" i="13" a="1"/>
  <c r="M98" i="13" s="1"/>
  <c r="M111" i="13" a="1"/>
  <c r="M111" i="13" s="1"/>
  <c r="M113" i="13" a="1"/>
  <c r="M113" i="13" s="1"/>
  <c r="M115" i="13" a="1"/>
  <c r="M115" i="13" s="1"/>
  <c r="M124" i="13" a="1"/>
  <c r="M124" i="13" s="1"/>
  <c r="M126" i="13" a="1"/>
  <c r="M126" i="13" s="1"/>
  <c r="M128" i="13" a="1"/>
  <c r="M128" i="13" s="1"/>
  <c r="M130" i="13" a="1"/>
  <c r="M130" i="13" s="1"/>
  <c r="M132" i="13" a="1"/>
  <c r="M132" i="13" s="1"/>
  <c r="M134" i="13" a="1"/>
  <c r="M134" i="13" s="1"/>
  <c r="M137" i="13" a="1"/>
  <c r="M137" i="13" s="1"/>
  <c r="C45" i="15" s="1" a="1"/>
  <c r="C45" i="15" s="1"/>
  <c r="M139" i="13" a="1"/>
  <c r="M139" i="13" s="1"/>
  <c r="M149" i="13" a="1"/>
  <c r="M149" i="13" s="1"/>
  <c r="C37" i="15" s="1" a="1"/>
  <c r="M153" i="13" a="1"/>
  <c r="M153" i="13" s="1"/>
  <c r="M161" i="13" a="1"/>
  <c r="M161" i="13" s="1"/>
  <c r="M165" i="13" a="1"/>
  <c r="M165" i="13" s="1"/>
  <c r="M173" i="13" a="1"/>
  <c r="M173" i="13" s="1"/>
  <c r="M181" i="13" a="1"/>
  <c r="M181" i="13" s="1"/>
  <c r="M183" i="13" a="1"/>
  <c r="M183" i="13" s="1"/>
  <c r="M185" i="13" a="1"/>
  <c r="M185" i="13" s="1"/>
  <c r="M188" i="13" a="1"/>
  <c r="M188" i="13" s="1"/>
  <c r="M192" i="13" a="1"/>
  <c r="M192" i="13" s="1"/>
  <c r="M235" i="13" a="1"/>
  <c r="M235" i="13" s="1"/>
  <c r="M241" i="13" a="1"/>
  <c r="M241" i="13" s="1"/>
  <c r="M245" i="13" a="1"/>
  <c r="M245" i="13" s="1"/>
  <c r="M248" i="13" a="1"/>
  <c r="M248" i="13" s="1"/>
  <c r="M252" i="13" a="1"/>
  <c r="M252" i="13" s="1"/>
  <c r="M256" i="13" a="1"/>
  <c r="M256" i="13" s="1"/>
  <c r="M259" i="13" a="1"/>
  <c r="M259" i="13" s="1"/>
  <c r="M263" i="13" a="1"/>
  <c r="M263" i="13" s="1"/>
  <c r="M268" i="13" a="1"/>
  <c r="M268" i="13" s="1"/>
  <c r="C46" i="15" s="1" a="1"/>
  <c r="C46" i="15" s="1"/>
  <c r="M276" i="13" a="1"/>
  <c r="M276" i="13" s="1"/>
  <c r="M280" i="13" a="1"/>
  <c r="M280" i="13" s="1"/>
  <c r="M43" i="13" a="1"/>
  <c r="M43" i="13" s="1"/>
  <c r="M52" i="13" a="1"/>
  <c r="M52" i="13" s="1"/>
  <c r="M54" i="13" a="1"/>
  <c r="M54" i="13" s="1"/>
  <c r="M56" i="13" a="1"/>
  <c r="M56" i="13" s="1"/>
  <c r="M58" i="13" a="1"/>
  <c r="M58" i="13" s="1"/>
  <c r="M64" i="13" a="1"/>
  <c r="M64" i="13" s="1"/>
  <c r="M66" i="13" a="1"/>
  <c r="M66" i="13" s="1"/>
  <c r="M68" i="13" a="1"/>
  <c r="M68" i="13" s="1"/>
  <c r="M70" i="13" a="1"/>
  <c r="M70" i="13" s="1"/>
  <c r="M87" i="13" a="1"/>
  <c r="M87" i="13" s="1"/>
  <c r="M89" i="13" a="1"/>
  <c r="M89" i="13" s="1"/>
  <c r="M91" i="13" a="1"/>
  <c r="M91" i="13" s="1"/>
  <c r="M93" i="13" a="1"/>
  <c r="M93" i="13" s="1"/>
  <c r="M101" i="13" a="1"/>
  <c r="M101" i="13" s="1"/>
  <c r="M103" i="13" a="1"/>
  <c r="M103" i="13" s="1"/>
  <c r="M105" i="13" a="1"/>
  <c r="M105" i="13" s="1"/>
  <c r="M142" i="13" a="1"/>
  <c r="M142" i="13" s="1"/>
  <c r="M144" i="13" a="1"/>
  <c r="M144" i="13" s="1"/>
  <c r="M146" i="13" a="1"/>
  <c r="M146" i="13" s="1"/>
  <c r="M152" i="13" a="1"/>
  <c r="M152" i="13" s="1"/>
  <c r="M156" i="13" a="1"/>
  <c r="M156" i="13" s="1"/>
  <c r="M158" i="13" a="1"/>
  <c r="M158" i="13" s="1"/>
  <c r="M164" i="13" a="1"/>
  <c r="M164" i="13" s="1"/>
  <c r="M168" i="13" a="1"/>
  <c r="M168" i="13" s="1"/>
  <c r="M170" i="13" a="1"/>
  <c r="M170" i="13" s="1"/>
  <c r="M176" i="13" a="1"/>
  <c r="M176" i="13" s="1"/>
  <c r="M178" i="13" a="1"/>
  <c r="M178" i="13" s="1"/>
  <c r="M187" i="13" a="1"/>
  <c r="M187" i="13" s="1"/>
  <c r="M191" i="13" a="1"/>
  <c r="M191" i="13" s="1"/>
  <c r="M194" i="13" a="1"/>
  <c r="M194" i="13" s="1"/>
  <c r="M196" i="13" a="1"/>
  <c r="M196" i="13" s="1"/>
  <c r="M198" i="13" a="1"/>
  <c r="M198" i="13" s="1"/>
  <c r="M200" i="13" a="1"/>
  <c r="M200" i="13" s="1"/>
  <c r="C43" i="15" a="1"/>
  <c r="C43" i="15" s="1"/>
  <c r="M204" i="13" a="1"/>
  <c r="M204" i="13" s="1"/>
  <c r="M206" i="13" a="1"/>
  <c r="M206" i="13" s="1"/>
  <c r="M208" i="13" a="1"/>
  <c r="M208" i="13" s="1"/>
  <c r="M211" i="13" a="1"/>
  <c r="M211" i="13" s="1"/>
  <c r="M215" i="13" a="1"/>
  <c r="M215" i="13" s="1"/>
  <c r="M217" i="13" a="1"/>
  <c r="M217" i="13" s="1"/>
  <c r="M218" i="13" a="1"/>
  <c r="M218" i="13" s="1"/>
  <c r="M219" i="13" a="1"/>
  <c r="M219" i="13" s="1"/>
  <c r="M220" i="13" a="1"/>
  <c r="M220" i="13" s="1"/>
  <c r="M221" i="13" a="1"/>
  <c r="M221" i="13" s="1"/>
  <c r="M222" i="13" a="1"/>
  <c r="M222" i="13" s="1"/>
  <c r="M224" i="13" a="1"/>
  <c r="M224" i="13" s="1"/>
  <c r="M228" i="13" a="1"/>
  <c r="M228" i="13" s="1"/>
  <c r="M229" i="13" a="1"/>
  <c r="M229" i="13" s="1"/>
  <c r="M230" i="13" a="1"/>
  <c r="M230" i="13" s="1"/>
  <c r="M231" i="13" a="1"/>
  <c r="M231" i="13" s="1"/>
  <c r="M232" i="13" a="1"/>
  <c r="M232" i="13" s="1"/>
  <c r="M233" i="13" a="1"/>
  <c r="M233" i="13" s="1"/>
  <c r="M234" i="13" a="1"/>
  <c r="M234" i="13" s="1"/>
  <c r="M237" i="13" a="1"/>
  <c r="M237" i="13" s="1"/>
  <c r="C44" i="15" s="1" a="1"/>
  <c r="C44" i="15" s="1"/>
  <c r="M271" i="13" a="1"/>
  <c r="M271" i="13" s="1"/>
  <c r="C63" i="15" l="1" a="1"/>
  <c r="C63" i="15" s="1"/>
  <c r="C38" i="15" a="1"/>
  <c r="C38" i="15" s="1"/>
  <c r="V100" i="3"/>
  <c r="C39" i="15" a="1"/>
  <c r="C39" i="15" s="1"/>
  <c r="V99" i="3"/>
  <c r="C47" i="15" a="1"/>
  <c r="C47" i="15" s="1"/>
  <c r="C41" i="15" a="1"/>
  <c r="C41" i="15" s="1"/>
  <c r="C37" i="15"/>
  <c r="V51" i="3"/>
  <c r="V44" i="3"/>
  <c r="V86" i="3"/>
  <c r="V68" i="3"/>
  <c r="V75" i="3"/>
  <c r="V34" i="3"/>
  <c r="V39" i="3"/>
  <c r="V65" i="3"/>
  <c r="V69" i="3"/>
  <c r="V76" i="3"/>
  <c r="V35" i="3"/>
  <c r="V40" i="3"/>
  <c r="V45" i="3"/>
  <c r="V50" i="3"/>
  <c r="V54" i="3"/>
  <c r="V55" i="3"/>
  <c r="V67" i="3"/>
  <c r="V38" i="3"/>
  <c r="V48" i="3"/>
  <c r="V52" i="3"/>
  <c r="V53" i="3"/>
  <c r="V66" i="3"/>
  <c r="V70" i="3"/>
  <c r="V37" i="3"/>
  <c r="V42" i="3"/>
  <c r="V47" i="3"/>
  <c r="V71" i="3"/>
  <c r="V43" i="3"/>
  <c r="V56" i="3"/>
  <c r="V49" i="3"/>
  <c r="V46" i="3"/>
  <c r="V72" i="3"/>
  <c r="V41" i="3"/>
  <c r="V87" i="3"/>
  <c r="V82" i="3"/>
  <c r="V81" i="3"/>
  <c r="V89" i="3"/>
  <c r="V36" i="3"/>
  <c r="V73" i="3"/>
  <c r="V74" i="3"/>
  <c r="V78" i="3"/>
  <c r="V83" i="3"/>
  <c r="V58" i="3"/>
  <c r="V63" i="3"/>
  <c r="V96" i="3"/>
  <c r="V85" i="3"/>
  <c r="V90" i="3"/>
  <c r="V97" i="3"/>
  <c r="V98" i="3"/>
  <c r="V93" i="3"/>
  <c r="V94" i="3"/>
  <c r="V95" i="3"/>
  <c r="V84" i="3"/>
  <c r="V88" i="3"/>
  <c r="V92" i="3"/>
  <c r="V80" i="3"/>
  <c r="V91" i="3"/>
  <c r="V79" i="3"/>
  <c r="V77" i="3"/>
  <c r="V64" i="3"/>
  <c r="V62" i="3"/>
  <c r="V59" i="3"/>
  <c r="V60" i="3"/>
  <c r="V57" i="3"/>
  <c r="V61" i="3"/>
  <c r="V33" i="3"/>
  <c r="E12" i="15"/>
  <c r="E16" i="15" s="1"/>
  <c r="V8" i="3"/>
  <c r="V12" i="3"/>
  <c r="V16" i="3"/>
  <c r="V20" i="3"/>
  <c r="V24" i="3"/>
  <c r="V28" i="3"/>
  <c r="V32" i="3"/>
  <c r="V15" i="3"/>
  <c r="V9" i="3"/>
  <c r="V13" i="3"/>
  <c r="V17" i="3"/>
  <c r="V21" i="3"/>
  <c r="V25" i="3"/>
  <c r="V29" i="3"/>
  <c r="V10" i="3"/>
  <c r="V14" i="3"/>
  <c r="V18" i="3"/>
  <c r="V22" i="3"/>
  <c r="V26" i="3"/>
  <c r="V30" i="3"/>
  <c r="V11" i="3"/>
  <c r="V19" i="3"/>
  <c r="V23" i="3"/>
  <c r="V27" i="3"/>
  <c r="V31" i="3"/>
  <c r="V7" i="3"/>
  <c r="J59" i="15" l="1"/>
  <c r="E58" i="15"/>
  <c r="G58" i="15" s="1"/>
  <c r="E18" i="15"/>
  <c r="E28" i="15" s="1"/>
  <c r="E20" i="15"/>
  <c r="X5"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<sst xmlns="http://schemas.openxmlformats.org/spreadsheetml/2006/main" count="11552" uniqueCount="1741">
  <si>
    <t>إضافة دفعة</t>
  </si>
  <si>
    <t>الوحدة</t>
  </si>
  <si>
    <t>القيمة</t>
  </si>
  <si>
    <t>الي حساب</t>
  </si>
  <si>
    <t>الشهر</t>
  </si>
  <si>
    <t>#</t>
  </si>
  <si>
    <t>رقم الشقة</t>
  </si>
  <si>
    <t>الهوية-الإقامة</t>
  </si>
  <si>
    <t>اسم المستاجر</t>
  </si>
  <si>
    <t>رقم التواصل</t>
  </si>
  <si>
    <t>تاريخ الميلاد</t>
  </si>
  <si>
    <t>بيانات المستاجر</t>
  </si>
  <si>
    <t>رقم العقد</t>
  </si>
  <si>
    <t>رقم النسخة</t>
  </si>
  <si>
    <t>مبلغ الايجار</t>
  </si>
  <si>
    <t>عدد الدفع</t>
  </si>
  <si>
    <t>قيمة الدفعة</t>
  </si>
  <si>
    <t>تاريخ بداية العقد</t>
  </si>
  <si>
    <t>تاريخ نهاية العقد</t>
  </si>
  <si>
    <t>بيانات العقد</t>
  </si>
  <si>
    <t>بيانات الدفع</t>
  </si>
  <si>
    <t>التامين</t>
  </si>
  <si>
    <t>حساب دفع التامين</t>
  </si>
  <si>
    <t>العمولة</t>
  </si>
  <si>
    <t>المبلغ المدفوع</t>
  </si>
  <si>
    <t>المبلغ المتبقي من العقد</t>
  </si>
  <si>
    <t>المبلغ المستحق</t>
  </si>
  <si>
    <t>المبني</t>
  </si>
  <si>
    <t>F1</t>
  </si>
  <si>
    <t>F2</t>
  </si>
  <si>
    <t>F3</t>
  </si>
  <si>
    <t>F4</t>
  </si>
  <si>
    <t>F5</t>
  </si>
  <si>
    <t>F6</t>
  </si>
  <si>
    <t>F7</t>
  </si>
  <si>
    <t>F8</t>
  </si>
  <si>
    <t>F9</t>
  </si>
  <si>
    <t>S1</t>
  </si>
  <si>
    <t>S2</t>
  </si>
  <si>
    <t>S3</t>
  </si>
  <si>
    <t>S4</t>
  </si>
  <si>
    <t>منصة ايجار</t>
  </si>
  <si>
    <t>المبلغ</t>
  </si>
  <si>
    <t>حساب الدفع</t>
  </si>
  <si>
    <t>الرصيد المستحق</t>
  </si>
  <si>
    <t>المبلغ المتبقي في العقد</t>
  </si>
  <si>
    <t>المبلغ المتبقي بعد إضافة هذه الدفعة</t>
  </si>
  <si>
    <t>الاسم</t>
  </si>
  <si>
    <t>بنك الانماء</t>
  </si>
  <si>
    <t>بنك الراجحي</t>
  </si>
  <si>
    <t>التاريخ</t>
  </si>
  <si>
    <t>البيان</t>
  </si>
  <si>
    <t>المبلغ بدون ضريبة</t>
  </si>
  <si>
    <t>الضريبة</t>
  </si>
  <si>
    <t>شامل الضريبة</t>
  </si>
  <si>
    <t>الصنف</t>
  </si>
  <si>
    <t>تاريخ المصروف</t>
  </si>
  <si>
    <t>شهر</t>
  </si>
  <si>
    <t>ملاحظات</t>
  </si>
  <si>
    <t>المسدد</t>
  </si>
  <si>
    <t>المتبقي</t>
  </si>
  <si>
    <t>ناجز</t>
  </si>
  <si>
    <t>وصل</t>
  </si>
  <si>
    <t>متبقي</t>
  </si>
  <si>
    <t>مرفوع</t>
  </si>
  <si>
    <t>A1</t>
  </si>
  <si>
    <t>A2</t>
  </si>
  <si>
    <t>المدفوع</t>
  </si>
  <si>
    <t>تاريخ الدفعة</t>
  </si>
  <si>
    <t>مبلغ الدفعة</t>
  </si>
  <si>
    <t>تاريخ الدفع</t>
  </si>
  <si>
    <t>الرصيد</t>
  </si>
  <si>
    <t>شهر الدفعة</t>
  </si>
  <si>
    <t>شهر التقرير</t>
  </si>
  <si>
    <t>مايو 25</t>
  </si>
  <si>
    <t>نطاق البحث</t>
  </si>
  <si>
    <t>الدفع</t>
  </si>
  <si>
    <t>المستحق اجملا</t>
  </si>
  <si>
    <t>المتبقي اجمالا</t>
  </si>
  <si>
    <t>نسبة الاستحقاق في العقد</t>
  </si>
  <si>
    <t>نسبة التاخر في الدفع</t>
  </si>
  <si>
    <t>سلام منيب ملاعب</t>
  </si>
  <si>
    <t>دراسة</t>
  </si>
  <si>
    <t>مساحة العرض</t>
  </si>
  <si>
    <t>السعر</t>
  </si>
  <si>
    <t>المخطط</t>
  </si>
  <si>
    <t>القطعة</t>
  </si>
  <si>
    <t>العرض</t>
  </si>
  <si>
    <t>الحي</t>
  </si>
  <si>
    <t>134/م/ق</t>
  </si>
  <si>
    <t>العمار بالقصيم</t>
  </si>
  <si>
    <t>بدون</t>
  </si>
  <si>
    <t>1874/ق</t>
  </si>
  <si>
    <t>119/3</t>
  </si>
  <si>
    <t>191054/7101/00710</t>
  </si>
  <si>
    <t>119/2</t>
  </si>
  <si>
    <t>119/1</t>
  </si>
  <si>
    <t>369 مركز مغيب</t>
  </si>
  <si>
    <t>خف بمحافظة الدوادمي</t>
  </si>
  <si>
    <t>379 المحمدية</t>
  </si>
  <si>
    <t>256/254</t>
  </si>
  <si>
    <t>1402/2/9/1</t>
  </si>
  <si>
    <t>الكتيب تيماء</t>
  </si>
  <si>
    <t>125/ق/ت</t>
  </si>
  <si>
    <t>العسافية تيماء</t>
  </si>
  <si>
    <t>مركز ارطاوي الرقاص ساجر</t>
  </si>
  <si>
    <t>432/3</t>
  </si>
  <si>
    <t>ارض سكنية للبيع حي الربيع</t>
  </si>
  <si>
    <t>الربيع</t>
  </si>
  <si>
    <t>1637/ك</t>
  </si>
  <si>
    <t>1355/21/2</t>
  </si>
  <si>
    <t>1716/2</t>
  </si>
  <si>
    <t>581/2</t>
  </si>
  <si>
    <t>1003/2</t>
  </si>
  <si>
    <t>1539/1</t>
  </si>
  <si>
    <t>1174/1</t>
  </si>
  <si>
    <t>عمارة للايجار حي المرقب</t>
  </si>
  <si>
    <t>المرقب</t>
  </si>
  <si>
    <t>ثليم</t>
  </si>
  <si>
    <t>ارض الخرج زراعية 1</t>
  </si>
  <si>
    <t>ارض سكنية للبيع حي ضاحية نمار 1</t>
  </si>
  <si>
    <t>ضاحية نمار</t>
  </si>
  <si>
    <t>1648/3</t>
  </si>
  <si>
    <t>8877/2</t>
  </si>
  <si>
    <t>11186/1</t>
  </si>
  <si>
    <t>8178/1</t>
  </si>
  <si>
    <t>ارض تجارية للبيع حي النرجس</t>
  </si>
  <si>
    <t>النرجس</t>
  </si>
  <si>
    <t>5587/ا</t>
  </si>
  <si>
    <t>بحث عام</t>
  </si>
  <si>
    <t>ابوبكر إسماعيل محمد عثمان</t>
  </si>
  <si>
    <t>تحملتها الحاضنة</t>
  </si>
  <si>
    <t>المتبقي في العقد</t>
  </si>
  <si>
    <t>رسائل</t>
  </si>
  <si>
    <t>الغرض</t>
  </si>
  <si>
    <t>دفع الايجار</t>
  </si>
  <si>
    <t>مكيف</t>
  </si>
  <si>
    <t>رسوم عقد ايجار</t>
  </si>
  <si>
    <t>راتب العامل</t>
  </si>
  <si>
    <t>صيانة</t>
  </si>
  <si>
    <t>كهرباء</t>
  </si>
  <si>
    <t>نظافة</t>
  </si>
  <si>
    <t>مياه</t>
  </si>
  <si>
    <t>ابريل 25</t>
  </si>
  <si>
    <t>مدفوعة</t>
  </si>
  <si>
    <t>يونيو 25</t>
  </si>
  <si>
    <t>يوليو 25</t>
  </si>
  <si>
    <t>أغسطس 25</t>
  </si>
  <si>
    <t>لوحات</t>
  </si>
  <si>
    <t>مشتريات</t>
  </si>
  <si>
    <t>تجهيز وحدات</t>
  </si>
  <si>
    <t>مارس 25</t>
  </si>
  <si>
    <t>انترنت</t>
  </si>
  <si>
    <t>بيان</t>
  </si>
  <si>
    <t>تحويل للملاك</t>
  </si>
  <si>
    <t>تحويل الملاك</t>
  </si>
  <si>
    <t>الصافي</t>
  </si>
  <si>
    <t>Total Monthly Income</t>
  </si>
  <si>
    <t>Gross Income</t>
  </si>
  <si>
    <t>تكلفة الكهرباء علي الحاضنة بنسبة 20٪</t>
  </si>
  <si>
    <t>مصروفات يتحملها المالك بنسبة 100٪</t>
  </si>
  <si>
    <t>الصافي للمالك</t>
  </si>
  <si>
    <t>Re Rentor share 20% Electricity</t>
  </si>
  <si>
    <t>Payment for the Owner share</t>
  </si>
  <si>
    <t>من منصة ايجار الي البنك</t>
  </si>
  <si>
    <t>سبتمبر 25</t>
  </si>
  <si>
    <t>الكهرباء طويق 102</t>
  </si>
  <si>
    <t>الإجمالي</t>
  </si>
  <si>
    <t>م</t>
  </si>
  <si>
    <t>رقم الوحدة</t>
  </si>
  <si>
    <t>يناير 25</t>
  </si>
  <si>
    <t>الانماء</t>
  </si>
  <si>
    <t>المصروفات</t>
  </si>
  <si>
    <t>3020/د</t>
  </si>
  <si>
    <t>ارض سكنية للبيع نمار 3020/د</t>
  </si>
  <si>
    <t>1791/2</t>
  </si>
  <si>
    <t>1797/1</t>
  </si>
  <si>
    <t>1031/2</t>
  </si>
  <si>
    <t>رقم الترخيص</t>
  </si>
  <si>
    <t>رقم العرض</t>
  </si>
  <si>
    <t>عدد الوحدات</t>
  </si>
  <si>
    <t>لا</t>
  </si>
  <si>
    <t>خالد بن محمد بن عبدالرحمن الشعيبي</t>
  </si>
  <si>
    <t>ارض حرض</t>
  </si>
  <si>
    <t>عبدالله راشد بن عبدالله العبودي</t>
  </si>
  <si>
    <t>شقة طويق ايجار</t>
  </si>
  <si>
    <t>عبدالعزيز محمد عبدالله بن سعيد</t>
  </si>
  <si>
    <t>شقة النرجس</t>
  </si>
  <si>
    <t>عبدالرحمن بن عمر بن قاسم باعشن</t>
  </si>
  <si>
    <t>ارض الشنان حائل</t>
  </si>
  <si>
    <t>ابراهيم بن عبدالله بن حسين القحطاني</t>
  </si>
  <si>
    <t>ارض حريملاء</t>
  </si>
  <si>
    <t>فيلا النرجس</t>
  </si>
  <si>
    <t>نايف عبداللطيف بن عبدالمحسن البهلال</t>
  </si>
  <si>
    <t>ارض العمارية</t>
  </si>
  <si>
    <t>فهد مريبد عائض الحربي</t>
  </si>
  <si>
    <t>محمد احمد عبدالعزيز المسعود</t>
  </si>
  <si>
    <t>نعم</t>
  </si>
  <si>
    <t>فهد بن عبيد بن محماس الحافي</t>
  </si>
  <si>
    <t>عمارة طويق</t>
  </si>
  <si>
    <t>شقق عمارة ثليم</t>
  </si>
  <si>
    <t>شقة</t>
  </si>
  <si>
    <t>غرفة وصالة</t>
  </si>
  <si>
    <t>غرفتين وصالة</t>
  </si>
  <si>
    <t>شركة حاضنة المساكن العقارية</t>
  </si>
  <si>
    <t>للتواصل</t>
  </si>
  <si>
    <t>0505222269</t>
  </si>
  <si>
    <t>https://offers.h-almsakn.com/projects/300973</t>
  </si>
  <si>
    <t>https://wa.link/cvmiv6</t>
  </si>
  <si>
    <t>م
No.</t>
  </si>
  <si>
    <t>الموقع
Location</t>
  </si>
  <si>
    <t>عدد الغرف
Number of Rooms</t>
  </si>
  <si>
    <t xml:space="preserve">مؤثثة / غير مؤثثة
Furnished / Unfurnished
</t>
  </si>
  <si>
    <t>الصور والفيديو
Photos &amp; Video</t>
  </si>
  <si>
    <t>الحي
District</t>
  </si>
  <si>
    <t>شهري
Monthly</t>
  </si>
  <si>
    <t xml:space="preserve">للطلب اضغط
Click to Request </t>
  </si>
  <si>
    <t>الاتاحة
Availability</t>
  </si>
  <si>
    <t>غرفة وصالة
BR + Living Room</t>
  </si>
  <si>
    <t>مؤثثة
Furnished</t>
  </si>
  <si>
    <t>طويق
Tuwaiq</t>
  </si>
  <si>
    <t>غرفتين وصالة
2BR + Living Room</t>
  </si>
  <si>
    <t>غير مؤثثة
Unfurnished</t>
  </si>
  <si>
    <t>مجلس + 2 صالة +7 غرفة
Majlis + 2 Living Rooms + 7 Rooms</t>
  </si>
  <si>
    <t xml:space="preserve"> </t>
  </si>
  <si>
    <t>غرفة
1BR</t>
  </si>
  <si>
    <t xml:space="preserve"> للبيع - For Sale</t>
  </si>
  <si>
    <t>نوع العقار
Property Type</t>
  </si>
  <si>
    <t>السعر
Price</t>
  </si>
  <si>
    <t>المساحة
Area</t>
  </si>
  <si>
    <t>رقم العرض
Listing Number</t>
  </si>
  <si>
    <t>المدينة
City</t>
  </si>
  <si>
    <t>دورات المياه
Bathrooms</t>
  </si>
  <si>
    <t>المجلس
Guest Rooms</t>
  </si>
  <si>
    <t>غرفة الخادمة
Maid Room</t>
  </si>
  <si>
    <t>غرفة السائق
Driver Room</t>
  </si>
  <si>
    <t>شرفة
Balcony</t>
  </si>
  <si>
    <t>المطبخ
Kitchen</t>
  </si>
  <si>
    <t>الدور
Floor</t>
  </si>
  <si>
    <t>عدد الطوابق
Number of Floors</t>
  </si>
  <si>
    <t>جراج
Garage</t>
  </si>
  <si>
    <t>موقف
Parking</t>
  </si>
  <si>
    <t>الحديقة
Garden</t>
  </si>
  <si>
    <t>مسبح
Swimming Pool</t>
  </si>
  <si>
    <t>سنة البناء/ العمر
Year Built / Property Age</t>
  </si>
  <si>
    <t>تفاصيل إضافية
Additional Description</t>
  </si>
  <si>
    <t>نوع العقار</t>
  </si>
  <si>
    <t>المدينة</t>
  </si>
  <si>
    <t>عمر العقار</t>
  </si>
  <si>
    <t>اكبر من 25 سنة
More than 25 years old</t>
  </si>
  <si>
    <t>جديد
New</t>
  </si>
  <si>
    <t>الموسي
Al-Mousa</t>
  </si>
  <si>
    <t>العوالي
Al-Awali</t>
  </si>
  <si>
    <t>الرياض
Riyadh</t>
  </si>
  <si>
    <t>تاون هاوس
Townhouse</t>
  </si>
  <si>
    <t>فيلا
Villa</t>
  </si>
  <si>
    <t>الأرضي
Ground Floor</t>
  </si>
  <si>
    <t>مكيفات
Air Conditioning</t>
  </si>
  <si>
    <t>الصالات
Living Rooms</t>
  </si>
  <si>
    <t>أكتوبر 25</t>
  </si>
  <si>
    <t>سعي</t>
  </si>
  <si>
    <t>فبراير 25</t>
  </si>
  <si>
    <t>ديسمبر 25</t>
  </si>
  <si>
    <t>نوفمبر 25</t>
  </si>
  <si>
    <t>رقم الدفعة</t>
  </si>
  <si>
    <t>خصم</t>
  </si>
  <si>
    <t>ديسمبر 24</t>
  </si>
  <si>
    <t>مشرف</t>
  </si>
  <si>
    <t>عبدالله الحارثي</t>
  </si>
  <si>
    <t>الوحدات</t>
  </si>
  <si>
    <t>يناير 26</t>
  </si>
  <si>
    <t>فبراير 26</t>
  </si>
  <si>
    <t>مارس 26</t>
  </si>
  <si>
    <t>ابريل 26</t>
  </si>
  <si>
    <t>مايو 26</t>
  </si>
  <si>
    <t>يونيو 26</t>
  </si>
  <si>
    <t>يوليو 26</t>
  </si>
  <si>
    <t>أغسطس 26</t>
  </si>
  <si>
    <t>النطاق</t>
  </si>
  <si>
    <t>الكل</t>
  </si>
  <si>
    <t>مستحقة</t>
  </si>
  <si>
    <t>متاخرة</t>
  </si>
  <si>
    <t>المؤجر</t>
  </si>
  <si>
    <t>طويق</t>
  </si>
  <si>
    <t>الخرج</t>
  </si>
  <si>
    <t>العالية</t>
  </si>
  <si>
    <t>https://offers.h-almsakn.com/properties/27156</t>
  </si>
  <si>
    <t>https://offers.h-almsakn.com/properties/27131</t>
  </si>
  <si>
    <t>https://offers.h-almsakn.com/properties/27232</t>
  </si>
  <si>
    <t>https://offers.h-almsakn.com/properties/27236</t>
  </si>
  <si>
    <t>https://offers.h-almsakn.com/properties/27235</t>
  </si>
  <si>
    <t>الصفا</t>
  </si>
  <si>
    <t>شهاب</t>
  </si>
  <si>
    <t>الريان</t>
  </si>
  <si>
    <t>ظهرة لبن</t>
  </si>
  <si>
    <t>عبدالله راشد</t>
  </si>
  <si>
    <t>ارقام العروض</t>
  </si>
  <si>
    <t>عدد الغرف</t>
  </si>
  <si>
    <t>مجلس - صالة - مطبخ - 3 غرف نوم - 3 دورات مياه
Majlis - Living Room - Kitchen - 3 Bedrooms - 3 Bathrooms</t>
  </si>
  <si>
    <t>اليرموك
Al Yarmouk</t>
  </si>
  <si>
    <t>الإيجارات</t>
  </si>
  <si>
    <t>الباقي</t>
  </si>
  <si>
    <t>النسبة</t>
  </si>
  <si>
    <t>الرسائل</t>
  </si>
  <si>
    <t>رقم الصك</t>
  </si>
  <si>
    <t>ارض سكنية للبيع حي الهدي الخرج</t>
  </si>
  <si>
    <t>1031/1</t>
  </si>
  <si>
    <t>285/ا</t>
  </si>
  <si>
    <t>1031/3</t>
  </si>
  <si>
    <t>96/2</t>
  </si>
  <si>
    <t>ارض سكنية للبيع حي الخليج</t>
  </si>
  <si>
    <t>الخليج</t>
  </si>
  <si>
    <t>535/1</t>
  </si>
  <si>
    <t>165/2</t>
  </si>
  <si>
    <t>النوع</t>
  </si>
  <si>
    <t>دخل حساب المالك</t>
  </si>
  <si>
    <t>المؤجرة</t>
  </si>
  <si>
    <t>الشاغرة</t>
  </si>
  <si>
    <t>فيلا للبيع ظهرة لبن</t>
  </si>
  <si>
    <t xml:space="preserve">صفقة </t>
  </si>
  <si>
    <t>2351/1</t>
  </si>
  <si>
    <t>11281/2</t>
  </si>
  <si>
    <t>6415/1</t>
  </si>
  <si>
    <t>10044/2</t>
  </si>
  <si>
    <t>2351/5</t>
  </si>
  <si>
    <t>4750/2</t>
  </si>
  <si>
    <t>2351/2</t>
  </si>
  <si>
    <t>عرض</t>
  </si>
  <si>
    <t>سبتمبر 26</t>
  </si>
  <si>
    <t xml:space="preserve">الغاء العقد </t>
  </si>
  <si>
    <t>فيلا للبيع ظهرة لبن جديدة</t>
  </si>
  <si>
    <t>أكتوبر 26</t>
  </si>
  <si>
    <t>نوفمبر 26</t>
  </si>
  <si>
    <t>ديسمبر 26</t>
  </si>
  <si>
    <t>فبراير 27</t>
  </si>
  <si>
    <t>مارس 27</t>
  </si>
  <si>
    <t>ابريل 27</t>
  </si>
  <si>
    <t>مايو 27</t>
  </si>
  <si>
    <t>يونيو 27</t>
  </si>
  <si>
    <t>يوليو 27</t>
  </si>
  <si>
    <t>أغسطس 27</t>
  </si>
  <si>
    <t>سبتمبر 27</t>
  </si>
  <si>
    <t>أكتوبر 27</t>
  </si>
  <si>
    <t>نوفمبر 27</t>
  </si>
  <si>
    <t>ديسمبر 27</t>
  </si>
  <si>
    <t>فبراير 28</t>
  </si>
  <si>
    <t>مارس 28</t>
  </si>
  <si>
    <t>ابريل 28</t>
  </si>
  <si>
    <t>مايو 28</t>
  </si>
  <si>
    <t>يونيو 28</t>
  </si>
  <si>
    <t>يوليو 28</t>
  </si>
  <si>
    <t>أغسطس 28</t>
  </si>
  <si>
    <t>سبتمبر 28</t>
  </si>
  <si>
    <t>أكتوبر 28</t>
  </si>
  <si>
    <t>نوفمبر 28</t>
  </si>
  <si>
    <t>ديسمبر 28</t>
  </si>
  <si>
    <t>فبراير 29</t>
  </si>
  <si>
    <t>مارس 29</t>
  </si>
  <si>
    <t>ابريل 29</t>
  </si>
  <si>
    <t>مايو 29</t>
  </si>
  <si>
    <t>يونيو 29</t>
  </si>
  <si>
    <t>يوليو 29</t>
  </si>
  <si>
    <t>أغسطس 29</t>
  </si>
  <si>
    <t>سبتمبر 29</t>
  </si>
  <si>
    <t>أكتوبر 29</t>
  </si>
  <si>
    <t>نوفمبر 29</t>
  </si>
  <si>
    <t>ديسمبر 29</t>
  </si>
  <si>
    <t>فبراير 30</t>
  </si>
  <si>
    <t>مارس 30</t>
  </si>
  <si>
    <t>ابريل 30</t>
  </si>
  <si>
    <t>مايو 30</t>
  </si>
  <si>
    <t>يونيو 30</t>
  </si>
  <si>
    <t>يوليو 30</t>
  </si>
  <si>
    <t>أغسطس 30</t>
  </si>
  <si>
    <t>سبتمبر 30</t>
  </si>
  <si>
    <t>أكتوبر 30</t>
  </si>
  <si>
    <t>نوفمبر 30</t>
  </si>
  <si>
    <t>ديسمبر 30</t>
  </si>
  <si>
    <t>دور للبيع حي طويق</t>
  </si>
  <si>
    <t>3145/4148/3149</t>
  </si>
  <si>
    <t>شقة للايجار حي طويق</t>
  </si>
  <si>
    <t>2+مجلس</t>
  </si>
  <si>
    <t>فيلا للبيع حي الاندلس</t>
  </si>
  <si>
    <t>الاندلس</t>
  </si>
  <si>
    <t>صفقة</t>
  </si>
  <si>
    <t>46/1</t>
  </si>
  <si>
    <t>457/1</t>
  </si>
  <si>
    <t>ارض للبيع حي الصفا</t>
  </si>
  <si>
    <t>25/1</t>
  </si>
  <si>
    <t>27/1</t>
  </si>
  <si>
    <t>25/2</t>
  </si>
  <si>
    <t>3201/1</t>
  </si>
  <si>
    <t>1811/2</t>
  </si>
  <si>
    <t>3203/1</t>
  </si>
  <si>
    <t>Row Labels</t>
  </si>
  <si>
    <t>Grand Total</t>
  </si>
  <si>
    <t>باقي</t>
  </si>
  <si>
    <t>تاريخ بداية الترخيص</t>
  </si>
  <si>
    <t>تاريخ النهاية</t>
  </si>
  <si>
    <t>هوية المالك</t>
  </si>
  <si>
    <t>اسم المالك</t>
  </si>
  <si>
    <t>رقم الجوال</t>
  </si>
  <si>
    <t>الوكالة</t>
  </si>
  <si>
    <t>رابط اعلان عقار</t>
  </si>
  <si>
    <t>رابط اعلان حراج</t>
  </si>
  <si>
    <t>Available</t>
  </si>
  <si>
    <t xml:space="preserve"> Not Available</t>
  </si>
  <si>
    <t xml:space="preserve"> Coming soon</t>
  </si>
  <si>
    <t>Update Data</t>
  </si>
  <si>
    <t>شقة
Apartment</t>
  </si>
  <si>
    <t>الملك سلمان
King Salman</t>
  </si>
  <si>
    <t>الياسمين
Jasmine</t>
  </si>
  <si>
    <t>الغدير
Al-Ghadeer</t>
  </si>
  <si>
    <t>نوع العرض</t>
  </si>
  <si>
    <t>للبيع
For Sale</t>
  </si>
  <si>
    <t>للايجار
For Rent</t>
  </si>
  <si>
    <t>قبل الضريبة</t>
  </si>
  <si>
    <t>الصدقة</t>
  </si>
  <si>
    <t>عمولة عقد ايجار</t>
  </si>
  <si>
    <t>مركز التكلفة</t>
  </si>
  <si>
    <t>للبيع / للايجار</t>
  </si>
  <si>
    <t>المباني</t>
  </si>
  <si>
    <t>بدون ضريبة</t>
  </si>
  <si>
    <t>شقق للبيع حي البابطين الرمال</t>
  </si>
  <si>
    <t>البابطين</t>
  </si>
  <si>
    <t>شقة للبيع حي المرجان</t>
  </si>
  <si>
    <t>المرجان</t>
  </si>
  <si>
    <t>مجلس - صالة - مطبخ - 2 غرف نوم - 3 دورات مياه
Majlis - Living Room - Kitchen - 2 Bedrooms - 3 Bathrooms</t>
  </si>
  <si>
    <t>مؤثث</t>
  </si>
  <si>
    <t>المساحة</t>
  </si>
  <si>
    <t>الاسم بالعربي</t>
  </si>
  <si>
    <t>الجنسية</t>
  </si>
  <si>
    <t>مرفوعة في ناجز</t>
  </si>
  <si>
    <t>رقم ناجز</t>
  </si>
  <si>
    <t>السعودية</t>
  </si>
  <si>
    <t>license expired</t>
  </si>
  <si>
    <t>عمارة
Building</t>
  </si>
  <si>
    <t>ارض
Land</t>
  </si>
  <si>
    <t>النرجس
Narjis</t>
  </si>
  <si>
    <t>الخرج
Al Kharj</t>
  </si>
  <si>
    <t>ظهرة لبن
Dhahrat Laban</t>
  </si>
  <si>
    <t>لبن
 Laban</t>
  </si>
  <si>
    <t>العالية
Al Alya</t>
  </si>
  <si>
    <t>نمار
Namar District</t>
  </si>
  <si>
    <t>ضاحية نمار
Namar Suburb</t>
  </si>
  <si>
    <t>https://maps.app.goo.gl/VPU7iyEve93yp1qa8?g_st=aw</t>
  </si>
  <si>
    <t>https://drive.google.com/drive/folders/12Q2HuW3uWBva5oMGm6KdRVkRIf2l316h?usp=drive_link</t>
  </si>
  <si>
    <t>https://maps.app.goo.gl/385aFyS1f7Bfgk2U9?g_st=aw</t>
  </si>
  <si>
    <t>https://drive.google.com/drive/folders/1ZKbFkzMOToaB3nbIYp_OwR_6UONhzGvQ?usp=drive_link</t>
  </si>
  <si>
    <t>https://maps.google.com/maps?q=24.169264462,47.348737047</t>
  </si>
  <si>
    <t>https://drive.google.com/drive/folders/14jATiZwmZQrCSMAmA-XDtlJuPNTgzUL4?usp=drive_link</t>
  </si>
  <si>
    <t>https://maps.google.com/maps?q=24.524191695,46.561696187</t>
  </si>
  <si>
    <t>https://drive.google.com/drive/folders/1qVESdoS_e5X0x1oG8xI4aS7KkSodl0ua?usp=drive_link</t>
  </si>
  <si>
    <t>Price</t>
  </si>
  <si>
    <t>https://maps.google.com/maps?q=24.49737479,46.527898652</t>
  </si>
  <si>
    <t>https://drive.google.com/drive/folders/1ifhuCPqwdpC02tjM7i8Tr8HYfHEBYWyw?usp=drive_link</t>
  </si>
  <si>
    <t>الصفا
 Al Safa</t>
  </si>
  <si>
    <t>https://maps.google.com?q=24.6649444,46.7610556&amp;entry=gps&amp;lucs=,94246480,94242523,94224825,94227247,94227248,47071704,47069508,94218641,94228354,94233079,94203019,47084304,94208458,94208447&amp;g_st=com.google.maps.preview.copy</t>
  </si>
  <si>
    <t>مبني
Building</t>
  </si>
  <si>
    <t>الموقع</t>
  </si>
  <si>
    <t>الصور والفديوهات</t>
  </si>
  <si>
    <t>للطلب</t>
  </si>
  <si>
    <t>لإتاحة</t>
  </si>
  <si>
    <t>بحث</t>
  </si>
  <si>
    <t>ارض للبيع</t>
  </si>
  <si>
    <t>التفاصيل غير مكتملة</t>
  </si>
  <si>
    <t>استديو
Studio</t>
  </si>
  <si>
    <t>الوادي
Al Wadi</t>
  </si>
  <si>
    <t>مكة
Makkah</t>
  </si>
  <si>
    <t>البساتين
Al Basateen</t>
  </si>
  <si>
    <t>https://offers.h-almsakn.com/properties/37599</t>
  </si>
  <si>
    <t>ارض زراعية
Agricultural Land</t>
  </si>
  <si>
    <t>المروة
Al Marwah</t>
  </si>
  <si>
    <t>ثليم
Thulaim</t>
  </si>
  <si>
    <t>بنتهاوس
Penthouse</t>
  </si>
  <si>
    <t>ارض للبيع مرات</t>
  </si>
  <si>
    <t>232/ا</t>
  </si>
  <si>
    <t>179/ب</t>
  </si>
  <si>
    <t>354/ا</t>
  </si>
  <si>
    <t>العليا
Olaya</t>
  </si>
  <si>
    <t>دور
Floor</t>
  </si>
  <si>
    <t>الريان
Al Rayyan</t>
  </si>
  <si>
    <t>قرطبة
Qurtuba</t>
  </si>
  <si>
    <t>درايف ثرو
Drive-Through</t>
  </si>
  <si>
    <t>قصر بن عقيل
Qasr Bin Aqil</t>
  </si>
  <si>
    <t>القصيم
Al-Qassim</t>
  </si>
  <si>
    <t>الندي
Al Nad</t>
  </si>
  <si>
    <t>البدائع
Al Bada'i</t>
  </si>
  <si>
    <t>الرس
Ar Ras</t>
  </si>
  <si>
    <t>القرين
Al-Qarin</t>
  </si>
  <si>
    <t>الخير
Al-Khai</t>
  </si>
  <si>
    <t>الملقا
Al-Malqa</t>
  </si>
  <si>
    <t>المشروع</t>
  </si>
  <si>
    <t>النص</t>
  </si>
  <si>
    <t>شقة للبيع حي النرجس 2737 جنوب</t>
  </si>
  <si>
    <t>شقة للبيع حي الخليج</t>
  </si>
  <si>
    <t>الايجار</t>
  </si>
  <si>
    <t>شقة للايجار  حي الملقا</t>
  </si>
  <si>
    <t>الملقا</t>
  </si>
  <si>
    <t>Reserved</t>
  </si>
  <si>
    <t>تجديد العقد</t>
  </si>
  <si>
    <t>سكاكا
Sakaka</t>
  </si>
  <si>
    <t>حائل
Hail</t>
  </si>
  <si>
    <t>ابها
Abha</t>
  </si>
  <si>
    <t>الرس
Ar Rass</t>
  </si>
  <si>
    <t>جانين
Jenin</t>
  </si>
  <si>
    <t>الروضة
Al-Rawdah</t>
  </si>
  <si>
    <t>الشنان
Ash-Shinan</t>
  </si>
  <si>
    <t>دوبح
Dubh</t>
  </si>
  <si>
    <t>الطريفة الغربي
Al-Turaifah Al-Gharbi</t>
  </si>
  <si>
    <t>ساق
Saq</t>
  </si>
  <si>
    <t>العرداء
Al-Arda</t>
  </si>
  <si>
    <t>طريب
Turaib</t>
  </si>
  <si>
    <t>الذيبية
Al-Dhibiyah</t>
  </si>
  <si>
    <t>الفوارة
Al-Fawarah</t>
  </si>
  <si>
    <t>النبهانية
Al-Nabhaniyah</t>
  </si>
  <si>
    <t>الرمال</t>
  </si>
  <si>
    <t>3/ح1</t>
  </si>
  <si>
    <t>2/ا</t>
  </si>
  <si>
    <t>شقة للبيع مقام 18</t>
  </si>
  <si>
    <t>شقة للبيع مقام 17</t>
  </si>
  <si>
    <t>الجرادية
Al-Jaradiyah</t>
  </si>
  <si>
    <t>المساخحة</t>
  </si>
  <si>
    <t>عبدد الغرف</t>
  </si>
  <si>
    <t xml:space="preserve">الصالات </t>
  </si>
  <si>
    <t>دورات المياه</t>
  </si>
  <si>
    <t>المجالس</t>
  </si>
  <si>
    <t>اقترب</t>
  </si>
  <si>
    <t>متأخر</t>
  </si>
  <si>
    <t>مستحقة اليوم</t>
  </si>
  <si>
    <t>Sum of مبلغ الدفعة</t>
  </si>
  <si>
    <t>فارغ</t>
  </si>
  <si>
    <t>القيروان
Al Qirawan</t>
  </si>
  <si>
    <t>شقة للايجار القيروان</t>
  </si>
  <si>
    <t>القيروان</t>
  </si>
  <si>
    <t>اسم الموظف</t>
  </si>
  <si>
    <t>اجمالي الراتب</t>
  </si>
  <si>
    <t xml:space="preserve">تاريخ التعين </t>
  </si>
  <si>
    <t>تاريخ الميزانية</t>
  </si>
  <si>
    <t>مستحق نهاية الحدمة حتي</t>
  </si>
  <si>
    <t>المدة الكلية</t>
  </si>
  <si>
    <t>الخمس سنوات الاولي</t>
  </si>
  <si>
    <t>بعد الخميس سنوات</t>
  </si>
  <si>
    <t>المكافات</t>
  </si>
  <si>
    <t>رصيد سابق</t>
  </si>
  <si>
    <t>الفرق</t>
  </si>
  <si>
    <t>اداري</t>
  </si>
  <si>
    <t>تشغيلي</t>
  </si>
  <si>
    <t>تاريخ التعين</t>
  </si>
  <si>
    <t>تاريخ الاستقالة</t>
  </si>
  <si>
    <t xml:space="preserve">الخمس سنوات الاولي </t>
  </si>
  <si>
    <t>بعد الخمس سنوات</t>
  </si>
  <si>
    <t>قام بالاستقالة</t>
  </si>
  <si>
    <t>علي قوة العمل حتي تاريخ الميزانية</t>
  </si>
  <si>
    <t>كشف الحساب -021-9-1- تامين مستاجرين</t>
  </si>
  <si>
    <t>حاضنة المساكن العقارية</t>
  </si>
  <si>
    <t>من 01/01/2024 إلى 20/12/2025</t>
  </si>
  <si>
    <t>القيد</t>
  </si>
  <si>
    <t>التفاصيل</t>
  </si>
  <si>
    <t>خرج</t>
  </si>
  <si>
    <t>دخل</t>
  </si>
  <si>
    <t>تحول ايراد</t>
  </si>
  <si>
    <t>تفاصيل الخصم</t>
  </si>
  <si>
    <t>Sum of المتبقي</t>
  </si>
  <si>
    <t>العميل</t>
  </si>
  <si>
    <t>العقار</t>
  </si>
  <si>
    <t>المرحلة</t>
  </si>
  <si>
    <t>الرغبة</t>
  </si>
  <si>
    <t>المنتج العقاري</t>
  </si>
  <si>
    <t>المسؤول</t>
  </si>
  <si>
    <t>تاريخ الإنشاء</t>
  </si>
  <si>
    <t>New - جديد</t>
  </si>
  <si>
    <t>رقم العقار</t>
  </si>
  <si>
    <t>تاريخ الإضافات الأخيرة</t>
  </si>
  <si>
    <t>عد الصفقات</t>
  </si>
  <si>
    <t>Sum of عد الصفقات</t>
  </si>
  <si>
    <t>صفقات العرض</t>
  </si>
  <si>
    <t>صفقات المسؤول</t>
  </si>
  <si>
    <t>صفقات المسؤول المكتملة</t>
  </si>
  <si>
    <t>الصفقات المكتملة</t>
  </si>
  <si>
    <t>عدد الصفقات</t>
  </si>
  <si>
    <t>رقم الجوال2</t>
  </si>
  <si>
    <t>فيلا للبيع ضاحية نمار</t>
  </si>
  <si>
    <t>9527/1</t>
  </si>
  <si>
    <t>4201/2</t>
  </si>
  <si>
    <t>8112/2</t>
  </si>
  <si>
    <t>شقة للايجار حي لبن</t>
  </si>
  <si>
    <t>لبن</t>
  </si>
  <si>
    <t>شقة للايجار حي لبن مؤثثة</t>
  </si>
  <si>
    <t>البنك</t>
  </si>
  <si>
    <t>ارض للبيع حي عكاظ</t>
  </si>
  <si>
    <t>عكاظ</t>
  </si>
  <si>
    <t>سعر المتر</t>
  </si>
  <si>
    <t>سعر العرض</t>
  </si>
  <si>
    <t>NULL</t>
  </si>
  <si>
    <t>عبدالله</t>
  </si>
  <si>
    <t>الرقم</t>
  </si>
  <si>
    <t>العقيق</t>
  </si>
  <si>
    <t>استديو للايجار حي العقيق</t>
  </si>
  <si>
    <t>ارض للبيع العالية</t>
  </si>
  <si>
    <t>124/ا</t>
  </si>
  <si>
    <t>تاريخ التحويل</t>
  </si>
  <si>
    <t xml:space="preserve">  </t>
  </si>
  <si>
    <t>5958/1</t>
  </si>
  <si>
    <t>032/أ/1/1</t>
  </si>
  <si>
    <t>5960/1</t>
  </si>
  <si>
    <t>6475/ج/1</t>
  </si>
  <si>
    <t>الربع</t>
  </si>
  <si>
    <t>جميع الإيرادات</t>
  </si>
  <si>
    <t>لا تشمل ضريبة</t>
  </si>
  <si>
    <t>عليها ضريبة</t>
  </si>
  <si>
    <t>الرمال
Al Ramal</t>
  </si>
  <si>
    <t>فيلا للبيع ظهرة لبن 002</t>
  </si>
  <si>
    <t>6451/1</t>
  </si>
  <si>
    <t>ارض للبيع ظهرة لبن 001</t>
  </si>
  <si>
    <t>ارض للبيع ظهرة لبن 002</t>
  </si>
  <si>
    <t>10248/2</t>
  </si>
  <si>
    <t>2351/4</t>
  </si>
  <si>
    <t>تحمل المالك</t>
  </si>
  <si>
    <t>تحمل الحاضنة</t>
  </si>
  <si>
    <t>شقة للايجار داماك</t>
  </si>
  <si>
    <t>شقة للبيع داماك</t>
  </si>
  <si>
    <t>فيلا للبيع عرقة</t>
  </si>
  <si>
    <t>836/1</t>
  </si>
  <si>
    <t>2216/ا</t>
  </si>
  <si>
    <t>يحي بن سعود بن عبدالله الصقيه</t>
  </si>
  <si>
    <t>موعد انتهاء العقد</t>
  </si>
  <si>
    <t>حذف المسافات</t>
  </si>
  <si>
    <t>النتيجة</t>
  </si>
  <si>
    <t>حذف +966</t>
  </si>
  <si>
    <t>النهائية</t>
  </si>
  <si>
    <t>الملاحظة</t>
  </si>
  <si>
    <t>حالة الرقم</t>
  </si>
  <si>
    <t>إضافة 966</t>
  </si>
  <si>
    <t>نتيجة الإضافة</t>
  </si>
  <si>
    <t>شقة للبيع حي القيروان</t>
  </si>
  <si>
    <t>الغاء التجديد التلقائي</t>
  </si>
  <si>
    <t>يناير 27</t>
  </si>
  <si>
    <t>يناير 28</t>
  </si>
  <si>
    <t>يناير 29</t>
  </si>
  <si>
    <t>يناير 30</t>
  </si>
  <si>
    <t>المهدية 
Mahdia</t>
  </si>
  <si>
    <t>ام الحمام
Om Al-Hamam</t>
  </si>
  <si>
    <t>ديراب
Dirab</t>
  </si>
  <si>
    <t>الصحافة
Al Sahafah</t>
  </si>
  <si>
    <t>غرفة سايق
Driver’s Quarters</t>
  </si>
  <si>
    <t>النخيل
Al Nakheel</t>
  </si>
  <si>
    <t>تسميات الصفوف</t>
  </si>
  <si>
    <t>الإجمالي الكلي</t>
  </si>
  <si>
    <t>تسميات الأعمدة</t>
  </si>
  <si>
    <t>(الكل)</t>
  </si>
  <si>
    <t>(عدة عناصر)</t>
  </si>
  <si>
    <t>تصفية فلتر الوحدات</t>
  </si>
  <si>
    <t>أغسطس 24</t>
  </si>
  <si>
    <t>يوليو 24</t>
  </si>
  <si>
    <t>مايو 24</t>
  </si>
  <si>
    <t>يونيو 24</t>
  </si>
  <si>
    <t>سبتمبر 24</t>
  </si>
  <si>
    <t>أكتوبر 24</t>
  </si>
  <si>
    <t>نوفمبر 24</t>
  </si>
  <si>
    <t>ارض للبيع حي طويق 3020ر تجاري</t>
  </si>
  <si>
    <t>3020ر</t>
  </si>
  <si>
    <t>اخري</t>
  </si>
  <si>
    <t>نوع الوحدة</t>
  </si>
  <si>
    <t>تاريخ بداية العقد
Contract Start Date</t>
  </si>
  <si>
    <t>تاريخ نهاية العقد Contract End Date</t>
  </si>
  <si>
    <t>تاريخ التسليم 
Handover Date</t>
  </si>
  <si>
    <t>نوع الوحدة 
Unit Type</t>
  </si>
  <si>
    <t>المبني 
Building</t>
  </si>
  <si>
    <t>رقم الوحدة 
Unit Number</t>
  </si>
  <si>
    <t xml:space="preserve">رقم الجوال Mobile Number
</t>
  </si>
  <si>
    <t>رقم الهوية/ الإقامة 
ID or Iqama Number</t>
  </si>
  <si>
    <t>اسم المستاجر 
Tenant Name</t>
  </si>
  <si>
    <t>رقم المبني</t>
  </si>
  <si>
    <t>رقم المبني
Building Number</t>
  </si>
  <si>
    <t>التاريخ
Date</t>
  </si>
  <si>
    <t>رقم العقد
Contract Number</t>
  </si>
  <si>
    <t>عدد المجالس</t>
  </si>
  <si>
    <t>عدد الصالات</t>
  </si>
  <si>
    <t>عدد المطابخ</t>
  </si>
  <si>
    <t>عدد دورات المياه</t>
  </si>
  <si>
    <t>ثلاجة</t>
  </si>
  <si>
    <t>غسالة</t>
  </si>
  <si>
    <t>فرن</t>
  </si>
  <si>
    <t>شاشة</t>
  </si>
  <si>
    <t>الة قهوة</t>
  </si>
  <si>
    <t>غلاي</t>
  </si>
  <si>
    <t>مكنسة كهربائية</t>
  </si>
  <si>
    <t>الستاير</t>
  </si>
  <si>
    <t>الزوالي</t>
  </si>
  <si>
    <t>المجلس</t>
  </si>
  <si>
    <t>طربيزة</t>
  </si>
  <si>
    <t>سرير</t>
  </si>
  <si>
    <t>مرتبة</t>
  </si>
  <si>
    <t>دولاب</t>
  </si>
  <si>
    <t>كمدينو</t>
  </si>
  <si>
    <t>تحف</t>
  </si>
  <si>
    <t>كرسي</t>
  </si>
  <si>
    <t>تسريحة</t>
  </si>
  <si>
    <t>كاوية ملابس</t>
  </si>
  <si>
    <t>مفرش السرير</t>
  </si>
  <si>
    <t>سباكة دورة المياه</t>
  </si>
  <si>
    <t>الانوار</t>
  </si>
  <si>
    <t>عدد الغرف    
Number of Rooms</t>
  </si>
  <si>
    <t>المجلس
Living Room</t>
  </si>
  <si>
    <t>الصالة
Majlis</t>
  </si>
  <si>
    <t>المكيفات
Air Conditioners</t>
  </si>
  <si>
    <t>لوحات 
Paintings</t>
  </si>
  <si>
    <t>تحف
Artifacts</t>
  </si>
  <si>
    <t>شاشة
TV</t>
  </si>
  <si>
    <t>سرير
Bed</t>
  </si>
  <si>
    <t>مرتبة
Mattress</t>
  </si>
  <si>
    <t>مفرش سرير
Bed Cover</t>
  </si>
  <si>
    <t>كمدينو
Nightstand</t>
  </si>
  <si>
    <t>دولاب
Closet</t>
  </si>
  <si>
    <t>تسريحة
Dressing Table</t>
  </si>
  <si>
    <t>كرسي
Chair</t>
  </si>
  <si>
    <t>ثلاجة
Refrigerator</t>
  </si>
  <si>
    <t>فرن
Oven</t>
  </si>
  <si>
    <t>الة قهوة
Coffee Machine</t>
  </si>
  <si>
    <t>غلاي مياه
Water Boiler</t>
  </si>
  <si>
    <t>مكنسة كهربائية
Vacuum Cleaner</t>
  </si>
  <si>
    <t>كاوية ملابس
Clothes Iron</t>
  </si>
  <si>
    <t>الستاير
Drapes</t>
  </si>
  <si>
    <t>زولية
Rug</t>
  </si>
  <si>
    <t>مجلس
Majlis</t>
  </si>
  <si>
    <t>طربيزة
Table</t>
  </si>
  <si>
    <t>حالة السباكة
Plumbing condition</t>
  </si>
  <si>
    <t>الكهرباء
Electrical and lighting condition</t>
  </si>
  <si>
    <t>ملاحظات إضافية
Additional notes</t>
  </si>
  <si>
    <t>توقيع المستاجر
Tenant's signature</t>
  </si>
  <si>
    <t>ختم الشركة
Company stamp</t>
  </si>
  <si>
    <t>سبب انهاء العقد
Reason for contract termination</t>
  </si>
  <si>
    <t>نموذج استلام وحدة من مستاجر</t>
  </si>
  <si>
    <t>عرقة
Irqah</t>
  </si>
  <si>
    <t>ريمود</t>
  </si>
  <si>
    <t>ريمود
Remote</t>
  </si>
  <si>
    <t>ميكروويف
Microwave</t>
  </si>
  <si>
    <t>بوتاجاز
Gas stove</t>
  </si>
  <si>
    <t>بوتاجاز</t>
  </si>
  <si>
    <t>ميكرويف</t>
  </si>
  <si>
    <t>القطع Parts</t>
  </si>
  <si>
    <t>التكلفة Cost</t>
  </si>
  <si>
    <t>اخري Others</t>
  </si>
  <si>
    <t>تكلفة السباكة
Plumbing Cost</t>
  </si>
  <si>
    <t>تكلفة الكهرباء
Electrical Cost</t>
  </si>
  <si>
    <t>تكلفة النظافة
Cleaning Cost</t>
  </si>
  <si>
    <t>تكاليف أخرى
Other Costs</t>
  </si>
  <si>
    <t>الإجمالي
Total</t>
  </si>
  <si>
    <t>القطع</t>
  </si>
  <si>
    <t>شطاف
Bidet spray</t>
  </si>
  <si>
    <t>مع الضريبة</t>
  </si>
  <si>
    <t>104 مع الضريبة</t>
  </si>
  <si>
    <t>101 مع الضريبة</t>
  </si>
  <si>
    <t>102 مع الضريبة</t>
  </si>
  <si>
    <t>103 مع الضريبة</t>
  </si>
  <si>
    <t>101</t>
  </si>
  <si>
    <t>102</t>
  </si>
  <si>
    <t>103</t>
  </si>
  <si>
    <t>104</t>
  </si>
  <si>
    <t>شغل اليد
Maintenance Works</t>
  </si>
  <si>
    <t>11</t>
  </si>
  <si>
    <t>مع الضريبة 11</t>
  </si>
  <si>
    <t>12</t>
  </si>
  <si>
    <t>12 مع الضريبة</t>
  </si>
  <si>
    <t>كنب
Sofa Set</t>
  </si>
  <si>
    <t>200 ريال
صيانة مطبخ
Kitchen maintenance</t>
  </si>
  <si>
    <t>30 ريال
نجار
Carpenter</t>
  </si>
  <si>
    <t>زولية</t>
  </si>
  <si>
    <t>شقة للايجار حي ظهرة لبن</t>
  </si>
  <si>
    <t>المبلغ2</t>
  </si>
  <si>
    <t>تاريخ الايراد</t>
  </si>
  <si>
    <t>ارض مدينة حقل تبوك</t>
  </si>
  <si>
    <t>البلدة القديمة</t>
  </si>
  <si>
    <t>البلد</t>
  </si>
  <si>
    <t>الظهره</t>
  </si>
  <si>
    <t>غرب الظهره</t>
  </si>
  <si>
    <t>مجموع من الإجمالي</t>
  </si>
  <si>
    <t>الحساب</t>
  </si>
  <si>
    <t>تم الخصم</t>
  </si>
  <si>
    <t>Row 168</t>
  </si>
  <si>
    <t>Row 186</t>
  </si>
  <si>
    <t>Row 187</t>
  </si>
  <si>
    <t>Row 188</t>
  </si>
  <si>
    <t>Row 189</t>
  </si>
  <si>
    <t>Row 190</t>
  </si>
  <si>
    <t>Row 191</t>
  </si>
  <si>
    <t>Row 192</t>
  </si>
  <si>
    <t>Row 193</t>
  </si>
  <si>
    <t>Row 194</t>
  </si>
  <si>
    <t>Row 195</t>
  </si>
  <si>
    <t>Row 205</t>
  </si>
  <si>
    <t>Row 206</t>
  </si>
  <si>
    <t>Row 207</t>
  </si>
  <si>
    <t>Row 209</t>
  </si>
  <si>
    <t>Row 212</t>
  </si>
  <si>
    <t>Row 215</t>
  </si>
  <si>
    <t>Row 218</t>
  </si>
  <si>
    <t>حالة العقد</t>
  </si>
  <si>
    <t>روك كي</t>
  </si>
  <si>
    <t>الايجار للمالك</t>
  </si>
  <si>
    <t>الحصص</t>
  </si>
  <si>
    <t>الايجار (الدخل)</t>
  </si>
  <si>
    <t xml:space="preserve">إدارة الأملاك بنسبة </t>
  </si>
  <si>
    <t>للوحدة</t>
  </si>
  <si>
    <t>للعمارة</t>
  </si>
  <si>
    <t>شهري</t>
  </si>
  <si>
    <t>سنوي</t>
  </si>
  <si>
    <t>الدخل بعد خصم الخدمات وايجار المالك</t>
  </si>
  <si>
    <t xml:space="preserve">المالك بنسبة </t>
  </si>
  <si>
    <t>اخنبارات الصحة</t>
  </si>
  <si>
    <t>الفرق في الدخل النهائي</t>
  </si>
  <si>
    <t>الدخل ناقص المخرجات</t>
  </si>
  <si>
    <t>الخدمات من الدخل</t>
  </si>
  <si>
    <t>المساؤول</t>
  </si>
  <si>
    <t>المصدر</t>
  </si>
  <si>
    <t>الإيرادات</t>
  </si>
  <si>
    <t>الربح</t>
  </si>
  <si>
    <t>الرواتب</t>
  </si>
  <si>
    <t>مصروفات المكتب</t>
  </si>
  <si>
    <t>مصروفات طويق</t>
  </si>
  <si>
    <t>تامين مستاجرين تحول ايراد</t>
  </si>
  <si>
    <t>عمولة إدارة أملاك ثليم</t>
  </si>
  <si>
    <t>عمولة إدارة أملاك طويق</t>
  </si>
  <si>
    <t>شقة S1</t>
  </si>
  <si>
    <t>تامين شقة تم صرفه</t>
  </si>
  <si>
    <t>من مستحقات شهاب</t>
  </si>
  <si>
    <t>تامين شقة S5</t>
  </si>
  <si>
    <t>المشاريع</t>
  </si>
  <si>
    <t>الوسطاء</t>
  </si>
  <si>
    <t>قصر
Palace</t>
  </si>
  <si>
    <t>الدرعية
Diriyah</t>
  </si>
  <si>
    <t>المشرقية
Al Mashriqiyah</t>
  </si>
  <si>
    <t>حالة العميل</t>
  </si>
  <si>
    <t>جديد</t>
  </si>
  <si>
    <t>مسجل في خسارة</t>
  </si>
  <si>
    <t>مسجل في مكتمل</t>
  </si>
  <si>
    <t>يوجد له رحلة حاليه</t>
  </si>
  <si>
    <t>مسجل بدون صفقات</t>
  </si>
  <si>
    <t>موجود سابقا</t>
  </si>
  <si>
    <t>التكرار</t>
  </si>
  <si>
    <t>إضافة عميل</t>
  </si>
  <si>
    <t>إضافة صفقة</t>
  </si>
  <si>
    <t>ارض للبيع حي الروابي</t>
  </si>
  <si>
    <t>الروابي</t>
  </si>
  <si>
    <t>1494/11/1</t>
  </si>
  <si>
    <t>1292/و</t>
  </si>
  <si>
    <t>استديو للايجار حي العارض</t>
  </si>
  <si>
    <t>العارض</t>
  </si>
  <si>
    <t>محل للايجار حي العارض</t>
  </si>
  <si>
    <t>استديو للايجار حي النرجس</t>
  </si>
  <si>
    <t>استديو ايجار يومي العارض</t>
  </si>
  <si>
    <t>استديو ايجار يومي النرجس</t>
  </si>
  <si>
    <t>شقة للبيع حي العارض</t>
  </si>
  <si>
    <t>2078/اب</t>
  </si>
  <si>
    <t>ارض للبيع حي الورود حوطة بني تميم</t>
  </si>
  <si>
    <t>الورود</t>
  </si>
  <si>
    <t>853/ب</t>
  </si>
  <si>
    <t>ارض للبيع حي الورود حوطة بني تميم تجاري</t>
  </si>
  <si>
    <t>السعر من الصفقات</t>
  </si>
  <si>
    <t>مكرر مع</t>
  </si>
  <si>
    <t>الشفا
Al Shifa</t>
  </si>
  <si>
    <t>غسالة
Washing Machine</t>
  </si>
  <si>
    <t>لا يوجد صيانة</t>
  </si>
  <si>
    <t>تحتاج الي غسيل مفارش السرير والمخدات</t>
  </si>
  <si>
    <t>بعد اكمال العقد الأول مدة 3 اشهر طلب المستاجر تمديد العقد لمدة شهر وبعد الدخول في العقد الجديد وتحديدا يوم 7 مايو 2026 طلب المستاجر انهاء العقد لخروجه من الرياض علي ان يقوم بسداد مبلغ 1000 ريال ايجار عن أسبوع وتم قبول الغاء العقد من الشركة</t>
  </si>
  <si>
    <t>الافراح</t>
  </si>
  <si>
    <t>222/ق</t>
  </si>
  <si>
    <t>ارض للبيع في الافراح رياض الخبراء</t>
  </si>
  <si>
    <t>ارض للايجار القيروان</t>
  </si>
  <si>
    <t>أراض للبيع مرات النخيل</t>
  </si>
  <si>
    <t>83/1</t>
  </si>
  <si>
    <t>154/2</t>
  </si>
  <si>
    <t>154/1</t>
  </si>
  <si>
    <t>النخيل</t>
  </si>
  <si>
    <t>169/1</t>
  </si>
  <si>
    <t>الدراسة
رقم المخطط _ رقم القطعة</t>
  </si>
  <si>
    <t>تاريخ الدراسة</t>
  </si>
  <si>
    <t>1002_169/1</t>
  </si>
  <si>
    <t>\</t>
  </si>
  <si>
    <t>المحمدية</t>
  </si>
  <si>
    <t>ارض للبيع المحمدية</t>
  </si>
  <si>
    <t>524/2</t>
  </si>
  <si>
    <t>الربع الثالث 26</t>
  </si>
  <si>
    <t>المشتريات</t>
  </si>
  <si>
    <t>يشمل الضريبة</t>
  </si>
  <si>
    <t>اخر رسالة تجديد عقد</t>
  </si>
  <si>
    <t>عمود1</t>
  </si>
  <si>
    <t>فيلا للبيع النفل</t>
  </si>
  <si>
    <t>النفل</t>
  </si>
  <si>
    <t>شقة للبيع ظهرة البديعة</t>
  </si>
  <si>
    <t>ظهرة البديعة</t>
  </si>
  <si>
    <t>اسم الوسيط</t>
  </si>
  <si>
    <t>المدة</t>
  </si>
  <si>
    <t>مجموع عمولات الوسيط</t>
  </si>
  <si>
    <t>عدد مرات التنفيذ</t>
  </si>
  <si>
    <t>A</t>
  </si>
  <si>
    <t>B</t>
  </si>
  <si>
    <t>عبدالله راشد ابوفيصل الخرج</t>
  </si>
  <si>
    <t>عبدالله راشد راشد الخرج</t>
  </si>
  <si>
    <t>تركي مسفر عبدالله العجمي</t>
  </si>
  <si>
    <t>نواف خالد ابراهيم المحمود</t>
  </si>
  <si>
    <t>وليد احمد مبارك الراجح</t>
  </si>
  <si>
    <t>إبراهيم عبداللطيف إبراهيم الدهيشي</t>
  </si>
  <si>
    <t>نموزج التسليم</t>
  </si>
  <si>
    <t>نموزج الاستلام</t>
  </si>
  <si>
    <t xml:space="preserve"> وسن ماجد خلف الغريبي</t>
  </si>
  <si>
    <t>سهام الواعر</t>
  </si>
  <si>
    <t>موافقة المؤجر</t>
  </si>
  <si>
    <t>موافقة المستاجر</t>
  </si>
  <si>
    <t>نشط</t>
  </si>
  <si>
    <t>بانتظار موافقة المؤجر</t>
  </si>
  <si>
    <t>بانتظار موافقة الأطراف</t>
  </si>
  <si>
    <t>بانتظار موافقة المستأجر</t>
  </si>
  <si>
    <t>موافق</t>
  </si>
  <si>
    <t>ماجده عايد منيان العنزي</t>
  </si>
  <si>
    <t>بداية</t>
  </si>
  <si>
    <t>نهاية</t>
  </si>
  <si>
    <t>R1</t>
  </si>
  <si>
    <t>R4</t>
  </si>
  <si>
    <t>A11</t>
  </si>
  <si>
    <t>حمد علي احمد هزازي</t>
  </si>
  <si>
    <t>عبدالله فاهد عبدالله الحارثي</t>
  </si>
  <si>
    <t xml:space="preserve"> بدر مسعد ضيف الله المطيري</t>
  </si>
  <si>
    <t>فهد محمد بن شايع آل وقيان</t>
  </si>
  <si>
    <t>منظفات</t>
  </si>
  <si>
    <t>سلل زبايل</t>
  </si>
  <si>
    <t>بطاريات أبواب</t>
  </si>
  <si>
    <t>تركيب شاشات</t>
  </si>
  <si>
    <t>نظافة العمارة</t>
  </si>
  <si>
    <t>عدد 4 غسالات</t>
  </si>
  <si>
    <t>تجهيز وحدة</t>
  </si>
  <si>
    <t>نوصيل</t>
  </si>
  <si>
    <t>تركيب غسالات</t>
  </si>
  <si>
    <t>راتب حارس الخرج</t>
  </si>
  <si>
    <t>ع 30169738695</t>
  </si>
  <si>
    <t>ع 30169738631</t>
  </si>
  <si>
    <t>ع 30169738621</t>
  </si>
  <si>
    <t>ع 30169738603</t>
  </si>
  <si>
    <t>نقل عفش</t>
  </si>
  <si>
    <t>دفع ومعدات وشغل يد</t>
  </si>
  <si>
    <t>زياد علي معيض اللويحق</t>
  </si>
  <si>
    <t>يناير 31</t>
  </si>
  <si>
    <t>فبراير 31</t>
  </si>
  <si>
    <t>A3</t>
  </si>
  <si>
    <t>A4</t>
  </si>
  <si>
    <t>A5</t>
  </si>
  <si>
    <t>A6</t>
  </si>
  <si>
    <t>ذاكرة كاميرات للعمارة</t>
  </si>
  <si>
    <t>فارس محمد سعيد الزهراني</t>
  </si>
  <si>
    <t xml:space="preserve"> سطام مشعان بن عكال العنزي</t>
  </si>
  <si>
    <t>يسرى عوض حماد البلوي</t>
  </si>
  <si>
    <t xml:space="preserve"> معاذ ابراهيم محمد الراشد</t>
  </si>
  <si>
    <t>المطلوب تحويله من</t>
  </si>
  <si>
    <t>لشهر</t>
  </si>
  <si>
    <t>دخل البنك ولم يدخل منصة ايجار</t>
  </si>
  <si>
    <t>دخل ايجار ولم يدخل البنك</t>
  </si>
  <si>
    <t>اسم البنك</t>
  </si>
  <si>
    <t>ايجار</t>
  </si>
  <si>
    <t>الحاضنة</t>
  </si>
  <si>
    <t>Column1</t>
  </si>
  <si>
    <t>المبني2</t>
  </si>
  <si>
    <t>38</t>
  </si>
  <si>
    <t>الغاء العقد</t>
  </si>
  <si>
    <t>حصة روك كي</t>
  </si>
  <si>
    <t>Rock Key share</t>
  </si>
  <si>
    <t>مصروفات دفعها المالك</t>
  </si>
  <si>
    <t>Expenses paid by the landlord</t>
  </si>
  <si>
    <t>دفعها المالك</t>
  </si>
  <si>
    <t>عدد عقود الايجار الجديدة</t>
  </si>
  <si>
    <t>حساب رسوم عقود الايجار الجديدة</t>
  </si>
  <si>
    <t>عدد عقود الايجار المتجددة تلقائي</t>
  </si>
  <si>
    <t>حساب رسوم عقود الايجار المتجددة تلقائي</t>
  </si>
  <si>
    <t>تجهيز غرفة الحارس وتاثيثها للتاجير</t>
  </si>
  <si>
    <t>توصيل</t>
  </si>
  <si>
    <t>A7</t>
  </si>
  <si>
    <t>A8</t>
  </si>
  <si>
    <t>A9</t>
  </si>
  <si>
    <t>R2</t>
  </si>
  <si>
    <t>R3</t>
  </si>
  <si>
    <t>F0</t>
  </si>
  <si>
    <t>الكهرباء رقم حساب المالك قبل النقل</t>
  </si>
  <si>
    <t>عمولة إدارة أملاك</t>
  </si>
  <si>
    <t>شهر أغسطس وسبتمبر A</t>
  </si>
  <si>
    <t>شهر أغسطس وسبتمبر B</t>
  </si>
  <si>
    <t>حصة عبدالله الحارثي</t>
  </si>
  <si>
    <t>سيف مبارك بن إبراهيم الجديع</t>
  </si>
  <si>
    <t>هاشم سليمان بن موسي الحربي</t>
  </si>
  <si>
    <t>ريناد وليد بن احمد الراجح</t>
  </si>
  <si>
    <t>علي فهد علي العرجاني</t>
  </si>
  <si>
    <t>عمر علي سليمان الفيفي</t>
  </si>
  <si>
    <t>حسام محسن احمد قحل</t>
  </si>
  <si>
    <t>A10</t>
  </si>
  <si>
    <t>عبدالمنعم عبدالمحسن إبراهيم العبد</t>
  </si>
  <si>
    <t>ماجد عبدالرحمن عائض البيشي</t>
  </si>
  <si>
    <t>فيلا عبدالله</t>
  </si>
  <si>
    <t>الماسة</t>
  </si>
  <si>
    <t>توصيل كمدينو</t>
  </si>
  <si>
    <t>مرايا شقة F6</t>
  </si>
  <si>
    <t>تركيب مرايا شقة F6</t>
  </si>
  <si>
    <t xml:space="preserve">تركيب 4 مرايات </t>
  </si>
  <si>
    <t>مرايات S2 و S3عدد 4</t>
  </si>
  <si>
    <t>يانة سيفون وتركيب فيش</t>
  </si>
  <si>
    <t>صيانة مكيف</t>
  </si>
  <si>
    <t>غسالات عدد 3</t>
  </si>
  <si>
    <t>قفل الكتروني</t>
  </si>
  <si>
    <t>بطاريات باب</t>
  </si>
  <si>
    <t>صيانة وتركيب قفل</t>
  </si>
  <si>
    <t>جرجور مجلي  مع التركيب شقة A7 وفيش R4</t>
  </si>
  <si>
    <t>غسيل مفارش A7</t>
  </si>
  <si>
    <t>مرايا شقة A9</t>
  </si>
  <si>
    <t>تركيب مرايتين</t>
  </si>
  <si>
    <t>فاتورة غسالتين</t>
  </si>
  <si>
    <t>كهرباء عمارة ابوفيص ل الخرج</t>
  </si>
  <si>
    <t>أسماء سعود احمد أحمديني</t>
  </si>
  <si>
    <t>S7</t>
  </si>
  <si>
    <t>احمد خالد احمد فلاته</t>
  </si>
  <si>
    <t>سعد غازي عوض الميزاني المطيري</t>
  </si>
  <si>
    <t>وعد امين توفيق القويعاني البلوي</t>
  </si>
  <si>
    <t>وفاء خالد علي السويدي الزهراني</t>
  </si>
  <si>
    <t>عبدالوهاب سالم محمد مهدي القحطاني</t>
  </si>
  <si>
    <t>حزم فاهد ناصر القحطاني</t>
  </si>
  <si>
    <t>GHAHAM NORMAN BUDGE</t>
  </si>
  <si>
    <t>محمد مصطفي عبدالله محمد صالح</t>
  </si>
  <si>
    <t>S5</t>
  </si>
  <si>
    <t>محمد حمد هادي القحطاني</t>
  </si>
  <si>
    <t xml:space="preserve">David Scott Mcdougall </t>
  </si>
  <si>
    <t>S6</t>
  </si>
  <si>
    <t>رغد محمد صالح الحارثي</t>
  </si>
  <si>
    <t>MATE ETEROVIC</t>
  </si>
  <si>
    <t>خالد محمد مرعب</t>
  </si>
  <si>
    <t>وائل علي حسين الشمراني</t>
  </si>
  <si>
    <t>منيه مصلح سالم محفوظ</t>
  </si>
  <si>
    <t>علي محمود علي احمد</t>
  </si>
  <si>
    <t>سليمان محمد سليمان الصعب</t>
  </si>
  <si>
    <t>محمد حسن محمد القايدي</t>
  </si>
  <si>
    <t>عبدالرحمن موسي محمد حامظي</t>
  </si>
  <si>
    <t>MARWAN EL HASSAN</t>
  </si>
  <si>
    <t>خالد عبدالله سليمان العنزي</t>
  </si>
  <si>
    <t>منيه مصلح بن سالم بن محفوظ</t>
  </si>
  <si>
    <t>حنان ضاري سعد الدوسري</t>
  </si>
  <si>
    <t>محمد عطيه بن يحي كعبي</t>
  </si>
  <si>
    <t>إبراهيم محمد علي القميقم</t>
  </si>
  <si>
    <t>خولة وابرهيم</t>
  </si>
  <si>
    <t>اميمة المنصور</t>
  </si>
  <si>
    <t>موسى عبدالعزيز ابراهيم الموسى</t>
  </si>
  <si>
    <t>MUZAFFAR HUSSAIN RAMZAN ALI</t>
  </si>
  <si>
    <t>عوض نايف سعد العتيبي</t>
  </si>
  <si>
    <t xml:space="preserve"> كاظم ناصر عبده حمدي</t>
  </si>
  <si>
    <t xml:space="preserve"> رياض ناصر عبده حمدي</t>
  </si>
  <si>
    <t>عبدالله سرحان بن ابراهيم العتيبي</t>
  </si>
  <si>
    <t>اسرار عايض قاسم عسيري</t>
  </si>
  <si>
    <t>سلوى سليمان عطاالله العرادي</t>
  </si>
  <si>
    <t>يوسف عبدالله جميل الحارثي</t>
  </si>
  <si>
    <t>فهد محمد بن شيبان صيرفي</t>
  </si>
  <si>
    <t>JEAN PAUL GEYER</t>
  </si>
  <si>
    <t>نورة عبدالله حسين العويس</t>
  </si>
  <si>
    <t>رياض ناصر عبده حمدي</t>
  </si>
  <si>
    <t>كاظم ناصر عبده حمدي</t>
  </si>
  <si>
    <t xml:space="preserve"> نورة عبدالله حسين العويس</t>
  </si>
  <si>
    <t>سلطان محم عبدالعزيز المشيقح</t>
  </si>
  <si>
    <t>منتهي</t>
  </si>
  <si>
    <t>401044701900765</t>
  </si>
  <si>
    <t>واصلة عبدالله راشد</t>
  </si>
  <si>
    <t>الحارس</t>
  </si>
  <si>
    <t>عبدالوهاب حاتم مشعل الشمري</t>
  </si>
  <si>
    <t>رقم الإيصال</t>
  </si>
  <si>
    <t>الحالة</t>
  </si>
  <si>
    <t>الى حساب و رقم الآيبان</t>
  </si>
  <si>
    <t>طريقة الاستلام</t>
  </si>
  <si>
    <t>طريقة الدفع او السداد</t>
  </si>
  <si>
    <t>تاريخ الاستحقاق</t>
  </si>
  <si>
    <t>اسم المستأجر</t>
  </si>
  <si>
    <t>رقم وثيقة الملكية</t>
  </si>
  <si>
    <t>رقم الفاتورة</t>
  </si>
  <si>
    <t>اسم العقار</t>
  </si>
  <si>
    <t>success</t>
  </si>
  <si>
    <t>SA7380000597608010665544</t>
  </si>
  <si>
    <t>Bank Account</t>
  </si>
  <si>
    <t>Mada</t>
  </si>
  <si>
    <t>2608111901694</t>
  </si>
  <si>
    <t>فهد عبيد الحافي جديد</t>
  </si>
  <si>
    <t>10886502059</t>
  </si>
  <si>
    <t>SADAD</t>
  </si>
  <si>
    <t>2608115981676</t>
  </si>
  <si>
    <t>عمارة ماجد العنزي 29</t>
  </si>
  <si>
    <t>10727655349</t>
  </si>
  <si>
    <t>2610182971014</t>
  </si>
  <si>
    <t>عبدالله راشد A</t>
  </si>
  <si>
    <t>10349815150</t>
  </si>
  <si>
    <t>معاذ ابراهيم محمد الراشد</t>
  </si>
  <si>
    <t>2609178324153</t>
  </si>
  <si>
    <t>عمارة نايف حسين الحربي 33</t>
  </si>
  <si>
    <t>10645869084</t>
  </si>
  <si>
    <t>2604110569740</t>
  </si>
  <si>
    <t xml:space="preserve">فهد عبيد الحافي طويق </t>
  </si>
  <si>
    <t>10857273361</t>
  </si>
  <si>
    <t>تهاني احمد عامر عسيرى</t>
  </si>
  <si>
    <t>2610111404093</t>
  </si>
  <si>
    <t>المساكن 101</t>
  </si>
  <si>
    <t>10271524631</t>
  </si>
  <si>
    <t>JORDY HUBERT</t>
  </si>
  <si>
    <t>2609216430753</t>
  </si>
  <si>
    <t>10761293978</t>
  </si>
  <si>
    <t>على محمود على احمد</t>
  </si>
  <si>
    <t>2610076603361</t>
  </si>
  <si>
    <t>10778617693</t>
  </si>
  <si>
    <t>2610052440429</t>
  </si>
  <si>
    <t>10256514417</t>
  </si>
  <si>
    <t>نوح داهش عيد الشمري</t>
  </si>
  <si>
    <t>2607166114385</t>
  </si>
  <si>
    <t xml:space="preserve">عبدالله العبودي </t>
  </si>
  <si>
    <t>10776713612</t>
  </si>
  <si>
    <t>سلطان محمد عبدالعزيز المشيقح</t>
  </si>
  <si>
    <t>2610111829548</t>
  </si>
  <si>
    <t>10929387859</t>
  </si>
  <si>
    <t>نبيل غازي بن علي سفياني</t>
  </si>
  <si>
    <t>2606303194475</t>
  </si>
  <si>
    <t>ثليم 103 عبدالله راشد</t>
  </si>
  <si>
    <t>10804160810</t>
  </si>
  <si>
    <t>مختار عادل محمد عبدالله الشومي</t>
  </si>
  <si>
    <t>2601027139407</t>
  </si>
  <si>
    <t>عمارة العبودي</t>
  </si>
  <si>
    <t>10952487592</t>
  </si>
  <si>
    <t>2609077522735</t>
  </si>
  <si>
    <t>10727058896</t>
  </si>
  <si>
    <t>مشعل عبدالرحمن عبدالله غاوي</t>
  </si>
  <si>
    <t>2610098017100</t>
  </si>
  <si>
    <t>10411229277</t>
  </si>
  <si>
    <t>2610045907761</t>
  </si>
  <si>
    <t>10999720795</t>
  </si>
  <si>
    <t>2609118443345</t>
  </si>
  <si>
    <t>10744903211</t>
  </si>
  <si>
    <t>هاشم سليمان بن موسى الحربي</t>
  </si>
  <si>
    <t>2610053420380</t>
  </si>
  <si>
    <t>10235672570</t>
  </si>
  <si>
    <t>2605189136717</t>
  </si>
  <si>
    <t>10282412931</t>
  </si>
  <si>
    <t>2607085947373</t>
  </si>
  <si>
    <t>10357210925</t>
  </si>
  <si>
    <t>سطام مشعان بن عكال العنزي</t>
  </si>
  <si>
    <t>2609274061193</t>
  </si>
  <si>
    <t>10677062390</t>
  </si>
  <si>
    <t>وسن ماجد خلف الغريبي</t>
  </si>
  <si>
    <t>2608228207248</t>
  </si>
  <si>
    <t>10825954136</t>
  </si>
  <si>
    <t>محمد احمد بن علي صبياني</t>
  </si>
  <si>
    <t>2609041491296</t>
  </si>
  <si>
    <t>10299104404</t>
  </si>
  <si>
    <t>2610049958444</t>
  </si>
  <si>
    <t>10097849921</t>
  </si>
  <si>
    <t>2609079305679</t>
  </si>
  <si>
    <t>10181957244</t>
  </si>
  <si>
    <t>ABIR AHAMED KABIR</t>
  </si>
  <si>
    <t>2601027922176</t>
  </si>
  <si>
    <t>10426207174</t>
  </si>
  <si>
    <t>ABDURAHMAN AHMED ABDULWASSIE HASSAN</t>
  </si>
  <si>
    <t>2607178882338</t>
  </si>
  <si>
    <t>10984684944</t>
  </si>
  <si>
    <t>فارس صالح عبدالله الغامدي</t>
  </si>
  <si>
    <t>2511300403994</t>
  </si>
  <si>
    <t>ابو زيد</t>
  </si>
  <si>
    <t>10334439369</t>
  </si>
  <si>
    <t>2609114206046</t>
  </si>
  <si>
    <t>10353217790</t>
  </si>
  <si>
    <t>2608228802354</t>
  </si>
  <si>
    <t>10998552503</t>
  </si>
  <si>
    <t>2609028016899</t>
  </si>
  <si>
    <t>10229579861</t>
  </si>
  <si>
    <t>2609073193557</t>
  </si>
  <si>
    <t>10247853018</t>
  </si>
  <si>
    <t>2608237933904</t>
  </si>
  <si>
    <t>10230635933</t>
  </si>
  <si>
    <t>2609091876331</t>
  </si>
  <si>
    <t>10192262306</t>
  </si>
  <si>
    <t>2608287352541</t>
  </si>
  <si>
    <t>10769104004</t>
  </si>
  <si>
    <t>2608268243508</t>
  </si>
  <si>
    <t>10248740301</t>
  </si>
  <si>
    <t>عامر فرحان حيان المالكي</t>
  </si>
  <si>
    <t>2608084121933</t>
  </si>
  <si>
    <t>10941098878</t>
  </si>
  <si>
    <t>2609273464583</t>
  </si>
  <si>
    <t>10874887163</t>
  </si>
  <si>
    <t>2608263482605</t>
  </si>
  <si>
    <t>10879253534</t>
  </si>
  <si>
    <t>2605022206704</t>
  </si>
  <si>
    <t>10987748633</t>
  </si>
  <si>
    <t>JAMSHEED AHMAD BUTT</t>
  </si>
  <si>
    <t>2609186863278</t>
  </si>
  <si>
    <t>10000505978</t>
  </si>
  <si>
    <t>محمد السيد ابو الكمال زغامير</t>
  </si>
  <si>
    <t>2601024449688</t>
  </si>
  <si>
    <t>10322562543</t>
  </si>
  <si>
    <t>2609115584859</t>
  </si>
  <si>
    <t>10776420553</t>
  </si>
  <si>
    <t>ابوبكر اسماعيل محمد عثمان</t>
  </si>
  <si>
    <t>2609113585358</t>
  </si>
  <si>
    <t>10954135613</t>
  </si>
  <si>
    <t>مساعد عبدالرحمن مزيد العتيبي</t>
  </si>
  <si>
    <t>2609186989871</t>
  </si>
  <si>
    <t>10817159799</t>
  </si>
  <si>
    <t>ABDELRAHMAN LESAN</t>
  </si>
  <si>
    <t>2608185960365</t>
  </si>
  <si>
    <t>10933712982</t>
  </si>
  <si>
    <t>رغد حمدان ابن سعد الدوسري</t>
  </si>
  <si>
    <t>2512116302897</t>
  </si>
  <si>
    <t>10408582431</t>
  </si>
  <si>
    <t>2604134768174</t>
  </si>
  <si>
    <t>2604046919375</t>
  </si>
  <si>
    <t>بدر مسعد ضيف  الله المطيري</t>
  </si>
  <si>
    <t>2609025049298</t>
  </si>
  <si>
    <t>10293396456</t>
  </si>
  <si>
    <t>2608221595788</t>
  </si>
  <si>
    <t>10250862101</t>
  </si>
  <si>
    <t>عبد الله اديب احمد عتوم</t>
  </si>
  <si>
    <t>2608125785206</t>
  </si>
  <si>
    <t>10114735641</t>
  </si>
  <si>
    <t>2608227306001</t>
  </si>
  <si>
    <t>10843479317</t>
  </si>
  <si>
    <t>وليد بن احمد بن مبارك الراجح</t>
  </si>
  <si>
    <t>2608030392403</t>
  </si>
  <si>
    <t>ريانه ادريس بن حسين الخواجه</t>
  </si>
  <si>
    <t>2608187149453</t>
  </si>
  <si>
    <t>10798674771</t>
  </si>
  <si>
    <t>2605265028115</t>
  </si>
  <si>
    <t>2604300340345</t>
  </si>
  <si>
    <t>ARSAD MIA</t>
  </si>
  <si>
    <t>2601024073442</t>
  </si>
  <si>
    <t>10538676700</t>
  </si>
  <si>
    <t>2607288058959</t>
  </si>
  <si>
    <t>10517454392</t>
  </si>
  <si>
    <t>احمد محمد شاكر ابراهيم</t>
  </si>
  <si>
    <t>2608120443667</t>
  </si>
  <si>
    <t>10387500320</t>
  </si>
  <si>
    <t>2608109227717</t>
  </si>
  <si>
    <t>10383332923</t>
  </si>
  <si>
    <t>2606102351397</t>
  </si>
  <si>
    <t>2606254847415</t>
  </si>
  <si>
    <t>10868706751</t>
  </si>
  <si>
    <t>2604245132838</t>
  </si>
  <si>
    <t>2606263651593</t>
  </si>
  <si>
    <t>10462173690</t>
  </si>
  <si>
    <t>سعود سالم سفاح الصلبي</t>
  </si>
  <si>
    <t>2607221087099</t>
  </si>
  <si>
    <t>10579160725</t>
  </si>
  <si>
    <t>2607226436181</t>
  </si>
  <si>
    <t>10433912663</t>
  </si>
  <si>
    <t>2606268973064</t>
  </si>
  <si>
    <t>10936935607</t>
  </si>
  <si>
    <t>NASIR GAZI MAHMUD</t>
  </si>
  <si>
    <t>2602060320659</t>
  </si>
  <si>
    <t>10451114867</t>
  </si>
  <si>
    <t>2603025331500</t>
  </si>
  <si>
    <t>عبدالرحمن محمد بن عبدالله اليافعي</t>
  </si>
  <si>
    <t>2606236387447</t>
  </si>
  <si>
    <t>10143518277</t>
  </si>
  <si>
    <t>2607129951745</t>
  </si>
  <si>
    <t>10582830436</t>
  </si>
  <si>
    <t>2606133296597</t>
  </si>
  <si>
    <t>10438813987</t>
  </si>
  <si>
    <t>2607046971673</t>
  </si>
  <si>
    <t>10914820590</t>
  </si>
  <si>
    <t>MOHAMMAD KAMOL MIA</t>
  </si>
  <si>
    <t>2508026568379</t>
  </si>
  <si>
    <t>10295712781</t>
  </si>
  <si>
    <t>2604080053128</t>
  </si>
  <si>
    <t>2604138591853</t>
  </si>
  <si>
    <t>10961328891</t>
  </si>
  <si>
    <t>يحيى بن سعود بن عبدالله الصقيه</t>
  </si>
  <si>
    <t>2605016239445</t>
  </si>
  <si>
    <t>10392757392</t>
  </si>
  <si>
    <t>2602222737264</t>
  </si>
  <si>
    <t>تمام نصر عبده احمد مرشد</t>
  </si>
  <si>
    <t>2602184117813</t>
  </si>
  <si>
    <t>10943116573</t>
  </si>
  <si>
    <t>أثير خالد صالح العبودي</t>
  </si>
  <si>
    <t>2506124854928</t>
  </si>
  <si>
    <t>10204385205</t>
  </si>
  <si>
    <t>2602019794281</t>
  </si>
  <si>
    <t>10979208354</t>
  </si>
  <si>
    <t>عواض نايف سعد العتيبي</t>
  </si>
  <si>
    <t>2605031519287</t>
  </si>
  <si>
    <t>10843660475</t>
  </si>
  <si>
    <t>هياء عبدالله محمد المطيويع</t>
  </si>
  <si>
    <t>2407289736175</t>
  </si>
  <si>
    <t>10133592490</t>
  </si>
  <si>
    <t>ابراهيم محمد علي القميقم</t>
  </si>
  <si>
    <t>2603308103661</t>
  </si>
  <si>
    <t>10813661005</t>
  </si>
  <si>
    <t>2505296666479</t>
  </si>
  <si>
    <t>سعد غازى عواض المطيرى</t>
  </si>
  <si>
    <t>2603264457855</t>
  </si>
  <si>
    <t>10157139921</t>
  </si>
  <si>
    <t>2604159674222</t>
  </si>
  <si>
    <t>10243460515</t>
  </si>
  <si>
    <t>وعد امين بن توفيق البلوي</t>
  </si>
  <si>
    <t>2504303948571</t>
  </si>
  <si>
    <t>10216949908</t>
  </si>
  <si>
    <t>عبدالرحمن حيدر بن شايع جحاح</t>
  </si>
  <si>
    <t>2602227224905</t>
  </si>
  <si>
    <t>10050616177</t>
  </si>
  <si>
    <t>2604241120648</t>
  </si>
  <si>
    <t>10375415806</t>
  </si>
  <si>
    <t>علي محمد حسين ابراهيم علوان</t>
  </si>
  <si>
    <t>2602044023539</t>
  </si>
  <si>
    <t>10818280480</t>
  </si>
  <si>
    <t>GRAHAM NORMAN BUDGE</t>
  </si>
  <si>
    <t>2603175861124</t>
  </si>
  <si>
    <t>10872041359</t>
  </si>
  <si>
    <t>2504105987376</t>
  </si>
  <si>
    <t>2603170627422</t>
  </si>
  <si>
    <t>10746467420</t>
  </si>
  <si>
    <t>2602161141908</t>
  </si>
  <si>
    <t>10340718386</t>
  </si>
  <si>
    <t>اسماء سعود احمد أحمديني</t>
  </si>
  <si>
    <t>2506115068683</t>
  </si>
  <si>
    <t>MOHSIN RAZA MUHAMMAD RIAZ</t>
  </si>
  <si>
    <t>2602268239451</t>
  </si>
  <si>
    <t>10479966269</t>
  </si>
  <si>
    <t>2502177797302</t>
  </si>
  <si>
    <t>2601230280291</t>
  </si>
  <si>
    <t>10634545692</t>
  </si>
  <si>
    <t>2601070967699</t>
  </si>
  <si>
    <t>2602018002437</t>
  </si>
  <si>
    <t>10534580051</t>
  </si>
  <si>
    <t>احمد ايمن سعد عاشور</t>
  </si>
  <si>
    <t>2510181562736</t>
  </si>
  <si>
    <t>10051030189</t>
  </si>
  <si>
    <t>أحمد سالم بن محمد الفزيع</t>
  </si>
  <si>
    <t>2504272131953</t>
  </si>
  <si>
    <t>10612255165</t>
  </si>
  <si>
    <t>2602200224669</t>
  </si>
  <si>
    <t>10048083921</t>
  </si>
  <si>
    <t>2511053558350</t>
  </si>
  <si>
    <t>10292271476</t>
  </si>
  <si>
    <t>2502252566772</t>
  </si>
  <si>
    <t>10430248446</t>
  </si>
  <si>
    <t>منتصر محمد عبدالله الجعلي</t>
  </si>
  <si>
    <t>2505175023203</t>
  </si>
  <si>
    <t>10548896805</t>
  </si>
  <si>
    <t>2511054556264</t>
  </si>
  <si>
    <t>10177561284</t>
  </si>
  <si>
    <t>2601191850155</t>
  </si>
  <si>
    <t>10849658586</t>
  </si>
  <si>
    <t>2601182609983</t>
  </si>
  <si>
    <t>10968662558</t>
  </si>
  <si>
    <t>محمد مصطفى عبد الله محمد صالح</t>
  </si>
  <si>
    <t>2601278228955</t>
  </si>
  <si>
    <t>10451468132</t>
  </si>
  <si>
    <t>2508064313423</t>
  </si>
  <si>
    <t>2502020349890</t>
  </si>
  <si>
    <t>وفاء خالد بن علي الزهراني</t>
  </si>
  <si>
    <t>2510069837359</t>
  </si>
  <si>
    <t>10152221282</t>
  </si>
  <si>
    <t>2501142517378</t>
  </si>
  <si>
    <t>2501031598717</t>
  </si>
  <si>
    <t>2512180462908</t>
  </si>
  <si>
    <t>10721829333</t>
  </si>
  <si>
    <t>2510261719114</t>
  </si>
  <si>
    <t>10411247447</t>
  </si>
  <si>
    <t>2512203276279</t>
  </si>
  <si>
    <t>10810602899</t>
  </si>
  <si>
    <t>2501145381959</t>
  </si>
  <si>
    <t>2501035317970</t>
  </si>
  <si>
    <t>MD IQBAL HOSEN</t>
  </si>
  <si>
    <t>2501022012386</t>
  </si>
  <si>
    <t>10850119163</t>
  </si>
  <si>
    <t>معاويه هزاع عيد الشمري</t>
  </si>
  <si>
    <t>2405023701912</t>
  </si>
  <si>
    <t>10100369278</t>
  </si>
  <si>
    <t>2509224653002</t>
  </si>
  <si>
    <t>10372736628</t>
  </si>
  <si>
    <t>2511134070250</t>
  </si>
  <si>
    <t>10222366037</t>
  </si>
  <si>
    <t>2511160770108</t>
  </si>
  <si>
    <t>10817313059</t>
  </si>
  <si>
    <t>2509103325687</t>
  </si>
  <si>
    <t>2505294480793</t>
  </si>
  <si>
    <t>10031355624</t>
  </si>
  <si>
    <t>ابراهيم طلال ابراهيم ابوطقيقه</t>
  </si>
  <si>
    <t>2411283011172</t>
  </si>
  <si>
    <t>10281263735</t>
  </si>
  <si>
    <t>عبدالرحمن خويلد سالم المطيري</t>
  </si>
  <si>
    <t>2504127695733</t>
  </si>
  <si>
    <t>10630371426</t>
  </si>
  <si>
    <t>طلال خالد عنبر العنبر</t>
  </si>
  <si>
    <t>2509149419079</t>
  </si>
  <si>
    <t>10904492800</t>
  </si>
  <si>
    <t>DAVID SCOTT MCDOUGALL</t>
  </si>
  <si>
    <t>2505294561394</t>
  </si>
  <si>
    <t>10664358103</t>
  </si>
  <si>
    <t>2509220242684</t>
  </si>
  <si>
    <t>10442690717</t>
  </si>
  <si>
    <t>احمد يحيى - نوح</t>
  </si>
  <si>
    <t>2509193543633</t>
  </si>
  <si>
    <t>10709679709</t>
  </si>
  <si>
    <t>بندر عبدالعزيز عبدالرحمن الفقيه</t>
  </si>
  <si>
    <t>2502274687666</t>
  </si>
  <si>
    <t>10359418897</t>
  </si>
  <si>
    <t>عبدالوهاب سالم محمد القحطاني</t>
  </si>
  <si>
    <t>2504289261617</t>
  </si>
  <si>
    <t>10934884916</t>
  </si>
  <si>
    <t>2508310481484</t>
  </si>
  <si>
    <t>10168971422</t>
  </si>
  <si>
    <t>2506010084731</t>
  </si>
  <si>
    <t>10964815248</t>
  </si>
  <si>
    <t>MUHAMMAD ALI MEHBOOB AHMED</t>
  </si>
  <si>
    <t>2508117553749</t>
  </si>
  <si>
    <t>10129108389</t>
  </si>
  <si>
    <t>عمر عوض عبدالقادر محمد</t>
  </si>
  <si>
    <t>2508100061265</t>
  </si>
  <si>
    <t>10190759235</t>
  </si>
  <si>
    <t>زهير هادي احمد مدخلي</t>
  </si>
  <si>
    <t>2506087367417</t>
  </si>
  <si>
    <t>10277767155</t>
  </si>
  <si>
    <t>2502112524953</t>
  </si>
  <si>
    <t>10764748636</t>
  </si>
  <si>
    <t>عبدالرحمن سعيد ناصر الشهراني</t>
  </si>
  <si>
    <t>2506037704637</t>
  </si>
  <si>
    <t>10173398094</t>
  </si>
  <si>
    <t>2505280547116</t>
  </si>
  <si>
    <t>10125141302</t>
  </si>
  <si>
    <t>احمد فاروق سعد احمد الغصيني</t>
  </si>
  <si>
    <t>2501167881150</t>
  </si>
  <si>
    <t>10053230425</t>
  </si>
  <si>
    <t>عايض مفلح ابن سعد القحطاني</t>
  </si>
  <si>
    <t>2502226006611</t>
  </si>
  <si>
    <t>10290781661</t>
  </si>
  <si>
    <t>2505245159636</t>
  </si>
  <si>
    <t>10567983820</t>
  </si>
  <si>
    <t>محمد رمضان ابراهيم القاضى</t>
  </si>
  <si>
    <t>2501288314047</t>
  </si>
  <si>
    <t>10244048272</t>
  </si>
  <si>
    <t>MUHAMMAD ADIL MUHAMMAD RIAZ</t>
  </si>
  <si>
    <t>2501066376686</t>
  </si>
  <si>
    <t>10605707941</t>
  </si>
  <si>
    <t>علوي سعيد علوي السعدي</t>
  </si>
  <si>
    <t>2501031580435</t>
  </si>
  <si>
    <t>10695434711</t>
  </si>
  <si>
    <t>بندر بن سعد بن سعيد الغامدي</t>
  </si>
  <si>
    <t>2411223945499</t>
  </si>
  <si>
    <t>10830451307</t>
  </si>
  <si>
    <t>مطلق منديل مبارك العتيبي</t>
  </si>
  <si>
    <t>2501282917104</t>
  </si>
  <si>
    <t>10823431351</t>
  </si>
  <si>
    <t>2501265035548</t>
  </si>
  <si>
    <t>10669458453</t>
  </si>
  <si>
    <t>2501128091237</t>
  </si>
  <si>
    <t>10610989420</t>
  </si>
  <si>
    <t>2501020034703</t>
  </si>
  <si>
    <t>10430629560</t>
  </si>
  <si>
    <t>شربل لبيب الحداد</t>
  </si>
  <si>
    <t>2403208450657</t>
  </si>
  <si>
    <t>10335472741</t>
  </si>
  <si>
    <t>BSFRPYC24113003Y</t>
  </si>
  <si>
    <t>Process description</t>
  </si>
  <si>
    <t>Invoice number</t>
  </si>
  <si>
    <t>Contract No./Copy No</t>
  </si>
  <si>
    <t>Property Name</t>
  </si>
  <si>
    <t>IBAN number</t>
  </si>
  <si>
    <t>Remittance number</t>
  </si>
  <si>
    <t>Amount</t>
  </si>
  <si>
    <t>Date</t>
  </si>
  <si>
    <t>Status</t>
  </si>
  <si>
    <t>Available Balance</t>
  </si>
  <si>
    <t>Reserved Balance</t>
  </si>
  <si>
    <t>Purpose of Recharge</t>
  </si>
  <si>
    <t>Ejar fee</t>
  </si>
  <si>
    <t>2610214877632</t>
  </si>
  <si>
    <t>10683282170</t>
  </si>
  <si>
    <t>2026-10-20</t>
  </si>
  <si>
    <t>2610164442353</t>
  </si>
  <si>
    <t>10440619610</t>
  </si>
  <si>
    <t>2026-10-15</t>
  </si>
  <si>
    <t>2610163372893</t>
  </si>
  <si>
    <t>10843187723</t>
  </si>
  <si>
    <t>فهد الحافي 1-2</t>
  </si>
  <si>
    <t>2610166055664</t>
  </si>
  <si>
    <t>10393688367</t>
  </si>
  <si>
    <t>Refund to wallet</t>
  </si>
  <si>
    <t>2610165953547</t>
  </si>
  <si>
    <t>10495692570</t>
  </si>
  <si>
    <t>2610150008411</t>
  </si>
  <si>
    <t>10557046811</t>
  </si>
  <si>
    <t>2026-10-14</t>
  </si>
  <si>
    <t>2610077158982</t>
  </si>
  <si>
    <t>10780400580</t>
  </si>
  <si>
    <t>2610147124918</t>
  </si>
  <si>
    <t>10023848025</t>
  </si>
  <si>
    <t>2026-10-13</t>
  </si>
  <si>
    <t>2610113248554</t>
  </si>
  <si>
    <t>2026-10-10</t>
  </si>
  <si>
    <t>2610117012504</t>
  </si>
  <si>
    <t>10732990191</t>
  </si>
  <si>
    <t>2610078603248</t>
  </si>
  <si>
    <t>10008414645</t>
  </si>
  <si>
    <t>2026-10-06</t>
  </si>
  <si>
    <t>Recharge</t>
  </si>
  <si>
    <t>2610072335541</t>
  </si>
  <si>
    <t/>
  </si>
  <si>
    <t>Contract document</t>
  </si>
  <si>
    <t>2610039386064</t>
  </si>
  <si>
    <t>2026-10-04</t>
  </si>
  <si>
    <t>2610038204327</t>
  </si>
  <si>
    <t>2026-10-02</t>
  </si>
  <si>
    <t>2609220753425</t>
  </si>
  <si>
    <t>2026-09-26</t>
  </si>
  <si>
    <t>2609215271006</t>
  </si>
  <si>
    <t>2026-09-21</t>
  </si>
  <si>
    <t>2026-09-20</t>
  </si>
  <si>
    <t>2609177816805</t>
  </si>
  <si>
    <t>2026-09-16</t>
  </si>
  <si>
    <t>2609100950592</t>
  </si>
  <si>
    <t>2026-09-10</t>
  </si>
  <si>
    <t>2609109205518</t>
  </si>
  <si>
    <t>2026-09-09</t>
  </si>
  <si>
    <t>2608315652857</t>
  </si>
  <si>
    <t>10297353352</t>
  </si>
  <si>
    <t>2026-09-07</t>
  </si>
  <si>
    <t>2609040860562</t>
  </si>
  <si>
    <t>2026-09-06</t>
  </si>
  <si>
    <t>2608303451764</t>
  </si>
  <si>
    <t>10288710416</t>
  </si>
  <si>
    <t>2026-09-03</t>
  </si>
  <si>
    <t>2609047237988</t>
  </si>
  <si>
    <t>2608312098509</t>
  </si>
  <si>
    <t>2026-09-01</t>
  </si>
  <si>
    <t>2608311026488</t>
  </si>
  <si>
    <t>2026-08-30</t>
  </si>
  <si>
    <t>2026-08-29</t>
  </si>
  <si>
    <t>2608261653186</t>
  </si>
  <si>
    <t>2026-08-25</t>
  </si>
  <si>
    <t>2608225889581</t>
  </si>
  <si>
    <t>2026-08-22</t>
  </si>
  <si>
    <t>2608223588133</t>
  </si>
  <si>
    <t>2026-08-21</t>
  </si>
  <si>
    <t>2608212809843</t>
  </si>
  <si>
    <t>2608223233052</t>
  </si>
  <si>
    <t>10831589570</t>
  </si>
  <si>
    <t>2608219656061</t>
  </si>
  <si>
    <t>2608215025499</t>
  </si>
  <si>
    <t>2608220941647</t>
  </si>
  <si>
    <t>2608179577818</t>
  </si>
  <si>
    <t>2026-08-20</t>
  </si>
  <si>
    <t>2608202067375</t>
  </si>
  <si>
    <t>2608219845726</t>
  </si>
  <si>
    <t>2026-08-19</t>
  </si>
  <si>
    <t>2026-08-16</t>
  </si>
  <si>
    <t>2608118587143</t>
  </si>
  <si>
    <t>10619701042</t>
  </si>
  <si>
    <t>عماره منيره القطعي</t>
  </si>
  <si>
    <t>2026-08-10</t>
  </si>
  <si>
    <t>2608101003781</t>
  </si>
  <si>
    <t>2026-08-09</t>
  </si>
  <si>
    <t>2608039456272</t>
  </si>
  <si>
    <t>2026-08-02</t>
  </si>
  <si>
    <t>2607277840947</t>
  </si>
  <si>
    <t>10203788929</t>
  </si>
  <si>
    <t>فيلا عبدالله الحارثي</t>
  </si>
  <si>
    <t>2026-07-26</t>
  </si>
  <si>
    <t>2607067281028</t>
  </si>
  <si>
    <t>10855099232</t>
  </si>
  <si>
    <t>2026-07-05</t>
  </si>
  <si>
    <t>2607053020320</t>
  </si>
  <si>
    <t>2026-07-04</t>
  </si>
  <si>
    <t>2607020900161</t>
  </si>
  <si>
    <t>10509420651</t>
  </si>
  <si>
    <t>2026-07-01</t>
  </si>
  <si>
    <t>2607019206557</t>
  </si>
  <si>
    <t>2026-06-30</t>
  </si>
  <si>
    <t>2607014316893</t>
  </si>
  <si>
    <t>2606304813861</t>
  </si>
  <si>
    <t>2026-06-29</t>
  </si>
  <si>
    <t>من الحاضنة</t>
  </si>
  <si>
    <t>Deduction of Outstanding Debt from Contract Renewal</t>
  </si>
  <si>
    <t>2607248465381</t>
  </si>
  <si>
    <t>2026-10-23</t>
  </si>
  <si>
    <t>Deduction of Outstanding Debt from a Rental Payment</t>
  </si>
  <si>
    <t>2607135624662</t>
  </si>
  <si>
    <t>10163902475</t>
  </si>
  <si>
    <t>2026-10-11</t>
  </si>
  <si>
    <t>2607058191520</t>
  </si>
  <si>
    <t>2026-10-03</t>
  </si>
  <si>
    <t>2607059826095</t>
  </si>
  <si>
    <t>2606261495662</t>
  </si>
  <si>
    <t>10808002301</t>
  </si>
  <si>
    <t>2026-09-24</t>
  </si>
  <si>
    <t>2605279512474</t>
  </si>
  <si>
    <t>2605271811641</t>
  </si>
  <si>
    <t>2606118858738</t>
  </si>
  <si>
    <t>2605029012529</t>
  </si>
  <si>
    <t>10129746088</t>
  </si>
  <si>
    <t>2604292820184</t>
  </si>
  <si>
    <t>2604089344520</t>
  </si>
  <si>
    <t>2026-07-09</t>
  </si>
  <si>
    <t>2603035109341</t>
  </si>
  <si>
    <t>2026-05-25</t>
  </si>
  <si>
    <t>2602070855920</t>
  </si>
  <si>
    <t>2026-05-10</t>
  </si>
  <si>
    <t>2602267761139</t>
  </si>
  <si>
    <t>2026-04-29</t>
  </si>
  <si>
    <t>2604296459422</t>
  </si>
  <si>
    <t>2026-04-28</t>
  </si>
  <si>
    <t>Contract auto-renewal</t>
  </si>
  <si>
    <t>2601253575527</t>
  </si>
  <si>
    <t>10202089885</t>
  </si>
  <si>
    <t>2026-04-26</t>
  </si>
  <si>
    <t>2601103787779</t>
  </si>
  <si>
    <t>2026-04-10</t>
  </si>
  <si>
    <t>2601081337689</t>
  </si>
  <si>
    <t>2026-04-07</t>
  </si>
  <si>
    <t>2603179438368</t>
  </si>
  <si>
    <t>2026-03-16</t>
  </si>
  <si>
    <t>2603176240248</t>
  </si>
  <si>
    <t>2603174330858</t>
  </si>
  <si>
    <t>Renew contract</t>
  </si>
  <si>
    <t>2512222831621</t>
  </si>
  <si>
    <t>2026-03-10</t>
  </si>
  <si>
    <t>2511300542280</t>
  </si>
  <si>
    <t>2026-02-26</t>
  </si>
  <si>
    <t>2511279829669</t>
  </si>
  <si>
    <t>2511211886915</t>
  </si>
  <si>
    <t>2026-02-19</t>
  </si>
  <si>
    <t>2511138401585</t>
  </si>
  <si>
    <t>20804580970</t>
  </si>
  <si>
    <t>2026-02-12</t>
  </si>
  <si>
    <t>2511138590523</t>
  </si>
  <si>
    <t>20906777827</t>
  </si>
  <si>
    <t>2511078843528</t>
  </si>
  <si>
    <t>2026-02-07</t>
  </si>
  <si>
    <t>2511080582301</t>
  </si>
  <si>
    <t>2026-02-03</t>
  </si>
  <si>
    <t>2602032637165</t>
  </si>
  <si>
    <t>2026-02-02</t>
  </si>
  <si>
    <t>2601196367867</t>
  </si>
  <si>
    <t>2026-01-18</t>
  </si>
  <si>
    <t>2601199660015</t>
  </si>
  <si>
    <t>2510073400229</t>
  </si>
  <si>
    <t>2026-01-05</t>
  </si>
  <si>
    <t>2510038102801</t>
  </si>
  <si>
    <t>2026-01-02</t>
  </si>
  <si>
    <t>2510037194950</t>
  </si>
  <si>
    <t>2510039905323</t>
  </si>
  <si>
    <t>2510037543257</t>
  </si>
  <si>
    <t>2510038705240</t>
  </si>
  <si>
    <t>2510165356090</t>
  </si>
  <si>
    <t>2025-11-29</t>
  </si>
  <si>
    <t>2507137348449</t>
  </si>
  <si>
    <t>2025-11-26</t>
  </si>
  <si>
    <t>2510166652896</t>
  </si>
  <si>
    <t>2025-10-17</t>
  </si>
  <si>
    <t>Withdraw</t>
  </si>
  <si>
    <t>2025-10-16</t>
  </si>
  <si>
    <t>Success</t>
  </si>
  <si>
    <t>2510173300784</t>
  </si>
  <si>
    <t>2510178844231</t>
  </si>
  <si>
    <t>2506261184128</t>
  </si>
  <si>
    <t>2025-07-25</t>
  </si>
  <si>
    <t>2025-07-18</t>
  </si>
  <si>
    <t>2507186449788</t>
  </si>
  <si>
    <t>2025-07-17</t>
  </si>
  <si>
    <t>2025-07-13</t>
  </si>
  <si>
    <t>2507134517271</t>
  </si>
  <si>
    <t>2025-07-12</t>
  </si>
  <si>
    <t>2504298700060</t>
  </si>
  <si>
    <t>2025-05-28</t>
  </si>
  <si>
    <t>2025-04-28</t>
  </si>
  <si>
    <t>2504293706101</t>
  </si>
  <si>
    <t>Refund a security amount</t>
  </si>
  <si>
    <t>2503280642998</t>
  </si>
  <si>
    <t>10410076122</t>
  </si>
  <si>
    <t>2025-04-13</t>
  </si>
  <si>
    <t>security amount Reserved</t>
  </si>
  <si>
    <t>2025-03-27</t>
  </si>
  <si>
    <t>Reserve a security amount</t>
  </si>
  <si>
    <t>2503286344838</t>
  </si>
  <si>
    <t>Security deposit</t>
  </si>
  <si>
    <t>2501251037635</t>
  </si>
  <si>
    <t>2025-02-23</t>
  </si>
  <si>
    <t>2025-01-24</t>
  </si>
  <si>
    <t>2407033357172</t>
  </si>
  <si>
    <t>10731187005</t>
  </si>
  <si>
    <t>2024-08-01</t>
  </si>
  <si>
    <t>2406263876026</t>
  </si>
  <si>
    <t>10366160458</t>
  </si>
  <si>
    <t>2024-07-25</t>
  </si>
  <si>
    <t>2406260722014</t>
  </si>
  <si>
    <t>2407160005546</t>
  </si>
  <si>
    <t>10378676965</t>
  </si>
  <si>
    <t>2024-07-16</t>
  </si>
  <si>
    <t>2407168045561</t>
  </si>
  <si>
    <t>2024-07-15</t>
  </si>
  <si>
    <t>2024-07-11</t>
  </si>
  <si>
    <t>2311236993547</t>
  </si>
  <si>
    <t>10907705814</t>
  </si>
  <si>
    <t>2024-07-10</t>
  </si>
  <si>
    <t>2407080623263</t>
  </si>
  <si>
    <t>10268620440</t>
  </si>
  <si>
    <t>2024-07-08</t>
  </si>
  <si>
    <t>2024-07-07</t>
  </si>
  <si>
    <t>2407048028449</t>
  </si>
  <si>
    <t>2024-07-03</t>
  </si>
  <si>
    <t>2407038153620</t>
  </si>
  <si>
    <t>2024-07-02</t>
  </si>
  <si>
    <t>2024-06-28</t>
  </si>
  <si>
    <t>2406272720047</t>
  </si>
  <si>
    <t>2024-06-26</t>
  </si>
  <si>
    <t>2406261634730</t>
  </si>
  <si>
    <t>2024-06-25</t>
  </si>
  <si>
    <t>2405091746765</t>
  </si>
  <si>
    <t>20260575466</t>
  </si>
  <si>
    <t>2024-05-08</t>
  </si>
  <si>
    <t>2405015221170</t>
  </si>
  <si>
    <t>2024-04-30</t>
  </si>
  <si>
    <t>2405019740706</t>
  </si>
  <si>
    <t>2401261577751</t>
  </si>
  <si>
    <t>2024-02-24</t>
  </si>
  <si>
    <t>2024-02-06</t>
  </si>
  <si>
    <t>2402066622576</t>
  </si>
  <si>
    <t>2024-02-05</t>
  </si>
  <si>
    <t>2023-11-23</t>
  </si>
  <si>
    <t>2311240078624</t>
  </si>
  <si>
    <t>2303014246506</t>
  </si>
  <si>
    <t>10702507030</t>
  </si>
  <si>
    <t>العبودي</t>
  </si>
  <si>
    <t>2023-03-04</t>
  </si>
  <si>
    <t>2023-02-28</t>
  </si>
  <si>
    <t>2303016199076</t>
  </si>
  <si>
    <t>2208304047584</t>
  </si>
  <si>
    <t>10451594435</t>
  </si>
  <si>
    <t>عبدالله العبودي</t>
  </si>
  <si>
    <t>2022-08-29</t>
  </si>
  <si>
    <t>2208304270798</t>
  </si>
  <si>
    <t>2108303010251</t>
  </si>
  <si>
    <t>10433267681</t>
  </si>
  <si>
    <t>2021-08-30</t>
  </si>
  <si>
    <t>2021-08-29</t>
  </si>
  <si>
    <t>2108302980149</t>
  </si>
  <si>
    <t>رسوم تجديد العقود تلقائي</t>
  </si>
  <si>
    <t>بانتظار التصفية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</si>
</sst>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43" formatCode="_-* #,##0.00_-;\-* #,##0.00_-;_-* &quot;-&quot;??_-;_-@_-"/>
    <numFmt numFmtId="164" formatCode="_(* #,##0.00_);_(* \(#,##0.00\);_(* &quot;-&quot;??_);_(@_)"/>
    <numFmt numFmtId="165" formatCode="[$-2000401]0"/>
    <numFmt numFmtId="166" formatCode="_(* #,##0_);_(* \(#,##0\);_(* &quot;-&quot;??_);_(@_)"/>
    <numFmt numFmtId="167" formatCode="0.0"/>
    <numFmt numFmtId="168" formatCode="#,##0.0"/>
    <numFmt numFmtId="169" formatCode="_(* #,##0.0_);_(* \(#,##0.0\);_(* &quot;-&quot;??_);_(@_)"/>
    <numFmt numFmtId="170" formatCode="d/m/yy\ h:mm"/>
    <numFmt numFmtId="171" formatCode="0.0%"/>
    <numFmt numFmtId="172" formatCode="_(* #,##0.000_);_(* \(#,##0.000\);_(* &quot;-&quot;??_);_(@_)"/>
    <numFmt numFmtId="173" formatCode="[$-1010000]yyyy/mm/dd;@"/>
    <numFmt numFmtId="174" formatCode="_-* #,##0.00\ _ر_._س_._‏_-;\-* #,##0.00\ _ر_._س_._‏_-;_-* &quot;-&quot;??\ _ر_._س_._‏_-;_-@_-"/>
    <numFmt numFmtId="175" formatCode="[$-2000401]0.#####E+00"/>
    <numFmt numFmtId="176" formatCode="dd/mm/yyyy"/>
  </numFmts>
  <fonts count="85">
    <font>
      <sz val="12"/>
      <color theme="1"/>
      <name val="Arial"/>
      <family val="2"/>
      <scheme val="minor"/>
    </font>
    <font>
      <sz val="12"/>
      <color theme="0"/>
      <name val="Arial"/>
      <family val="2"/>
      <scheme val="minor"/>
    </font>
    <font>
      <b/>
      <sz val="14"/>
      <color rgb="FF000000"/>
      <name val="Calibri"/>
      <family val="2"/>
    </font>
    <font>
      <sz val="12"/>
      <color rgb="FF519798"/>
      <name val="Arial"/>
      <family val="2"/>
      <scheme val="minor"/>
    </font>
    <font>
      <sz val="12"/>
      <color theme="1"/>
      <name val="Arial"/>
      <family val="2"/>
      <scheme val="minor"/>
    </font>
    <font>
      <sz val="14"/>
      <color rgb="FF000000"/>
      <name val="Arial"/>
      <family val="2"/>
      <scheme val="minor"/>
    </font>
    <font>
      <sz val="14"/>
      <color rgb="FFFFFFFF"/>
      <name val="Arial"/>
      <family val="2"/>
      <scheme val="minor"/>
    </font>
    <font>
      <sz val="12"/>
      <color rgb="FF000000"/>
      <name val="Arial"/>
      <family val="2"/>
      <scheme val="minor"/>
    </font>
    <font>
      <u/>
      <sz val="12"/>
      <color rgb="FF467886"/>
      <name val="Arial"/>
      <family val="2"/>
      <scheme val="minor"/>
    </font>
    <font>
      <u/>
      <sz val="12"/>
      <color theme="10"/>
      <name val="Arial"/>
      <family val="2"/>
      <scheme val="minor"/>
    </font>
    <font>
      <sz val="10"/>
      <color theme="1"/>
      <name val="Arial"/>
      <family val="2"/>
    </font>
    <font>
      <sz val="8"/>
      <color theme="1"/>
      <name val="Arial"/>
      <family val="2"/>
      <scheme val="minor"/>
    </font>
    <font>
      <sz val="16"/>
      <color theme="1"/>
      <name val="Arial"/>
      <family val="2"/>
      <scheme val="minor"/>
    </font>
    <font>
      <sz val="14"/>
      <color theme="0"/>
      <name val="Roboto"/>
    </font>
    <font>
      <sz val="14"/>
      <color theme="1"/>
      <name val="Roboto"/>
    </font>
    <font>
      <sz val="16"/>
      <color rgb="FF000000"/>
      <name val="Arial"/>
      <family val="2"/>
      <scheme val="minor"/>
    </font>
    <font>
      <sz val="14"/>
      <color theme="1"/>
      <name val="Arial"/>
      <family val="2"/>
      <scheme val="minor"/>
    </font>
    <font>
      <b/>
      <sz val="18"/>
      <color rgb="FF000000"/>
      <name val="Arial"/>
      <family val="2"/>
      <scheme val="minor"/>
    </font>
    <font>
      <b/>
      <sz val="18"/>
      <color theme="1"/>
      <name val="Arial"/>
      <family val="2"/>
      <scheme val="minor"/>
    </font>
    <font>
      <b/>
      <sz val="18"/>
      <color rgb="FF000000"/>
      <name val="ADLaM Display Regular"/>
    </font>
    <font>
      <b/>
      <sz val="16"/>
      <color rgb="FF000000"/>
      <name val="Arial"/>
      <family val="2"/>
      <scheme val="minor"/>
    </font>
    <font>
      <b/>
      <sz val="16"/>
      <color theme="1"/>
      <name val="Arial"/>
      <family val="2"/>
      <scheme val="minor"/>
    </font>
    <font>
      <b/>
      <sz val="16"/>
      <color rgb="FF000000"/>
      <name val="ADLaM Display Regular"/>
    </font>
    <font>
      <b/>
      <sz val="16"/>
      <color rgb="FF519798"/>
      <name val="ADLaM Display Regular"/>
    </font>
    <font>
      <sz val="16"/>
      <color rgb="FF519798"/>
      <name val="Arial"/>
      <family val="2"/>
      <scheme val="minor"/>
    </font>
    <font>
      <sz val="16"/>
      <name val="Arial"/>
      <family val="2"/>
      <scheme val="minor"/>
    </font>
    <font>
      <b/>
      <sz val="18"/>
      <color theme="1"/>
      <name val="ADLaM Display Regular"/>
    </font>
    <font>
      <b/>
      <sz val="12"/>
      <color theme="0"/>
      <name val="Arial"/>
      <family val="2"/>
      <scheme val="minor"/>
    </font>
    <font>
      <sz val="12"/>
      <color rgb="FF000000"/>
      <name val="Calibri"/>
      <family val="2"/>
    </font>
    <font>
      <b/>
      <sz val="16"/>
      <color theme="0"/>
      <name val="Arial"/>
      <family val="2"/>
      <scheme val="minor"/>
    </font>
    <font>
      <u/>
      <sz val="12"/>
      <color theme="0"/>
      <name val="Arial"/>
      <family val="2"/>
      <scheme val="minor"/>
    </font>
    <font>
      <b/>
      <sz val="12"/>
      <color theme="0"/>
      <name val="Arial"/>
      <family val="2"/>
      <scheme val="minor"/>
    </font>
    <font>
      <sz val="16"/>
      <color theme="0"/>
      <name val="Arial"/>
      <family val="2"/>
      <scheme val="minor"/>
    </font>
    <font>
      <b/>
      <sz val="16"/>
      <color theme="1"/>
      <name val="ADLaM Display Regular"/>
    </font>
    <font>
      <sz val="16"/>
      <color rgb="FF66B9B9"/>
      <name val="Arial"/>
      <family val="2"/>
      <scheme val="minor"/>
    </font>
    <font>
      <sz val="12"/>
      <color theme="1"/>
      <name val="Calibri"/>
      <family val="2"/>
    </font>
    <font>
      <sz val="12"/>
      <color rgb="FF00B050"/>
      <name val="Arial"/>
      <family val="2"/>
      <scheme val="minor"/>
    </font>
    <font>
      <sz val="16"/>
      <color rgb="FF00B050"/>
      <name val="Arial"/>
      <family val="2"/>
      <scheme val="minor"/>
    </font>
    <font>
      <u/>
      <sz val="12"/>
      <color rgb="FF00B050"/>
      <name val="Arial"/>
      <family val="2"/>
      <scheme val="minor"/>
    </font>
    <font>
      <u/>
      <sz val="8"/>
      <color rgb="FF00B050"/>
      <name val="Arial"/>
      <family val="2"/>
      <scheme val="minor"/>
    </font>
    <font>
      <u/>
      <sz val="8"/>
      <color rgb="FF000000"/>
      <name val="Arial"/>
      <family val="2"/>
      <scheme val="minor"/>
    </font>
    <font>
      <sz val="12"/>
      <color rgb="FFFF0000"/>
      <name val="Arial"/>
      <family val="2"/>
      <scheme val="minor"/>
    </font>
    <font>
      <sz val="16"/>
      <color rgb="FFFF0000"/>
      <name val="Arial"/>
      <family val="2"/>
      <scheme val="minor"/>
    </font>
    <font>
      <sz val="12"/>
      <color rgb="FFC00000"/>
      <name val="Arial"/>
      <family val="2"/>
      <scheme val="minor"/>
    </font>
    <font>
      <sz val="12"/>
      <color rgb="FF00B050"/>
      <name val="Calibri"/>
      <family val="2"/>
    </font>
    <font>
      <u/>
      <sz val="12"/>
      <color rgb="FFFF0000"/>
      <name val="Arial"/>
      <family val="2"/>
      <scheme val="minor"/>
    </font>
    <font>
      <b/>
      <sz val="9"/>
      <color theme="0"/>
      <name val="Arial"/>
      <family val="2"/>
      <scheme val="minor"/>
    </font>
    <font>
      <b/>
      <sz val="18"/>
      <color rgb="FF000000"/>
      <name val="Calibri"/>
      <family val="2"/>
    </font>
    <font>
      <b/>
      <sz val="12"/>
      <color rgb="FF000000"/>
      <name val="Calibri"/>
      <family val="2"/>
    </font>
    <font>
      <b/>
      <sz val="11"/>
      <color rgb="FF000000"/>
      <name val="Calibri"/>
      <family val="2"/>
    </font>
    <font>
      <sz val="11"/>
      <color rgb="FF000000"/>
      <name val="Calibri"/>
      <family val="2"/>
    </font>
    <font>
      <sz val="11"/>
      <color theme="1"/>
      <name val="Calibri"/>
      <family val="2"/>
    </font>
    <font>
      <sz val="11"/>
      <color theme="0"/>
      <name val="Calibri"/>
      <family val="2"/>
    </font>
    <font>
      <b/>
      <i/>
      <vertAlign val="superscript"/>
      <sz val="18"/>
      <color theme="1"/>
      <name val="Arial"/>
      <family val="2"/>
      <scheme val="minor"/>
    </font>
    <font>
      <b/>
      <i/>
      <vertAlign val="subscript"/>
      <sz val="18"/>
      <color theme="1"/>
      <name val="Arial"/>
      <family val="2"/>
      <scheme val="minor"/>
    </font>
    <font>
      <b/>
      <i/>
      <vertAlign val="superscript"/>
      <sz val="18"/>
      <color theme="0"/>
      <name val="Arial"/>
      <family val="2"/>
      <scheme val="minor"/>
    </font>
    <font>
      <b/>
      <i/>
      <vertAlign val="subscript"/>
      <sz val="18"/>
      <color theme="0"/>
      <name val="Arial"/>
      <family val="2"/>
      <scheme val="minor"/>
    </font>
    <font>
      <b/>
      <i/>
      <sz val="28"/>
      <color theme="0"/>
      <name val="Arial"/>
      <family val="2"/>
      <scheme val="minor"/>
    </font>
    <font>
      <sz val="10"/>
      <name val="Arial"/>
      <family val="2"/>
    </font>
    <font>
      <sz val="10"/>
      <color rgb="FF434343"/>
      <name val="Roboto"/>
    </font>
    <font>
      <b/>
      <sz val="20"/>
      <color theme="1"/>
      <name val="Arial"/>
      <family val="2"/>
      <scheme val="minor"/>
    </font>
    <font>
      <b/>
      <sz val="20"/>
      <color theme="0"/>
      <name val="Arial"/>
      <family val="2"/>
      <scheme val="minor"/>
    </font>
    <font>
      <sz val="14"/>
      <color theme="0"/>
      <name val="Arial"/>
      <family val="2"/>
      <scheme val="minor"/>
    </font>
    <font>
      <sz val="10"/>
      <color theme="1"/>
      <name val="Arial"/>
      <family val="2"/>
      <scheme val="minor"/>
    </font>
    <font>
      <u/>
      <sz val="10"/>
      <color theme="10"/>
      <name val="Arial"/>
      <family val="2"/>
      <scheme val="minor"/>
    </font>
    <font>
      <b/>
      <sz val="14"/>
      <color theme="1"/>
      <name val="Arial"/>
      <family val="2"/>
      <scheme val="minor"/>
    </font>
    <font>
      <b/>
      <sz val="12"/>
      <color theme="1"/>
      <name val="Arial"/>
      <family val="2"/>
      <scheme val="minor"/>
    </font>
    <font>
      <sz val="10"/>
      <color theme="0"/>
      <name val="Roboto"/>
    </font>
    <font>
      <sz val="10"/>
      <color theme="0"/>
      <name val="Arial"/>
      <family val="2"/>
      <charset val="178"/>
    </font>
    <font>
      <sz val="11"/>
      <color rgb="FF000000"/>
      <name val="Arial"/>
      <family val="2"/>
      <scheme val="minor"/>
    </font>
    <font>
      <sz val="11"/>
      <color theme="1"/>
      <name val="ADLaM Display Regular"/>
    </font>
    <font>
      <sz val="10"/>
      <color rgb="FF000000"/>
      <name val="Arial"/>
      <family val="2"/>
      <charset val="178"/>
    </font>
    <font>
      <sz val="10"/>
      <color rgb="FF000000"/>
      <name val="Arial"/>
      <family val="2"/>
    </font>
    <font>
      <sz val="12"/>
      <name val="Arial"/>
      <family val="2"/>
    </font>
    <font>
      <b/>
      <sz val="16"/>
      <color rgb="FF000000"/>
      <name val="Arial Black"/>
      <family val="2"/>
    </font>
    <font>
      <b/>
      <i/>
      <vertAlign val="subscript"/>
      <sz val="22"/>
      <color theme="0"/>
      <name val="Arial"/>
      <family val="2"/>
      <scheme val="minor"/>
    </font>
    <font>
      <u/>
      <sz val="12"/>
      <color rgb="FF000000"/>
      <name val="Arial"/>
      <family val="2"/>
      <scheme val="minor"/>
    </font>
    <font>
      <b/>
      <sz val="10"/>
      <color rgb="FF000000"/>
      <name val="Arial"/>
      <family val="2"/>
    </font>
    <font>
      <u/>
      <sz val="10"/>
      <color rgb="FF000000"/>
      <name val="Arial"/>
      <family val="2"/>
    </font>
    <font>
      <b/>
      <sz val="12"/>
      <color rgb="FF000000"/>
      <name val="IBM Plex Sans Arabic"/>
    </font>
    <font>
      <b/>
      <sz val="16"/>
      <color theme="3" tint="0.249977111117893"/>
      <name val="ADLaM Display Regular"/>
    </font>
    <font>
      <b/>
      <sz val="12"/>
      <color rgb="FF519798"/>
      <name val="Arial"/>
      <family val="2"/>
      <scheme val="minor"/>
    </font>
    <font>
      <sz val="12"/>
      <color rgb="FF000000"/>
      <name val="Arial"/>
      <family val="2"/>
    </font>
    <font>
      <sz val="12"/>
      <color rgb="FF66B9B9"/>
      <name val="Arial"/>
      <family val="2"/>
      <scheme val="minor"/>
    </font>
    <font>
      <sz val="8"/>
      <name val="Arial"/>
      <family val="2"/>
      <scheme val="minor"/>
    </font>
  </fonts>
  <fills count="24">
    <fill>
      <patternFill patternType="none"/>
    </fill>
    <fill>
      <patternFill patternType="gray125"/>
    </fill>
    <fill>
      <patternFill patternType="solid">
        <fgColor rgb="FFFFC000"/>
        <bgColor indexed="64"/>
      </patternFill>
    </fill>
    <fill>
      <patternFill patternType="solid">
        <fgColor rgb="FF00FFFF"/>
        <bgColor rgb="FF00FFFF"/>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C00000"/>
        <bgColor indexed="64"/>
      </patternFill>
    </fill>
    <fill>
      <patternFill patternType="solid">
        <fgColor rgb="FF519798"/>
        <bgColor indexed="64"/>
      </patternFill>
    </fill>
    <fill>
      <patternFill patternType="solid">
        <fgColor rgb="FF319999"/>
        <bgColor rgb="FF000000"/>
      </patternFill>
    </fill>
    <fill>
      <patternFill patternType="solid">
        <fgColor rgb="FF66B9B9"/>
        <bgColor indexed="64"/>
      </patternFill>
    </fill>
    <fill>
      <patternFill patternType="solid">
        <fgColor rgb="FF00B050"/>
        <bgColor indexed="64"/>
      </patternFill>
    </fill>
    <fill>
      <patternFill patternType="solid">
        <fgColor rgb="FF329A9A"/>
        <bgColor indexed="64"/>
      </patternFill>
    </fill>
    <fill>
      <patternFill patternType="solid">
        <fgColor rgb="FF66B9B9"/>
        <bgColor theme="4"/>
      </patternFill>
    </fill>
    <fill>
      <patternFill patternType="solid">
        <fgColor rgb="FFF0F5F5"/>
        <bgColor indexed="64"/>
      </patternFill>
    </fill>
    <fill>
      <patternFill patternType="solid">
        <fgColor rgb="FF009899"/>
        <bgColor indexed="64"/>
      </patternFill>
    </fill>
    <fill>
      <patternFill patternType="solid">
        <fgColor rgb="FF007986"/>
        <bgColor indexed="64"/>
      </patternFill>
    </fill>
    <fill>
      <patternFill patternType="solid">
        <fgColor rgb="FF66B9B9"/>
        <bgColor rgb="FF007986"/>
      </patternFill>
    </fill>
    <fill>
      <patternFill patternType="solid">
        <fgColor theme="0" tint="-0.14999847407452621"/>
        <bgColor indexed="64"/>
      </patternFill>
    </fill>
    <fill>
      <patternFill patternType="solid">
        <fgColor theme="0" tint="-0.499984740745262"/>
        <bgColor indexed="64"/>
      </patternFill>
    </fill>
    <fill>
      <patternFill patternType="solid">
        <fgColor theme="0" tint="-0.14999847407452621"/>
        <bgColor theme="0" tint="-0.14999847407452621"/>
      </patternFill>
    </fill>
    <fill>
      <patternFill patternType="solid">
        <fgColor theme="3" tint="0.249977111117893"/>
        <bgColor indexed="64"/>
      </patternFill>
    </fill>
    <fill>
      <patternFill patternType="solid">
        <fgColor theme="4" tint="0.79998168889431442"/>
        <bgColor theme="4" tint="0.79998168889431442"/>
      </patternFill>
    </fill>
    <fill>
      <patternFill patternType="solid">
        <fgColor theme="9"/>
        <bgColor indexed="64"/>
      </patternFill>
    </fill>
    <fill>
      <patternFill patternType="solid">
        <fgColor rgb="FF0070C0"/>
        <bgColor indexed="64"/>
      </patternFill>
    </fill>
  </fills>
  <borders count="201">
    <border>
      <left/>
      <right/>
      <top/>
      <bottom/>
      <diagonal/>
    </border>
    <border>
      <left style="thin">
        <color rgb="FF000000"/>
      </left>
      <right style="thin">
        <color rgb="FF000000"/>
      </right>
      <top style="thin">
        <color theme="4" tint="0.39997558519241921"/>
      </top>
      <bottom style="thin">
        <color rgb="FF000000"/>
      </bottom>
      <diagonal/>
    </border>
    <border>
      <left style="thin">
        <color rgb="FF000000"/>
      </left>
      <right style="thin">
        <color rgb="FF000000"/>
      </right>
      <top style="thin">
        <color theme="4" tint="0.39997558519241921"/>
      </top>
      <bottom style="thin">
        <color theme="4" tint="0.39997558519241921"/>
      </bottom>
      <diagonal/>
    </border>
    <border>
      <left/>
      <right/>
      <top style="thick">
        <color indexed="64"/>
      </top>
      <bottom/>
      <diagonal/>
    </border>
    <border>
      <left/>
      <right/>
      <top/>
      <bottom style="thick">
        <color indexed="64"/>
      </bottom>
      <diagonal/>
    </border>
    <border>
      <left style="thick">
        <color auto="1"/>
      </left>
      <right/>
      <top/>
      <bottom/>
      <diagonal/>
    </border>
    <border>
      <left/>
      <right/>
      <top style="thin">
        <color indexed="64"/>
      </top>
      <bottom style="thin">
        <color indexed="64"/>
      </bottom>
      <diagonal/>
    </border>
    <border>
      <left/>
      <right/>
      <top/>
      <bottom style="thin">
        <color indexed="64"/>
      </bottom>
      <diagonal/>
    </border>
    <border>
      <left style="thick">
        <color rgb="FF519798"/>
      </left>
      <right style="thick">
        <color rgb="FF519798"/>
      </right>
      <top style="thick">
        <color rgb="FF519798"/>
      </top>
      <bottom style="thick">
        <color rgb="FF519798"/>
      </bottom>
      <diagonal/>
    </border>
    <border>
      <left/>
      <right/>
      <top style="thick">
        <color indexed="64"/>
      </top>
      <bottom style="thick">
        <color indexed="64"/>
      </bottom>
      <diagonal/>
    </border>
    <border>
      <left/>
      <right style="thick">
        <color indexed="64"/>
      </right>
      <top/>
      <bottom/>
      <diagonal/>
    </border>
    <border>
      <left/>
      <right style="thick">
        <color rgb="FF519798"/>
      </right>
      <top style="thick">
        <color rgb="FF519798"/>
      </top>
      <bottom style="thick">
        <color rgb="FF519798"/>
      </bottom>
      <diagonal/>
    </border>
    <border>
      <left/>
      <right style="thick">
        <color indexed="64"/>
      </right>
      <top style="thick">
        <color indexed="64"/>
      </top>
      <bottom style="thick">
        <color indexed="64"/>
      </bottom>
      <diagonal/>
    </border>
    <border>
      <left/>
      <right style="thin">
        <color theme="1"/>
      </right>
      <top style="thick">
        <color indexed="64"/>
      </top>
      <bottom style="thick">
        <color indexed="64"/>
      </bottom>
      <diagonal/>
    </border>
    <border>
      <left style="thick">
        <color indexed="64"/>
      </left>
      <right/>
      <top style="thick">
        <color indexed="64"/>
      </top>
      <bottom style="thick">
        <color indexed="64"/>
      </bottom>
      <diagonal/>
    </border>
    <border>
      <left style="thick">
        <color rgb="FF519798"/>
      </left>
      <right/>
      <top style="thick">
        <color rgb="FF519798"/>
      </top>
      <bottom/>
      <diagonal/>
    </border>
    <border>
      <left/>
      <right/>
      <top style="thick">
        <color rgb="FF519798"/>
      </top>
      <bottom/>
      <diagonal/>
    </border>
    <border>
      <left/>
      <right style="thick">
        <color rgb="FF519798"/>
      </right>
      <top style="thick">
        <color rgb="FF519798"/>
      </top>
      <bottom/>
      <diagonal/>
    </border>
    <border>
      <left style="thick">
        <color rgb="FF519798"/>
      </left>
      <right/>
      <top/>
      <bottom/>
      <diagonal/>
    </border>
    <border>
      <left/>
      <right style="thick">
        <color rgb="FF519798"/>
      </right>
      <top/>
      <bottom/>
      <diagonal/>
    </border>
    <border>
      <left style="thick">
        <color rgb="FF519798"/>
      </left>
      <right/>
      <top/>
      <bottom style="thick">
        <color rgb="FF519798"/>
      </bottom>
      <diagonal/>
    </border>
    <border>
      <left/>
      <right/>
      <top/>
      <bottom style="thick">
        <color rgb="FF519798"/>
      </bottom>
      <diagonal/>
    </border>
    <border>
      <left/>
      <right style="thick">
        <color rgb="FF519798"/>
      </right>
      <top/>
      <bottom style="thick">
        <color rgb="FF519798"/>
      </bottom>
      <diagonal/>
    </border>
    <border>
      <left style="thick">
        <color rgb="FF66B9B9"/>
      </left>
      <right style="thick">
        <color rgb="FF66B9B9"/>
      </right>
      <top style="thick">
        <color rgb="FF66B9B9"/>
      </top>
      <bottom style="thick">
        <color rgb="FF66B9B9"/>
      </bottom>
      <diagonal/>
    </border>
    <border>
      <left style="thick">
        <color rgb="FF66B9B9"/>
      </left>
      <right/>
      <top style="thick">
        <color rgb="FF66B9B9"/>
      </top>
      <bottom style="thick">
        <color rgb="FF66B9B9"/>
      </bottom>
      <diagonal/>
    </border>
    <border>
      <left/>
      <right/>
      <top style="thick">
        <color rgb="FF66B9B9"/>
      </top>
      <bottom style="thick">
        <color rgb="FF66B9B9"/>
      </bottom>
      <diagonal/>
    </border>
    <border>
      <left/>
      <right style="thick">
        <color rgb="FF66B9B9"/>
      </right>
      <top style="thick">
        <color rgb="FF66B9B9"/>
      </top>
      <bottom style="thick">
        <color rgb="FF66B9B9"/>
      </bottom>
      <diagonal/>
    </border>
    <border>
      <left style="thick">
        <color auto="1"/>
      </left>
      <right style="thin">
        <color auto="1"/>
      </right>
      <top style="thick">
        <color auto="1"/>
      </top>
      <bottom style="thin">
        <color auto="1"/>
      </bottom>
      <diagonal/>
    </border>
    <border>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rgb="FF519798"/>
      </left>
      <right/>
      <top style="thick">
        <color rgb="FF519798"/>
      </top>
      <bottom style="thick">
        <color rgb="FF519798"/>
      </bottom>
      <diagonal/>
    </border>
    <border>
      <left/>
      <right/>
      <top style="thick">
        <color rgb="FF519798"/>
      </top>
      <bottom style="thick">
        <color rgb="FF519798"/>
      </bottom>
      <diagonal/>
    </border>
    <border>
      <left/>
      <right style="thick">
        <color indexed="64"/>
      </right>
      <top style="thick">
        <color indexed="64"/>
      </top>
      <bottom/>
      <diagonal/>
    </border>
    <border>
      <left/>
      <right style="thick">
        <color indexed="64"/>
      </right>
      <top/>
      <bottom style="thick">
        <color indexed="64"/>
      </bottom>
      <diagonal/>
    </border>
    <border>
      <left style="thick">
        <color auto="1"/>
      </left>
      <right/>
      <top style="thick">
        <color auto="1"/>
      </top>
      <bottom style="thick">
        <color rgb="FF66B9B9"/>
      </bottom>
      <diagonal/>
    </border>
    <border>
      <left/>
      <right/>
      <top style="thick">
        <color auto="1"/>
      </top>
      <bottom style="thick">
        <color rgb="FF66B9B9"/>
      </bottom>
      <diagonal/>
    </border>
    <border>
      <left/>
      <right style="thick">
        <color rgb="FF66B9B9"/>
      </right>
      <top style="thick">
        <color auto="1"/>
      </top>
      <bottom style="thick">
        <color rgb="FF66B9B9"/>
      </bottom>
      <diagonal/>
    </border>
    <border>
      <left style="thick">
        <color auto="1"/>
      </left>
      <right/>
      <top style="thick">
        <color rgb="FF66B9B9"/>
      </top>
      <bottom/>
      <diagonal/>
    </border>
    <border>
      <left/>
      <right/>
      <top style="thick">
        <color rgb="FF66B9B9"/>
      </top>
      <bottom/>
      <diagonal/>
    </border>
    <border>
      <left style="thick">
        <color auto="1"/>
      </left>
      <right/>
      <top style="thick">
        <color rgb="FF66B9B9"/>
      </top>
      <bottom style="thick">
        <color rgb="FF66B9B9"/>
      </bottom>
      <diagonal/>
    </border>
    <border>
      <left style="thick">
        <color auto="1"/>
      </left>
      <right style="thick">
        <color rgb="FF519798"/>
      </right>
      <top style="thick">
        <color rgb="FF519798"/>
      </top>
      <bottom style="thick">
        <color rgb="FF519798"/>
      </bottom>
      <diagonal/>
    </border>
    <border>
      <left style="thick">
        <color auto="1"/>
      </left>
      <right/>
      <top style="thick">
        <color rgb="FF519798"/>
      </top>
      <bottom style="thick">
        <color rgb="FF519798"/>
      </bottom>
      <diagonal/>
    </border>
    <border>
      <left style="thin">
        <color indexed="64"/>
      </left>
      <right style="thin">
        <color indexed="64"/>
      </right>
      <top/>
      <bottom style="thin">
        <color indexed="64"/>
      </bottom>
      <diagonal/>
    </border>
    <border>
      <left style="thick">
        <color auto="1"/>
      </left>
      <right style="thin">
        <color auto="1"/>
      </right>
      <top style="thick">
        <color auto="1"/>
      </top>
      <bottom style="thick">
        <color auto="1"/>
      </bottom>
      <diagonal/>
    </border>
    <border>
      <left style="thin">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right/>
      <top style="thin">
        <color theme="9"/>
      </top>
      <bottom/>
      <diagonal/>
    </border>
    <border>
      <left/>
      <right/>
      <top style="thin">
        <color theme="9"/>
      </top>
      <bottom style="thin">
        <color theme="9"/>
      </bottom>
      <diagonal/>
    </border>
    <border>
      <left/>
      <right style="thin">
        <color auto="1"/>
      </right>
      <top style="thick">
        <color auto="1"/>
      </top>
      <bottom style="thick">
        <color auto="1"/>
      </bottom>
      <diagonal/>
    </border>
    <border>
      <left style="thin">
        <color auto="1"/>
      </left>
      <right/>
      <top style="thick">
        <color auto="1"/>
      </top>
      <bottom style="thick">
        <color auto="1"/>
      </bottom>
      <diagonal/>
    </border>
    <border>
      <left/>
      <right style="thick">
        <color rgb="FF66B9B9"/>
      </right>
      <top/>
      <bottom/>
      <diagonal/>
    </border>
    <border>
      <left style="thick">
        <color rgb="FF66B9B9"/>
      </left>
      <right style="medium">
        <color rgb="FF66B9B9"/>
      </right>
      <top style="thick">
        <color rgb="FF66B9B9"/>
      </top>
      <bottom style="medium">
        <color rgb="FF66B9B9"/>
      </bottom>
      <diagonal/>
    </border>
    <border>
      <left style="medium">
        <color rgb="FF66B9B9"/>
      </left>
      <right style="medium">
        <color rgb="FF66B9B9"/>
      </right>
      <top style="thick">
        <color rgb="FF66B9B9"/>
      </top>
      <bottom style="medium">
        <color rgb="FF66B9B9"/>
      </bottom>
      <diagonal/>
    </border>
    <border>
      <left style="medium">
        <color rgb="FF66B9B9"/>
      </left>
      <right style="thick">
        <color rgb="FF66B9B9"/>
      </right>
      <top style="thick">
        <color rgb="FF66B9B9"/>
      </top>
      <bottom style="medium">
        <color rgb="FF66B9B9"/>
      </bottom>
      <diagonal/>
    </border>
    <border>
      <left style="thick">
        <color rgb="FF66B9B9"/>
      </left>
      <right style="medium">
        <color rgb="FF66B9B9"/>
      </right>
      <top style="medium">
        <color rgb="FF66B9B9"/>
      </top>
      <bottom style="medium">
        <color rgb="FF66B9B9"/>
      </bottom>
      <diagonal/>
    </border>
    <border>
      <left style="medium">
        <color rgb="FF66B9B9"/>
      </left>
      <right style="medium">
        <color rgb="FF66B9B9"/>
      </right>
      <top style="medium">
        <color rgb="FF66B9B9"/>
      </top>
      <bottom style="medium">
        <color rgb="FF66B9B9"/>
      </bottom>
      <diagonal/>
    </border>
    <border>
      <left style="medium">
        <color rgb="FF66B9B9"/>
      </left>
      <right style="thick">
        <color rgb="FF66B9B9"/>
      </right>
      <top style="medium">
        <color rgb="FF66B9B9"/>
      </top>
      <bottom style="medium">
        <color rgb="FF66B9B9"/>
      </bottom>
      <diagonal/>
    </border>
    <border>
      <left style="thick">
        <color rgb="FF66B9B9"/>
      </left>
      <right style="medium">
        <color rgb="FF66B9B9"/>
      </right>
      <top style="medium">
        <color rgb="FF66B9B9"/>
      </top>
      <bottom style="thick">
        <color rgb="FF66B9B9"/>
      </bottom>
      <diagonal/>
    </border>
    <border>
      <left style="medium">
        <color rgb="FF66B9B9"/>
      </left>
      <right style="medium">
        <color rgb="FF66B9B9"/>
      </right>
      <top style="medium">
        <color rgb="FF66B9B9"/>
      </top>
      <bottom style="thick">
        <color rgb="FF66B9B9"/>
      </bottom>
      <diagonal/>
    </border>
    <border>
      <left style="medium">
        <color rgb="FF66B9B9"/>
      </left>
      <right style="thick">
        <color rgb="FF66B9B9"/>
      </right>
      <top style="medium">
        <color rgb="FF66B9B9"/>
      </top>
      <bottom style="thick">
        <color rgb="FF66B9B9"/>
      </bottom>
      <diagonal/>
    </border>
    <border>
      <left/>
      <right style="thin">
        <color rgb="FF66B9B9"/>
      </right>
      <top/>
      <bottom style="thin">
        <color rgb="FF66B9B9"/>
      </bottom>
      <diagonal/>
    </border>
    <border>
      <left style="thin">
        <color rgb="FF66B9B9"/>
      </left>
      <right style="thin">
        <color rgb="FF66B9B9"/>
      </right>
      <top/>
      <bottom style="thin">
        <color rgb="FF66B9B9"/>
      </bottom>
      <diagonal/>
    </border>
    <border>
      <left/>
      <right style="thin">
        <color rgb="FF66B9B9"/>
      </right>
      <top style="thin">
        <color rgb="FF66B9B9"/>
      </top>
      <bottom style="thin">
        <color rgb="FF66B9B9"/>
      </bottom>
      <diagonal/>
    </border>
    <border>
      <left style="thin">
        <color rgb="FF66B9B9"/>
      </left>
      <right style="thin">
        <color rgb="FF66B9B9"/>
      </right>
      <top style="thin">
        <color rgb="FF66B9B9"/>
      </top>
      <bottom style="thin">
        <color rgb="FF66B9B9"/>
      </bottom>
      <diagonal/>
    </border>
    <border>
      <left/>
      <right style="thin">
        <color rgb="FF66B9B9"/>
      </right>
      <top style="thin">
        <color rgb="FF66B9B9"/>
      </top>
      <bottom/>
      <diagonal/>
    </border>
    <border>
      <left style="thin">
        <color rgb="FF66B9B9"/>
      </left>
      <right style="thin">
        <color rgb="FF66B9B9"/>
      </right>
      <top style="thin">
        <color rgb="FF66B9B9"/>
      </top>
      <bottom/>
      <diagonal/>
    </border>
    <border>
      <left style="thin">
        <color rgb="FF66B9B9"/>
      </left>
      <right/>
      <top style="thin">
        <color rgb="FF66B9B9"/>
      </top>
      <bottom/>
      <diagonal/>
    </border>
    <border>
      <left style="thin">
        <color rgb="FF66B9B9"/>
      </left>
      <right style="thin">
        <color rgb="FF66B9B9"/>
      </right>
      <top style="thick">
        <color auto="1"/>
      </top>
      <bottom style="thin">
        <color rgb="FF66B9B9"/>
      </bottom>
      <diagonal/>
    </border>
    <border>
      <left style="thin">
        <color rgb="FF66B9B9"/>
      </left>
      <right style="thick">
        <color auto="1"/>
      </right>
      <top style="thick">
        <color auto="1"/>
      </top>
      <bottom style="thin">
        <color rgb="FF66B9B9"/>
      </bottom>
      <diagonal/>
    </border>
    <border>
      <left style="thick">
        <color auto="1"/>
      </left>
      <right style="thin">
        <color rgb="FF66B9B9"/>
      </right>
      <top style="thick">
        <color auto="1"/>
      </top>
      <bottom style="thin">
        <color rgb="FF66B9B9"/>
      </bottom>
      <diagonal/>
    </border>
    <border>
      <left/>
      <right style="thin">
        <color rgb="FF66B9B9"/>
      </right>
      <top style="thick">
        <color auto="1"/>
      </top>
      <bottom style="thin">
        <color rgb="FF66B9B9"/>
      </bottom>
      <diagonal/>
    </border>
    <border>
      <left style="thin">
        <color auto="1"/>
      </left>
      <right style="thin">
        <color auto="1"/>
      </right>
      <top style="thin">
        <color auto="1"/>
      </top>
      <bottom/>
      <diagonal/>
    </border>
    <border>
      <left style="thick">
        <color auto="1"/>
      </left>
      <right style="thin">
        <color auto="1"/>
      </right>
      <top style="thin">
        <color auto="1"/>
      </top>
      <bottom/>
      <diagonal/>
    </border>
    <border>
      <left style="thin">
        <color rgb="FF519798"/>
      </left>
      <right style="thin">
        <color rgb="FF519798"/>
      </right>
      <top style="thin">
        <color rgb="FF519798"/>
      </top>
      <bottom style="thin">
        <color rgb="FF519798"/>
      </bottom>
      <diagonal/>
    </border>
    <border>
      <left style="thin">
        <color rgb="FF000000"/>
      </left>
      <right/>
      <top style="thin">
        <color rgb="FF000000"/>
      </top>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thick">
        <color auto="1"/>
      </left>
      <right style="thick">
        <color rgb="FF519798"/>
      </right>
      <top style="thick">
        <color auto="1"/>
      </top>
      <bottom style="thick">
        <color rgb="FF519798"/>
      </bottom>
      <diagonal/>
    </border>
    <border>
      <left style="thick">
        <color rgb="FF519798"/>
      </left>
      <right style="thick">
        <color indexed="64"/>
      </right>
      <top style="thick">
        <color auto="1"/>
      </top>
      <bottom style="thick">
        <color rgb="FF519798"/>
      </bottom>
      <diagonal/>
    </border>
    <border>
      <left style="thick">
        <color rgb="FF519798"/>
      </left>
      <right style="thick">
        <color indexed="64"/>
      </right>
      <top style="thick">
        <color rgb="FF519798"/>
      </top>
      <bottom style="thick">
        <color rgb="FF519798"/>
      </bottom>
      <diagonal/>
    </border>
    <border>
      <left style="thick">
        <color auto="1"/>
      </left>
      <right style="thick">
        <color rgb="FF519798"/>
      </right>
      <top style="thick">
        <color rgb="FF519798"/>
      </top>
      <bottom style="thick">
        <color indexed="64"/>
      </bottom>
      <diagonal/>
    </border>
    <border>
      <left style="thick">
        <color rgb="FF519798"/>
      </left>
      <right style="thick">
        <color indexed="64"/>
      </right>
      <top style="thick">
        <color rgb="FF519798"/>
      </top>
      <bottom style="thick">
        <color indexed="64"/>
      </bottom>
      <diagonal/>
    </border>
    <border>
      <left style="thick">
        <color rgb="FF519798"/>
      </left>
      <right style="thick">
        <color rgb="FF519798"/>
      </right>
      <top style="thick">
        <color auto="1"/>
      </top>
      <bottom style="thick">
        <color rgb="FF519798"/>
      </bottom>
      <diagonal/>
    </border>
    <border>
      <left style="thick">
        <color rgb="FF519798"/>
      </left>
      <right style="thick">
        <color rgb="FF519798"/>
      </right>
      <top style="thick">
        <color rgb="FF519798"/>
      </top>
      <bottom style="thick">
        <color indexed="64"/>
      </bottom>
      <diagonal/>
    </border>
    <border>
      <left style="thin">
        <color auto="1"/>
      </left>
      <right style="thick">
        <color auto="1"/>
      </right>
      <top style="thin">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auto="1"/>
      </left>
      <right/>
      <top style="thick">
        <color auto="1"/>
      </top>
      <bottom/>
      <diagonal/>
    </border>
    <border>
      <left style="thick">
        <color auto="1"/>
      </left>
      <right/>
      <top/>
      <bottom style="thick">
        <color auto="1"/>
      </bottom>
      <diagonal/>
    </border>
    <border>
      <left/>
      <right style="thin">
        <color auto="1"/>
      </right>
      <top style="thin">
        <color auto="1"/>
      </top>
      <bottom/>
      <diagonal/>
    </border>
    <border>
      <left style="thin">
        <color indexed="64"/>
      </left>
      <right style="thin">
        <color indexed="64"/>
      </right>
      <top/>
      <bottom/>
      <diagonal/>
    </border>
    <border>
      <left style="thick">
        <color auto="1"/>
      </left>
      <right style="thick">
        <color rgb="FF519798"/>
      </right>
      <top style="thick">
        <color rgb="FF519798"/>
      </top>
      <bottom/>
      <diagonal/>
    </border>
    <border>
      <left style="thick">
        <color rgb="FF519798"/>
      </left>
      <right style="thick">
        <color indexed="64"/>
      </right>
      <top style="thick">
        <color rgb="FF519798"/>
      </top>
      <bottom/>
      <diagonal/>
    </border>
    <border>
      <left/>
      <right style="thin">
        <color rgb="FF000000"/>
      </right>
      <top/>
      <bottom/>
      <diagonal/>
    </border>
    <border>
      <left style="thin">
        <color auto="1"/>
      </left>
      <right/>
      <top style="thin">
        <color auto="1"/>
      </top>
      <bottom style="thin">
        <color auto="1"/>
      </bottom>
      <diagonal/>
    </border>
    <border>
      <left/>
      <right/>
      <top style="thin">
        <color theme="1"/>
      </top>
      <bottom/>
      <diagonal/>
    </border>
    <border>
      <left style="thin">
        <color indexed="64"/>
      </left>
      <right style="thin">
        <color indexed="64"/>
      </right>
      <top style="thin">
        <color theme="1"/>
      </top>
      <bottom style="thin">
        <color indexed="64"/>
      </bottom>
      <diagonal/>
    </border>
    <border>
      <left style="thin">
        <color indexed="64"/>
      </left>
      <right style="thin">
        <color indexed="64"/>
      </right>
      <top style="thin">
        <color theme="1"/>
      </top>
      <bottom/>
      <diagonal/>
    </border>
    <border>
      <left/>
      <right/>
      <top style="thin">
        <color theme="1"/>
      </top>
      <bottom style="thin">
        <color theme="1"/>
      </bottom>
      <diagonal/>
    </border>
    <border>
      <left style="thin">
        <color indexed="64"/>
      </left>
      <right style="thin">
        <color indexed="64"/>
      </right>
      <top style="thin">
        <color theme="1"/>
      </top>
      <bottom style="thin">
        <color theme="1"/>
      </bottom>
      <diagonal/>
    </border>
    <border>
      <left/>
      <right style="thin">
        <color theme="9"/>
      </right>
      <top style="thin">
        <color theme="9"/>
      </top>
      <bottom/>
      <diagonal/>
    </border>
    <border>
      <left style="thin">
        <color theme="9"/>
      </left>
      <right/>
      <top style="thin">
        <color theme="9"/>
      </top>
      <bottom/>
      <diagonal/>
    </border>
    <border>
      <left style="thick">
        <color auto="1"/>
      </left>
      <right style="thick">
        <color auto="1"/>
      </right>
      <top style="thick">
        <color auto="1"/>
      </top>
      <bottom style="thick">
        <color auto="1"/>
      </bottom>
      <diagonal/>
    </border>
    <border>
      <left style="thin">
        <color auto="1"/>
      </left>
      <right/>
      <top style="thin">
        <color auto="1"/>
      </top>
      <bottom/>
      <diagonal/>
    </border>
    <border>
      <left style="thin">
        <color auto="1"/>
      </left>
      <right/>
      <top style="thick">
        <color auto="1"/>
      </top>
      <bottom style="thin">
        <color auto="1"/>
      </bottom>
      <diagonal/>
    </border>
    <border>
      <left style="thin">
        <color theme="9"/>
      </left>
      <right style="thin">
        <color auto="1"/>
      </right>
      <top style="thin">
        <color auto="1"/>
      </top>
      <bottom style="thin">
        <color auto="1"/>
      </bottom>
      <diagonal/>
    </border>
    <border>
      <left style="thin">
        <color indexed="64"/>
      </left>
      <right style="thin">
        <color indexed="64"/>
      </right>
      <top style="thin">
        <color rgb="FF000000"/>
      </top>
      <bottom style="thin">
        <color indexed="64"/>
      </bottom>
      <diagonal/>
    </border>
    <border>
      <left style="thin">
        <color auto="1"/>
      </left>
      <right style="thin">
        <color indexed="64"/>
      </right>
      <top style="thin">
        <color indexed="64"/>
      </top>
      <bottom style="thin">
        <color indexed="64"/>
      </bottom>
      <diagonal/>
    </border>
    <border>
      <left style="thin">
        <color theme="1"/>
      </left>
      <right/>
      <top style="thin">
        <color theme="1"/>
      </top>
      <bottom/>
      <diagonal/>
    </border>
    <border>
      <left style="thin">
        <color theme="1"/>
      </left>
      <right/>
      <top style="thin">
        <color theme="1"/>
      </top>
      <bottom style="thin">
        <color theme="1"/>
      </bottom>
      <diagonal/>
    </border>
    <border>
      <left/>
      <right style="thin">
        <color theme="1"/>
      </right>
      <top style="thin">
        <color theme="1"/>
      </top>
      <bottom/>
      <diagonal/>
    </border>
    <border>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top/>
      <bottom style="medium">
        <color rgb="FF000000"/>
      </bottom>
      <diagonal/>
    </border>
    <border>
      <left style="thin">
        <color rgb="FF000000"/>
      </left>
      <right style="thin">
        <color rgb="FF000000"/>
      </right>
      <top style="thin">
        <color rgb="FF000000"/>
      </top>
      <bottom/>
      <diagonal/>
    </border>
    <border>
      <left style="dotted">
        <color rgb="FFD3D3D3"/>
      </left>
      <right style="dotted">
        <color rgb="FFD3D3D3"/>
      </right>
      <top style="dotted">
        <color rgb="FFD3D3D3"/>
      </top>
      <bottom style="dotted">
        <color rgb="FFD3D3D3"/>
      </bottom>
      <diagonal/>
    </border>
    <border>
      <left style="dotted">
        <color rgb="FFD3D3D3"/>
      </left>
      <right style="dotted">
        <color rgb="FFD3D3D3"/>
      </right>
      <top style="thin">
        <color theme="1"/>
      </top>
      <bottom style="dotted">
        <color rgb="FFD3D3D3"/>
      </bottom>
      <diagonal/>
    </border>
    <border>
      <left style="medium">
        <color rgb="FF8A8F8A"/>
      </left>
      <right style="medium">
        <color rgb="FF8A8F8A"/>
      </right>
      <top/>
      <bottom style="medium">
        <color rgb="FF8A8F8A"/>
      </bottom>
      <diagonal/>
    </border>
    <border>
      <left/>
      <right style="thick">
        <color auto="1"/>
      </right>
      <top style="thick">
        <color auto="1"/>
      </top>
      <bottom style="thin">
        <color auto="1"/>
      </bottom>
      <diagonal/>
    </border>
    <border>
      <left/>
      <right style="thick">
        <color auto="1"/>
      </right>
      <top style="thin">
        <color auto="1"/>
      </top>
      <bottom style="thin">
        <color auto="1"/>
      </bottom>
      <diagonal/>
    </border>
    <border>
      <left/>
      <right style="thick">
        <color auto="1"/>
      </right>
      <top style="thin">
        <color auto="1"/>
      </top>
      <bottom style="thick">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top style="thin">
        <color auto="1"/>
      </top>
      <bottom style="thick">
        <color auto="1"/>
      </bottom>
      <diagonal/>
    </border>
    <border>
      <left style="medium">
        <color rgb="FFA8A8A8"/>
      </left>
      <right style="medium">
        <color rgb="FFA8A8A8"/>
      </right>
      <top style="medium">
        <color rgb="FFA8A8A8"/>
      </top>
      <bottom style="medium">
        <color rgb="FFA8A8A8"/>
      </bottom>
      <diagonal/>
    </border>
    <border>
      <left/>
      <right style="dotted">
        <color rgb="FFD3D3D3"/>
      </right>
      <top style="dotted">
        <color rgb="FFD3D3D3"/>
      </top>
      <bottom style="dotted">
        <color rgb="FFD3D3D3"/>
      </bottom>
      <diagonal/>
    </border>
    <border>
      <left style="thick">
        <color auto="1"/>
      </left>
      <right style="medium">
        <color auto="1"/>
      </right>
      <top style="thick">
        <color auto="1"/>
      </top>
      <bottom style="medium">
        <color auto="1"/>
      </bottom>
      <diagonal/>
    </border>
    <border>
      <left style="medium">
        <color auto="1"/>
      </left>
      <right style="medium">
        <color auto="1"/>
      </right>
      <top style="thick">
        <color auto="1"/>
      </top>
      <bottom style="medium">
        <color auto="1"/>
      </bottom>
      <diagonal/>
    </border>
    <border>
      <left style="medium">
        <color auto="1"/>
      </left>
      <right style="thick">
        <color auto="1"/>
      </right>
      <top style="thick">
        <color auto="1"/>
      </top>
      <bottom style="medium">
        <color auto="1"/>
      </bottom>
      <diagonal/>
    </border>
    <border>
      <left style="thick">
        <color auto="1"/>
      </left>
      <right style="medium">
        <color auto="1"/>
      </right>
      <top style="medium">
        <color auto="1"/>
      </top>
      <bottom style="thick">
        <color auto="1"/>
      </bottom>
      <diagonal/>
    </border>
    <border>
      <left style="medium">
        <color auto="1"/>
      </left>
      <right style="medium">
        <color auto="1"/>
      </right>
      <top style="medium">
        <color auto="1"/>
      </top>
      <bottom style="thick">
        <color auto="1"/>
      </bottom>
      <diagonal/>
    </border>
    <border>
      <left style="medium">
        <color auto="1"/>
      </left>
      <right style="thick">
        <color auto="1"/>
      </right>
      <top style="medium">
        <color auto="1"/>
      </top>
      <bottom style="thick">
        <color auto="1"/>
      </bottom>
      <diagonal/>
    </border>
    <border>
      <left/>
      <right style="medium">
        <color auto="1"/>
      </right>
      <top style="thick">
        <color auto="1"/>
      </top>
      <bottom style="medium">
        <color auto="1"/>
      </bottom>
      <diagonal/>
    </border>
    <border>
      <left style="thick">
        <color auto="1"/>
      </left>
      <right/>
      <top style="thick">
        <color auto="1"/>
      </top>
      <bottom style="medium">
        <color auto="1"/>
      </bottom>
      <diagonal/>
    </border>
    <border>
      <left style="thick">
        <color auto="1"/>
      </left>
      <right/>
      <top style="medium">
        <color auto="1"/>
      </top>
      <bottom style="thick">
        <color auto="1"/>
      </bottom>
      <diagonal/>
    </border>
    <border>
      <left/>
      <right style="medium">
        <color auto="1"/>
      </right>
      <top style="medium">
        <color auto="1"/>
      </top>
      <bottom style="thick">
        <color auto="1"/>
      </bottom>
      <diagonal/>
    </border>
    <border>
      <left style="dotted">
        <color rgb="FFD3D3D3"/>
      </left>
      <right/>
      <top style="dotted">
        <color rgb="FFD3D3D3"/>
      </top>
      <bottom style="dotted">
        <color rgb="FFD3D3D3"/>
      </bottom>
      <diagonal/>
    </border>
    <border>
      <left style="dotted">
        <color rgb="FFD3D3D3"/>
      </left>
      <right style="dotted">
        <color rgb="FFD3D3D3"/>
      </right>
      <top style="dotted">
        <color rgb="FFD3D3D3"/>
      </top>
      <bottom/>
      <diagonal/>
    </border>
    <border>
      <left style="thin">
        <color auto="1"/>
      </left>
      <right style="thick">
        <color auto="1"/>
      </right>
      <top style="thin">
        <color auto="1"/>
      </top>
      <bottom style="thick">
        <color auto="1"/>
      </bottom>
      <diagonal/>
    </border>
    <border>
      <left style="thin">
        <color auto="1"/>
      </left>
      <right/>
      <top style="thin">
        <color theme="1"/>
      </top>
      <bottom style="thin">
        <color auto="1"/>
      </bottom>
      <diagonal/>
    </border>
    <border>
      <left/>
      <right/>
      <top style="thin">
        <color theme="1"/>
      </top>
      <bottom style="thin">
        <color auto="1"/>
      </bottom>
      <diagonal/>
    </border>
    <border>
      <left style="thin">
        <color auto="1"/>
      </left>
      <right/>
      <top style="thin">
        <color theme="1"/>
      </top>
      <bottom/>
      <diagonal/>
    </border>
    <border>
      <left style="thin">
        <color auto="1"/>
      </left>
      <right/>
      <top/>
      <bottom style="thin">
        <color auto="1"/>
      </bottom>
      <diagonal/>
    </border>
    <border>
      <left style="thin">
        <color auto="1"/>
      </left>
      <right/>
      <top/>
      <bottom/>
      <diagonal/>
    </border>
    <border>
      <left style="thin">
        <color rgb="FF66B9B9"/>
      </left>
      <right/>
      <top style="thin">
        <color rgb="FF66B9B9"/>
      </top>
      <bottom style="thin">
        <color rgb="FF66B9B9"/>
      </bottom>
      <diagonal/>
    </border>
    <border>
      <left/>
      <right style="thin">
        <color rgb="FF66B9B9"/>
      </right>
      <top style="thin">
        <color rgb="FF66B9B9"/>
      </top>
      <bottom style="thick">
        <color auto="1"/>
      </bottom>
      <diagonal/>
    </border>
    <border>
      <left style="thick">
        <color theme="3" tint="0.24994659260841701"/>
      </left>
      <right style="thick">
        <color theme="3" tint="0.24994659260841701"/>
      </right>
      <top style="thick">
        <color theme="3" tint="0.24994659260841701"/>
      </top>
      <bottom style="thick">
        <color theme="3" tint="0.24994659260841701"/>
      </bottom>
      <diagonal/>
    </border>
    <border>
      <left style="thick">
        <color theme="3" tint="0.24994659260841701"/>
      </left>
      <right/>
      <top style="thick">
        <color theme="3" tint="0.24994659260841701"/>
      </top>
      <bottom/>
      <diagonal/>
    </border>
    <border>
      <left/>
      <right/>
      <top style="thick">
        <color theme="3" tint="0.24994659260841701"/>
      </top>
      <bottom/>
      <diagonal/>
    </border>
    <border>
      <left/>
      <right style="thick">
        <color theme="3" tint="0.24994659260841701"/>
      </right>
      <top style="thick">
        <color theme="3" tint="0.24994659260841701"/>
      </top>
      <bottom/>
      <diagonal/>
    </border>
    <border>
      <left style="thick">
        <color theme="3" tint="0.24994659260841701"/>
      </left>
      <right/>
      <top/>
      <bottom/>
      <diagonal/>
    </border>
    <border>
      <left/>
      <right style="thick">
        <color theme="3" tint="0.24994659260841701"/>
      </right>
      <top/>
      <bottom/>
      <diagonal/>
    </border>
    <border>
      <left style="thick">
        <color theme="3" tint="0.24994659260841701"/>
      </left>
      <right/>
      <top/>
      <bottom style="thick">
        <color theme="3" tint="0.24994659260841701"/>
      </bottom>
      <diagonal/>
    </border>
    <border>
      <left/>
      <right/>
      <top/>
      <bottom style="thick">
        <color theme="3" tint="0.24994659260841701"/>
      </bottom>
      <diagonal/>
    </border>
    <border>
      <left/>
      <right style="thick">
        <color theme="3" tint="0.24994659260841701"/>
      </right>
      <top/>
      <bottom style="thick">
        <color theme="3" tint="0.24994659260841701"/>
      </bottom>
      <diagonal/>
    </border>
    <border>
      <left style="thick">
        <color theme="3" tint="0.24994659260841701"/>
      </left>
      <right/>
      <top style="thick">
        <color theme="3" tint="0.24994659260841701"/>
      </top>
      <bottom style="thick">
        <color theme="3" tint="0.24994659260841701"/>
      </bottom>
      <diagonal/>
    </border>
    <border>
      <left/>
      <right/>
      <top style="thick">
        <color theme="3" tint="0.24994659260841701"/>
      </top>
      <bottom style="thick">
        <color theme="3" tint="0.24994659260841701"/>
      </bottom>
      <diagonal/>
    </border>
    <border>
      <left/>
      <right style="thick">
        <color theme="3" tint="0.24994659260841701"/>
      </right>
      <top style="thick">
        <color theme="3" tint="0.24994659260841701"/>
      </top>
      <bottom style="thick">
        <color theme="3" tint="0.24994659260841701"/>
      </bottom>
      <diagonal/>
    </border>
    <border>
      <left style="thin">
        <color rgb="FF66B9B9"/>
      </left>
      <right style="thin">
        <color rgb="FF66B9B9"/>
      </right>
      <top/>
      <bottom/>
      <diagonal/>
    </border>
    <border>
      <left/>
      <right style="thin">
        <color rgb="FF66B9B9"/>
      </right>
      <top/>
      <bottom/>
      <diagonal/>
    </border>
    <border>
      <left style="thin">
        <color theme="3" tint="0.24994659260841701"/>
      </left>
      <right style="thin">
        <color rgb="FF66B9B9"/>
      </right>
      <top style="thin">
        <color theme="3" tint="0.24994659260841701"/>
      </top>
      <bottom style="thin">
        <color theme="3" tint="0.24994659260841701"/>
      </bottom>
      <diagonal/>
    </border>
    <border>
      <left/>
      <right style="thin">
        <color rgb="FF66B9B9"/>
      </right>
      <top style="thin">
        <color theme="3" tint="0.24994659260841701"/>
      </top>
      <bottom style="thin">
        <color theme="3" tint="0.24994659260841701"/>
      </bottom>
      <diagonal/>
    </border>
    <border>
      <left style="thin">
        <color rgb="FF66B9B9"/>
      </left>
      <right style="thin">
        <color rgb="FF66B9B9"/>
      </right>
      <top style="thin">
        <color theme="3" tint="0.24994659260841701"/>
      </top>
      <bottom style="thin">
        <color theme="3" tint="0.24994659260841701"/>
      </bottom>
      <diagonal/>
    </border>
    <border>
      <left style="thin">
        <color theme="3" tint="0.24994659260841701"/>
      </left>
      <right style="thin">
        <color rgb="FF66B9B9"/>
      </right>
      <top style="thin">
        <color theme="3" tint="0.24994659260841701"/>
      </top>
      <bottom/>
      <diagonal/>
    </border>
    <border>
      <left/>
      <right/>
      <top style="thin">
        <color theme="3" tint="0.24994659260841701"/>
      </top>
      <bottom/>
      <diagonal/>
    </border>
    <border>
      <left style="thin">
        <color rgb="FF66B9B9"/>
      </left>
      <right style="thin">
        <color rgb="FF66B9B9"/>
      </right>
      <top style="thin">
        <color theme="3" tint="0.24994659260841701"/>
      </top>
      <bottom/>
      <diagonal/>
    </border>
    <border>
      <left/>
      <right style="thin">
        <color rgb="FF66B9B9"/>
      </right>
      <top style="thin">
        <color theme="3" tint="0.24994659260841701"/>
      </top>
      <bottom/>
      <diagonal/>
    </border>
    <border>
      <left/>
      <right style="thin">
        <color theme="3" tint="0.24994659260841701"/>
      </right>
      <top style="thin">
        <color theme="3" tint="0.24994659260841701"/>
      </top>
      <bottom/>
      <diagonal/>
    </border>
    <border>
      <left style="thin">
        <color theme="3" tint="0.24994659260841701"/>
      </left>
      <right style="thin">
        <color rgb="FF66B9B9"/>
      </right>
      <top style="thin">
        <color rgb="FF66B9B9"/>
      </top>
      <bottom style="thin">
        <color theme="3" tint="0.24994659260841701"/>
      </bottom>
      <diagonal/>
    </border>
    <border>
      <left/>
      <right/>
      <top/>
      <bottom style="thin">
        <color theme="3" tint="0.24994659260841701"/>
      </bottom>
      <diagonal/>
    </border>
    <border>
      <left style="thin">
        <color rgb="FF66B9B9"/>
      </left>
      <right style="thin">
        <color rgb="FF66B9B9"/>
      </right>
      <top style="thin">
        <color rgb="FF66B9B9"/>
      </top>
      <bottom style="thin">
        <color theme="3" tint="0.24994659260841701"/>
      </bottom>
      <diagonal/>
    </border>
    <border>
      <left/>
      <right style="thin">
        <color rgb="FF66B9B9"/>
      </right>
      <top style="thin">
        <color rgb="FF66B9B9"/>
      </top>
      <bottom style="thin">
        <color theme="3" tint="0.24994659260841701"/>
      </bottom>
      <diagonal/>
    </border>
    <border>
      <left/>
      <right style="thin">
        <color theme="3" tint="0.24994659260841701"/>
      </right>
      <top/>
      <bottom style="thin">
        <color theme="3" tint="0.24994659260841701"/>
      </bottom>
      <diagonal/>
    </border>
    <border>
      <left/>
      <right/>
      <top style="thin">
        <color theme="3" tint="0.24994659260841701"/>
      </top>
      <bottom style="thin">
        <color theme="3" tint="0.24994659260841701"/>
      </bottom>
      <diagonal/>
    </border>
    <border>
      <left/>
      <right style="thin">
        <color theme="3" tint="0.24994659260841701"/>
      </right>
      <top style="thin">
        <color theme="3" tint="0.24994659260841701"/>
      </top>
      <bottom style="thin">
        <color theme="3" tint="0.24994659260841701"/>
      </bottom>
      <diagonal/>
    </border>
    <border>
      <left/>
      <right/>
      <top style="thin">
        <color theme="4" tint="0.39997558519241921"/>
      </top>
      <bottom/>
      <diagonal/>
    </border>
    <border>
      <left style="thin">
        <color rgb="FF66B9B9"/>
      </left>
      <right/>
      <top style="thin">
        <color theme="4" tint="0.39997558519241921"/>
      </top>
      <bottom/>
      <diagonal/>
    </border>
    <border>
      <left style="thin">
        <color theme="3" tint="0.24994659260841701"/>
      </left>
      <right style="thin">
        <color rgb="FF66B9B9"/>
      </right>
      <top/>
      <bottom style="thin">
        <color theme="3" tint="0.24994659260841701"/>
      </bottom>
      <diagonal/>
    </border>
    <border>
      <left/>
      <right style="thin">
        <color rgb="FF66B9B9"/>
      </right>
      <top/>
      <bottom style="thin">
        <color theme="3" tint="0.24994659260841701"/>
      </bottom>
      <diagonal/>
    </border>
    <border>
      <left style="thin">
        <color rgb="FF66B9B9"/>
      </left>
      <right style="thin">
        <color rgb="FF66B9B9"/>
      </right>
      <top/>
      <bottom style="thin">
        <color theme="3" tint="0.24994659260841701"/>
      </bottom>
      <diagonal/>
    </border>
    <border>
      <left style="thin">
        <color rgb="FF66B9B9"/>
      </left>
      <right/>
      <top/>
      <bottom style="thin">
        <color theme="3" tint="0.24994659260841701"/>
      </bottom>
      <diagonal/>
    </border>
    <border>
      <left style="thin">
        <color rgb="FF66B9B9"/>
      </left>
      <right style="thin">
        <color theme="3" tint="0.24994659260841701"/>
      </right>
      <top/>
      <bottom style="thin">
        <color theme="3" tint="0.2499465926084170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rgb="FF66B9B9"/>
      </left>
      <right style="thin">
        <color rgb="FF66B9B9"/>
      </right>
      <top style="thin">
        <color rgb="FF66B9B9"/>
      </top>
      <bottom style="thick">
        <color auto="1"/>
      </bottom>
      <diagonal/>
    </border>
    <border>
      <left style="thin">
        <color theme="4" tint="0.39997558519241921"/>
      </left>
      <right/>
      <top style="thin">
        <color theme="4" tint="0.39997558519241921"/>
      </top>
      <bottom/>
      <diagonal/>
    </border>
  </borders>
  <cellStyleXfs count="4">
    <xf numFmtId="0" fontId="0" fillId="0" borderId="0"/>
    <xf numFmtId="9" fontId="4" fillId="0" borderId="0" applyFont="0" applyFill="0" applyBorder="0" applyAlignment="0" applyProtection="0"/>
    <xf numFmtId="0" fontId="9" fillId="0" borderId="0" applyNumberFormat="0" applyFill="0" applyBorder="0" applyAlignment="0" applyProtection="0"/>
    <xf numFmtId="164" fontId="4" fillId="0" borderId="0" applyFont="0" applyFill="0" applyBorder="0" applyAlignment="0" applyProtection="0"/>
  </cellStyleXfs>
  <cellXfs count="951">
    <xf numFmtId="0" fontId="0" fillId="0" borderId="0" xfId="0"/>
    <xf numFmtId="0" fontId="0" fillId="0" borderId="0" xfId="0"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wrapText="1"/>
    </xf>
    <xf numFmtId="0" fontId="3" fillId="4" borderId="0" xfId="0" applyFont="1" applyFill="1" applyAlignment="1">
      <alignment horizontal="center" vertical="center"/>
    </xf>
    <xf numFmtId="0" fontId="0" fillId="5" borderId="0" xfId="0" applyFill="1" applyAlignment="1">
      <alignment horizontal="center" vertical="center"/>
    </xf>
    <xf numFmtId="0" fontId="0" fillId="7" borderId="0" xfId="0" applyFill="1" applyAlignment="1">
      <alignment horizontal="center" vertical="center"/>
    </xf>
    <xf numFmtId="0" fontId="5" fillId="0" borderId="0" xfId="0" applyFont="1" applyAlignment="1">
      <alignment horizontal="center" vertical="center" readingOrder="1"/>
    </xf>
    <xf numFmtId="0" fontId="5" fillId="0" borderId="3" xfId="0" applyFont="1" applyBorder="1" applyAlignment="1">
      <alignment horizontal="center" vertical="center" readingOrder="1"/>
    </xf>
    <xf numFmtId="0" fontId="5" fillId="0" borderId="5" xfId="0" applyFont="1" applyBorder="1" applyAlignment="1">
      <alignment horizontal="center" vertical="center" readingOrder="1"/>
    </xf>
    <xf numFmtId="0" fontId="6" fillId="8" borderId="4" xfId="0" applyFont="1" applyFill="1" applyBorder="1" applyAlignment="1">
      <alignment horizontal="center" vertical="center" readingOrder="2"/>
    </xf>
    <xf numFmtId="0" fontId="5" fillId="0" borderId="6" xfId="0" applyFont="1" applyBorder="1" applyAlignment="1">
      <alignment horizontal="center" vertical="center" readingOrder="1"/>
    </xf>
    <xf numFmtId="164" fontId="5" fillId="0" borderId="6" xfId="0" applyNumberFormat="1" applyFont="1" applyBorder="1" applyAlignment="1">
      <alignment horizontal="center" vertical="center" readingOrder="1"/>
    </xf>
    <xf numFmtId="166" fontId="5" fillId="0" borderId="6" xfId="0" applyNumberFormat="1" applyFont="1" applyBorder="1" applyAlignment="1">
      <alignment horizontal="center" vertical="center" readingOrder="1"/>
    </xf>
    <xf numFmtId="0" fontId="5" fillId="0" borderId="6" xfId="0" applyFont="1" applyBorder="1" applyAlignment="1">
      <alignment horizontal="center" vertical="center" readingOrder="2"/>
    </xf>
    <xf numFmtId="0" fontId="5" fillId="0" borderId="7" xfId="0" applyFont="1" applyBorder="1" applyAlignment="1">
      <alignment horizontal="center" vertical="center" readingOrder="1"/>
    </xf>
    <xf numFmtId="166" fontId="5" fillId="0" borderId="7" xfId="0" applyNumberFormat="1" applyFont="1" applyBorder="1" applyAlignment="1">
      <alignment horizontal="center" vertical="center" readingOrder="1"/>
    </xf>
    <xf numFmtId="0" fontId="5" fillId="0" borderId="7" xfId="0" applyFont="1" applyBorder="1" applyAlignment="1">
      <alignment horizontal="center" vertical="center" readingOrder="2"/>
    </xf>
    <xf numFmtId="0" fontId="6" fillId="8" borderId="4" xfId="0" applyFont="1" applyFill="1" applyBorder="1" applyAlignment="1">
      <alignment horizontal="center" vertical="center" readingOrder="1"/>
    </xf>
    <xf numFmtId="14" fontId="5" fillId="0" borderId="6" xfId="0" applyNumberFormat="1" applyFont="1" applyBorder="1" applyAlignment="1">
      <alignment horizontal="center" vertical="center" readingOrder="1"/>
    </xf>
    <xf numFmtId="14" fontId="5" fillId="0" borderId="7" xfId="0" applyNumberFormat="1" applyFont="1" applyBorder="1" applyAlignment="1">
      <alignment horizontal="center" vertical="center" readingOrder="1"/>
    </xf>
    <xf numFmtId="14" fontId="5" fillId="0" borderId="0" xfId="0" applyNumberFormat="1" applyFont="1" applyAlignment="1">
      <alignment horizontal="center" vertical="center" readingOrder="1"/>
    </xf>
    <xf numFmtId="0" fontId="5" fillId="0" borderId="11" xfId="0" applyFont="1" applyBorder="1" applyAlignment="1">
      <alignment horizontal="center" vertical="center" readingOrder="2"/>
    </xf>
    <xf numFmtId="0" fontId="5" fillId="0" borderId="10" xfId="0" applyFont="1" applyBorder="1" applyAlignment="1">
      <alignment horizontal="center" vertical="center" readingOrder="1"/>
    </xf>
    <xf numFmtId="0" fontId="6" fillId="8" borderId="9" xfId="0" applyFont="1" applyFill="1" applyBorder="1" applyAlignment="1">
      <alignment horizontal="center" vertical="center" readingOrder="2"/>
    </xf>
    <xf numFmtId="22" fontId="0" fillId="0" borderId="0" xfId="0" applyNumberFormat="1" applyAlignment="1">
      <alignment horizontal="center" vertical="center"/>
    </xf>
    <xf numFmtId="0" fontId="12" fillId="0" borderId="0" xfId="0" applyFont="1" applyAlignment="1">
      <alignment horizontal="center" vertical="center"/>
    </xf>
    <xf numFmtId="0" fontId="13" fillId="9" borderId="0" xfId="0" applyFont="1" applyFill="1" applyAlignment="1">
      <alignment horizontal="center" vertical="center"/>
    </xf>
    <xf numFmtId="0" fontId="14" fillId="0" borderId="0" xfId="0" applyFont="1" applyAlignment="1">
      <alignment horizontal="center" vertical="center"/>
    </xf>
    <xf numFmtId="2" fontId="14" fillId="0" borderId="0" xfId="3" applyNumberFormat="1" applyFont="1" applyFill="1" applyAlignment="1">
      <alignment horizontal="center" vertical="center"/>
    </xf>
    <xf numFmtId="14" fontId="14" fillId="0" borderId="0" xfId="0" applyNumberFormat="1" applyFont="1" applyAlignment="1">
      <alignment horizontal="center" vertical="center"/>
    </xf>
    <xf numFmtId="0" fontId="15" fillId="0" borderId="0" xfId="0" applyFont="1" applyAlignment="1">
      <alignment horizontal="center" vertical="center"/>
    </xf>
    <xf numFmtId="2" fontId="14" fillId="0" borderId="0" xfId="0" applyNumberFormat="1" applyFont="1" applyAlignment="1">
      <alignment horizontal="center" vertical="center"/>
    </xf>
    <xf numFmtId="0" fontId="14" fillId="0" borderId="0" xfId="0" applyFont="1" applyAlignment="1">
      <alignment horizontal="center" vertical="center" readingOrder="2"/>
    </xf>
    <xf numFmtId="0" fontId="12" fillId="0" borderId="15" xfId="0" applyFont="1" applyBorder="1" applyAlignment="1">
      <alignment horizontal="center" vertical="center"/>
    </xf>
    <xf numFmtId="0" fontId="12" fillId="0" borderId="16"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12" fillId="0" borderId="21" xfId="0" applyFont="1" applyBorder="1" applyAlignment="1">
      <alignment horizontal="center" vertical="center"/>
    </xf>
    <xf numFmtId="0" fontId="12" fillId="0" borderId="22" xfId="0" applyFont="1" applyBorder="1" applyAlignment="1">
      <alignment horizontal="center" vertical="center"/>
    </xf>
    <xf numFmtId="0" fontId="17" fillId="0" borderId="26" xfId="0" applyFont="1" applyBorder="1" applyAlignment="1">
      <alignment horizontal="center" vertical="center"/>
    </xf>
    <xf numFmtId="2" fontId="19" fillId="0" borderId="24" xfId="0" applyNumberFormat="1" applyFont="1" applyBorder="1" applyAlignment="1">
      <alignment horizontal="center" vertical="center"/>
    </xf>
    <xf numFmtId="0" fontId="20" fillId="0" borderId="0" xfId="0" applyFont="1" applyAlignment="1">
      <alignment horizontal="center" vertical="center"/>
    </xf>
    <xf numFmtId="0" fontId="22" fillId="0" borderId="0" xfId="0" applyFont="1" applyAlignment="1">
      <alignment horizontal="center" vertical="center"/>
    </xf>
    <xf numFmtId="0" fontId="23" fillId="0" borderId="0" xfId="0" applyFont="1" applyAlignment="1">
      <alignment horizontal="center" vertical="center"/>
    </xf>
    <xf numFmtId="0" fontId="24" fillId="0" borderId="0" xfId="0" applyFont="1" applyAlignment="1">
      <alignment horizontal="center" vertical="center"/>
    </xf>
    <xf numFmtId="164" fontId="21" fillId="0" borderId="0" xfId="3" applyFont="1" applyBorder="1" applyAlignment="1">
      <alignment horizontal="center" vertical="center"/>
    </xf>
    <xf numFmtId="164" fontId="12" fillId="0" borderId="0" xfId="3" applyFont="1" applyBorder="1" applyAlignment="1">
      <alignment horizontal="center" vertical="center"/>
    </xf>
    <xf numFmtId="164" fontId="18" fillId="0" borderId="25" xfId="3" applyFont="1" applyBorder="1" applyAlignment="1">
      <alignment horizontal="center" vertical="center"/>
    </xf>
    <xf numFmtId="0" fontId="16" fillId="0" borderId="33" xfId="0" applyFont="1" applyBorder="1" applyAlignment="1">
      <alignment horizontal="center" vertical="center"/>
    </xf>
    <xf numFmtId="0" fontId="1" fillId="9" borderId="14" xfId="0" applyFont="1" applyFill="1" applyBorder="1" applyAlignment="1">
      <alignment horizontal="center" vertical="center"/>
    </xf>
    <xf numFmtId="0" fontId="1" fillId="9" borderId="9" xfId="0" applyFont="1" applyFill="1" applyBorder="1" applyAlignment="1">
      <alignment horizontal="center" vertical="center"/>
    </xf>
    <xf numFmtId="0" fontId="1" fillId="9" borderId="12" xfId="0" applyFont="1" applyFill="1" applyBorder="1" applyAlignment="1">
      <alignment horizontal="center" vertical="center"/>
    </xf>
    <xf numFmtId="0" fontId="16" fillId="0" borderId="27" xfId="0" applyFont="1" applyBorder="1" applyAlignment="1">
      <alignment horizontal="center" vertical="center"/>
    </xf>
    <xf numFmtId="0" fontId="16" fillId="0" borderId="28" xfId="0" applyFont="1" applyBorder="1" applyAlignment="1">
      <alignment horizontal="center" vertical="center"/>
    </xf>
    <xf numFmtId="0" fontId="16" fillId="0" borderId="29" xfId="0" applyFont="1" applyBorder="1" applyAlignment="1">
      <alignment horizontal="center" vertical="center"/>
    </xf>
    <xf numFmtId="14" fontId="16" fillId="0" borderId="29" xfId="0" applyNumberFormat="1" applyFont="1" applyBorder="1" applyAlignment="1">
      <alignment horizontal="center" vertical="center"/>
    </xf>
    <xf numFmtId="0" fontId="16" fillId="0" borderId="30" xfId="0" applyFont="1" applyBorder="1" applyAlignment="1">
      <alignment horizontal="center" vertical="center"/>
    </xf>
    <xf numFmtId="0" fontId="16" fillId="0" borderId="31" xfId="0" applyFont="1" applyBorder="1" applyAlignment="1">
      <alignment horizontal="center" vertical="center"/>
    </xf>
    <xf numFmtId="0" fontId="16" fillId="0" borderId="32" xfId="0" applyFont="1" applyBorder="1" applyAlignment="1">
      <alignment horizontal="center" vertical="center"/>
    </xf>
    <xf numFmtId="14" fontId="16" fillId="0" borderId="33" xfId="0" applyNumberFormat="1" applyFont="1" applyBorder="1" applyAlignment="1">
      <alignment horizontal="center" vertical="center"/>
    </xf>
    <xf numFmtId="0" fontId="16" fillId="0" borderId="34" xfId="0" applyFont="1" applyBorder="1" applyAlignment="1">
      <alignment horizontal="center" vertical="center"/>
    </xf>
    <xf numFmtId="14" fontId="16" fillId="0" borderId="34" xfId="0" applyNumberFormat="1" applyFont="1" applyBorder="1" applyAlignment="1">
      <alignment horizontal="center" vertical="center"/>
    </xf>
    <xf numFmtId="0" fontId="5" fillId="0" borderId="33" xfId="0" applyFont="1" applyBorder="1" applyAlignment="1">
      <alignment horizontal="center" vertical="center" readingOrder="2"/>
    </xf>
    <xf numFmtId="14" fontId="5" fillId="0" borderId="33" xfId="0" applyNumberFormat="1" applyFont="1" applyBorder="1" applyAlignment="1">
      <alignment horizontal="center" vertical="center" readingOrder="1"/>
    </xf>
    <xf numFmtId="0" fontId="16" fillId="10" borderId="33" xfId="0" applyFont="1" applyFill="1" applyBorder="1" applyAlignment="1">
      <alignment horizontal="center" vertical="center"/>
    </xf>
    <xf numFmtId="0" fontId="1" fillId="9" borderId="13" xfId="0" applyFont="1" applyFill="1" applyBorder="1" applyAlignment="1">
      <alignment horizontal="center" vertical="center"/>
    </xf>
    <xf numFmtId="14" fontId="1" fillId="9" borderId="9" xfId="0" applyNumberFormat="1" applyFont="1" applyFill="1" applyBorder="1" applyAlignment="1">
      <alignment horizontal="center" vertical="center"/>
    </xf>
    <xf numFmtId="14" fontId="23" fillId="0" borderId="0" xfId="0" applyNumberFormat="1" applyFont="1" applyAlignment="1">
      <alignment horizontal="center" vertical="center"/>
    </xf>
    <xf numFmtId="0" fontId="26" fillId="0" borderId="11" xfId="0" applyFont="1" applyBorder="1" applyAlignment="1">
      <alignment horizontal="center" vertical="center" readingOrder="1"/>
    </xf>
    <xf numFmtId="164" fontId="5" fillId="0" borderId="8" xfId="3" applyFont="1" applyBorder="1" applyAlignment="1">
      <alignment horizontal="center" vertical="center" readingOrder="1"/>
    </xf>
    <xf numFmtId="0" fontId="6" fillId="8" borderId="39" xfId="0" applyFont="1" applyFill="1" applyBorder="1" applyAlignment="1">
      <alignment horizontal="center" vertical="center" readingOrder="2"/>
    </xf>
    <xf numFmtId="0" fontId="5" fillId="0" borderId="45" xfId="0" applyFont="1" applyBorder="1" applyAlignment="1">
      <alignment horizontal="center" vertical="center" readingOrder="2"/>
    </xf>
    <xf numFmtId="14" fontId="0" fillId="0" borderId="0" xfId="0" applyNumberFormat="1"/>
    <xf numFmtId="0" fontId="28" fillId="0" borderId="33" xfId="0" applyFont="1" applyBorder="1" applyAlignment="1">
      <alignment horizontal="center" vertical="center" readingOrder="2"/>
    </xf>
    <xf numFmtId="3" fontId="28" fillId="0" borderId="47" xfId="0" applyNumberFormat="1" applyFont="1" applyBorder="1" applyAlignment="1">
      <alignment horizontal="center" vertical="center" readingOrder="1"/>
    </xf>
    <xf numFmtId="14" fontId="28" fillId="0" borderId="47" xfId="0" applyNumberFormat="1" applyFont="1" applyBorder="1" applyAlignment="1">
      <alignment horizontal="center" vertical="center" readingOrder="2"/>
    </xf>
    <xf numFmtId="0" fontId="28" fillId="0" borderId="33" xfId="0" applyFont="1" applyBorder="1" applyAlignment="1">
      <alignment horizontal="center" vertical="center" readingOrder="1"/>
    </xf>
    <xf numFmtId="0" fontId="28" fillId="0" borderId="47" xfId="0" applyFont="1" applyBorder="1" applyAlignment="1">
      <alignment horizontal="center" vertical="center" readingOrder="1"/>
    </xf>
    <xf numFmtId="0" fontId="28" fillId="0" borderId="47" xfId="0" applyFont="1" applyBorder="1" applyAlignment="1">
      <alignment horizontal="center" vertical="center" readingOrder="2"/>
    </xf>
    <xf numFmtId="0" fontId="28" fillId="0" borderId="0" xfId="0" applyFont="1" applyAlignment="1">
      <alignment horizontal="center" vertical="center" readingOrder="1"/>
    </xf>
    <xf numFmtId="0" fontId="28" fillId="0" borderId="0" xfId="0" applyFont="1" applyAlignment="1">
      <alignment horizontal="center" vertical="center" readingOrder="2"/>
    </xf>
    <xf numFmtId="14" fontId="28" fillId="0" borderId="0" xfId="0" applyNumberFormat="1" applyFont="1" applyAlignment="1">
      <alignment horizontal="center" vertical="center" readingOrder="1"/>
    </xf>
    <xf numFmtId="1" fontId="28" fillId="0" borderId="0" xfId="0" applyNumberFormat="1" applyFont="1" applyAlignment="1">
      <alignment horizontal="center" vertical="center" readingOrder="1"/>
    </xf>
    <xf numFmtId="3" fontId="28" fillId="0" borderId="33" xfId="0" applyNumberFormat="1" applyFont="1" applyBorder="1" applyAlignment="1">
      <alignment horizontal="center" vertical="center" readingOrder="1"/>
    </xf>
    <xf numFmtId="14" fontId="28" fillId="0" borderId="33" xfId="0" applyNumberFormat="1" applyFont="1" applyBorder="1" applyAlignment="1">
      <alignment horizontal="center" vertical="center" readingOrder="1"/>
    </xf>
    <xf numFmtId="1" fontId="28" fillId="0" borderId="33" xfId="0" applyNumberFormat="1" applyFont="1" applyBorder="1" applyAlignment="1">
      <alignment horizontal="center" vertical="center" readingOrder="1"/>
    </xf>
    <xf numFmtId="0" fontId="31" fillId="11" borderId="49" xfId="0" applyFont="1" applyFill="1" applyBorder="1" applyAlignment="1">
      <alignment horizontal="center" vertical="center" wrapText="1"/>
    </xf>
    <xf numFmtId="0" fontId="12" fillId="0" borderId="0" xfId="0" applyFont="1" applyAlignment="1">
      <alignment horizontal="center" vertical="center" wrapText="1"/>
    </xf>
    <xf numFmtId="0" fontId="9" fillId="0" borderId="0" xfId="2" applyAlignment="1">
      <alignment horizontal="center" vertical="center"/>
    </xf>
    <xf numFmtId="0" fontId="27" fillId="11" borderId="49" xfId="0" applyFont="1" applyFill="1" applyBorder="1" applyAlignment="1">
      <alignment horizontal="center" vertical="center" wrapText="1"/>
    </xf>
    <xf numFmtId="0" fontId="27" fillId="11" borderId="54" xfId="0" applyFont="1" applyFill="1" applyBorder="1" applyAlignment="1">
      <alignment horizontal="center" vertical="center" wrapText="1"/>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0" fillId="7" borderId="0" xfId="0" applyFill="1" applyAlignment="1">
      <alignment horizontal="center" vertical="center" wrapText="1"/>
    </xf>
    <xf numFmtId="0" fontId="27" fillId="7" borderId="49" xfId="0" applyFont="1" applyFill="1" applyBorder="1" applyAlignment="1">
      <alignment horizontal="center" vertical="center" wrapText="1"/>
    </xf>
    <xf numFmtId="0" fontId="31" fillId="7" borderId="50" xfId="0" applyFont="1" applyFill="1" applyBorder="1" applyAlignment="1">
      <alignment horizontal="center" vertical="center" wrapText="1"/>
    </xf>
    <xf numFmtId="0" fontId="12" fillId="0" borderId="56" xfId="0" applyFont="1" applyBorder="1" applyAlignment="1">
      <alignment horizontal="center" vertical="center"/>
    </xf>
    <xf numFmtId="16" fontId="12" fillId="0" borderId="57" xfId="0" applyNumberFormat="1" applyFont="1" applyBorder="1" applyAlignment="1">
      <alignment horizontal="center" vertical="center"/>
    </xf>
    <xf numFmtId="0" fontId="12" fillId="0" borderId="57" xfId="0" applyFont="1" applyBorder="1" applyAlignment="1">
      <alignment horizontal="center" vertical="center"/>
    </xf>
    <xf numFmtId="0" fontId="12" fillId="0" borderId="58" xfId="0" applyFont="1" applyBorder="1" applyAlignment="1">
      <alignment horizontal="center" vertical="center"/>
    </xf>
    <xf numFmtId="0" fontId="12" fillId="0" borderId="59" xfId="0" applyFont="1" applyBorder="1" applyAlignment="1">
      <alignment horizontal="center" vertical="center"/>
    </xf>
    <xf numFmtId="16" fontId="12" fillId="0" borderId="60" xfId="0" applyNumberFormat="1" applyFont="1" applyBorder="1" applyAlignment="1">
      <alignment horizontal="center" vertical="center"/>
    </xf>
    <xf numFmtId="0" fontId="12" fillId="0" borderId="60" xfId="0" applyFont="1" applyBorder="1" applyAlignment="1">
      <alignment horizontal="center" vertical="center"/>
    </xf>
    <xf numFmtId="0" fontId="12" fillId="0" borderId="61" xfId="0" applyFont="1" applyBorder="1" applyAlignment="1">
      <alignment horizontal="center" vertical="center"/>
    </xf>
    <xf numFmtId="0" fontId="12" fillId="0" borderId="62" xfId="0" applyFont="1" applyBorder="1" applyAlignment="1">
      <alignment horizontal="center" vertical="center"/>
    </xf>
    <xf numFmtId="16" fontId="12" fillId="0" borderId="63" xfId="0" applyNumberFormat="1" applyFont="1" applyBorder="1" applyAlignment="1">
      <alignment horizontal="center" vertical="center"/>
    </xf>
    <xf numFmtId="0" fontId="12" fillId="0" borderId="63" xfId="0" applyFont="1" applyBorder="1" applyAlignment="1">
      <alignment horizontal="center" vertical="center"/>
    </xf>
    <xf numFmtId="0" fontId="12" fillId="0" borderId="64" xfId="0" applyFont="1" applyBorder="1" applyAlignment="1">
      <alignment horizontal="center" vertical="center"/>
    </xf>
    <xf numFmtId="0" fontId="0" fillId="0" borderId="67" xfId="0" applyBorder="1" applyAlignment="1">
      <alignment horizontal="center" vertical="center"/>
    </xf>
    <xf numFmtId="14" fontId="12" fillId="0" borderId="0" xfId="0" applyNumberFormat="1" applyFont="1" applyAlignment="1">
      <alignment horizontal="center" vertical="center"/>
    </xf>
    <xf numFmtId="0" fontId="0" fillId="0" borderId="0" xfId="0" applyAlignment="1" applyProtection="1">
      <alignment horizontal="center" vertical="center"/>
      <protection locked="0"/>
    </xf>
    <xf numFmtId="0" fontId="0" fillId="2" borderId="0" xfId="0" applyFill="1" applyAlignment="1" applyProtection="1">
      <alignment horizontal="center" vertical="center"/>
      <protection locked="0"/>
    </xf>
    <xf numFmtId="0" fontId="1" fillId="9" borderId="0" xfId="0" applyFont="1" applyFill="1" applyAlignment="1" applyProtection="1">
      <alignment horizontal="center" vertical="center"/>
      <protection locked="0"/>
    </xf>
    <xf numFmtId="0" fontId="0" fillId="2" borderId="0" xfId="0" applyFill="1" applyAlignment="1" applyProtection="1">
      <alignment horizontal="center" vertical="center" wrapText="1"/>
      <protection locked="0"/>
    </xf>
    <xf numFmtId="0" fontId="0" fillId="0" borderId="0" xfId="0" applyAlignment="1" applyProtection="1">
      <alignment horizontal="center" vertical="center" wrapText="1"/>
      <protection locked="0"/>
    </xf>
    <xf numFmtId="14" fontId="1" fillId="9" borderId="0" xfId="0" applyNumberFormat="1" applyFont="1" applyFill="1" applyAlignment="1" applyProtection="1">
      <alignment horizontal="center" vertical="center"/>
      <protection locked="0"/>
    </xf>
    <xf numFmtId="0" fontId="27" fillId="7" borderId="74" xfId="0" applyFont="1" applyFill="1" applyBorder="1" applyAlignment="1" applyProtection="1">
      <alignment horizontal="center" vertical="center"/>
      <protection locked="0"/>
    </xf>
    <xf numFmtId="0" fontId="27" fillId="7" borderId="75" xfId="0" applyFont="1" applyFill="1" applyBorder="1" applyAlignment="1" applyProtection="1">
      <alignment horizontal="center" vertical="center"/>
      <protection locked="0"/>
    </xf>
    <xf numFmtId="0" fontId="27" fillId="7" borderId="72" xfId="0" applyFont="1" applyFill="1" applyBorder="1" applyAlignment="1" applyProtection="1">
      <alignment horizontal="center" vertical="center"/>
      <protection locked="0"/>
    </xf>
    <xf numFmtId="0" fontId="27" fillId="7" borderId="73" xfId="0" applyFont="1" applyFill="1" applyBorder="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12" fillId="0" borderId="0" xfId="0" applyFont="1" applyAlignment="1" applyProtection="1">
      <alignment horizontal="center" vertical="center"/>
      <protection locked="0"/>
    </xf>
    <xf numFmtId="165" fontId="12" fillId="0" borderId="0" xfId="0" applyNumberFormat="1" applyFont="1" applyAlignment="1" applyProtection="1">
      <alignment horizontal="center" vertical="center"/>
      <protection locked="0"/>
    </xf>
    <xf numFmtId="0" fontId="12" fillId="0" borderId="0" xfId="0" applyFont="1" applyAlignment="1" applyProtection="1">
      <alignment vertical="center"/>
      <protection locked="0"/>
    </xf>
    <xf numFmtId="14" fontId="12" fillId="0" borderId="0" xfId="0" applyNumberFormat="1" applyFont="1" applyAlignment="1" applyProtection="1">
      <alignment vertical="center"/>
      <protection locked="0"/>
    </xf>
    <xf numFmtId="0" fontId="11" fillId="0" borderId="0" xfId="0" applyFont="1" applyAlignment="1" applyProtection="1">
      <alignment vertical="center" wrapText="1"/>
      <protection locked="0"/>
    </xf>
    <xf numFmtId="14" fontId="11" fillId="0" borderId="0" xfId="0" applyNumberFormat="1" applyFont="1" applyAlignment="1" applyProtection="1">
      <alignment vertical="center" wrapText="1"/>
      <protection locked="0"/>
    </xf>
    <xf numFmtId="0" fontId="0" fillId="0" borderId="0" xfId="0" applyAlignment="1" applyProtection="1">
      <alignment horizontal="center" vertical="center" wrapText="1"/>
      <protection hidden="1"/>
    </xf>
    <xf numFmtId="0" fontId="16" fillId="0" borderId="76" xfId="0" applyFont="1" applyBorder="1" applyAlignment="1">
      <alignment horizontal="center" vertical="center"/>
    </xf>
    <xf numFmtId="14" fontId="16" fillId="0" borderId="76" xfId="0" applyNumberFormat="1" applyFont="1" applyBorder="1" applyAlignment="1">
      <alignment horizontal="center" vertical="center"/>
    </xf>
    <xf numFmtId="0" fontId="16" fillId="0" borderId="77" xfId="0" applyFont="1" applyBorder="1" applyAlignment="1">
      <alignment horizontal="center" vertical="center"/>
    </xf>
    <xf numFmtId="0" fontId="12" fillId="0" borderId="78" xfId="0" applyFont="1" applyBorder="1" applyAlignment="1">
      <alignment horizontal="center" vertical="center"/>
    </xf>
    <xf numFmtId="0" fontId="27" fillId="12" borderId="78" xfId="0" applyFont="1" applyFill="1" applyBorder="1" applyAlignment="1">
      <alignment horizontal="center" vertical="center"/>
    </xf>
    <xf numFmtId="14" fontId="12" fillId="0" borderId="78" xfId="0" applyNumberFormat="1" applyFont="1" applyBorder="1" applyAlignment="1">
      <alignment horizontal="center" vertical="center"/>
    </xf>
    <xf numFmtId="0" fontId="12" fillId="0" borderId="83" xfId="0" applyFont="1" applyBorder="1" applyAlignment="1">
      <alignment horizontal="center" vertical="center"/>
    </xf>
    <xf numFmtId="0" fontId="12" fillId="0" borderId="84" xfId="0" applyFont="1" applyBorder="1" applyAlignment="1">
      <alignment horizontal="center" vertical="center"/>
    </xf>
    <xf numFmtId="0" fontId="14" fillId="0" borderId="45" xfId="0" applyFont="1" applyBorder="1" applyAlignment="1">
      <alignment horizontal="center" vertical="center"/>
    </xf>
    <xf numFmtId="0" fontId="12" fillId="0" borderId="85" xfId="0" applyFont="1" applyBorder="1" applyAlignment="1">
      <alignment horizontal="center" vertical="center"/>
    </xf>
    <xf numFmtId="0" fontId="12" fillId="0" borderId="86" xfId="0" applyFont="1" applyBorder="1" applyAlignment="1">
      <alignment horizontal="center" vertical="center"/>
    </xf>
    <xf numFmtId="0" fontId="12" fillId="0" borderId="87" xfId="0" applyFont="1" applyBorder="1" applyAlignment="1">
      <alignment horizontal="center" vertical="center"/>
    </xf>
    <xf numFmtId="0" fontId="12" fillId="0" borderId="88" xfId="0" applyFont="1" applyBorder="1" applyAlignment="1">
      <alignment horizontal="center" vertical="center"/>
    </xf>
    <xf numFmtId="0" fontId="15" fillId="0" borderId="86" xfId="0" applyFont="1" applyBorder="1" applyAlignment="1">
      <alignment horizontal="center" vertical="center"/>
    </xf>
    <xf numFmtId="0" fontId="12" fillId="0" borderId="89" xfId="0" applyFont="1" applyBorder="1" applyAlignment="1">
      <alignment horizontal="center" vertical="center"/>
    </xf>
    <xf numFmtId="0" fontId="15" fillId="0" borderId="87" xfId="0" applyFont="1" applyBorder="1" applyAlignment="1">
      <alignment horizontal="center" vertical="center"/>
    </xf>
    <xf numFmtId="0" fontId="16" fillId="0" borderId="90" xfId="0" applyFont="1" applyBorder="1" applyAlignment="1">
      <alignment horizontal="center" vertical="center"/>
    </xf>
    <xf numFmtId="16" fontId="16" fillId="0" borderId="32" xfId="0" applyNumberFormat="1" applyFont="1" applyBorder="1" applyAlignment="1">
      <alignment horizontal="center" vertical="center"/>
    </xf>
    <xf numFmtId="164" fontId="0" fillId="0" borderId="0" xfId="3" applyFont="1" applyAlignment="1">
      <alignment horizontal="center" vertical="center"/>
    </xf>
    <xf numFmtId="0" fontId="23" fillId="0" borderId="19" xfId="0" applyFont="1" applyBorder="1" applyAlignment="1">
      <alignment horizontal="center" vertical="center"/>
    </xf>
    <xf numFmtId="0" fontId="12" fillId="0" borderId="5" xfId="0" applyFont="1" applyBorder="1" applyAlignment="1">
      <alignment horizontal="center" vertical="center"/>
    </xf>
    <xf numFmtId="0" fontId="12" fillId="0" borderId="10" xfId="0" applyFont="1" applyBorder="1" applyAlignment="1">
      <alignment horizontal="center" vertical="center"/>
    </xf>
    <xf numFmtId="10" fontId="12" fillId="0" borderId="0" xfId="1" applyNumberFormat="1" applyFont="1" applyBorder="1" applyAlignment="1">
      <alignment horizontal="center" vertical="center"/>
    </xf>
    <xf numFmtId="10" fontId="12" fillId="0" borderId="10" xfId="1" applyNumberFormat="1" applyFont="1" applyBorder="1" applyAlignment="1">
      <alignment horizontal="center" vertical="center"/>
    </xf>
    <xf numFmtId="0" fontId="12" fillId="0" borderId="100" xfId="0" applyFont="1" applyBorder="1" applyAlignment="1">
      <alignment horizontal="center" vertical="center"/>
    </xf>
    <xf numFmtId="0" fontId="12" fillId="0" borderId="4" xfId="0" applyFont="1" applyBorder="1" applyAlignment="1">
      <alignment horizontal="center" vertical="center"/>
    </xf>
    <xf numFmtId="0" fontId="12" fillId="0" borderId="38" xfId="0" applyFont="1" applyBorder="1" applyAlignment="1">
      <alignment horizontal="center" vertical="center"/>
    </xf>
    <xf numFmtId="0" fontId="12" fillId="0" borderId="99" xfId="0" applyFont="1" applyBorder="1" applyAlignment="1">
      <alignment horizontal="center" vertical="center"/>
    </xf>
    <xf numFmtId="0" fontId="12" fillId="0" borderId="3" xfId="0" applyFont="1" applyBorder="1" applyAlignment="1">
      <alignment horizontal="center" vertical="center"/>
    </xf>
    <xf numFmtId="0" fontId="12" fillId="0" borderId="37" xfId="0" applyFont="1" applyBorder="1" applyAlignment="1">
      <alignment horizontal="center" vertical="center"/>
    </xf>
    <xf numFmtId="0" fontId="16" fillId="0" borderId="0" xfId="0" applyFont="1" applyAlignment="1">
      <alignment horizontal="center" vertical="center"/>
    </xf>
    <xf numFmtId="0" fontId="28" fillId="0" borderId="102" xfId="0" applyFont="1" applyBorder="1" applyAlignment="1">
      <alignment horizontal="center" vertical="center" readingOrder="1"/>
    </xf>
    <xf numFmtId="3" fontId="28" fillId="0" borderId="102" xfId="0" applyNumberFormat="1" applyFont="1" applyBorder="1" applyAlignment="1">
      <alignment horizontal="center" vertical="center" readingOrder="1"/>
    </xf>
    <xf numFmtId="0" fontId="28" fillId="0" borderId="102" xfId="0" applyFont="1" applyBorder="1" applyAlignment="1">
      <alignment horizontal="center" vertical="center" readingOrder="2"/>
    </xf>
    <xf numFmtId="0" fontId="25" fillId="0" borderId="0" xfId="0" applyFont="1" applyAlignment="1">
      <alignment horizontal="center" vertical="center"/>
    </xf>
    <xf numFmtId="0" fontId="16" fillId="0" borderId="0" xfId="0" applyFont="1" applyAlignment="1">
      <alignment horizontal="center" vertical="center" wrapText="1"/>
    </xf>
    <xf numFmtId="2" fontId="12" fillId="0" borderId="0" xfId="0" applyNumberFormat="1" applyFont="1" applyAlignment="1">
      <alignment horizontal="center" vertical="center"/>
    </xf>
    <xf numFmtId="0" fontId="12" fillId="0" borderId="5" xfId="0" applyFont="1" applyBorder="1" applyAlignment="1">
      <alignment vertical="center"/>
    </xf>
    <xf numFmtId="0" fontId="12" fillId="0" borderId="0" xfId="0" applyFont="1" applyAlignment="1">
      <alignment vertical="center"/>
    </xf>
    <xf numFmtId="0" fontId="34" fillId="0" borderId="36" xfId="0" applyFont="1" applyBorder="1" applyAlignment="1">
      <alignment horizontal="center" vertical="center"/>
    </xf>
    <xf numFmtId="0" fontId="34" fillId="0" borderId="11" xfId="0" applyFont="1" applyBorder="1" applyAlignment="1">
      <alignment horizontal="center" vertical="center"/>
    </xf>
    <xf numFmtId="0" fontId="16" fillId="0" borderId="101" xfId="0" applyFont="1" applyBorder="1" applyAlignment="1">
      <alignment horizontal="center" vertical="center"/>
    </xf>
    <xf numFmtId="0" fontId="6" fillId="8" borderId="4" xfId="0" applyFont="1" applyFill="1" applyBorder="1" applyAlignment="1">
      <alignment horizontal="center" vertical="center" wrapText="1" readingOrder="2"/>
    </xf>
    <xf numFmtId="49" fontId="5" fillId="0" borderId="7" xfId="0" applyNumberFormat="1" applyFont="1" applyBorder="1" applyAlignment="1">
      <alignment horizontal="center" vertical="center" readingOrder="1"/>
    </xf>
    <xf numFmtId="0" fontId="14" fillId="0" borderId="103" xfId="0" applyFont="1" applyBorder="1" applyAlignment="1">
      <alignment horizontal="center" vertical="center"/>
    </xf>
    <xf numFmtId="0" fontId="12" fillId="0" borderId="104" xfId="0" applyFont="1" applyBorder="1" applyAlignment="1">
      <alignment horizontal="center" vertical="center"/>
    </xf>
    <xf numFmtId="0" fontId="0" fillId="0" borderId="0" xfId="0" pivotButton="1"/>
    <xf numFmtId="0" fontId="0" fillId="0" borderId="0" xfId="0" applyAlignment="1">
      <alignment horizontal="right"/>
    </xf>
    <xf numFmtId="164" fontId="0" fillId="0" borderId="0" xfId="0" applyNumberFormat="1"/>
    <xf numFmtId="0" fontId="32" fillId="9" borderId="0" xfId="0" applyFont="1" applyFill="1" applyAlignment="1">
      <alignment vertical="center"/>
    </xf>
    <xf numFmtId="1" fontId="28" fillId="0" borderId="102" xfId="0" applyNumberFormat="1" applyFont="1" applyBorder="1" applyAlignment="1">
      <alignment horizontal="center" vertical="center" readingOrder="1"/>
    </xf>
    <xf numFmtId="0" fontId="27" fillId="11" borderId="9" xfId="0" applyFont="1" applyFill="1" applyBorder="1" applyAlignment="1">
      <alignment horizontal="center" vertical="center" wrapText="1"/>
    </xf>
    <xf numFmtId="0" fontId="7" fillId="0" borderId="0" xfId="0" applyFont="1" applyAlignment="1">
      <alignment horizontal="center" vertical="center" wrapText="1"/>
    </xf>
    <xf numFmtId="0" fontId="28" fillId="0" borderId="109" xfId="0" applyFont="1" applyBorder="1" applyAlignment="1">
      <alignment horizontal="center" vertical="center" readingOrder="1"/>
    </xf>
    <xf numFmtId="3" fontId="28" fillId="0" borderId="109" xfId="0" applyNumberFormat="1" applyFont="1" applyBorder="1" applyAlignment="1">
      <alignment horizontal="center" vertical="center" readingOrder="1"/>
    </xf>
    <xf numFmtId="0" fontId="28" fillId="0" borderId="109" xfId="0" applyFont="1" applyBorder="1" applyAlignment="1">
      <alignment horizontal="center" vertical="center" readingOrder="2"/>
    </xf>
    <xf numFmtId="14" fontId="28" fillId="0" borderId="109" xfId="0" applyNumberFormat="1" applyFont="1" applyBorder="1" applyAlignment="1">
      <alignment horizontal="center" vertical="center" readingOrder="2"/>
    </xf>
    <xf numFmtId="3" fontId="28" fillId="0" borderId="108" xfId="0" applyNumberFormat="1" applyFont="1" applyBorder="1" applyAlignment="1">
      <alignment horizontal="center" vertical="center" readingOrder="1"/>
    </xf>
    <xf numFmtId="0" fontId="28" fillId="0" borderId="108" xfId="0" applyFont="1" applyBorder="1" applyAlignment="1">
      <alignment horizontal="center" vertical="center" readingOrder="1"/>
    </xf>
    <xf numFmtId="0" fontId="28" fillId="0" borderId="111" xfId="0" applyFont="1" applyBorder="1" applyAlignment="1">
      <alignment horizontal="center" vertical="center" readingOrder="2"/>
    </xf>
    <xf numFmtId="14" fontId="28" fillId="0" borderId="111" xfId="0" applyNumberFormat="1" applyFont="1" applyBorder="1" applyAlignment="1">
      <alignment horizontal="center" vertical="center" readingOrder="2"/>
    </xf>
    <xf numFmtId="164" fontId="0" fillId="0" borderId="0" xfId="3" applyFont="1"/>
    <xf numFmtId="0" fontId="37" fillId="0" borderId="51" xfId="0" applyFont="1" applyBorder="1" applyAlignment="1">
      <alignment horizontal="center" vertical="center" wrapText="1"/>
    </xf>
    <xf numFmtId="166" fontId="36" fillId="0" borderId="112" xfId="3" applyNumberFormat="1" applyFont="1" applyBorder="1" applyAlignment="1">
      <alignment horizontal="center" vertical="center" wrapText="1"/>
    </xf>
    <xf numFmtId="0" fontId="35" fillId="0" borderId="33" xfId="0" applyFont="1" applyBorder="1" applyAlignment="1">
      <alignment horizontal="center" vertical="center" readingOrder="1"/>
    </xf>
    <xf numFmtId="0" fontId="28" fillId="0" borderId="108" xfId="0" applyFont="1" applyBorder="1" applyAlignment="1">
      <alignment horizontal="center" vertical="center" readingOrder="2"/>
    </xf>
    <xf numFmtId="1" fontId="28" fillId="0" borderId="108" xfId="2" applyNumberFormat="1" applyFont="1" applyBorder="1" applyAlignment="1">
      <alignment horizontal="center" vertical="center" readingOrder="1"/>
    </xf>
    <xf numFmtId="0" fontId="28" fillId="0" borderId="108" xfId="2" applyFont="1" applyBorder="1" applyAlignment="1">
      <alignment horizontal="center" vertical="center" readingOrder="2"/>
    </xf>
    <xf numFmtId="14" fontId="28" fillId="0" borderId="108" xfId="0" applyNumberFormat="1" applyFont="1" applyBorder="1" applyAlignment="1">
      <alignment horizontal="center" vertical="center" readingOrder="1"/>
    </xf>
    <xf numFmtId="14" fontId="28" fillId="0" borderId="107" xfId="2" applyNumberFormat="1" applyFont="1" applyBorder="1" applyAlignment="1">
      <alignment horizontal="center" vertical="center" readingOrder="1"/>
    </xf>
    <xf numFmtId="1" fontId="28" fillId="0" borderId="108" xfId="0" applyNumberFormat="1" applyFont="1" applyBorder="1" applyAlignment="1">
      <alignment horizontal="center" vertical="center" readingOrder="1"/>
    </xf>
    <xf numFmtId="0" fontId="37" fillId="0" borderId="51" xfId="0" applyFont="1" applyBorder="1" applyAlignment="1">
      <alignment horizontal="center" vertical="center"/>
    </xf>
    <xf numFmtId="0" fontId="7" fillId="0" borderId="0" xfId="0" applyFont="1" applyAlignment="1">
      <alignment horizontal="center" vertical="center"/>
    </xf>
    <xf numFmtId="0" fontId="31" fillId="11" borderId="48" xfId="0" applyFont="1" applyFill="1" applyBorder="1" applyAlignment="1">
      <alignment horizontal="center" vertical="center"/>
    </xf>
    <xf numFmtId="0" fontId="31" fillId="11" borderId="49" xfId="0" applyFont="1" applyFill="1" applyBorder="1" applyAlignment="1">
      <alignment horizontal="center" vertical="center"/>
    </xf>
    <xf numFmtId="164" fontId="31" fillId="11" borderId="49" xfId="3" applyFont="1" applyFill="1" applyBorder="1" applyAlignment="1">
      <alignment horizontal="center" vertical="center"/>
    </xf>
    <xf numFmtId="0" fontId="31" fillId="11" borderId="50" xfId="0" applyFont="1" applyFill="1" applyBorder="1" applyAlignment="1">
      <alignment horizontal="center" vertical="center"/>
    </xf>
    <xf numFmtId="166" fontId="36" fillId="0" borderId="112" xfId="3" applyNumberFormat="1" applyFont="1" applyBorder="1" applyAlignment="1">
      <alignment horizontal="center" vertical="center"/>
    </xf>
    <xf numFmtId="0" fontId="27" fillId="11" borderId="49" xfId="0" applyFont="1" applyFill="1" applyBorder="1" applyAlignment="1">
      <alignment horizontal="center" vertical="center"/>
    </xf>
    <xf numFmtId="0" fontId="36" fillId="0" borderId="33" xfId="0" applyFont="1" applyBorder="1" applyAlignment="1">
      <alignment horizontal="center" vertical="center" wrapText="1"/>
    </xf>
    <xf numFmtId="0" fontId="42" fillId="0" borderId="113" xfId="0" applyFont="1" applyBorder="1" applyAlignment="1">
      <alignment horizontal="center" vertical="center" wrapText="1"/>
    </xf>
    <xf numFmtId="0" fontId="42" fillId="0" borderId="51" xfId="0" applyFont="1" applyBorder="1" applyAlignment="1">
      <alignment horizontal="center" vertical="center" wrapText="1"/>
    </xf>
    <xf numFmtId="0" fontId="45" fillId="0" borderId="51" xfId="2" applyFont="1" applyBorder="1" applyAlignment="1">
      <alignment horizontal="center" vertical="center" wrapText="1"/>
    </xf>
    <xf numFmtId="166" fontId="42" fillId="0" borderId="51" xfId="3" applyNumberFormat="1" applyFont="1" applyBorder="1" applyAlignment="1">
      <alignment horizontal="center" vertical="center" wrapText="1"/>
    </xf>
    <xf numFmtId="0" fontId="41" fillId="0" borderId="51" xfId="0" applyFont="1" applyBorder="1" applyAlignment="1">
      <alignment horizontal="center" vertical="center" wrapText="1"/>
    </xf>
    <xf numFmtId="0" fontId="15" fillId="0" borderId="33" xfId="0" applyFont="1" applyBorder="1" applyAlignment="1">
      <alignment horizontal="center" vertical="center"/>
    </xf>
    <xf numFmtId="0" fontId="40" fillId="0" borderId="33" xfId="2" applyFont="1" applyBorder="1" applyAlignment="1">
      <alignment horizontal="center" vertical="center"/>
    </xf>
    <xf numFmtId="166" fontId="15" fillId="0" borderId="33" xfId="3" applyNumberFormat="1" applyFont="1" applyBorder="1" applyAlignment="1">
      <alignment horizontal="center" vertical="center"/>
    </xf>
    <xf numFmtId="166" fontId="40" fillId="0" borderId="33" xfId="2" applyNumberFormat="1" applyFont="1" applyBorder="1" applyAlignment="1">
      <alignment horizontal="center" vertical="center"/>
    </xf>
    <xf numFmtId="0" fontId="7" fillId="0" borderId="33" xfId="0" applyFont="1" applyBorder="1" applyAlignment="1">
      <alignment horizontal="center" vertical="center"/>
    </xf>
    <xf numFmtId="166" fontId="7" fillId="0" borderId="106" xfId="3" applyNumberFormat="1" applyFont="1" applyFill="1" applyBorder="1" applyAlignment="1">
      <alignment horizontal="center" vertical="center"/>
    </xf>
    <xf numFmtId="0" fontId="15" fillId="0" borderId="76" xfId="0" applyFont="1" applyBorder="1" applyAlignment="1">
      <alignment horizontal="center" vertical="center"/>
    </xf>
    <xf numFmtId="166" fontId="15" fillId="0" borderId="76" xfId="3" applyNumberFormat="1" applyFont="1" applyBorder="1" applyAlignment="1">
      <alignment horizontal="center" vertical="center"/>
    </xf>
    <xf numFmtId="0" fontId="7" fillId="0" borderId="76" xfId="0" applyFont="1" applyBorder="1" applyAlignment="1">
      <alignment horizontal="center" vertical="center"/>
    </xf>
    <xf numFmtId="0" fontId="37" fillId="0" borderId="117" xfId="0" applyFont="1" applyBorder="1" applyAlignment="1">
      <alignment horizontal="center" vertical="center" wrapText="1"/>
    </xf>
    <xf numFmtId="0" fontId="37" fillId="0" borderId="33" xfId="0" applyFont="1" applyBorder="1" applyAlignment="1">
      <alignment horizontal="center" vertical="center" wrapText="1"/>
    </xf>
    <xf numFmtId="0" fontId="39" fillId="0" borderId="33" xfId="2" applyFont="1" applyBorder="1" applyAlignment="1">
      <alignment horizontal="center" vertical="center" wrapText="1"/>
    </xf>
    <xf numFmtId="166" fontId="37" fillId="0" borderId="33" xfId="3" applyNumberFormat="1" applyFont="1" applyBorder="1" applyAlignment="1">
      <alignment horizontal="center" vertical="center" wrapText="1"/>
    </xf>
    <xf numFmtId="3" fontId="44" fillId="0" borderId="33" xfId="0" applyNumberFormat="1" applyFont="1" applyBorder="1" applyAlignment="1">
      <alignment horizontal="center" vertical="center" wrapText="1" readingOrder="1"/>
    </xf>
    <xf numFmtId="0" fontId="38" fillId="0" borderId="33" xfId="2" applyFont="1" applyBorder="1" applyAlignment="1">
      <alignment horizontal="center" vertical="center" wrapText="1"/>
    </xf>
    <xf numFmtId="0" fontId="46" fillId="11" borderId="49" xfId="0" applyFont="1" applyFill="1" applyBorder="1" applyAlignment="1">
      <alignment horizontal="center" vertical="center"/>
    </xf>
    <xf numFmtId="0" fontId="31" fillId="11" borderId="54" xfId="0" applyFont="1" applyFill="1" applyBorder="1" applyAlignment="1">
      <alignment horizontal="center" vertical="center"/>
    </xf>
    <xf numFmtId="0" fontId="31" fillId="11" borderId="9" xfId="0" applyFont="1" applyFill="1" applyBorder="1" applyAlignment="1">
      <alignment horizontal="center" vertical="center"/>
    </xf>
    <xf numFmtId="0" fontId="15" fillId="0" borderId="33" xfId="3" applyNumberFormat="1" applyFont="1" applyBorder="1" applyAlignment="1">
      <alignment horizontal="center" vertical="center"/>
    </xf>
    <xf numFmtId="0" fontId="15" fillId="0" borderId="76" xfId="3" applyNumberFormat="1" applyFont="1" applyBorder="1" applyAlignment="1">
      <alignment horizontal="center" vertical="center"/>
    </xf>
    <xf numFmtId="0" fontId="7" fillId="0" borderId="47" xfId="0" applyFont="1" applyBorder="1" applyAlignment="1">
      <alignment horizontal="center" vertical="center"/>
    </xf>
    <xf numFmtId="166" fontId="15" fillId="0" borderId="47" xfId="3" applyNumberFormat="1" applyFont="1" applyBorder="1" applyAlignment="1">
      <alignment horizontal="center" vertical="center"/>
    </xf>
    <xf numFmtId="0" fontId="40" fillId="0" borderId="47" xfId="2" applyFont="1" applyBorder="1" applyAlignment="1">
      <alignment horizontal="center" vertical="center"/>
    </xf>
    <xf numFmtId="0" fontId="23" fillId="0" borderId="23" xfId="0" applyFont="1" applyBorder="1" applyAlignment="1">
      <alignment horizontal="center" vertical="center"/>
    </xf>
    <xf numFmtId="14" fontId="0" fillId="0" borderId="107" xfId="0" applyNumberFormat="1" applyBorder="1" applyAlignment="1">
      <alignment horizontal="center" vertical="center"/>
    </xf>
    <xf numFmtId="0" fontId="0" fillId="0" borderId="107" xfId="0" applyBorder="1" applyAlignment="1">
      <alignment horizontal="center" vertical="center"/>
    </xf>
    <xf numFmtId="0" fontId="0" fillId="0" borderId="110" xfId="0" applyBorder="1" applyAlignment="1">
      <alignment horizontal="center" vertical="center"/>
    </xf>
    <xf numFmtId="0" fontId="29" fillId="11" borderId="114" xfId="0" applyFont="1" applyFill="1" applyBorder="1" applyAlignment="1">
      <alignment horizontal="center" vertical="center" wrapText="1"/>
    </xf>
    <xf numFmtId="49" fontId="29" fillId="11" borderId="114" xfId="0" applyNumberFormat="1" applyFont="1" applyFill="1" applyBorder="1" applyAlignment="1">
      <alignment horizontal="center" vertical="center" wrapText="1"/>
    </xf>
    <xf numFmtId="0" fontId="15" fillId="0" borderId="0" xfId="0" applyFont="1" applyAlignment="1">
      <alignment horizontal="center" vertical="center" wrapText="1"/>
    </xf>
    <xf numFmtId="0" fontId="15" fillId="0" borderId="33" xfId="0" applyFont="1" applyBorder="1" applyAlignment="1">
      <alignment horizontal="center" vertical="center" wrapText="1"/>
    </xf>
    <xf numFmtId="0" fontId="15" fillId="0" borderId="76" xfId="0" applyFont="1" applyBorder="1" applyAlignment="1">
      <alignment horizontal="center" vertical="center" wrapText="1"/>
    </xf>
    <xf numFmtId="0" fontId="12" fillId="0" borderId="119" xfId="0" applyFont="1" applyBorder="1" applyAlignment="1">
      <alignment horizontal="center" vertical="center"/>
    </xf>
    <xf numFmtId="0" fontId="12" fillId="0" borderId="47" xfId="0" applyFont="1" applyBorder="1" applyAlignment="1">
      <alignment horizontal="center" vertical="center"/>
    </xf>
    <xf numFmtId="0" fontId="12" fillId="0" borderId="76" xfId="0" applyFont="1" applyBorder="1" applyAlignment="1">
      <alignment horizontal="center" vertical="center"/>
    </xf>
    <xf numFmtId="0" fontId="31" fillId="11" borderId="4" xfId="0" applyFont="1" applyFill="1" applyBorder="1" applyAlignment="1">
      <alignment horizontal="center" vertical="center"/>
    </xf>
    <xf numFmtId="0" fontId="0" fillId="0" borderId="3" xfId="0" applyBorder="1" applyAlignment="1">
      <alignment horizontal="center" vertical="center"/>
    </xf>
    <xf numFmtId="0" fontId="0" fillId="0" borderId="37" xfId="0" applyBorder="1" applyAlignment="1">
      <alignment horizontal="center" vertical="center"/>
    </xf>
    <xf numFmtId="0" fontId="0" fillId="0" borderId="5" xfId="0" applyBorder="1" applyAlignment="1">
      <alignment horizontal="center" vertical="center"/>
    </xf>
    <xf numFmtId="0" fontId="0" fillId="0" borderId="10" xfId="0" applyBorder="1" applyAlignment="1">
      <alignment horizontal="center" vertical="center"/>
    </xf>
    <xf numFmtId="14" fontId="5" fillId="0" borderId="3" xfId="0" applyNumberFormat="1" applyFont="1" applyBorder="1" applyAlignment="1">
      <alignment horizontal="center" vertical="center" readingOrder="1"/>
    </xf>
    <xf numFmtId="164" fontId="5" fillId="0" borderId="0" xfId="0" applyNumberFormat="1" applyFont="1" applyAlignment="1">
      <alignment horizontal="center" vertical="center" readingOrder="1"/>
    </xf>
    <xf numFmtId="166" fontId="5" fillId="0" borderId="0" xfId="0" applyNumberFormat="1" applyFont="1" applyAlignment="1">
      <alignment horizontal="center" vertical="center" readingOrder="1"/>
    </xf>
    <xf numFmtId="164" fontId="27" fillId="11" borderId="49" xfId="3" applyFont="1" applyFill="1" applyBorder="1" applyAlignment="1">
      <alignment horizontal="center" vertical="center" wrapText="1"/>
    </xf>
    <xf numFmtId="0" fontId="23" fillId="0" borderId="0" xfId="0" applyFont="1" applyAlignment="1">
      <alignment vertical="center"/>
    </xf>
    <xf numFmtId="0" fontId="23" fillId="0" borderId="18" xfId="0" applyFont="1" applyBorder="1" applyAlignment="1">
      <alignment vertical="center"/>
    </xf>
    <xf numFmtId="0" fontId="0" fillId="0" borderId="70" xfId="0" applyBorder="1" applyAlignment="1">
      <alignment horizontal="center" vertical="center"/>
    </xf>
    <xf numFmtId="0" fontId="28" fillId="0" borderId="68" xfId="0" applyFont="1" applyBorder="1" applyAlignment="1">
      <alignment horizontal="center" vertical="center" readingOrder="1"/>
    </xf>
    <xf numFmtId="0" fontId="15" fillId="0" borderId="101" xfId="0" applyFont="1" applyBorder="1" applyAlignment="1">
      <alignment horizontal="center" vertical="center"/>
    </xf>
    <xf numFmtId="0" fontId="5" fillId="0" borderId="4" xfId="0" applyFont="1" applyBorder="1" applyAlignment="1">
      <alignment horizontal="center" vertical="center" readingOrder="1"/>
    </xf>
    <xf numFmtId="1" fontId="0" fillId="0" borderId="0" xfId="0" applyNumberFormat="1"/>
    <xf numFmtId="0" fontId="0" fillId="0" borderId="12" xfId="0" applyBorder="1" applyAlignment="1">
      <alignment vertical="center" readingOrder="2"/>
    </xf>
    <xf numFmtId="4" fontId="0" fillId="0" borderId="0" xfId="0" applyNumberFormat="1"/>
    <xf numFmtId="0" fontId="49" fillId="0" borderId="126" xfId="0" applyFont="1" applyBorder="1" applyAlignment="1">
      <alignment horizontal="center" vertical="center" readingOrder="2"/>
    </xf>
    <xf numFmtId="0" fontId="49" fillId="0" borderId="127" xfId="0" applyFont="1" applyBorder="1" applyAlignment="1">
      <alignment horizontal="center" vertical="center" readingOrder="2"/>
    </xf>
    <xf numFmtId="0" fontId="49" fillId="0" borderId="128" xfId="0" applyFont="1" applyBorder="1" applyAlignment="1">
      <alignment horizontal="center" vertical="center" readingOrder="2"/>
    </xf>
    <xf numFmtId="0" fontId="50" fillId="0" borderId="80" xfId="0" applyFont="1" applyBorder="1" applyAlignment="1">
      <alignment horizontal="center" vertical="center" readingOrder="1"/>
    </xf>
    <xf numFmtId="14" fontId="50" fillId="0" borderId="124" xfId="0" applyNumberFormat="1" applyFont="1" applyBorder="1" applyAlignment="1">
      <alignment horizontal="center" vertical="center" readingOrder="1"/>
    </xf>
    <xf numFmtId="0" fontId="50" fillId="0" borderId="124" xfId="0" applyFont="1" applyBorder="1" applyAlignment="1">
      <alignment horizontal="center" vertical="center" readingOrder="2"/>
    </xf>
    <xf numFmtId="0" fontId="50" fillId="0" borderId="124" xfId="0" applyFont="1" applyBorder="1" applyAlignment="1">
      <alignment horizontal="center" vertical="center" readingOrder="1"/>
    </xf>
    <xf numFmtId="4" fontId="50" fillId="0" borderId="82" xfId="0" applyNumberFormat="1" applyFont="1" applyBorder="1" applyAlignment="1">
      <alignment horizontal="center" vertical="center" readingOrder="1"/>
    </xf>
    <xf numFmtId="14" fontId="50" fillId="0" borderId="129" xfId="0" applyNumberFormat="1" applyFont="1" applyBorder="1" applyAlignment="1">
      <alignment horizontal="center" vertical="center" readingOrder="1"/>
    </xf>
    <xf numFmtId="0" fontId="50" fillId="0" borderId="129" xfId="0" applyFont="1" applyBorder="1" applyAlignment="1">
      <alignment horizontal="center" vertical="center" readingOrder="2"/>
    </xf>
    <xf numFmtId="0" fontId="50" fillId="0" borderId="129" xfId="0" applyFont="1" applyBorder="1" applyAlignment="1">
      <alignment horizontal="center" vertical="center" readingOrder="1"/>
    </xf>
    <xf numFmtId="4" fontId="50" fillId="0" borderId="79" xfId="0" applyNumberFormat="1" applyFont="1" applyBorder="1" applyAlignment="1">
      <alignment horizontal="center" vertical="center" readingOrder="1"/>
    </xf>
    <xf numFmtId="164" fontId="50" fillId="0" borderId="124" xfId="3" applyFont="1" applyFill="1" applyBorder="1" applyAlignment="1">
      <alignment horizontal="center" vertical="center" readingOrder="1"/>
    </xf>
    <xf numFmtId="164" fontId="50" fillId="0" borderId="82" xfId="3" applyFont="1" applyFill="1" applyBorder="1" applyAlignment="1">
      <alignment horizontal="center" vertical="center" readingOrder="1"/>
    </xf>
    <xf numFmtId="164" fontId="50" fillId="0" borderId="129" xfId="3" applyFont="1" applyFill="1" applyBorder="1" applyAlignment="1">
      <alignment horizontal="center" vertical="center" readingOrder="1"/>
    </xf>
    <xf numFmtId="164" fontId="2" fillId="0" borderId="82" xfId="3" applyFont="1" applyFill="1" applyBorder="1" applyAlignment="1">
      <alignment horizontal="center" vertical="center" readingOrder="1"/>
    </xf>
    <xf numFmtId="164" fontId="48" fillId="0" borderId="125" xfId="0" applyNumberFormat="1" applyFont="1" applyBorder="1" applyAlignment="1">
      <alignment vertical="center" readingOrder="2"/>
    </xf>
    <xf numFmtId="0" fontId="0" fillId="0" borderId="0" xfId="0" applyAlignment="1">
      <alignment horizontal="center" vertical="center" wrapText="1" shrinkToFit="1"/>
    </xf>
    <xf numFmtId="0" fontId="51" fillId="0" borderId="131" xfId="0" applyFont="1" applyBorder="1" applyAlignment="1">
      <alignment horizontal="center" vertical="center" wrapText="1" shrinkToFit="1"/>
    </xf>
    <xf numFmtId="0" fontId="51" fillId="0" borderId="130" xfId="0" applyFont="1" applyBorder="1" applyAlignment="1">
      <alignment horizontal="center" vertical="center" wrapText="1" shrinkToFit="1"/>
    </xf>
    <xf numFmtId="0" fontId="52" fillId="0" borderId="0" xfId="0" applyFont="1" applyAlignment="1">
      <alignment horizontal="center" vertical="center" wrapText="1" shrinkToFit="1"/>
    </xf>
    <xf numFmtId="0" fontId="49" fillId="0" borderId="132" xfId="0" applyFont="1" applyBorder="1" applyAlignment="1">
      <alignment horizontal="center" vertical="center" shrinkToFit="1" readingOrder="1"/>
    </xf>
    <xf numFmtId="0" fontId="49" fillId="0" borderId="132" xfId="0" applyFont="1" applyBorder="1" applyAlignment="1">
      <alignment horizontal="center" vertical="center" shrinkToFit="1" readingOrder="2"/>
    </xf>
    <xf numFmtId="170" fontId="49" fillId="0" borderId="132" xfId="0" applyNumberFormat="1" applyFont="1" applyBorder="1" applyAlignment="1">
      <alignment horizontal="center" vertical="center" shrinkToFit="1" readingOrder="2"/>
    </xf>
    <xf numFmtId="0" fontId="0" fillId="0" borderId="0" xfId="0" pivotButton="1" applyAlignment="1">
      <alignment horizontal="center" vertical="center"/>
    </xf>
    <xf numFmtId="0" fontId="1" fillId="9" borderId="99" xfId="0" applyFont="1" applyFill="1" applyBorder="1" applyAlignment="1">
      <alignment horizontal="center" vertical="center"/>
    </xf>
    <xf numFmtId="0" fontId="1" fillId="9" borderId="37" xfId="0" applyFont="1" applyFill="1" applyBorder="1" applyAlignment="1">
      <alignment horizontal="center" vertical="center"/>
    </xf>
    <xf numFmtId="0" fontId="1" fillId="7" borderId="14" xfId="0" applyFont="1" applyFill="1" applyBorder="1" applyAlignment="1">
      <alignment horizontal="center" vertical="center"/>
    </xf>
    <xf numFmtId="0" fontId="1" fillId="14" borderId="14" xfId="0" applyFont="1" applyFill="1" applyBorder="1" applyAlignment="1">
      <alignment horizontal="center" vertical="center"/>
    </xf>
    <xf numFmtId="0" fontId="1" fillId="14" borderId="9" xfId="0" applyFont="1" applyFill="1" applyBorder="1" applyAlignment="1">
      <alignment horizontal="center" vertical="center"/>
    </xf>
    <xf numFmtId="0" fontId="1" fillId="15" borderId="100" xfId="0" applyFont="1" applyFill="1" applyBorder="1" applyAlignment="1">
      <alignment horizontal="center" vertical="center"/>
    </xf>
    <xf numFmtId="0" fontId="1" fillId="15" borderId="4" xfId="0" applyFont="1" applyFill="1" applyBorder="1" applyAlignment="1">
      <alignment horizontal="center" vertical="center"/>
    </xf>
    <xf numFmtId="171" fontId="1" fillId="15" borderId="38" xfId="1" applyNumberFormat="1" applyFont="1" applyFill="1" applyBorder="1" applyAlignment="1">
      <alignment horizontal="center" vertical="center"/>
    </xf>
    <xf numFmtId="9" fontId="1" fillId="14" borderId="12" xfId="1" applyFont="1" applyFill="1" applyBorder="1" applyAlignment="1">
      <alignment horizontal="center" vertical="center"/>
    </xf>
    <xf numFmtId="9" fontId="1" fillId="9" borderId="12" xfId="1" applyFont="1" applyFill="1" applyBorder="1" applyAlignment="1">
      <alignment horizontal="center" vertical="center"/>
    </xf>
    <xf numFmtId="0" fontId="0" fillId="0" borderId="114" xfId="0" pivotButton="1" applyBorder="1" applyAlignment="1">
      <alignment horizontal="center" vertical="center"/>
    </xf>
    <xf numFmtId="0" fontId="0" fillId="0" borderId="114" xfId="0" applyBorder="1" applyAlignment="1">
      <alignment horizontal="center" vertical="center"/>
    </xf>
    <xf numFmtId="0" fontId="8" fillId="0" borderId="0" xfId="0" applyFont="1" applyAlignment="1">
      <alignment horizontal="center" vertical="center" readingOrder="1"/>
    </xf>
    <xf numFmtId="0" fontId="5" fillId="0" borderId="27" xfId="0" applyFont="1" applyBorder="1" applyAlignment="1">
      <alignment horizontal="center" vertical="center" readingOrder="1"/>
    </xf>
    <xf numFmtId="0" fontId="5" fillId="0" borderId="29" xfId="0" applyFont="1" applyBorder="1" applyAlignment="1">
      <alignment horizontal="center" vertical="center" readingOrder="1"/>
    </xf>
    <xf numFmtId="0" fontId="5" fillId="0" borderId="31" xfId="0" applyFont="1" applyBorder="1" applyAlignment="1">
      <alignment horizontal="center" vertical="center" readingOrder="1"/>
    </xf>
    <xf numFmtId="0" fontId="5" fillId="0" borderId="136" xfId="0" applyFont="1" applyBorder="1" applyAlignment="1">
      <alignment horizontal="center" vertical="center" readingOrder="1"/>
    </xf>
    <xf numFmtId="164" fontId="5" fillId="0" borderId="119" xfId="3" applyFont="1" applyBorder="1" applyAlignment="1">
      <alignment horizontal="center" vertical="center" readingOrder="1"/>
    </xf>
    <xf numFmtId="164" fontId="5" fillId="0" borderId="137" xfId="3" applyFont="1" applyBorder="1" applyAlignment="1">
      <alignment horizontal="center" vertical="center" readingOrder="1"/>
    </xf>
    <xf numFmtId="0" fontId="8" fillId="0" borderId="3" xfId="0" applyFont="1" applyBorder="1" applyAlignment="1">
      <alignment horizontal="center" vertical="center" readingOrder="1"/>
    </xf>
    <xf numFmtId="0" fontId="7" fillId="0" borderId="42" xfId="0" applyFont="1" applyBorder="1" applyAlignment="1">
      <alignment horizontal="center" vertical="center" readingOrder="1"/>
    </xf>
    <xf numFmtId="0" fontId="7" fillId="0" borderId="43" xfId="0" applyFont="1" applyBorder="1" applyAlignment="1">
      <alignment horizontal="center" vertical="center" readingOrder="1"/>
    </xf>
    <xf numFmtId="0" fontId="7" fillId="0" borderId="0" xfId="0" applyFont="1" applyAlignment="1">
      <alignment horizontal="center" vertical="center" readingOrder="1"/>
    </xf>
    <xf numFmtId="0" fontId="7" fillId="0" borderId="5" xfId="0" applyFont="1" applyBorder="1" applyAlignment="1">
      <alignment horizontal="center" vertical="center" readingOrder="1"/>
    </xf>
    <xf numFmtId="0" fontId="8" fillId="0" borderId="4" xfId="0" applyFont="1" applyBorder="1" applyAlignment="1">
      <alignment horizontal="center" vertical="center" readingOrder="1"/>
    </xf>
    <xf numFmtId="2" fontId="5" fillId="0" borderId="8" xfId="0" applyNumberFormat="1" applyFont="1" applyBorder="1" applyAlignment="1">
      <alignment horizontal="center" vertical="center" readingOrder="1"/>
    </xf>
    <xf numFmtId="4" fontId="50" fillId="0" borderId="124" xfId="0" applyNumberFormat="1" applyFont="1" applyBorder="1" applyAlignment="1">
      <alignment horizontal="center" vertical="center" readingOrder="1"/>
    </xf>
    <xf numFmtId="164" fontId="12" fillId="0" borderId="0" xfId="0" applyNumberFormat="1" applyFont="1" applyAlignment="1">
      <alignment horizontal="center" vertical="center"/>
    </xf>
    <xf numFmtId="164" fontId="0" fillId="0" borderId="105" xfId="3" applyFont="1" applyFill="1" applyBorder="1" applyAlignment="1">
      <alignment horizontal="center" vertical="center"/>
    </xf>
    <xf numFmtId="164" fontId="50" fillId="0" borderId="79" xfId="3" applyFont="1" applyFill="1" applyBorder="1" applyAlignment="1">
      <alignment horizontal="center" vertical="center" readingOrder="1"/>
    </xf>
    <xf numFmtId="4" fontId="50" fillId="0" borderId="129" xfId="0" applyNumberFormat="1" applyFont="1" applyBorder="1" applyAlignment="1">
      <alignment horizontal="center" vertical="center" readingOrder="1"/>
    </xf>
    <xf numFmtId="164" fontId="0" fillId="7" borderId="0" xfId="3" applyFont="1" applyFill="1" applyAlignment="1">
      <alignment horizontal="center" vertical="center"/>
    </xf>
    <xf numFmtId="0" fontId="53" fillId="0" borderId="143" xfId="0" applyFont="1" applyBorder="1" applyAlignment="1">
      <alignment horizontal="center" vertical="center"/>
    </xf>
    <xf numFmtId="164" fontId="54" fillId="0" borderId="146" xfId="3" applyFont="1" applyBorder="1" applyAlignment="1">
      <alignment horizontal="center" vertical="center"/>
    </xf>
    <xf numFmtId="0" fontId="53" fillId="0" borderId="148" xfId="0" applyFont="1" applyBorder="1" applyAlignment="1">
      <alignment horizontal="center" vertical="center"/>
    </xf>
    <xf numFmtId="0" fontId="54" fillId="0" borderId="149" xfId="0" applyFont="1" applyBorder="1" applyAlignment="1">
      <alignment horizontal="center" vertical="center"/>
    </xf>
    <xf numFmtId="0" fontId="53" fillId="0" borderId="147" xfId="0" applyFont="1" applyBorder="1" applyAlignment="1">
      <alignment horizontal="center" vertical="center"/>
    </xf>
    <xf numFmtId="164" fontId="54" fillId="0" borderId="150" xfId="3" applyFont="1" applyBorder="1" applyAlignment="1">
      <alignment horizontal="center" vertical="center"/>
    </xf>
    <xf numFmtId="0" fontId="55" fillId="16" borderId="141" xfId="0" applyFont="1" applyFill="1" applyBorder="1" applyAlignment="1">
      <alignment horizontal="center" vertical="center"/>
    </xf>
    <xf numFmtId="0" fontId="55" fillId="16" borderId="142" xfId="0" applyFont="1" applyFill="1" applyBorder="1" applyAlignment="1">
      <alignment horizontal="center" vertical="center"/>
    </xf>
    <xf numFmtId="0" fontId="55" fillId="16" borderId="143" xfId="0" applyFont="1" applyFill="1" applyBorder="1" applyAlignment="1">
      <alignment horizontal="center" vertical="center"/>
    </xf>
    <xf numFmtId="164" fontId="56" fillId="16" borderId="145" xfId="3" applyFont="1" applyFill="1" applyBorder="1" applyAlignment="1">
      <alignment horizontal="center" vertical="center"/>
    </xf>
    <xf numFmtId="164" fontId="56" fillId="16" borderId="144" xfId="3" applyFont="1" applyFill="1" applyBorder="1" applyAlignment="1">
      <alignment horizontal="center" vertical="center"/>
    </xf>
    <xf numFmtId="164" fontId="56" fillId="16" borderId="146" xfId="3" applyFont="1" applyFill="1" applyBorder="1" applyAlignment="1">
      <alignment horizontal="center" vertical="center"/>
    </xf>
    <xf numFmtId="164" fontId="2" fillId="0" borderId="81" xfId="3" applyFont="1" applyFill="1" applyBorder="1" applyAlignment="1">
      <alignment horizontal="center" vertical="center" readingOrder="1"/>
    </xf>
    <xf numFmtId="0" fontId="51" fillId="0" borderId="152" xfId="0" applyFont="1" applyBorder="1" applyAlignment="1">
      <alignment horizontal="center" vertical="center" wrapText="1" shrinkToFit="1"/>
    </xf>
    <xf numFmtId="0" fontId="43" fillId="0" borderId="139" xfId="0" applyFont="1" applyBorder="1" applyAlignment="1">
      <alignment horizontal="center" vertical="center" wrapText="1" shrinkToFit="1"/>
    </xf>
    <xf numFmtId="0" fontId="43" fillId="0" borderId="140" xfId="0" applyFont="1" applyBorder="1" applyAlignment="1">
      <alignment vertical="center" wrapText="1" shrinkToFit="1"/>
    </xf>
    <xf numFmtId="0" fontId="43" fillId="0" borderId="130" xfId="0" applyFont="1" applyBorder="1" applyAlignment="1">
      <alignment horizontal="center" vertical="center" wrapText="1" shrinkToFit="1"/>
    </xf>
    <xf numFmtId="170" fontId="43" fillId="0" borderId="151" xfId="0" applyNumberFormat="1" applyFont="1" applyBorder="1" applyAlignment="1">
      <alignment vertical="center" wrapText="1" shrinkToFit="1"/>
    </xf>
    <xf numFmtId="22" fontId="0" fillId="0" borderId="0" xfId="0" applyNumberFormat="1" applyAlignment="1" applyProtection="1">
      <alignment horizontal="center" vertical="center"/>
      <protection locked="0"/>
    </xf>
    <xf numFmtId="0" fontId="2" fillId="3" borderId="2" xfId="0" applyFont="1" applyFill="1" applyBorder="1" applyAlignment="1" applyProtection="1">
      <alignment horizontal="center" vertical="center" readingOrder="1"/>
      <protection locked="0"/>
    </xf>
    <xf numFmtId="0" fontId="2" fillId="3" borderId="1" xfId="0" applyFont="1" applyFill="1" applyBorder="1" applyAlignment="1" applyProtection="1">
      <alignment horizontal="center" vertical="center" readingOrder="1"/>
      <protection locked="0"/>
    </xf>
    <xf numFmtId="0" fontId="0" fillId="0" borderId="0" xfId="0" pivotButton="1" applyProtection="1">
      <protection locked="0"/>
    </xf>
    <xf numFmtId="0" fontId="0" fillId="0" borderId="0" xfId="0" applyAlignment="1" applyProtection="1">
      <alignment horizontal="right"/>
      <protection locked="0"/>
    </xf>
    <xf numFmtId="0" fontId="0" fillId="0" borderId="0" xfId="0" applyProtection="1">
      <protection locked="0"/>
    </xf>
    <xf numFmtId="0" fontId="0" fillId="9" borderId="0" xfId="0" applyFill="1" applyAlignment="1" applyProtection="1">
      <alignment horizontal="center" vertical="center"/>
      <protection locked="0"/>
    </xf>
    <xf numFmtId="0" fontId="27" fillId="9" borderId="120" xfId="0" applyFont="1" applyFill="1" applyBorder="1" applyAlignment="1" applyProtection="1">
      <alignment horizontal="center" vertical="center"/>
      <protection locked="0"/>
    </xf>
    <xf numFmtId="0" fontId="27" fillId="9" borderId="107" xfId="0" applyFont="1" applyFill="1" applyBorder="1" applyAlignment="1" applyProtection="1">
      <alignment horizontal="center" vertical="center"/>
      <protection locked="0"/>
    </xf>
    <xf numFmtId="0" fontId="27" fillId="9" borderId="122" xfId="0" applyFont="1" applyFill="1" applyBorder="1" applyAlignment="1" applyProtection="1">
      <alignment horizontal="center" vertical="center"/>
      <protection locked="0"/>
    </xf>
    <xf numFmtId="166" fontId="0" fillId="0" borderId="0" xfId="0" applyNumberFormat="1" applyAlignment="1" applyProtection="1">
      <alignment horizontal="center" vertical="center"/>
      <protection locked="0"/>
    </xf>
    <xf numFmtId="10" fontId="0" fillId="0" borderId="0" xfId="1" applyNumberFormat="1" applyFont="1" applyAlignment="1" applyProtection="1">
      <alignment horizontal="center" vertical="center"/>
      <protection locked="0"/>
    </xf>
    <xf numFmtId="0" fontId="0" fillId="0" borderId="120" xfId="0" applyBorder="1" applyAlignment="1" applyProtection="1">
      <alignment horizontal="center" vertical="center"/>
      <protection locked="0"/>
    </xf>
    <xf numFmtId="166" fontId="0" fillId="0" borderId="107" xfId="0" applyNumberFormat="1" applyBorder="1" applyAlignment="1" applyProtection="1">
      <alignment horizontal="center" vertical="center"/>
      <protection locked="0"/>
    </xf>
    <xf numFmtId="10" fontId="0" fillId="0" borderId="122" xfId="1" applyNumberFormat="1" applyFont="1" applyBorder="1" applyAlignment="1" applyProtection="1">
      <alignment horizontal="center" vertical="center"/>
      <protection locked="0"/>
    </xf>
    <xf numFmtId="9" fontId="0" fillId="0" borderId="0" xfId="1" applyFont="1" applyAlignment="1" applyProtection="1">
      <alignment horizontal="center" vertical="center"/>
      <protection locked="0"/>
    </xf>
    <xf numFmtId="0" fontId="0" fillId="0" borderId="0" xfId="1" applyNumberFormat="1" applyFont="1" applyAlignment="1" applyProtection="1">
      <alignment horizontal="center" vertical="center"/>
      <protection locked="0"/>
    </xf>
    <xf numFmtId="166" fontId="0" fillId="0" borderId="0" xfId="3" applyNumberFormat="1" applyFont="1" applyAlignment="1" applyProtection="1">
      <alignment horizontal="center" vertical="center"/>
      <protection locked="0"/>
    </xf>
    <xf numFmtId="0" fontId="0" fillId="0" borderId="121" xfId="0" applyBorder="1" applyAlignment="1" applyProtection="1">
      <alignment horizontal="center" vertical="center"/>
      <protection locked="0"/>
    </xf>
    <xf numFmtId="166" fontId="0" fillId="0" borderId="110" xfId="3" applyNumberFormat="1" applyFont="1" applyBorder="1" applyAlignment="1" applyProtection="1">
      <alignment horizontal="center" vertical="center"/>
      <protection locked="0"/>
    </xf>
    <xf numFmtId="10" fontId="0" fillId="0" borderId="123" xfId="1" applyNumberFormat="1" applyFont="1" applyBorder="1" applyAlignment="1" applyProtection="1">
      <alignment horizontal="center" vertical="center"/>
      <protection locked="0"/>
    </xf>
    <xf numFmtId="10" fontId="0" fillId="0" borderId="0" xfId="0" applyNumberFormat="1" applyAlignment="1" applyProtection="1">
      <alignment horizontal="center" vertical="center"/>
      <protection locked="0"/>
    </xf>
    <xf numFmtId="0" fontId="0" fillId="0" borderId="107" xfId="0" applyBorder="1" applyAlignment="1" applyProtection="1">
      <alignment horizontal="center" vertical="center" wrapText="1"/>
      <protection locked="0"/>
    </xf>
    <xf numFmtId="172" fontId="0" fillId="0" borderId="0" xfId="3" applyNumberFormat="1" applyFont="1" applyAlignment="1" applyProtection="1">
      <alignment horizontal="center" vertical="center"/>
      <protection locked="0"/>
    </xf>
    <xf numFmtId="169" fontId="0" fillId="0" borderId="0" xfId="3" applyNumberFormat="1" applyFont="1" applyAlignment="1" applyProtection="1">
      <alignment horizontal="center" vertical="center"/>
      <protection locked="0"/>
    </xf>
    <xf numFmtId="0" fontId="0" fillId="0" borderId="68" xfId="0" applyBorder="1" applyAlignment="1" applyProtection="1">
      <alignment horizontal="center" vertical="center"/>
      <protection locked="0"/>
    </xf>
    <xf numFmtId="0" fontId="0" fillId="0" borderId="70" xfId="0" applyBorder="1" applyAlignment="1" applyProtection="1">
      <alignment horizontal="center" vertical="center"/>
      <protection locked="0"/>
    </xf>
    <xf numFmtId="14" fontId="0" fillId="0" borderId="70" xfId="0" applyNumberFormat="1" applyBorder="1" applyAlignment="1" applyProtection="1">
      <alignment horizontal="center" vertical="center"/>
      <protection locked="0"/>
    </xf>
    <xf numFmtId="166" fontId="28" fillId="0" borderId="71" xfId="3" applyNumberFormat="1" applyFont="1" applyFill="1" applyBorder="1" applyAlignment="1" applyProtection="1">
      <alignment horizontal="center" vertical="center" readingOrder="1"/>
      <protection locked="0"/>
    </xf>
    <xf numFmtId="166" fontId="0" fillId="0" borderId="69" xfId="3" applyNumberFormat="1" applyFont="1" applyFill="1" applyBorder="1" applyAlignment="1" applyProtection="1">
      <alignment horizontal="center" vertical="center"/>
      <protection locked="0"/>
    </xf>
    <xf numFmtId="14" fontId="0" fillId="0" borderId="69" xfId="0" applyNumberFormat="1" applyBorder="1" applyAlignment="1" applyProtection="1">
      <alignment horizontal="center" vertical="center"/>
      <protection locked="0"/>
    </xf>
    <xf numFmtId="166" fontId="0" fillId="0" borderId="70" xfId="3" applyNumberFormat="1" applyFont="1" applyFill="1" applyBorder="1" applyAlignment="1" applyProtection="1">
      <alignment horizontal="center" vertical="center"/>
      <protection locked="0"/>
    </xf>
    <xf numFmtId="0" fontId="58" fillId="0" borderId="0" xfId="0" applyFont="1" applyAlignment="1">
      <alignment horizontal="center" vertical="center"/>
    </xf>
    <xf numFmtId="0" fontId="59" fillId="0" borderId="0" xfId="0" applyFont="1" applyAlignment="1">
      <alignment horizontal="center" vertical="center"/>
    </xf>
    <xf numFmtId="0" fontId="10" fillId="0" borderId="0" xfId="0" applyFont="1" applyAlignment="1">
      <alignment horizontal="center" vertical="center"/>
    </xf>
    <xf numFmtId="49" fontId="0" fillId="0" borderId="0" xfId="0" applyNumberFormat="1" applyAlignment="1">
      <alignment horizontal="center" vertical="center" wrapText="1"/>
    </xf>
    <xf numFmtId="0" fontId="60" fillId="0" borderId="83" xfId="0" applyFont="1" applyBorder="1" applyAlignment="1">
      <alignment horizontal="center" vertical="center"/>
    </xf>
    <xf numFmtId="0" fontId="60" fillId="0" borderId="84" xfId="0" applyFont="1" applyBorder="1" applyAlignment="1">
      <alignment horizontal="center" vertical="center"/>
    </xf>
    <xf numFmtId="173" fontId="0" fillId="0" borderId="0" xfId="0" applyNumberFormat="1" applyAlignment="1">
      <alignment horizontal="center" vertical="center"/>
    </xf>
    <xf numFmtId="0" fontId="1" fillId="18" borderId="0" xfId="0" applyFont="1" applyFill="1" applyAlignment="1">
      <alignment horizontal="center" vertical="center" wrapText="1"/>
    </xf>
    <xf numFmtId="0" fontId="16" fillId="17" borderId="0" xfId="0" applyFont="1" applyFill="1" applyAlignment="1">
      <alignment horizontal="center" vertical="center" wrapText="1"/>
    </xf>
    <xf numFmtId="0" fontId="16" fillId="4" borderId="0" xfId="0" applyFont="1" applyFill="1" applyAlignment="1">
      <alignment horizontal="center" vertical="center" wrapText="1"/>
    </xf>
    <xf numFmtId="0" fontId="62" fillId="18" borderId="0" xfId="0" applyFont="1" applyFill="1" applyAlignment="1">
      <alignment horizontal="center" vertical="center" wrapText="1"/>
    </xf>
    <xf numFmtId="0" fontId="62" fillId="14" borderId="0" xfId="0" applyFont="1" applyFill="1" applyAlignment="1">
      <alignment horizontal="center" vertical="center" wrapText="1"/>
    </xf>
    <xf numFmtId="0" fontId="1" fillId="14" borderId="0" xfId="0" applyFont="1" applyFill="1" applyAlignment="1">
      <alignment horizontal="center" vertical="center" wrapText="1"/>
    </xf>
    <xf numFmtId="0" fontId="0" fillId="0" borderId="29" xfId="0" applyBorder="1" applyAlignment="1">
      <alignment horizontal="center" vertical="center"/>
    </xf>
    <xf numFmtId="0" fontId="0" fillId="0" borderId="30" xfId="0" applyBorder="1" applyAlignment="1">
      <alignment horizontal="center" vertical="center"/>
    </xf>
    <xf numFmtId="0" fontId="16" fillId="0" borderId="136" xfId="0" applyFont="1" applyBorder="1" applyAlignment="1">
      <alignment horizontal="center" vertical="center"/>
    </xf>
    <xf numFmtId="0" fontId="16" fillId="0" borderId="27" xfId="0" applyFont="1" applyBorder="1" applyAlignment="1">
      <alignment horizontal="center" vertical="center" wrapText="1"/>
    </xf>
    <xf numFmtId="0" fontId="16" fillId="0" borderId="29" xfId="0" applyFont="1" applyBorder="1" applyAlignment="1">
      <alignment horizontal="center"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164" fontId="0" fillId="0" borderId="137" xfId="3" applyFont="1" applyBorder="1" applyAlignment="1">
      <alignment horizontal="center" vertical="center"/>
    </xf>
    <xf numFmtId="164" fontId="16" fillId="0" borderId="137" xfId="3" applyFont="1" applyBorder="1" applyAlignment="1">
      <alignment horizontal="center" vertical="center"/>
    </xf>
    <xf numFmtId="164" fontId="0" fillId="0" borderId="153" xfId="3" applyFont="1" applyBorder="1" applyAlignment="1">
      <alignment horizontal="center" vertical="center"/>
    </xf>
    <xf numFmtId="164" fontId="16" fillId="0" borderId="136" xfId="3" applyFont="1" applyBorder="1" applyAlignment="1">
      <alignment horizontal="center" vertical="center"/>
    </xf>
    <xf numFmtId="164" fontId="0" fillId="0" borderId="119" xfId="3" applyFont="1" applyBorder="1" applyAlignment="1">
      <alignment horizontal="center" vertical="center"/>
    </xf>
    <xf numFmtId="0" fontId="0" fillId="0" borderId="110" xfId="0" applyBorder="1"/>
    <xf numFmtId="164" fontId="0" fillId="19" borderId="119" xfId="3" applyFont="1" applyFill="1" applyBorder="1" applyAlignment="1">
      <alignment horizontal="center" vertical="center"/>
    </xf>
    <xf numFmtId="0" fontId="0" fillId="19" borderId="110" xfId="0" applyFill="1" applyBorder="1"/>
    <xf numFmtId="16" fontId="0" fillId="0" borderId="0" xfId="0" applyNumberFormat="1"/>
    <xf numFmtId="174" fontId="0" fillId="0" borderId="0" xfId="0" applyNumberFormat="1"/>
    <xf numFmtId="14" fontId="50" fillId="0" borderId="82" xfId="3" applyNumberFormat="1" applyFont="1" applyFill="1" applyBorder="1" applyAlignment="1">
      <alignment horizontal="center" vertical="center" readingOrder="1"/>
    </xf>
    <xf numFmtId="14" fontId="50" fillId="0" borderId="124" xfId="3" applyNumberFormat="1" applyFont="1" applyFill="1" applyBorder="1" applyAlignment="1">
      <alignment horizontal="center" vertical="center" readingOrder="1"/>
    </xf>
    <xf numFmtId="14" fontId="50" fillId="0" borderId="79" xfId="3" applyNumberFormat="1" applyFont="1" applyFill="1" applyBorder="1" applyAlignment="1">
      <alignment horizontal="center" vertical="center" readingOrder="1"/>
    </xf>
    <xf numFmtId="0" fontId="63" fillId="13" borderId="119" xfId="0" applyFont="1" applyFill="1" applyBorder="1" applyAlignment="1">
      <alignment horizontal="center" vertical="center" wrapText="1"/>
    </xf>
    <xf numFmtId="0" fontId="64" fillId="13" borderId="119" xfId="2" applyFont="1" applyFill="1" applyBorder="1" applyAlignment="1">
      <alignment horizontal="center" vertical="center" wrapText="1"/>
    </xf>
    <xf numFmtId="0" fontId="63" fillId="13" borderId="119" xfId="0" applyFont="1" applyFill="1" applyBorder="1" applyAlignment="1">
      <alignment horizontal="center" vertical="center"/>
    </xf>
    <xf numFmtId="0" fontId="0" fillId="0" borderId="0" xfId="0" applyAlignment="1">
      <alignment vertical="center"/>
    </xf>
    <xf numFmtId="43" fontId="0" fillId="0" borderId="0" xfId="3" applyNumberFormat="1" applyFont="1" applyAlignment="1">
      <alignment horizontal="center" vertical="center"/>
    </xf>
    <xf numFmtId="0" fontId="0" fillId="0" borderId="10" xfId="0" applyBorder="1" applyAlignment="1">
      <alignment vertical="center"/>
    </xf>
    <xf numFmtId="9" fontId="65" fillId="0" borderId="0" xfId="0" applyNumberFormat="1" applyFont="1" applyAlignment="1">
      <alignment vertical="center"/>
    </xf>
    <xf numFmtId="9" fontId="65" fillId="0" borderId="0" xfId="1" applyFont="1" applyAlignment="1">
      <alignment vertical="center"/>
    </xf>
    <xf numFmtId="174" fontId="0" fillId="0" borderId="0" xfId="0" applyNumberFormat="1" applyAlignment="1">
      <alignment horizontal="center" vertical="center"/>
    </xf>
    <xf numFmtId="9" fontId="21" fillId="0" borderId="0" xfId="0" applyNumberFormat="1" applyFont="1" applyAlignment="1">
      <alignment vertical="center"/>
    </xf>
    <xf numFmtId="0" fontId="14" fillId="0" borderId="107" xfId="0" applyFont="1" applyBorder="1" applyAlignment="1">
      <alignment horizontal="center" vertical="center"/>
    </xf>
    <xf numFmtId="0" fontId="10" fillId="14" borderId="0" xfId="0" applyFont="1" applyFill="1" applyAlignment="1">
      <alignment horizontal="center" vertical="center"/>
    </xf>
    <xf numFmtId="0" fontId="59" fillId="14" borderId="0" xfId="0" applyFont="1" applyFill="1" applyAlignment="1">
      <alignment horizontal="center" vertical="center"/>
    </xf>
    <xf numFmtId="165" fontId="10" fillId="0" borderId="0" xfId="0" applyNumberFormat="1" applyFont="1" applyAlignment="1">
      <alignment horizontal="center" vertical="center"/>
    </xf>
    <xf numFmtId="49" fontId="0" fillId="0" borderId="0" xfId="0" applyNumberFormat="1"/>
    <xf numFmtId="0" fontId="67" fillId="0" borderId="0" xfId="0" applyFont="1" applyAlignment="1">
      <alignment horizontal="center" vertical="center"/>
    </xf>
    <xf numFmtId="0" fontId="68" fillId="0" borderId="0" xfId="0" applyFont="1" applyAlignment="1">
      <alignment horizontal="center" vertical="center"/>
    </xf>
    <xf numFmtId="0" fontId="69" fillId="0" borderId="31" xfId="0" applyFont="1" applyBorder="1" applyAlignment="1">
      <alignment horizontal="center" vertical="center" readingOrder="2"/>
    </xf>
    <xf numFmtId="0" fontId="70" fillId="0" borderId="32" xfId="0" applyFont="1" applyBorder="1" applyAlignment="1">
      <alignment horizontal="center" vertical="center"/>
    </xf>
    <xf numFmtId="0" fontId="0" fillId="0" borderId="154" xfId="0" applyBorder="1" applyAlignment="1">
      <alignment horizontal="center" vertical="center"/>
    </xf>
    <xf numFmtId="0" fontId="0" fillId="0" borderId="155" xfId="0" applyBorder="1" applyAlignment="1">
      <alignment horizontal="center" vertical="center"/>
    </xf>
    <xf numFmtId="0" fontId="10" fillId="0" borderId="154" xfId="0" applyFont="1" applyBorder="1" applyAlignment="1">
      <alignment horizontal="center" vertical="center"/>
    </xf>
    <xf numFmtId="0" fontId="10" fillId="0" borderId="156" xfId="0" applyFont="1" applyBorder="1" applyAlignment="1">
      <alignment horizontal="center" vertical="center"/>
    </xf>
    <xf numFmtId="0" fontId="0" fillId="0" borderId="32" xfId="0" applyBorder="1" applyAlignment="1">
      <alignment horizontal="center" vertical="center"/>
    </xf>
    <xf numFmtId="0" fontId="69" fillId="0" borderId="32" xfId="0" applyFont="1" applyBorder="1" applyAlignment="1">
      <alignment horizontal="center" vertical="center" readingOrder="2"/>
    </xf>
    <xf numFmtId="0" fontId="0" fillId="0" borderId="157" xfId="0" applyBorder="1" applyAlignment="1">
      <alignment horizontal="center" vertical="center"/>
    </xf>
    <xf numFmtId="0" fontId="71" fillId="0" borderId="0" xfId="0" applyFont="1" applyAlignment="1">
      <alignment horizontal="center" vertical="center"/>
    </xf>
    <xf numFmtId="0" fontId="72" fillId="0" borderId="0" xfId="0" applyFont="1" applyAlignment="1">
      <alignment horizontal="center" vertical="center"/>
    </xf>
    <xf numFmtId="0" fontId="9" fillId="0" borderId="0" xfId="2"/>
    <xf numFmtId="0" fontId="73" fillId="0" borderId="0" xfId="0" applyFont="1" applyAlignment="1">
      <alignment horizontal="center" vertical="center"/>
    </xf>
    <xf numFmtId="0" fontId="10" fillId="0" borderId="157" xfId="0" applyFont="1" applyBorder="1" applyAlignment="1">
      <alignment horizontal="center" vertical="center"/>
    </xf>
    <xf numFmtId="0" fontId="40" fillId="0" borderId="76" xfId="0" applyFont="1" applyBorder="1" applyAlignment="1">
      <alignment horizontal="center" vertical="center"/>
    </xf>
    <xf numFmtId="166" fontId="40" fillId="0" borderId="76" xfId="0" applyNumberFormat="1" applyFont="1" applyBorder="1" applyAlignment="1">
      <alignment horizontal="center" vertical="center"/>
    </xf>
    <xf numFmtId="166" fontId="7" fillId="0" borderId="115" xfId="3" applyNumberFormat="1" applyFont="1" applyFill="1" applyBorder="1" applyAlignment="1">
      <alignment horizontal="center" vertical="center"/>
    </xf>
    <xf numFmtId="49" fontId="0" fillId="0" borderId="70" xfId="0" applyNumberFormat="1" applyBorder="1" applyAlignment="1" applyProtection="1">
      <alignment horizontal="center" vertical="center"/>
      <protection locked="0"/>
    </xf>
    <xf numFmtId="175" fontId="10" fillId="0" borderId="0" xfId="0" applyNumberFormat="1" applyFont="1" applyAlignment="1">
      <alignment horizontal="center" vertical="center"/>
    </xf>
    <xf numFmtId="174" fontId="12" fillId="0" borderId="0" xfId="0" applyNumberFormat="1" applyFont="1" applyAlignment="1">
      <alignment horizontal="center" vertical="center"/>
    </xf>
    <xf numFmtId="164" fontId="5" fillId="0" borderId="7" xfId="0" applyNumberFormat="1" applyFont="1" applyBorder="1" applyAlignment="1">
      <alignment horizontal="center" vertical="center" readingOrder="1"/>
    </xf>
    <xf numFmtId="14" fontId="10" fillId="0" borderId="0" xfId="0" applyNumberFormat="1" applyFont="1" applyAlignment="1">
      <alignment horizontal="center" vertical="center"/>
    </xf>
    <xf numFmtId="0" fontId="5" fillId="0" borderId="0" xfId="2" applyFont="1" applyAlignment="1">
      <alignment horizontal="center" vertical="center" readingOrder="1"/>
    </xf>
    <xf numFmtId="14" fontId="5" fillId="0" borderId="0" xfId="2" applyNumberFormat="1" applyFont="1" applyAlignment="1">
      <alignment horizontal="center" vertical="center" readingOrder="1"/>
    </xf>
    <xf numFmtId="9" fontId="5" fillId="0" borderId="5" xfId="0" applyNumberFormat="1" applyFont="1" applyBorder="1" applyAlignment="1">
      <alignment horizontal="center" vertical="center" readingOrder="1"/>
    </xf>
    <xf numFmtId="174" fontId="5" fillId="0" borderId="5" xfId="0" applyNumberFormat="1" applyFont="1" applyBorder="1" applyAlignment="1">
      <alignment horizontal="center" vertical="center" readingOrder="1"/>
    </xf>
    <xf numFmtId="164" fontId="56" fillId="9" borderId="48" xfId="3" applyFont="1" applyFill="1" applyBorder="1" applyAlignment="1">
      <alignment horizontal="center" vertical="center"/>
    </xf>
    <xf numFmtId="164" fontId="56" fillId="9" borderId="49" xfId="3" applyFont="1" applyFill="1" applyBorder="1" applyAlignment="1">
      <alignment horizontal="center" vertical="center"/>
    </xf>
    <xf numFmtId="0" fontId="1" fillId="0" borderId="0" xfId="0" applyFont="1" applyAlignment="1">
      <alignment horizontal="center" vertical="center"/>
    </xf>
    <xf numFmtId="0" fontId="55" fillId="9" borderId="27" xfId="0" applyFont="1" applyFill="1" applyBorder="1" applyAlignment="1">
      <alignment horizontal="center" vertical="center"/>
    </xf>
    <xf numFmtId="0" fontId="55" fillId="9" borderId="29" xfId="0" applyFont="1" applyFill="1" applyBorder="1" applyAlignment="1">
      <alignment horizontal="center" vertical="center"/>
    </xf>
    <xf numFmtId="164" fontId="56" fillId="9" borderId="136" xfId="3" applyFont="1" applyFill="1" applyBorder="1" applyAlignment="1">
      <alignment horizontal="center" vertical="center"/>
    </xf>
    <xf numFmtId="164" fontId="56" fillId="9" borderId="137" xfId="3" applyFont="1" applyFill="1" applyBorder="1" applyAlignment="1">
      <alignment horizontal="center" vertical="center"/>
    </xf>
    <xf numFmtId="166" fontId="0" fillId="0" borderId="119" xfId="3" applyNumberFormat="1" applyFont="1" applyBorder="1" applyAlignment="1">
      <alignment horizontal="center" vertical="center"/>
    </xf>
    <xf numFmtId="14" fontId="67" fillId="0" borderId="0" xfId="0" applyNumberFormat="1" applyFont="1" applyAlignment="1">
      <alignment horizontal="center" vertical="center"/>
    </xf>
    <xf numFmtId="0" fontId="33" fillId="0" borderId="91" xfId="0" applyFont="1" applyBorder="1" applyAlignment="1">
      <alignment vertical="center" wrapText="1"/>
    </xf>
    <xf numFmtId="0" fontId="33" fillId="0" borderId="92" xfId="0" applyFont="1" applyBorder="1" applyAlignment="1">
      <alignment vertical="center" wrapText="1"/>
    </xf>
    <xf numFmtId="0" fontId="33" fillId="0" borderId="93" xfId="0" applyFont="1" applyBorder="1" applyAlignment="1">
      <alignment vertical="center" wrapText="1"/>
    </xf>
    <xf numFmtId="0" fontId="33" fillId="0" borderId="94" xfId="0" applyFont="1" applyBorder="1" applyAlignment="1">
      <alignment vertical="center" wrapText="1"/>
    </xf>
    <xf numFmtId="0" fontId="33" fillId="0" borderId="0" xfId="0" applyFont="1" applyAlignment="1">
      <alignment vertical="center" wrapText="1"/>
    </xf>
    <xf numFmtId="0" fontId="33" fillId="0" borderId="95" xfId="0" applyFont="1" applyBorder="1" applyAlignment="1">
      <alignment vertical="center" wrapText="1"/>
    </xf>
    <xf numFmtId="0" fontId="33" fillId="0" borderId="96" xfId="0" applyFont="1" applyBorder="1" applyAlignment="1">
      <alignment vertical="center" wrapText="1"/>
    </xf>
    <xf numFmtId="0" fontId="33" fillId="0" borderId="97" xfId="0" applyFont="1" applyBorder="1" applyAlignment="1">
      <alignment vertical="center" wrapText="1"/>
    </xf>
    <xf numFmtId="0" fontId="33" fillId="0" borderId="98" xfId="0" applyFont="1" applyBorder="1" applyAlignment="1">
      <alignment vertical="center" wrapText="1"/>
    </xf>
    <xf numFmtId="0" fontId="10" fillId="0" borderId="158" xfId="0" applyFont="1" applyBorder="1" applyAlignment="1">
      <alignment horizontal="center" vertical="center"/>
    </xf>
    <xf numFmtId="16" fontId="5" fillId="0" borderId="0" xfId="2" applyNumberFormat="1" applyFont="1" applyAlignment="1">
      <alignment horizontal="center" vertical="center" readingOrder="1"/>
    </xf>
    <xf numFmtId="0" fontId="15" fillId="0" borderId="28" xfId="0" applyFont="1" applyBorder="1" applyAlignment="1">
      <alignment horizontal="center" vertical="center"/>
    </xf>
    <xf numFmtId="0" fontId="15" fillId="0" borderId="29" xfId="0" applyFont="1" applyBorder="1" applyAlignment="1">
      <alignment horizontal="center" vertical="center" wrapText="1"/>
    </xf>
    <xf numFmtId="0" fontId="15" fillId="0" borderId="29" xfId="0" applyFont="1" applyBorder="1" applyAlignment="1">
      <alignment horizontal="center" vertical="center"/>
    </xf>
    <xf numFmtId="0" fontId="40" fillId="0" borderId="29" xfId="2" applyFont="1" applyBorder="1" applyAlignment="1">
      <alignment horizontal="center" vertical="center"/>
    </xf>
    <xf numFmtId="0" fontId="15" fillId="0" borderId="29" xfId="3" applyNumberFormat="1" applyFont="1" applyBorder="1" applyAlignment="1">
      <alignment horizontal="center" vertical="center"/>
    </xf>
    <xf numFmtId="166" fontId="15" fillId="0" borderId="29" xfId="3" applyNumberFormat="1" applyFont="1" applyBorder="1" applyAlignment="1">
      <alignment horizontal="center" vertical="center"/>
    </xf>
    <xf numFmtId="166" fontId="40" fillId="0" borderId="29" xfId="2" applyNumberFormat="1" applyFont="1" applyBorder="1" applyAlignment="1">
      <alignment horizontal="center" vertical="center"/>
    </xf>
    <xf numFmtId="0" fontId="7" fillId="0" borderId="29" xfId="0" applyFont="1" applyBorder="1" applyAlignment="1">
      <alignment horizontal="center" vertical="center"/>
    </xf>
    <xf numFmtId="166" fontId="7" fillId="0" borderId="116" xfId="3" applyNumberFormat="1" applyFont="1" applyFill="1" applyBorder="1" applyAlignment="1">
      <alignment horizontal="center" vertical="center"/>
    </xf>
    <xf numFmtId="0" fontId="15" fillId="0" borderId="32" xfId="0" applyFont="1" applyBorder="1" applyAlignment="1">
      <alignment horizontal="center" vertical="center"/>
    </xf>
    <xf numFmtId="0" fontId="76" fillId="0" borderId="33" xfId="2" applyFont="1" applyBorder="1" applyAlignment="1">
      <alignment horizontal="center" vertical="center"/>
    </xf>
    <xf numFmtId="166" fontId="76" fillId="0" borderId="33" xfId="2" applyNumberFormat="1" applyFont="1" applyBorder="1" applyAlignment="1">
      <alignment horizontal="center" vertical="center"/>
    </xf>
    <xf numFmtId="14" fontId="7" fillId="0" borderId="33" xfId="0" applyNumberFormat="1" applyFont="1" applyBorder="1" applyAlignment="1">
      <alignment horizontal="center" vertical="center"/>
    </xf>
    <xf numFmtId="0" fontId="28" fillId="0" borderId="33" xfId="2" applyFont="1" applyBorder="1" applyAlignment="1">
      <alignment horizontal="center" vertical="center" readingOrder="1"/>
    </xf>
    <xf numFmtId="14" fontId="28" fillId="0" borderId="33" xfId="2" applyNumberFormat="1" applyFont="1" applyBorder="1" applyAlignment="1">
      <alignment horizontal="center" vertical="center" readingOrder="1"/>
    </xf>
    <xf numFmtId="0" fontId="28" fillId="0" borderId="32" xfId="0" applyFont="1" applyBorder="1" applyAlignment="1">
      <alignment horizontal="center" vertical="center" readingOrder="1"/>
    </xf>
    <xf numFmtId="0" fontId="28" fillId="0" borderId="33" xfId="2" applyFont="1" applyBorder="1" applyAlignment="1">
      <alignment horizontal="center" vertical="center" readingOrder="2"/>
    </xf>
    <xf numFmtId="1" fontId="28" fillId="0" borderId="33" xfId="2" applyNumberFormat="1" applyFont="1" applyBorder="1" applyAlignment="1">
      <alignment horizontal="center" vertical="center" readingOrder="1"/>
    </xf>
    <xf numFmtId="16" fontId="7" fillId="0" borderId="33" xfId="0" applyNumberFormat="1" applyFont="1" applyBorder="1" applyAlignment="1">
      <alignment horizontal="center" vertical="center"/>
    </xf>
    <xf numFmtId="0" fontId="28" fillId="0" borderId="108" xfId="2" applyFont="1" applyBorder="1" applyAlignment="1">
      <alignment horizontal="center" vertical="center" readingOrder="1"/>
    </xf>
    <xf numFmtId="14" fontId="28" fillId="0" borderId="108" xfId="2" applyNumberFormat="1" applyFont="1" applyBorder="1" applyAlignment="1">
      <alignment horizontal="center" vertical="center" readingOrder="1"/>
    </xf>
    <xf numFmtId="14" fontId="28" fillId="0" borderId="110" xfId="2" applyNumberFormat="1" applyFont="1" applyBorder="1" applyAlignment="1">
      <alignment horizontal="center" vertical="center" readingOrder="1"/>
    </xf>
    <xf numFmtId="14" fontId="28" fillId="0" borderId="76" xfId="0" applyNumberFormat="1" applyFont="1" applyBorder="1" applyAlignment="1">
      <alignment horizontal="center" vertical="center" readingOrder="1"/>
    </xf>
    <xf numFmtId="0" fontId="28" fillId="0" borderId="76" xfId="0" applyFont="1" applyBorder="1" applyAlignment="1">
      <alignment horizontal="center" vertical="center" readingOrder="2"/>
    </xf>
    <xf numFmtId="1" fontId="28" fillId="0" borderId="76" xfId="0" applyNumberFormat="1" applyFont="1" applyBorder="1" applyAlignment="1">
      <alignment horizontal="center" vertical="center" readingOrder="1"/>
    </xf>
    <xf numFmtId="0" fontId="76" fillId="0" borderId="33" xfId="2" applyFont="1" applyFill="1" applyBorder="1" applyAlignment="1">
      <alignment horizontal="center" vertical="center"/>
    </xf>
    <xf numFmtId="14" fontId="28" fillId="0" borderId="33" xfId="3" applyNumberFormat="1" applyFont="1" applyBorder="1" applyAlignment="1">
      <alignment horizontal="center" vertical="center" readingOrder="1"/>
    </xf>
    <xf numFmtId="166" fontId="40" fillId="0" borderId="33" xfId="2" applyNumberFormat="1" applyFont="1" applyFill="1" applyBorder="1" applyAlignment="1">
      <alignment horizontal="center" vertical="center"/>
    </xf>
    <xf numFmtId="0" fontId="28" fillId="0" borderId="0" xfId="2" applyFont="1" applyBorder="1" applyAlignment="1">
      <alignment horizontal="center" vertical="center" readingOrder="2"/>
    </xf>
    <xf numFmtId="0" fontId="28" fillId="0" borderId="0" xfId="2" applyFont="1" applyBorder="1" applyAlignment="1">
      <alignment horizontal="center" vertical="center" readingOrder="1"/>
    </xf>
    <xf numFmtId="0" fontId="40" fillId="0" borderId="33" xfId="2" applyFont="1" applyBorder="1" applyAlignment="1">
      <alignment horizontal="center" vertical="center" wrapText="1"/>
    </xf>
    <xf numFmtId="14" fontId="7" fillId="0" borderId="33" xfId="2" applyNumberFormat="1" applyFont="1" applyBorder="1" applyAlignment="1">
      <alignment horizontal="center" vertical="center"/>
    </xf>
    <xf numFmtId="14" fontId="28" fillId="0" borderId="33" xfId="0" applyNumberFormat="1" applyFont="1" applyBorder="1" applyAlignment="1">
      <alignment horizontal="center" vertical="center" readingOrder="2"/>
    </xf>
    <xf numFmtId="0" fontId="7" fillId="0" borderId="33" xfId="2" applyFont="1" applyBorder="1" applyAlignment="1">
      <alignment horizontal="center" vertical="center"/>
    </xf>
    <xf numFmtId="3" fontId="15" fillId="0" borderId="33" xfId="3" applyNumberFormat="1" applyFont="1" applyBorder="1" applyAlignment="1">
      <alignment horizontal="center" vertical="center"/>
    </xf>
    <xf numFmtId="0" fontId="15" fillId="0" borderId="33" xfId="2" applyFont="1" applyBorder="1" applyAlignment="1">
      <alignment horizontal="center" vertical="center"/>
    </xf>
    <xf numFmtId="165" fontId="15" fillId="0" borderId="33" xfId="0" applyNumberFormat="1" applyFont="1" applyBorder="1" applyAlignment="1">
      <alignment horizontal="center" vertical="center"/>
    </xf>
    <xf numFmtId="0" fontId="7" fillId="0" borderId="102" xfId="0" applyFont="1" applyBorder="1" applyAlignment="1">
      <alignment horizontal="center" vertical="center"/>
    </xf>
    <xf numFmtId="0" fontId="15" fillId="0" borderId="119" xfId="2" applyFont="1" applyBorder="1" applyAlignment="1">
      <alignment horizontal="center" vertical="center"/>
    </xf>
    <xf numFmtId="0" fontId="15" fillId="0" borderId="119" xfId="0" applyFont="1" applyBorder="1" applyAlignment="1">
      <alignment horizontal="center" vertical="center"/>
    </xf>
    <xf numFmtId="0" fontId="76" fillId="0" borderId="119" xfId="2" applyFont="1" applyFill="1" applyBorder="1" applyAlignment="1">
      <alignment horizontal="center" vertical="center"/>
    </xf>
    <xf numFmtId="0" fontId="40" fillId="0" borderId="102" xfId="2" applyFont="1" applyBorder="1" applyAlignment="1">
      <alignment horizontal="center" vertical="center"/>
    </xf>
    <xf numFmtId="0" fontId="40" fillId="0" borderId="119" xfId="2" applyFont="1" applyBorder="1" applyAlignment="1">
      <alignment horizontal="center" vertical="center"/>
    </xf>
    <xf numFmtId="166" fontId="40" fillId="0" borderId="119" xfId="2" applyNumberFormat="1" applyFont="1" applyBorder="1" applyAlignment="1">
      <alignment horizontal="center" vertical="center"/>
    </xf>
    <xf numFmtId="168" fontId="28" fillId="0" borderId="33" xfId="0" applyNumberFormat="1" applyFont="1" applyBorder="1" applyAlignment="1">
      <alignment horizontal="center" vertical="center" readingOrder="1"/>
    </xf>
    <xf numFmtId="167" fontId="15" fillId="0" borderId="33" xfId="0" applyNumberFormat="1" applyFont="1" applyBorder="1" applyAlignment="1">
      <alignment horizontal="center" vertical="center"/>
    </xf>
    <xf numFmtId="0" fontId="76" fillId="13" borderId="33" xfId="2" applyFont="1" applyFill="1" applyBorder="1" applyAlignment="1">
      <alignment horizontal="center" vertical="center"/>
    </xf>
    <xf numFmtId="0" fontId="72" fillId="13" borderId="33" xfId="0" applyFont="1" applyFill="1" applyBorder="1" applyAlignment="1">
      <alignment horizontal="center" vertical="center" wrapText="1"/>
    </xf>
    <xf numFmtId="0" fontId="77" fillId="13" borderId="33" xfId="0" applyFont="1" applyFill="1" applyBorder="1" applyAlignment="1">
      <alignment horizontal="center" vertical="center" wrapText="1"/>
    </xf>
    <xf numFmtId="164" fontId="72" fillId="13" borderId="33" xfId="3" applyFont="1" applyFill="1" applyBorder="1" applyAlignment="1">
      <alignment horizontal="center" vertical="center" wrapText="1"/>
    </xf>
    <xf numFmtId="0" fontId="78" fillId="13" borderId="33" xfId="2" applyFont="1" applyFill="1" applyBorder="1" applyAlignment="1">
      <alignment horizontal="center" vertical="center" wrapText="1"/>
    </xf>
    <xf numFmtId="0" fontId="76" fillId="13" borderId="33" xfId="2" applyFont="1" applyFill="1" applyBorder="1" applyAlignment="1">
      <alignment horizontal="center" vertical="center" wrapText="1"/>
    </xf>
    <xf numFmtId="0" fontId="28" fillId="0" borderId="101" xfId="0" applyFont="1" applyBorder="1" applyAlignment="1">
      <alignment horizontal="center" vertical="center" readingOrder="1"/>
    </xf>
    <xf numFmtId="0" fontId="76" fillId="0" borderId="76" xfId="2" applyFont="1" applyBorder="1" applyAlignment="1">
      <alignment horizontal="center" vertical="center"/>
    </xf>
    <xf numFmtId="0" fontId="40" fillId="0" borderId="76" xfId="2" applyFont="1" applyBorder="1" applyAlignment="1">
      <alignment horizontal="center" vertical="center"/>
    </xf>
    <xf numFmtId="0" fontId="28" fillId="0" borderId="76" xfId="0" applyFont="1" applyBorder="1" applyAlignment="1">
      <alignment horizontal="center" vertical="center" readingOrder="1"/>
    </xf>
    <xf numFmtId="3" fontId="28" fillId="0" borderId="76" xfId="0" applyNumberFormat="1" applyFont="1" applyBorder="1" applyAlignment="1">
      <alignment horizontal="center" vertical="center" readingOrder="1"/>
    </xf>
    <xf numFmtId="166" fontId="76" fillId="0" borderId="76" xfId="2" applyNumberFormat="1" applyFont="1" applyBorder="1" applyAlignment="1">
      <alignment horizontal="center" vertical="center"/>
    </xf>
    <xf numFmtId="14" fontId="28" fillId="0" borderId="76" xfId="2" applyNumberFormat="1" applyFont="1" applyBorder="1" applyAlignment="1">
      <alignment horizontal="center" vertical="center" readingOrder="1"/>
    </xf>
    <xf numFmtId="0" fontId="28" fillId="0" borderId="76" xfId="2" applyFont="1" applyBorder="1" applyAlignment="1">
      <alignment horizontal="center" vertical="center" readingOrder="2"/>
    </xf>
    <xf numFmtId="166" fontId="40" fillId="0" borderId="76" xfId="2" applyNumberFormat="1" applyFont="1" applyBorder="1" applyAlignment="1">
      <alignment horizontal="center" vertical="center"/>
    </xf>
    <xf numFmtId="0" fontId="28" fillId="0" borderId="76" xfId="2" applyFont="1" applyBorder="1" applyAlignment="1">
      <alignment horizontal="center" vertical="center" readingOrder="1"/>
    </xf>
    <xf numFmtId="1" fontId="28" fillId="0" borderId="76" xfId="2" applyNumberFormat="1" applyFont="1" applyBorder="1" applyAlignment="1">
      <alignment horizontal="center" vertical="center" readingOrder="1"/>
    </xf>
    <xf numFmtId="166" fontId="7" fillId="0" borderId="0" xfId="3" applyNumberFormat="1" applyFont="1" applyFill="1" applyBorder="1" applyAlignment="1">
      <alignment horizontal="center" vertical="center"/>
    </xf>
    <xf numFmtId="0" fontId="76" fillId="13" borderId="76" xfId="2" applyFont="1" applyFill="1" applyBorder="1" applyAlignment="1">
      <alignment horizontal="center" vertical="center"/>
    </xf>
    <xf numFmtId="0" fontId="78" fillId="13" borderId="76" xfId="2" applyFont="1" applyFill="1" applyBorder="1" applyAlignment="1">
      <alignment horizontal="center" vertical="center"/>
    </xf>
    <xf numFmtId="0" fontId="76" fillId="0" borderId="107" xfId="2" applyNumberFormat="1" applyFont="1" applyBorder="1" applyAlignment="1">
      <alignment horizontal="center" vertical="center"/>
    </xf>
    <xf numFmtId="0" fontId="76" fillId="0" borderId="107" xfId="2" applyFont="1" applyBorder="1" applyAlignment="1">
      <alignment horizontal="center" vertical="center"/>
    </xf>
    <xf numFmtId="0" fontId="76" fillId="0" borderId="108" xfId="2" applyFont="1" applyBorder="1" applyAlignment="1">
      <alignment horizontal="center" vertical="center"/>
    </xf>
    <xf numFmtId="0" fontId="78" fillId="13" borderId="33" xfId="2" applyFont="1" applyFill="1" applyBorder="1" applyAlignment="1">
      <alignment horizontal="center" vertical="center"/>
    </xf>
    <xf numFmtId="0" fontId="76" fillId="0" borderId="33" xfId="2" applyNumberFormat="1" applyFont="1" applyBorder="1" applyAlignment="1">
      <alignment horizontal="center" vertical="center"/>
    </xf>
    <xf numFmtId="14" fontId="7" fillId="0" borderId="76" xfId="0" applyNumberFormat="1" applyFont="1" applyBorder="1" applyAlignment="1">
      <alignment horizontal="center" vertical="center"/>
    </xf>
    <xf numFmtId="14" fontId="28" fillId="0" borderId="76" xfId="0" applyNumberFormat="1" applyFont="1" applyBorder="1" applyAlignment="1">
      <alignment horizontal="center" vertical="center" readingOrder="2"/>
    </xf>
    <xf numFmtId="0" fontId="28" fillId="0" borderId="107" xfId="0" applyFont="1" applyBorder="1" applyAlignment="1">
      <alignment horizontal="center" vertical="center" readingOrder="1"/>
    </xf>
    <xf numFmtId="14" fontId="7" fillId="0" borderId="107" xfId="0" applyNumberFormat="1" applyFont="1" applyBorder="1" applyAlignment="1">
      <alignment horizontal="center" vertical="center"/>
    </xf>
    <xf numFmtId="0" fontId="7" fillId="0" borderId="107" xfId="0" applyFont="1" applyBorder="1" applyAlignment="1">
      <alignment horizontal="center" vertical="center"/>
    </xf>
    <xf numFmtId="1" fontId="28" fillId="0" borderId="107" xfId="0" applyNumberFormat="1" applyFont="1" applyBorder="1" applyAlignment="1">
      <alignment horizontal="center" vertical="center" readingOrder="1"/>
    </xf>
    <xf numFmtId="3" fontId="28" fillId="0" borderId="107" xfId="0" applyNumberFormat="1" applyFont="1" applyBorder="1" applyAlignment="1">
      <alignment horizontal="center" vertical="center" readingOrder="1"/>
    </xf>
    <xf numFmtId="166" fontId="15" fillId="0" borderId="107" xfId="3" applyNumberFormat="1" applyFont="1" applyBorder="1" applyAlignment="1">
      <alignment horizontal="center" vertical="center"/>
    </xf>
    <xf numFmtId="0" fontId="76" fillId="0" borderId="119" xfId="2" applyFont="1" applyBorder="1" applyAlignment="1">
      <alignment horizontal="center" vertical="center"/>
    </xf>
    <xf numFmtId="0" fontId="15" fillId="0" borderId="119" xfId="3" applyNumberFormat="1" applyFont="1" applyBorder="1" applyAlignment="1">
      <alignment horizontal="center" vertical="center"/>
    </xf>
    <xf numFmtId="166" fontId="15" fillId="0" borderId="119" xfId="3" applyNumberFormat="1" applyFont="1" applyBorder="1" applyAlignment="1">
      <alignment horizontal="center" vertical="center"/>
    </xf>
    <xf numFmtId="0" fontId="7" fillId="0" borderId="108" xfId="0" applyFont="1" applyBorder="1" applyAlignment="1">
      <alignment horizontal="center" vertical="center"/>
    </xf>
    <xf numFmtId="14" fontId="7" fillId="0" borderId="110" xfId="0" applyNumberFormat="1" applyFont="1" applyBorder="1" applyAlignment="1">
      <alignment horizontal="center" vertical="center"/>
    </xf>
    <xf numFmtId="14" fontId="7" fillId="0" borderId="0" xfId="0" applyNumberFormat="1" applyFont="1" applyAlignment="1">
      <alignment horizontal="center" vertical="center"/>
    </xf>
    <xf numFmtId="0" fontId="28" fillId="0" borderId="118" xfId="0" applyFont="1" applyBorder="1" applyAlignment="1">
      <alignment horizontal="center" vertical="center" readingOrder="1"/>
    </xf>
    <xf numFmtId="0" fontId="7" fillId="0" borderId="118" xfId="0" applyFont="1" applyBorder="1" applyAlignment="1">
      <alignment horizontal="center" vertical="center"/>
    </xf>
    <xf numFmtId="14" fontId="7" fillId="0" borderId="118" xfId="0" applyNumberFormat="1" applyFont="1" applyBorder="1" applyAlignment="1">
      <alignment horizontal="center" vertical="center"/>
    </xf>
    <xf numFmtId="3" fontId="28" fillId="0" borderId="119" xfId="0" applyNumberFormat="1" applyFont="1" applyBorder="1" applyAlignment="1">
      <alignment horizontal="center" vertical="center" readingOrder="1"/>
    </xf>
    <xf numFmtId="11" fontId="7" fillId="0" borderId="33" xfId="0" applyNumberFormat="1" applyFont="1" applyBorder="1" applyAlignment="1">
      <alignment horizontal="center" vertical="center"/>
    </xf>
    <xf numFmtId="14" fontId="7" fillId="0" borderId="108" xfId="0" applyNumberFormat="1" applyFont="1" applyBorder="1" applyAlignment="1">
      <alignment horizontal="center" vertical="center"/>
    </xf>
    <xf numFmtId="0" fontId="40" fillId="0" borderId="108" xfId="2" applyFont="1" applyBorder="1" applyAlignment="1">
      <alignment horizontal="center" vertical="center"/>
    </xf>
    <xf numFmtId="14" fontId="7" fillId="0" borderId="47" xfId="0" applyNumberFormat="1" applyFont="1" applyBorder="1" applyAlignment="1">
      <alignment horizontal="center" vertical="center"/>
    </xf>
    <xf numFmtId="14" fontId="7" fillId="0" borderId="102" xfId="0" applyNumberFormat="1" applyFont="1" applyBorder="1" applyAlignment="1">
      <alignment horizontal="center" vertical="center"/>
    </xf>
    <xf numFmtId="16" fontId="7" fillId="0" borderId="0" xfId="0" applyNumberFormat="1" applyFont="1" applyAlignment="1">
      <alignment horizontal="center" vertical="center"/>
    </xf>
    <xf numFmtId="166" fontId="76" fillId="0" borderId="102" xfId="2" applyNumberFormat="1" applyFont="1" applyBorder="1" applyAlignment="1">
      <alignment horizontal="center" vertical="center"/>
    </xf>
    <xf numFmtId="16" fontId="7" fillId="0" borderId="47" xfId="0" applyNumberFormat="1" applyFont="1" applyBorder="1" applyAlignment="1">
      <alignment horizontal="center" vertical="center"/>
    </xf>
    <xf numFmtId="0" fontId="76" fillId="0" borderId="47" xfId="2" applyFont="1" applyBorder="1" applyAlignment="1">
      <alignment horizontal="center" vertical="center"/>
    </xf>
    <xf numFmtId="0" fontId="76" fillId="0" borderId="47" xfId="2" applyFont="1" applyBorder="1" applyAlignment="1">
      <alignment horizontal="center" vertical="center" wrapText="1"/>
    </xf>
    <xf numFmtId="0" fontId="28" fillId="0" borderId="119" xfId="0" applyFont="1" applyBorder="1" applyAlignment="1">
      <alignment horizontal="center" vertical="center" readingOrder="1"/>
    </xf>
    <xf numFmtId="166" fontId="76" fillId="0" borderId="119" xfId="2" applyNumberFormat="1" applyFont="1" applyBorder="1" applyAlignment="1">
      <alignment horizontal="center" vertical="center"/>
    </xf>
    <xf numFmtId="14" fontId="7" fillId="0" borderId="119" xfId="0" applyNumberFormat="1" applyFont="1" applyBorder="1" applyAlignment="1">
      <alignment horizontal="center" vertical="center"/>
    </xf>
    <xf numFmtId="0" fontId="7" fillId="0" borderId="119" xfId="0" applyFont="1" applyBorder="1" applyAlignment="1">
      <alignment horizontal="center" vertical="center"/>
    </xf>
    <xf numFmtId="0" fontId="15" fillId="0" borderId="47" xfId="3" applyNumberFormat="1" applyFont="1" applyBorder="1" applyAlignment="1">
      <alignment horizontal="center" vertical="center"/>
    </xf>
    <xf numFmtId="0" fontId="28" fillId="0" borderId="47" xfId="2" applyFont="1" applyBorder="1" applyAlignment="1">
      <alignment horizontal="center" vertical="center" readingOrder="1"/>
    </xf>
    <xf numFmtId="14" fontId="28" fillId="0" borderId="47" xfId="2" applyNumberFormat="1" applyFont="1" applyBorder="1" applyAlignment="1">
      <alignment horizontal="center" vertical="center" readingOrder="1"/>
    </xf>
    <xf numFmtId="14" fontId="28" fillId="0" borderId="0" xfId="2" applyNumberFormat="1" applyFont="1" applyBorder="1" applyAlignment="1">
      <alignment horizontal="center" vertical="center" readingOrder="1"/>
    </xf>
    <xf numFmtId="0" fontId="28" fillId="0" borderId="47" xfId="2" applyFont="1" applyBorder="1" applyAlignment="1">
      <alignment horizontal="center" vertical="center" readingOrder="2"/>
    </xf>
    <xf numFmtId="1" fontId="28" fillId="0" borderId="47" xfId="2" applyNumberFormat="1" applyFont="1" applyBorder="1" applyAlignment="1">
      <alignment horizontal="center" vertical="center" readingOrder="1"/>
    </xf>
    <xf numFmtId="0" fontId="15" fillId="0" borderId="108" xfId="0" applyFont="1" applyBorder="1" applyAlignment="1">
      <alignment horizontal="center" vertical="center"/>
    </xf>
    <xf numFmtId="166" fontId="15" fillId="0" borderId="108" xfId="3" applyNumberFormat="1" applyFont="1" applyBorder="1" applyAlignment="1">
      <alignment horizontal="center" vertical="center"/>
    </xf>
    <xf numFmtId="166" fontId="15" fillId="0" borderId="0" xfId="3" applyNumberFormat="1" applyFont="1" applyBorder="1" applyAlignment="1">
      <alignment horizontal="center" vertical="center"/>
    </xf>
    <xf numFmtId="0" fontId="40" fillId="0" borderId="0" xfId="2" applyFont="1" applyBorder="1" applyAlignment="1">
      <alignment horizontal="center" vertical="center"/>
    </xf>
    <xf numFmtId="16" fontId="7" fillId="0" borderId="108" xfId="0" applyNumberFormat="1" applyFont="1" applyBorder="1" applyAlignment="1">
      <alignment horizontal="center" vertical="center"/>
    </xf>
    <xf numFmtId="0" fontId="15" fillId="0" borderId="47" xfId="0" applyFont="1" applyBorder="1" applyAlignment="1">
      <alignment horizontal="center" vertical="center"/>
    </xf>
    <xf numFmtId="0" fontId="76" fillId="0" borderId="33" xfId="2" applyFont="1" applyBorder="1" applyAlignment="1">
      <alignment horizontal="center" vertical="center" wrapText="1"/>
    </xf>
    <xf numFmtId="0" fontId="40" fillId="0" borderId="119" xfId="0" applyFont="1" applyBorder="1" applyAlignment="1">
      <alignment horizontal="center" vertical="center"/>
    </xf>
    <xf numFmtId="0" fontId="15" fillId="0" borderId="119" xfId="0" applyFont="1" applyBorder="1" applyAlignment="1">
      <alignment horizontal="center" vertical="center" wrapText="1"/>
    </xf>
    <xf numFmtId="0" fontId="15" fillId="0" borderId="108" xfId="3" applyNumberFormat="1" applyFont="1" applyBorder="1" applyAlignment="1">
      <alignment horizontal="center" vertical="center"/>
    </xf>
    <xf numFmtId="16" fontId="7" fillId="0" borderId="107" xfId="0" applyNumberFormat="1" applyFont="1" applyBorder="1" applyAlignment="1">
      <alignment horizontal="center" vertical="center"/>
    </xf>
    <xf numFmtId="0" fontId="15" fillId="0" borderId="102" xfId="0" applyFont="1" applyBorder="1" applyAlignment="1">
      <alignment horizontal="center" vertical="center"/>
    </xf>
    <xf numFmtId="166" fontId="15" fillId="0" borderId="102" xfId="3" applyNumberFormat="1" applyFont="1" applyBorder="1" applyAlignment="1">
      <alignment horizontal="center" vertical="center"/>
    </xf>
    <xf numFmtId="0" fontId="7" fillId="0" borderId="109" xfId="0" applyFont="1" applyBorder="1" applyAlignment="1">
      <alignment horizontal="center" vertical="center"/>
    </xf>
    <xf numFmtId="0" fontId="15" fillId="0" borderId="109" xfId="0" applyFont="1" applyBorder="1" applyAlignment="1">
      <alignment horizontal="center" vertical="center"/>
    </xf>
    <xf numFmtId="0" fontId="28" fillId="0" borderId="102" xfId="2" applyFont="1" applyBorder="1" applyAlignment="1">
      <alignment horizontal="center" vertical="center" readingOrder="1"/>
    </xf>
    <xf numFmtId="14" fontId="28" fillId="0" borderId="102" xfId="2" applyNumberFormat="1" applyFont="1" applyBorder="1" applyAlignment="1">
      <alignment horizontal="center" vertical="center" readingOrder="1"/>
    </xf>
    <xf numFmtId="0" fontId="28" fillId="0" borderId="102" xfId="2" applyFont="1" applyBorder="1" applyAlignment="1">
      <alignment horizontal="center" vertical="center" readingOrder="2"/>
    </xf>
    <xf numFmtId="1" fontId="28" fillId="0" borderId="102" xfId="2" applyNumberFormat="1" applyFont="1" applyBorder="1" applyAlignment="1">
      <alignment horizontal="center" vertical="center" readingOrder="1"/>
    </xf>
    <xf numFmtId="1" fontId="28" fillId="0" borderId="0" xfId="2" applyNumberFormat="1" applyFont="1" applyBorder="1" applyAlignment="1">
      <alignment horizontal="center" vertical="center" readingOrder="1"/>
    </xf>
    <xf numFmtId="0" fontId="7" fillId="0" borderId="102" xfId="2" applyFont="1" applyBorder="1" applyAlignment="1">
      <alignment horizontal="center" vertical="center"/>
    </xf>
    <xf numFmtId="14" fontId="7" fillId="0" borderId="0" xfId="2" applyNumberFormat="1" applyFont="1" applyBorder="1" applyAlignment="1">
      <alignment horizontal="center" vertical="center"/>
    </xf>
    <xf numFmtId="0" fontId="7" fillId="0" borderId="33" xfId="0" applyFont="1" applyBorder="1" applyAlignment="1">
      <alignment horizontal="center" vertical="center" wrapText="1"/>
    </xf>
    <xf numFmtId="0" fontId="7" fillId="0" borderId="0" xfId="2" applyFont="1" applyBorder="1" applyAlignment="1">
      <alignment horizontal="center" vertical="center"/>
    </xf>
    <xf numFmtId="0" fontId="15" fillId="0" borderId="102" xfId="3" applyNumberFormat="1" applyFont="1" applyBorder="1" applyAlignment="1">
      <alignment horizontal="center" vertical="center"/>
    </xf>
    <xf numFmtId="16" fontId="7" fillId="0" borderId="76" xfId="0" applyNumberFormat="1" applyFont="1" applyBorder="1" applyAlignment="1">
      <alignment horizontal="center" vertical="center"/>
    </xf>
    <xf numFmtId="0" fontId="79" fillId="0" borderId="76" xfId="0" applyFont="1" applyBorder="1" applyAlignment="1">
      <alignment horizontal="center" vertical="center"/>
    </xf>
    <xf numFmtId="10" fontId="7" fillId="0" borderId="76" xfId="0" applyNumberFormat="1" applyFont="1" applyBorder="1" applyAlignment="1">
      <alignment horizontal="center" vertical="center"/>
    </xf>
    <xf numFmtId="0" fontId="0" fillId="0" borderId="120" xfId="0" applyBorder="1" applyAlignment="1">
      <alignment horizontal="center" vertical="center"/>
    </xf>
    <xf numFmtId="0" fontId="14" fillId="0" borderId="107" xfId="0" applyFont="1" applyBorder="1" applyAlignment="1">
      <alignment horizontal="center" vertical="center" wrapText="1" readingOrder="2"/>
    </xf>
    <xf numFmtId="167" fontId="14" fillId="0" borderId="107" xfId="0" applyNumberFormat="1" applyFont="1" applyBorder="1" applyAlignment="1">
      <alignment horizontal="center" vertical="center"/>
    </xf>
    <xf numFmtId="2" fontId="14" fillId="0" borderId="107" xfId="0" applyNumberFormat="1" applyFont="1" applyBorder="1" applyAlignment="1">
      <alignment horizontal="center" vertical="center"/>
    </xf>
    <xf numFmtId="14" fontId="14" fillId="0" borderId="107" xfId="0" applyNumberFormat="1" applyFont="1" applyBorder="1" applyAlignment="1">
      <alignment horizontal="center" vertical="center"/>
    </xf>
    <xf numFmtId="2" fontId="14" fillId="0" borderId="107" xfId="0" applyNumberFormat="1" applyFont="1" applyBorder="1" applyAlignment="1">
      <alignment horizontal="center" vertical="center" readingOrder="2"/>
    </xf>
    <xf numFmtId="3" fontId="14" fillId="0" borderId="107" xfId="0" applyNumberFormat="1" applyFont="1" applyBorder="1" applyAlignment="1">
      <alignment horizontal="center" vertical="center"/>
    </xf>
    <xf numFmtId="0" fontId="14" fillId="0" borderId="107" xfId="0" applyFont="1" applyBorder="1" applyAlignment="1">
      <alignment horizontal="center" vertical="center" wrapText="1"/>
    </xf>
    <xf numFmtId="14" fontId="0" fillId="0" borderId="68" xfId="0" applyNumberFormat="1" applyBorder="1" applyAlignment="1" applyProtection="1">
      <alignment horizontal="center" vertical="center"/>
      <protection locked="0"/>
    </xf>
    <xf numFmtId="0" fontId="3" fillId="4" borderId="68" xfId="0" applyFont="1" applyFill="1" applyBorder="1" applyAlignment="1" applyProtection="1">
      <alignment horizontal="center" vertical="center"/>
      <protection locked="0"/>
    </xf>
    <xf numFmtId="14" fontId="0" fillId="0" borderId="67" xfId="0" applyNumberFormat="1" applyBorder="1" applyAlignment="1" applyProtection="1">
      <alignment horizontal="center" vertical="center"/>
      <protection locked="0"/>
    </xf>
    <xf numFmtId="166" fontId="28" fillId="0" borderId="159" xfId="3" applyNumberFormat="1" applyFont="1" applyFill="1" applyBorder="1" applyAlignment="1" applyProtection="1">
      <alignment horizontal="center" vertical="center" readingOrder="1"/>
      <protection locked="0"/>
    </xf>
    <xf numFmtId="49" fontId="0" fillId="0" borderId="68" xfId="0" applyNumberFormat="1" applyBorder="1" applyAlignment="1" applyProtection="1">
      <alignment horizontal="center" vertical="center"/>
      <protection locked="0"/>
    </xf>
    <xf numFmtId="0" fontId="3" fillId="0" borderId="68" xfId="0" applyFont="1" applyBorder="1" applyAlignment="1" applyProtection="1">
      <alignment horizontal="center" vertical="center"/>
      <protection locked="0"/>
    </xf>
    <xf numFmtId="0" fontId="3" fillId="0" borderId="70" xfId="0" applyFont="1" applyBorder="1" applyAlignment="1" applyProtection="1">
      <alignment horizontal="center" vertical="center"/>
      <protection locked="0"/>
    </xf>
    <xf numFmtId="0" fontId="3" fillId="4" borderId="70" xfId="0" applyFont="1" applyFill="1" applyBorder="1" applyAlignment="1" applyProtection="1">
      <alignment horizontal="center" vertical="center"/>
      <protection locked="0"/>
    </xf>
    <xf numFmtId="2" fontId="14" fillId="0" borderId="0" xfId="0" applyNumberFormat="1" applyFont="1" applyAlignment="1">
      <alignment horizontal="center" vertical="center" readingOrder="2"/>
    </xf>
    <xf numFmtId="0" fontId="27" fillId="9" borderId="9" xfId="0" applyFont="1" applyFill="1" applyBorder="1" applyAlignment="1">
      <alignment horizontal="center" vertical="center"/>
    </xf>
    <xf numFmtId="14" fontId="27" fillId="9" borderId="9" xfId="0" applyNumberFormat="1" applyFont="1" applyFill="1" applyBorder="1" applyAlignment="1">
      <alignment horizontal="center" vertical="center"/>
    </xf>
    <xf numFmtId="164" fontId="27" fillId="9" borderId="9" xfId="3" applyFont="1" applyFill="1" applyBorder="1" applyAlignment="1">
      <alignment horizontal="center" vertical="center"/>
    </xf>
    <xf numFmtId="0" fontId="16" fillId="0" borderId="119" xfId="0" applyFont="1" applyBorder="1" applyAlignment="1">
      <alignment horizontal="center" vertical="center"/>
    </xf>
    <xf numFmtId="14" fontId="16" fillId="0" borderId="119" xfId="0" applyNumberFormat="1" applyFont="1" applyBorder="1" applyAlignment="1">
      <alignment horizontal="center" vertical="center"/>
    </xf>
    <xf numFmtId="0" fontId="5" fillId="0" borderId="106" xfId="0" applyFont="1" applyBorder="1" applyAlignment="1">
      <alignment horizontal="center" vertical="center" readingOrder="1"/>
    </xf>
    <xf numFmtId="0" fontId="5" fillId="0" borderId="119" xfId="0" applyFont="1" applyBorder="1" applyAlignment="1">
      <alignment horizontal="center" vertical="center" readingOrder="2"/>
    </xf>
    <xf numFmtId="0" fontId="25" fillId="0" borderId="119" xfId="0" applyFont="1" applyBorder="1" applyAlignment="1">
      <alignment horizontal="center" vertical="center"/>
    </xf>
    <xf numFmtId="14" fontId="5" fillId="0" borderId="119" xfId="0" applyNumberFormat="1" applyFont="1" applyBorder="1" applyAlignment="1">
      <alignment horizontal="center" vertical="center" readingOrder="1"/>
    </xf>
    <xf numFmtId="0" fontId="16" fillId="10" borderId="119" xfId="0" applyFont="1" applyFill="1" applyBorder="1" applyAlignment="1">
      <alignment horizontal="center" vertical="center"/>
    </xf>
    <xf numFmtId="14" fontId="16" fillId="0" borderId="32" xfId="0" applyNumberFormat="1" applyFont="1" applyBorder="1" applyAlignment="1">
      <alignment horizontal="center" vertical="center"/>
    </xf>
    <xf numFmtId="0" fontId="0" fillId="0" borderId="119" xfId="0" applyBorder="1" applyAlignment="1">
      <alignment horizontal="center" vertical="center"/>
    </xf>
    <xf numFmtId="0" fontId="16" fillId="0" borderId="119" xfId="0" applyFont="1" applyBorder="1" applyAlignment="1">
      <alignment horizontal="center" vertical="center" wrapText="1"/>
    </xf>
    <xf numFmtId="16" fontId="16" fillId="0" borderId="119" xfId="0" applyNumberFormat="1" applyFont="1" applyBorder="1" applyAlignment="1">
      <alignment horizontal="center" vertical="center"/>
    </xf>
    <xf numFmtId="0" fontId="16" fillId="0" borderId="68" xfId="0" applyFont="1" applyBorder="1" applyAlignment="1">
      <alignment horizontal="center" vertical="center"/>
    </xf>
    <xf numFmtId="0" fontId="3" fillId="4" borderId="32" xfId="0" applyFont="1" applyFill="1" applyBorder="1" applyAlignment="1">
      <alignment horizontal="center" vertical="center"/>
    </xf>
    <xf numFmtId="0" fontId="0" fillId="0" borderId="101" xfId="0" applyBorder="1" applyAlignment="1">
      <alignment horizontal="center" vertical="center"/>
    </xf>
    <xf numFmtId="16" fontId="16" fillId="0" borderId="76" xfId="0" applyNumberFormat="1" applyFont="1" applyBorder="1" applyAlignment="1">
      <alignment horizontal="center" vertical="center"/>
    </xf>
    <xf numFmtId="0" fontId="16" fillId="4" borderId="101" xfId="0" applyFont="1" applyFill="1" applyBorder="1" applyAlignment="1">
      <alignment horizontal="center" vertical="center"/>
    </xf>
    <xf numFmtId="0" fontId="16" fillId="2" borderId="76" xfId="0" applyFont="1" applyFill="1" applyBorder="1" applyAlignment="1">
      <alignment horizontal="center" vertical="center"/>
    </xf>
    <xf numFmtId="14" fontId="16" fillId="2" borderId="76" xfId="0" applyNumberFormat="1" applyFont="1" applyFill="1" applyBorder="1" applyAlignment="1">
      <alignment horizontal="center" vertical="center"/>
    </xf>
    <xf numFmtId="0" fontId="16" fillId="10" borderId="76" xfId="0" applyFont="1" applyFill="1" applyBorder="1" applyAlignment="1">
      <alignment horizontal="center" vertical="center"/>
    </xf>
    <xf numFmtId="0" fontId="0" fillId="0" borderId="76" xfId="0" applyBorder="1" applyAlignment="1">
      <alignment horizontal="center" vertical="center"/>
    </xf>
    <xf numFmtId="0" fontId="0" fillId="10" borderId="76" xfId="0" applyFill="1" applyBorder="1" applyAlignment="1">
      <alignment horizontal="center" vertical="center"/>
    </xf>
    <xf numFmtId="0" fontId="16" fillId="0" borderId="160" xfId="0" applyFont="1" applyBorder="1" applyAlignment="1">
      <alignment horizontal="center" vertical="center"/>
    </xf>
    <xf numFmtId="0" fontId="16" fillId="0" borderId="69" xfId="0" applyFont="1" applyBorder="1" applyAlignment="1">
      <alignment horizontal="center" vertical="center"/>
    </xf>
    <xf numFmtId="0" fontId="3" fillId="4" borderId="70" xfId="0" applyFont="1" applyFill="1" applyBorder="1" applyAlignment="1">
      <alignment horizontal="center" vertical="center"/>
    </xf>
    <xf numFmtId="0" fontId="0" fillId="0" borderId="160" xfId="0" applyBorder="1" applyAlignment="1">
      <alignment horizontal="center" vertical="center"/>
    </xf>
    <xf numFmtId="0" fontId="0" fillId="0" borderId="69" xfId="0" applyBorder="1" applyAlignment="1" applyProtection="1">
      <alignment horizontal="center" vertical="center"/>
      <protection locked="0"/>
    </xf>
    <xf numFmtId="0" fontId="16" fillId="0" borderId="115" xfId="0" applyFont="1" applyBorder="1" applyAlignment="1">
      <alignment horizontal="center" vertical="center"/>
    </xf>
    <xf numFmtId="49" fontId="16" fillId="0" borderId="76" xfId="0" applyNumberFormat="1" applyFont="1" applyBorder="1" applyAlignment="1">
      <alignment horizontal="center" vertical="center"/>
    </xf>
    <xf numFmtId="0" fontId="9" fillId="9" borderId="4" xfId="2" applyFill="1" applyBorder="1" applyAlignment="1">
      <alignment horizontal="center" vertical="center"/>
    </xf>
    <xf numFmtId="0" fontId="9" fillId="0" borderId="0" xfId="2" applyFill="1" applyAlignment="1">
      <alignment horizontal="center" vertical="center"/>
    </xf>
    <xf numFmtId="0" fontId="23" fillId="0" borderId="18" xfId="0" applyFont="1" applyBorder="1" applyAlignment="1">
      <alignment horizontal="center" vertical="center"/>
    </xf>
    <xf numFmtId="0" fontId="26" fillId="0" borderId="0" xfId="0" applyFont="1" applyAlignment="1">
      <alignment horizontal="center" vertical="center"/>
    </xf>
    <xf numFmtId="0" fontId="26" fillId="0" borderId="0" xfId="0" applyFont="1" applyAlignment="1">
      <alignment horizontal="center" vertical="center" readingOrder="1"/>
    </xf>
    <xf numFmtId="0" fontId="14" fillId="0" borderId="107" xfId="0" applyFont="1" applyBorder="1" applyAlignment="1">
      <alignment horizontal="center" vertical="center" readingOrder="2"/>
    </xf>
    <xf numFmtId="0" fontId="14" fillId="0" borderId="110" xfId="0" applyFont="1" applyBorder="1" applyAlignment="1">
      <alignment horizontal="center" vertical="center" wrapText="1" readingOrder="2"/>
    </xf>
    <xf numFmtId="3" fontId="14" fillId="0" borderId="110" xfId="0" applyNumberFormat="1" applyFont="1" applyBorder="1" applyAlignment="1">
      <alignment horizontal="center" vertical="center"/>
    </xf>
    <xf numFmtId="2" fontId="14" fillId="0" borderId="110" xfId="0" applyNumberFormat="1" applyFont="1" applyBorder="1" applyAlignment="1">
      <alignment horizontal="center" vertical="center"/>
    </xf>
    <xf numFmtId="2" fontId="14" fillId="0" borderId="110" xfId="0" applyNumberFormat="1" applyFont="1" applyBorder="1" applyAlignment="1">
      <alignment horizontal="center" vertical="center" readingOrder="2"/>
    </xf>
    <xf numFmtId="14" fontId="0" fillId="0" borderId="110" xfId="0" applyNumberFormat="1" applyBorder="1" applyAlignment="1">
      <alignment horizontal="center" vertical="center"/>
    </xf>
    <xf numFmtId="0" fontId="14" fillId="0" borderId="110" xfId="0" applyFont="1" applyBorder="1" applyAlignment="1">
      <alignment horizontal="center" vertical="center" readingOrder="2"/>
    </xf>
    <xf numFmtId="0" fontId="15" fillId="0" borderId="0" xfId="0" applyFont="1" applyAlignment="1">
      <alignment horizontal="center" vertical="center" readingOrder="2"/>
    </xf>
    <xf numFmtId="0" fontId="12" fillId="0" borderId="162" xfId="0" applyFont="1" applyBorder="1" applyAlignment="1">
      <alignment horizontal="center" vertical="center"/>
    </xf>
    <xf numFmtId="0" fontId="12" fillId="0" borderId="163" xfId="0" applyFont="1" applyBorder="1" applyAlignment="1">
      <alignment horizontal="center" vertical="center"/>
    </xf>
    <xf numFmtId="0" fontId="12" fillId="0" borderId="164" xfId="0" applyFont="1" applyBorder="1" applyAlignment="1">
      <alignment horizontal="center" vertical="center"/>
    </xf>
    <xf numFmtId="0" fontId="12" fillId="0" borderId="165" xfId="0" applyFont="1" applyBorder="1" applyAlignment="1">
      <alignment horizontal="center" vertical="center"/>
    </xf>
    <xf numFmtId="0" fontId="12" fillId="0" borderId="166" xfId="0" applyFont="1" applyBorder="1" applyAlignment="1">
      <alignment horizontal="center" vertical="center"/>
    </xf>
    <xf numFmtId="0" fontId="12" fillId="0" borderId="167" xfId="0" applyFont="1" applyBorder="1" applyAlignment="1">
      <alignment horizontal="center" vertical="center"/>
    </xf>
    <xf numFmtId="0" fontId="12" fillId="0" borderId="168" xfId="0" applyFont="1" applyBorder="1" applyAlignment="1">
      <alignment horizontal="center" vertical="center"/>
    </xf>
    <xf numFmtId="0" fontId="12" fillId="0" borderId="169" xfId="0" applyFont="1" applyBorder="1" applyAlignment="1">
      <alignment horizontal="center" vertical="center"/>
    </xf>
    <xf numFmtId="2" fontId="19" fillId="0" borderId="170" xfId="0" applyNumberFormat="1" applyFont="1" applyBorder="1" applyAlignment="1">
      <alignment horizontal="center" vertical="center"/>
    </xf>
    <xf numFmtId="164" fontId="18" fillId="0" borderId="171" xfId="3" applyFont="1" applyBorder="1" applyAlignment="1">
      <alignment horizontal="center" vertical="center"/>
    </xf>
    <xf numFmtId="0" fontId="17" fillId="0" borderId="172" xfId="0" applyFont="1" applyBorder="1" applyAlignment="1">
      <alignment horizontal="center" vertical="center"/>
    </xf>
    <xf numFmtId="0" fontId="80" fillId="0" borderId="0" xfId="0" applyFont="1" applyAlignment="1">
      <alignment horizontal="center" vertical="center"/>
    </xf>
    <xf numFmtId="0" fontId="80" fillId="0" borderId="161" xfId="0" applyFont="1" applyBorder="1" applyAlignment="1">
      <alignment vertical="center"/>
    </xf>
    <xf numFmtId="0" fontId="13" fillId="20" borderId="0" xfId="0" applyFont="1" applyFill="1" applyAlignment="1">
      <alignment horizontal="center" vertical="center"/>
    </xf>
    <xf numFmtId="0" fontId="0" fillId="0" borderId="173" xfId="0" applyBorder="1" applyAlignment="1" applyProtection="1">
      <alignment horizontal="center" vertical="center"/>
      <protection locked="0"/>
    </xf>
    <xf numFmtId="14" fontId="0" fillId="0" borderId="173" xfId="0" applyNumberFormat="1" applyBorder="1" applyAlignment="1" applyProtection="1">
      <alignment horizontal="center" vertical="center"/>
      <protection locked="0"/>
    </xf>
    <xf numFmtId="166" fontId="0" fillId="0" borderId="173" xfId="3" applyNumberFormat="1" applyFont="1" applyFill="1" applyBorder="1" applyAlignment="1" applyProtection="1">
      <alignment horizontal="center" vertical="center"/>
      <protection locked="0"/>
    </xf>
    <xf numFmtId="166" fontId="0" fillId="0" borderId="174" xfId="3" applyNumberFormat="1" applyFont="1" applyFill="1" applyBorder="1" applyAlignment="1" applyProtection="1">
      <alignment horizontal="center" vertical="center"/>
      <protection locked="0"/>
    </xf>
    <xf numFmtId="14" fontId="0" fillId="0" borderId="174" xfId="0" applyNumberFormat="1" applyBorder="1" applyAlignment="1" applyProtection="1">
      <alignment horizontal="center" vertical="center"/>
      <protection locked="0"/>
    </xf>
    <xf numFmtId="0" fontId="0" fillId="0" borderId="66" xfId="0" applyBorder="1" applyAlignment="1" applyProtection="1">
      <alignment horizontal="center" vertical="center"/>
      <protection locked="0"/>
    </xf>
    <xf numFmtId="49" fontId="0" fillId="0" borderId="173" xfId="0" applyNumberFormat="1" applyBorder="1" applyAlignment="1" applyProtection="1">
      <alignment horizontal="center" vertical="center"/>
      <protection locked="0"/>
    </xf>
    <xf numFmtId="0" fontId="3" fillId="4" borderId="66" xfId="0" applyFont="1" applyFill="1" applyBorder="1" applyAlignment="1" applyProtection="1">
      <alignment horizontal="center" vertical="center"/>
      <protection locked="0"/>
    </xf>
    <xf numFmtId="14" fontId="0" fillId="0" borderId="66" xfId="0" applyNumberFormat="1" applyBorder="1" applyAlignment="1" applyProtection="1">
      <alignment horizontal="center" vertical="center"/>
      <protection locked="0"/>
    </xf>
    <xf numFmtId="14" fontId="0" fillId="0" borderId="65" xfId="0" applyNumberFormat="1" applyBorder="1" applyAlignment="1" applyProtection="1">
      <alignment horizontal="center" vertical="center"/>
      <protection locked="0"/>
    </xf>
    <xf numFmtId="49" fontId="0" fillId="0" borderId="66" xfId="0" applyNumberFormat="1" applyBorder="1" applyAlignment="1" applyProtection="1">
      <alignment horizontal="center" vertical="center"/>
      <protection locked="0"/>
    </xf>
    <xf numFmtId="0" fontId="3" fillId="0" borderId="173" xfId="0" applyFont="1" applyBorder="1" applyAlignment="1" applyProtection="1">
      <alignment horizontal="center" vertical="center"/>
      <protection locked="0"/>
    </xf>
    <xf numFmtId="0" fontId="0" fillId="0" borderId="178" xfId="0" applyBorder="1" applyAlignment="1" applyProtection="1">
      <alignment horizontal="center" vertical="center"/>
      <protection locked="0"/>
    </xf>
    <xf numFmtId="0" fontId="0" fillId="0" borderId="180" xfId="0" applyBorder="1" applyAlignment="1" applyProtection="1">
      <alignment horizontal="center" vertical="center"/>
      <protection locked="0"/>
    </xf>
    <xf numFmtId="14" fontId="0" fillId="0" borderId="180" xfId="0" applyNumberFormat="1" applyBorder="1" applyAlignment="1" applyProtection="1">
      <alignment horizontal="center" vertical="center"/>
      <protection locked="0"/>
    </xf>
    <xf numFmtId="166" fontId="0" fillId="0" borderId="180" xfId="3" applyNumberFormat="1" applyFont="1" applyFill="1" applyBorder="1" applyAlignment="1" applyProtection="1">
      <alignment horizontal="center" vertical="center"/>
      <protection locked="0"/>
    </xf>
    <xf numFmtId="166" fontId="0" fillId="0" borderId="181" xfId="3" applyNumberFormat="1" applyFont="1" applyFill="1" applyBorder="1" applyAlignment="1" applyProtection="1">
      <alignment horizontal="center" vertical="center"/>
      <protection locked="0"/>
    </xf>
    <xf numFmtId="14" fontId="0" fillId="0" borderId="181" xfId="0" applyNumberFormat="1" applyBorder="1" applyAlignment="1" applyProtection="1">
      <alignment horizontal="center" vertical="center"/>
      <protection locked="0"/>
    </xf>
    <xf numFmtId="49" fontId="0" fillId="0" borderId="180" xfId="0" applyNumberFormat="1" applyBorder="1" applyAlignment="1" applyProtection="1">
      <alignment horizontal="center" vertical="center"/>
      <protection locked="0"/>
    </xf>
    <xf numFmtId="0" fontId="0" fillId="0" borderId="182" xfId="0" applyBorder="1" applyAlignment="1" applyProtection="1">
      <alignment horizontal="center" vertical="center"/>
      <protection locked="0"/>
    </xf>
    <xf numFmtId="0" fontId="0" fillId="0" borderId="183" xfId="0" applyBorder="1" applyAlignment="1" applyProtection="1">
      <alignment horizontal="center" vertical="center"/>
      <protection locked="0"/>
    </xf>
    <xf numFmtId="0" fontId="0" fillId="0" borderId="185" xfId="0" applyBorder="1" applyAlignment="1" applyProtection="1">
      <alignment horizontal="center" vertical="center"/>
      <protection locked="0"/>
    </xf>
    <xf numFmtId="14" fontId="0" fillId="0" borderId="185" xfId="0" applyNumberFormat="1" applyBorder="1" applyAlignment="1" applyProtection="1">
      <alignment horizontal="center" vertical="center"/>
      <protection locked="0"/>
    </xf>
    <xf numFmtId="166" fontId="0" fillId="0" borderId="185" xfId="3" applyNumberFormat="1" applyFont="1" applyFill="1" applyBorder="1" applyAlignment="1" applyProtection="1">
      <alignment horizontal="center" vertical="center"/>
      <protection locked="0"/>
    </xf>
    <xf numFmtId="166" fontId="0" fillId="0" borderId="186" xfId="3" applyNumberFormat="1" applyFont="1" applyFill="1" applyBorder="1" applyAlignment="1" applyProtection="1">
      <alignment horizontal="center" vertical="center"/>
      <protection locked="0"/>
    </xf>
    <xf numFmtId="14" fontId="0" fillId="0" borderId="186" xfId="0" applyNumberFormat="1" applyBorder="1" applyAlignment="1" applyProtection="1">
      <alignment horizontal="center" vertical="center"/>
      <protection locked="0"/>
    </xf>
    <xf numFmtId="49" fontId="0" fillId="0" borderId="185" xfId="0" applyNumberFormat="1" applyBorder="1" applyAlignment="1" applyProtection="1">
      <alignment horizontal="center" vertical="center"/>
      <protection locked="0"/>
    </xf>
    <xf numFmtId="0" fontId="0" fillId="0" borderId="187" xfId="0" applyBorder="1" applyAlignment="1" applyProtection="1">
      <alignment horizontal="center" vertical="center"/>
      <protection locked="0"/>
    </xf>
    <xf numFmtId="0" fontId="0" fillId="0" borderId="175" xfId="0" applyBorder="1" applyAlignment="1" applyProtection="1">
      <alignment horizontal="center" vertical="center"/>
      <protection locked="0"/>
    </xf>
    <xf numFmtId="0" fontId="0" fillId="0" borderId="177" xfId="0" applyBorder="1" applyAlignment="1" applyProtection="1">
      <alignment horizontal="center" vertical="center"/>
      <protection locked="0"/>
    </xf>
    <xf numFmtId="14" fontId="0" fillId="0" borderId="177" xfId="0" applyNumberFormat="1" applyBorder="1" applyAlignment="1" applyProtection="1">
      <alignment horizontal="center" vertical="center"/>
      <protection locked="0"/>
    </xf>
    <xf numFmtId="166" fontId="0" fillId="0" borderId="177" xfId="3" applyNumberFormat="1" applyFont="1" applyFill="1" applyBorder="1" applyAlignment="1" applyProtection="1">
      <alignment horizontal="center" vertical="center"/>
      <protection locked="0"/>
    </xf>
    <xf numFmtId="166" fontId="0" fillId="0" borderId="176" xfId="3" applyNumberFormat="1" applyFont="1" applyFill="1" applyBorder="1" applyAlignment="1" applyProtection="1">
      <alignment horizontal="center" vertical="center"/>
      <protection locked="0"/>
    </xf>
    <xf numFmtId="14" fontId="0" fillId="0" borderId="176" xfId="0" applyNumberFormat="1" applyBorder="1" applyAlignment="1" applyProtection="1">
      <alignment horizontal="center" vertical="center"/>
      <protection locked="0"/>
    </xf>
    <xf numFmtId="49" fontId="0" fillId="0" borderId="177" xfId="0" applyNumberFormat="1" applyBorder="1" applyAlignment="1" applyProtection="1">
      <alignment horizontal="center" vertical="center"/>
      <protection locked="0"/>
    </xf>
    <xf numFmtId="0" fontId="0" fillId="0" borderId="189" xfId="0" applyBorder="1" applyAlignment="1" applyProtection="1">
      <alignment horizontal="center" vertical="center"/>
      <protection locked="0"/>
    </xf>
    <xf numFmtId="0" fontId="0" fillId="4" borderId="179" xfId="0" applyFill="1" applyBorder="1" applyAlignment="1">
      <alignment horizontal="center" vertical="center"/>
    </xf>
    <xf numFmtId="0" fontId="0" fillId="4" borderId="180" xfId="0" applyFill="1" applyBorder="1" applyAlignment="1" applyProtection="1">
      <alignment horizontal="center" vertical="center"/>
      <protection locked="0"/>
    </xf>
    <xf numFmtId="0" fontId="0" fillId="4" borderId="184" xfId="0" applyFill="1" applyBorder="1" applyAlignment="1">
      <alignment horizontal="center" vertical="center"/>
    </xf>
    <xf numFmtId="0" fontId="0" fillId="4" borderId="185" xfId="0" applyFill="1" applyBorder="1" applyAlignment="1" applyProtection="1">
      <alignment horizontal="center" vertical="center"/>
      <protection locked="0"/>
    </xf>
    <xf numFmtId="0" fontId="0" fillId="4" borderId="188" xfId="0" applyFill="1" applyBorder="1" applyAlignment="1">
      <alignment horizontal="center" vertical="center"/>
    </xf>
    <xf numFmtId="0" fontId="3" fillId="0" borderId="0" xfId="0" applyFont="1" applyAlignment="1" applyProtection="1">
      <alignment horizontal="center" vertical="center"/>
      <protection locked="0"/>
    </xf>
    <xf numFmtId="0" fontId="3" fillId="4" borderId="0" xfId="0" applyFont="1" applyFill="1" applyAlignment="1" applyProtection="1">
      <alignment horizontal="center" vertical="center"/>
      <protection locked="0"/>
    </xf>
    <xf numFmtId="0" fontId="14" fillId="0" borderId="0" xfId="0" applyFont="1" applyAlignment="1">
      <alignment horizontal="center" vertical="center" wrapText="1" readingOrder="2"/>
    </xf>
    <xf numFmtId="0" fontId="14" fillId="0" borderId="0" xfId="0" applyFont="1" applyAlignment="1">
      <alignment horizontal="center" vertical="center" wrapText="1"/>
    </xf>
    <xf numFmtId="167" fontId="14" fillId="0" borderId="0" xfId="0" applyNumberFormat="1" applyFont="1" applyAlignment="1">
      <alignment horizontal="center" vertical="center"/>
    </xf>
    <xf numFmtId="3" fontId="14" fillId="0" borderId="0" xfId="0" applyNumberFormat="1" applyFont="1" applyAlignment="1">
      <alignment horizontal="center" vertical="center"/>
    </xf>
    <xf numFmtId="0" fontId="0" fillId="0" borderId="0" xfId="0" applyAlignment="1">
      <alignment horizontal="center" vertical="center" wrapText="1"/>
    </xf>
    <xf numFmtId="0" fontId="12" fillId="0" borderId="0" xfId="0" applyFont="1" applyAlignment="1">
      <alignment horizontal="center" vertical="center" wrapText="1"/>
    </xf>
    <xf numFmtId="0" fontId="0" fillId="0" borderId="0" xfId="0" applyAlignment="1" applyProtection="1">
      <alignment horizontal="center" vertical="center"/>
      <protection locked="0"/>
    </xf>
    <xf numFmtId="0" fontId="12" fillId="0" borderId="0" xfId="0" applyFont="1" applyAlignment="1" applyProtection="1">
      <alignment horizontal="center" vertical="center"/>
      <protection locked="0"/>
    </xf>
    <xf numFmtId="14" fontId="12" fillId="0" borderId="0" xfId="0" applyNumberFormat="1" applyFont="1" applyAlignment="1" applyProtection="1">
      <alignment horizontal="center" vertical="center"/>
      <protection locked="0"/>
    </xf>
    <xf numFmtId="0" fontId="11" fillId="0" borderId="0" xfId="0" applyFont="1" applyAlignment="1">
      <alignment horizontal="center" vertical="center" wrapText="1"/>
    </xf>
    <xf numFmtId="0" fontId="0" fillId="0" borderId="0" xfId="0" applyAlignment="1">
      <alignment horizontal="center" vertical="center"/>
    </xf>
    <xf numFmtId="0" fontId="0" fillId="0" borderId="14" xfId="0" applyBorder="1" applyAlignment="1">
      <alignment horizontal="center" vertical="center"/>
    </xf>
    <xf numFmtId="0" fontId="0" fillId="0" borderId="9" xfId="0" applyBorder="1" applyAlignment="1">
      <alignment horizontal="center" vertical="center"/>
    </xf>
    <xf numFmtId="0" fontId="1" fillId="9" borderId="9" xfId="0" applyFont="1" applyFill="1" applyBorder="1" applyAlignment="1">
      <alignment horizontal="center" vertical="center"/>
    </xf>
    <xf numFmtId="0" fontId="1" fillId="9" borderId="12" xfId="0" applyFont="1" applyFill="1" applyBorder="1" applyAlignment="1">
      <alignment horizontal="center" vertical="center"/>
    </xf>
    <xf numFmtId="0" fontId="1" fillId="9" borderId="14" xfId="0" applyFont="1" applyFill="1" applyBorder="1" applyAlignment="1">
      <alignment horizontal="center" vertical="center"/>
    </xf>
    <xf numFmtId="0" fontId="12" fillId="0" borderId="5" xfId="0" applyFont="1" applyBorder="1" applyAlignment="1">
      <alignment horizontal="center" vertical="center"/>
    </xf>
    <xf numFmtId="0" fontId="12" fillId="0" borderId="0" xfId="0" applyFont="1" applyAlignment="1">
      <alignment horizontal="center" vertical="center"/>
    </xf>
    <xf numFmtId="0" fontId="12" fillId="0" borderId="10" xfId="0" applyFont="1" applyBorder="1" applyAlignment="1">
      <alignment horizontal="center" vertical="center"/>
    </xf>
    <xf numFmtId="0" fontId="26" fillId="0" borderId="35" xfId="0" applyFont="1" applyBorder="1" applyAlignment="1">
      <alignment horizontal="center" vertical="center"/>
    </xf>
    <xf numFmtId="0" fontId="26" fillId="0" borderId="36" xfId="0" applyFont="1" applyBorder="1" applyAlignment="1">
      <alignment horizontal="center" vertical="center"/>
    </xf>
    <xf numFmtId="0" fontId="23" fillId="0" borderId="0" xfId="0" applyFont="1" applyAlignment="1">
      <alignment horizontal="center" vertical="center"/>
    </xf>
    <xf numFmtId="0" fontId="80" fillId="0" borderId="0" xfId="0" applyFont="1" applyAlignment="1">
      <alignment horizontal="center" vertical="center"/>
    </xf>
    <xf numFmtId="0" fontId="12" fillId="0" borderId="14" xfId="0" applyFont="1" applyBorder="1" applyAlignment="1">
      <alignment horizontal="center" vertical="center"/>
    </xf>
    <xf numFmtId="0" fontId="12" fillId="0" borderId="12" xfId="0" applyFont="1" applyBorder="1" applyAlignment="1">
      <alignment horizontal="center" vertical="center"/>
    </xf>
    <xf numFmtId="0" fontId="23" fillId="0" borderId="18" xfId="0" applyFont="1" applyBorder="1" applyAlignment="1">
      <alignment horizontal="center" vertical="center"/>
    </xf>
    <xf numFmtId="0" fontId="60" fillId="0" borderId="14" xfId="0" applyFont="1" applyBorder="1" applyAlignment="1">
      <alignment horizontal="center" vertical="center"/>
    </xf>
    <xf numFmtId="0" fontId="60" fillId="0" borderId="12" xfId="0" applyFont="1" applyBorder="1" applyAlignment="1">
      <alignment horizontal="center" vertical="center"/>
    </xf>
    <xf numFmtId="0" fontId="34" fillId="0" borderId="35" xfId="0" applyFont="1" applyBorder="1" applyAlignment="1">
      <alignment horizontal="center" vertical="center"/>
    </xf>
    <xf numFmtId="0" fontId="34" fillId="0" borderId="36" xfId="0" applyFont="1" applyBorder="1" applyAlignment="1">
      <alignment horizontal="center" vertical="center"/>
    </xf>
    <xf numFmtId="0" fontId="32" fillId="9" borderId="0" xfId="0" applyFont="1" applyFill="1" applyAlignment="1">
      <alignment horizontal="center" vertical="center"/>
    </xf>
    <xf numFmtId="0" fontId="57" fillId="16" borderId="99" xfId="0" applyFont="1" applyFill="1" applyBorder="1" applyAlignment="1">
      <alignment horizontal="center" vertical="center"/>
    </xf>
    <xf numFmtId="0" fontId="57" fillId="16" borderId="3" xfId="0" applyFont="1" applyFill="1" applyBorder="1" applyAlignment="1">
      <alignment horizontal="center" vertical="center"/>
    </xf>
    <xf numFmtId="0" fontId="57" fillId="16" borderId="37" xfId="0" applyFont="1" applyFill="1" applyBorder="1" applyAlignment="1">
      <alignment horizontal="center" vertical="center"/>
    </xf>
    <xf numFmtId="0" fontId="57" fillId="16" borderId="100" xfId="0" applyFont="1" applyFill="1" applyBorder="1" applyAlignment="1">
      <alignment horizontal="center" vertical="center"/>
    </xf>
    <xf numFmtId="0" fontId="57" fillId="16" borderId="4" xfId="0" applyFont="1" applyFill="1" applyBorder="1" applyAlignment="1">
      <alignment horizontal="center" vertical="center"/>
    </xf>
    <xf numFmtId="0" fontId="57" fillId="16" borderId="38" xfId="0" applyFont="1" applyFill="1" applyBorder="1" applyAlignment="1">
      <alignment horizontal="center" vertical="center"/>
    </xf>
    <xf numFmtId="0" fontId="55" fillId="9" borderId="116" xfId="0" applyFont="1" applyFill="1" applyBorder="1" applyAlignment="1">
      <alignment horizontal="center" vertical="center"/>
    </xf>
    <xf numFmtId="0" fontId="55" fillId="9" borderId="133" xfId="0" applyFont="1" applyFill="1" applyBorder="1" applyAlignment="1">
      <alignment horizontal="center" vertical="center"/>
    </xf>
    <xf numFmtId="164" fontId="75" fillId="9" borderId="138" xfId="3" applyFont="1" applyFill="1" applyBorder="1" applyAlignment="1">
      <alignment horizontal="center" vertical="center"/>
    </xf>
    <xf numFmtId="164" fontId="75" fillId="9" borderId="135" xfId="3" applyFont="1" applyFill="1" applyBorder="1" applyAlignment="1">
      <alignment horizontal="center" vertical="center"/>
    </xf>
    <xf numFmtId="0" fontId="55" fillId="9" borderId="54" xfId="0" applyFont="1" applyFill="1" applyBorder="1" applyAlignment="1">
      <alignment horizontal="center" vertical="center"/>
    </xf>
    <xf numFmtId="0" fontId="55" fillId="9" borderId="12" xfId="0" applyFont="1" applyFill="1" applyBorder="1" applyAlignment="1">
      <alignment horizontal="center" vertical="center"/>
    </xf>
    <xf numFmtId="0" fontId="0" fillId="0" borderId="0" xfId="0" applyAlignment="1">
      <alignment horizontal="center" vertical="center" wrapText="1"/>
    </xf>
    <xf numFmtId="0" fontId="60" fillId="0" borderId="0" xfId="0" applyFont="1" applyAlignment="1">
      <alignment horizontal="center" vertical="center"/>
    </xf>
    <xf numFmtId="0" fontId="61" fillId="9" borderId="0" xfId="0" applyFont="1" applyFill="1" applyAlignment="1">
      <alignment horizontal="center" vertical="center"/>
    </xf>
    <xf numFmtId="0" fontId="47" fillId="0" borderId="0" xfId="0" applyFont="1" applyAlignment="1">
      <alignment horizontal="center" vertical="center" readingOrder="2"/>
    </xf>
    <xf numFmtId="0" fontId="48" fillId="0" borderId="0" xfId="0" applyFont="1" applyAlignment="1">
      <alignment horizontal="center" vertical="center" readingOrder="2"/>
    </xf>
    <xf numFmtId="0" fontId="48" fillId="0" borderId="125" xfId="0" applyFont="1" applyBorder="1" applyAlignment="1">
      <alignment horizontal="center" vertical="center" readingOrder="2"/>
    </xf>
    <xf numFmtId="0" fontId="0" fillId="0" borderId="0" xfId="0" applyAlignment="1">
      <alignment horizontal="center"/>
    </xf>
    <xf numFmtId="164" fontId="0" fillId="0" borderId="0" xfId="3" applyFont="1" applyAlignment="1">
      <alignment horizontal="center"/>
    </xf>
    <xf numFmtId="0" fontId="66" fillId="0" borderId="0" xfId="0" applyFont="1" applyAlignment="1">
      <alignment horizontal="center" vertical="center"/>
    </xf>
    <xf numFmtId="0" fontId="66" fillId="0" borderId="5" xfId="0" applyFont="1" applyBorder="1" applyAlignment="1">
      <alignment horizontal="center" vertical="center"/>
    </xf>
    <xf numFmtId="0" fontId="60" fillId="0" borderId="9" xfId="0" applyFont="1" applyBorder="1" applyAlignment="1">
      <alignment horizontal="center" vertical="center"/>
    </xf>
    <xf numFmtId="0" fontId="65" fillId="0" borderId="99" xfId="0" applyFont="1" applyBorder="1" applyAlignment="1">
      <alignment horizontal="center" vertical="center"/>
    </xf>
    <xf numFmtId="0" fontId="65" fillId="0" borderId="3" xfId="0" applyFont="1" applyBorder="1" applyAlignment="1">
      <alignment horizontal="center" vertical="center"/>
    </xf>
    <xf numFmtId="0" fontId="0" fillId="0" borderId="37" xfId="0" applyBorder="1" applyAlignment="1">
      <alignment horizontal="center" vertical="center"/>
    </xf>
    <xf numFmtId="0" fontId="0" fillId="0" borderId="10" xfId="0" applyBorder="1" applyAlignment="1">
      <alignment horizontal="center" vertical="center"/>
    </xf>
    <xf numFmtId="0" fontId="65" fillId="0" borderId="5" xfId="0" applyFont="1" applyBorder="1" applyAlignment="1">
      <alignment horizontal="center" vertical="center"/>
    </xf>
    <xf numFmtId="0" fontId="65" fillId="0" borderId="0" xfId="0" applyFont="1" applyAlignment="1">
      <alignment horizontal="center" vertical="center"/>
    </xf>
    <xf numFmtId="43" fontId="65" fillId="0" borderId="0" xfId="3" applyNumberFormat="1" applyFont="1" applyAlignment="1">
      <alignment horizontal="center" vertical="center"/>
    </xf>
    <xf numFmtId="0" fontId="23" fillId="0" borderId="55" xfId="0" applyFont="1" applyBorder="1" applyAlignment="1">
      <alignment horizontal="center" vertical="center"/>
    </xf>
    <xf numFmtId="0" fontId="1" fillId="7" borderId="0" xfId="0" applyFont="1" applyFill="1" applyAlignment="1">
      <alignment horizontal="center" vertical="center"/>
    </xf>
    <xf numFmtId="0" fontId="29" fillId="11" borderId="14" xfId="0" applyFont="1" applyFill="1" applyBorder="1" applyAlignment="1">
      <alignment horizontal="center" vertical="center"/>
    </xf>
    <xf numFmtId="0" fontId="29" fillId="11" borderId="9" xfId="0" applyFont="1" applyFill="1" applyBorder="1" applyAlignment="1">
      <alignment horizontal="center" vertical="center"/>
    </xf>
    <xf numFmtId="0" fontId="29" fillId="11" borderId="12" xfId="0" applyFont="1" applyFill="1" applyBorder="1" applyAlignment="1">
      <alignment horizontal="center" vertical="center"/>
    </xf>
    <xf numFmtId="49" fontId="29" fillId="11" borderId="49" xfId="0" applyNumberFormat="1" applyFont="1" applyFill="1" applyBorder="1" applyAlignment="1">
      <alignment horizontal="center" vertical="center"/>
    </xf>
    <xf numFmtId="49" fontId="29" fillId="11" borderId="54" xfId="0" applyNumberFormat="1" applyFont="1" applyFill="1" applyBorder="1" applyAlignment="1">
      <alignment horizontal="center" vertical="center"/>
    </xf>
    <xf numFmtId="49" fontId="29" fillId="11" borderId="50" xfId="0" applyNumberFormat="1" applyFont="1" applyFill="1" applyBorder="1" applyAlignment="1">
      <alignment horizontal="center" vertical="center"/>
    </xf>
    <xf numFmtId="0" fontId="30" fillId="11" borderId="14" xfId="2" applyFont="1" applyFill="1" applyBorder="1" applyAlignment="1">
      <alignment horizontal="center" vertical="center"/>
    </xf>
    <xf numFmtId="0" fontId="30" fillId="11" borderId="9" xfId="2" applyFont="1" applyFill="1" applyBorder="1" applyAlignment="1">
      <alignment horizontal="center" vertical="center"/>
    </xf>
    <xf numFmtId="0" fontId="30" fillId="11" borderId="12" xfId="2" applyFont="1" applyFill="1" applyBorder="1" applyAlignment="1">
      <alignment horizontal="center" vertical="center"/>
    </xf>
    <xf numFmtId="0" fontId="30" fillId="11" borderId="48" xfId="2" applyFont="1" applyFill="1" applyBorder="1" applyAlignment="1">
      <alignment horizontal="center" vertical="center"/>
    </xf>
    <xf numFmtId="0" fontId="30" fillId="11" borderId="53" xfId="2" applyFont="1" applyFill="1" applyBorder="1" applyAlignment="1">
      <alignment horizontal="center" vertical="center"/>
    </xf>
    <xf numFmtId="0" fontId="29" fillId="11" borderId="49" xfId="0" applyFont="1" applyFill="1" applyBorder="1" applyAlignment="1">
      <alignment horizontal="center" vertical="center"/>
    </xf>
    <xf numFmtId="0" fontId="29" fillId="11" borderId="54" xfId="0" applyFont="1" applyFill="1" applyBorder="1" applyAlignment="1">
      <alignment horizontal="center" vertical="center"/>
    </xf>
    <xf numFmtId="0" fontId="29" fillId="11" borderId="50" xfId="0" applyFont="1" applyFill="1" applyBorder="1" applyAlignment="1">
      <alignment horizontal="center" vertical="center"/>
    </xf>
    <xf numFmtId="0" fontId="29" fillId="11" borderId="53" xfId="0" applyFont="1" applyFill="1" applyBorder="1" applyAlignment="1">
      <alignment horizontal="center" vertical="center"/>
    </xf>
    <xf numFmtId="0" fontId="1" fillId="7" borderId="99"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37" xfId="0" applyFont="1" applyFill="1" applyBorder="1" applyAlignment="1">
      <alignment horizontal="center" vertical="center" wrapText="1"/>
    </xf>
    <xf numFmtId="0" fontId="1" fillId="7" borderId="100"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1" fillId="7" borderId="38" xfId="0" applyFont="1" applyFill="1" applyBorder="1" applyAlignment="1">
      <alignment horizontal="center" vertical="center" wrapText="1"/>
    </xf>
    <xf numFmtId="0" fontId="29" fillId="11" borderId="14" xfId="0" applyFont="1" applyFill="1" applyBorder="1" applyAlignment="1">
      <alignment horizontal="center" vertical="center" wrapText="1"/>
    </xf>
    <xf numFmtId="0" fontId="29" fillId="11" borderId="9" xfId="0" applyFont="1" applyFill="1" applyBorder="1" applyAlignment="1">
      <alignment horizontal="center" vertical="center" wrapText="1"/>
    </xf>
    <xf numFmtId="0" fontId="30" fillId="11" borderId="14" xfId="2" applyFont="1" applyFill="1" applyBorder="1" applyAlignment="1">
      <alignment horizontal="center" vertical="center" wrapText="1"/>
    </xf>
    <xf numFmtId="0" fontId="30" fillId="11" borderId="9" xfId="2" applyFont="1" applyFill="1" applyBorder="1" applyAlignment="1">
      <alignment horizontal="center" vertical="center" wrapText="1"/>
    </xf>
    <xf numFmtId="0" fontId="12" fillId="0" borderId="0" xfId="0" applyFont="1" applyAlignment="1">
      <alignment horizontal="center" vertical="center" wrapText="1"/>
    </xf>
    <xf numFmtId="0" fontId="30" fillId="11" borderId="5" xfId="2" applyFont="1" applyFill="1" applyBorder="1" applyAlignment="1">
      <alignment horizontal="center" vertical="center" wrapText="1"/>
    </xf>
    <xf numFmtId="0" fontId="30" fillId="11" borderId="0" xfId="2" applyFont="1" applyFill="1" applyBorder="1" applyAlignment="1">
      <alignment horizontal="center" vertical="center" wrapText="1"/>
    </xf>
    <xf numFmtId="0" fontId="6" fillId="8" borderId="44" xfId="0" applyFont="1" applyFill="1" applyBorder="1" applyAlignment="1">
      <alignment horizontal="center" vertical="center" readingOrder="2"/>
    </xf>
    <xf numFmtId="0" fontId="6" fillId="8" borderId="25" xfId="0" applyFont="1" applyFill="1" applyBorder="1" applyAlignment="1">
      <alignment horizontal="center" vertical="center" readingOrder="2"/>
    </xf>
    <xf numFmtId="0" fontId="6" fillId="8" borderId="26" xfId="0" applyFont="1" applyFill="1" applyBorder="1" applyAlignment="1">
      <alignment horizontal="center" vertical="center" readingOrder="2"/>
    </xf>
    <xf numFmtId="173" fontId="6" fillId="8" borderId="44" xfId="0" applyNumberFormat="1" applyFont="1" applyFill="1" applyBorder="1" applyAlignment="1">
      <alignment horizontal="center" vertical="center" readingOrder="2"/>
    </xf>
    <xf numFmtId="173" fontId="6" fillId="8" borderId="25" xfId="0" applyNumberFormat="1" applyFont="1" applyFill="1" applyBorder="1" applyAlignment="1">
      <alignment horizontal="center" vertical="center" readingOrder="2"/>
    </xf>
    <xf numFmtId="173" fontId="6" fillId="8" borderId="26" xfId="0" applyNumberFormat="1" applyFont="1" applyFill="1" applyBorder="1" applyAlignment="1">
      <alignment horizontal="center" vertical="center" readingOrder="2"/>
    </xf>
    <xf numFmtId="0" fontId="6" fillId="8" borderId="40" xfId="0" applyFont="1" applyFill="1" applyBorder="1" applyAlignment="1">
      <alignment horizontal="center" vertical="center" readingOrder="2"/>
    </xf>
    <xf numFmtId="0" fontId="6" fillId="8" borderId="41" xfId="0" applyFont="1" applyFill="1" applyBorder="1" applyAlignment="1">
      <alignment horizontal="center" vertical="center" readingOrder="2"/>
    </xf>
    <xf numFmtId="164" fontId="74" fillId="0" borderId="46" xfId="0" applyNumberFormat="1" applyFont="1" applyBorder="1" applyAlignment="1">
      <alignment horizontal="center" vertical="center" readingOrder="1"/>
    </xf>
    <xf numFmtId="164" fontId="74" fillId="0" borderId="36" xfId="0" applyNumberFormat="1" applyFont="1" applyBorder="1" applyAlignment="1">
      <alignment horizontal="center" vertical="center" readingOrder="1"/>
    </xf>
    <xf numFmtId="164" fontId="74" fillId="0" borderId="11" xfId="0" applyNumberFormat="1" applyFont="1" applyBorder="1" applyAlignment="1">
      <alignment horizontal="center" vertical="center" readingOrder="1"/>
    </xf>
    <xf numFmtId="0" fontId="8" fillId="0" borderId="0" xfId="0" applyFont="1" applyAlignment="1">
      <alignment horizontal="center" vertical="center" readingOrder="1"/>
    </xf>
    <xf numFmtId="0" fontId="5" fillId="0" borderId="116" xfId="0" applyFont="1" applyBorder="1" applyAlignment="1">
      <alignment horizontal="center" vertical="center" readingOrder="1"/>
    </xf>
    <xf numFmtId="0" fontId="5" fillId="0" borderId="133" xfId="0" applyFont="1" applyBorder="1" applyAlignment="1">
      <alignment horizontal="center" vertical="center" readingOrder="1"/>
    </xf>
    <xf numFmtId="164" fontId="5" fillId="0" borderId="106" xfId="3" applyFont="1" applyBorder="1" applyAlignment="1">
      <alignment horizontal="center" vertical="center" readingOrder="1"/>
    </xf>
    <xf numFmtId="164" fontId="5" fillId="0" borderId="134" xfId="3" applyFont="1" applyBorder="1" applyAlignment="1">
      <alignment horizontal="center" vertical="center" readingOrder="1"/>
    </xf>
    <xf numFmtId="164" fontId="5" fillId="0" borderId="138" xfId="3" applyFont="1" applyBorder="1" applyAlignment="1">
      <alignment horizontal="center" vertical="center" readingOrder="1"/>
    </xf>
    <xf numFmtId="164" fontId="5" fillId="0" borderId="135" xfId="3" applyFont="1" applyBorder="1" applyAlignment="1">
      <alignment horizontal="center" vertical="center" readingOrder="1"/>
    </xf>
    <xf numFmtId="0" fontId="0" fillId="0" borderId="14" xfId="0" applyBorder="1" applyAlignment="1">
      <alignment horizontal="center"/>
    </xf>
    <xf numFmtId="0" fontId="0" fillId="0" borderId="9" xfId="0" applyBorder="1" applyAlignment="1">
      <alignment horizontal="center"/>
    </xf>
    <xf numFmtId="0" fontId="0" fillId="0" borderId="12" xfId="0" applyBorder="1" applyAlignment="1">
      <alignment horizontal="center"/>
    </xf>
    <xf numFmtId="0" fontId="1" fillId="14" borderId="14" xfId="0" applyFont="1" applyFill="1" applyBorder="1" applyAlignment="1">
      <alignment horizontal="center" vertical="center"/>
    </xf>
    <xf numFmtId="0" fontId="1" fillId="14" borderId="9" xfId="0" applyFont="1" applyFill="1" applyBorder="1" applyAlignment="1">
      <alignment horizontal="center" vertical="center"/>
    </xf>
    <xf numFmtId="0" fontId="1" fillId="7" borderId="9" xfId="0" applyFont="1" applyFill="1" applyBorder="1" applyAlignment="1">
      <alignment horizontal="center" vertical="center"/>
    </xf>
    <xf numFmtId="0" fontId="1" fillId="7" borderId="12" xfId="0" applyFont="1" applyFill="1" applyBorder="1" applyAlignment="1">
      <alignment horizontal="center" vertical="center"/>
    </xf>
    <xf numFmtId="0" fontId="1" fillId="14" borderId="12" xfId="0" applyFont="1" applyFill="1" applyBorder="1" applyAlignment="1">
      <alignment horizontal="center" vertical="center"/>
    </xf>
    <xf numFmtId="0" fontId="0" fillId="0" borderId="68" xfId="0" applyFont="1" applyFill="1" applyBorder="1" applyAlignment="1" applyProtection="1">
      <alignment horizontal="center" vertical="center"/>
      <protection locked="0"/>
    </xf>
    <xf numFmtId="176" fontId="0" fillId="0" borderId="68" xfId="0" applyNumberFormat="1" applyFont="1" applyFill="1" applyBorder="1" applyAlignment="1" applyProtection="1">
      <alignment horizontal="center" vertical="center"/>
      <protection locked="0"/>
    </xf>
    <xf numFmtId="166" fontId="0" fillId="0" borderId="67" xfId="3" applyNumberFormat="1" applyFont="1" applyFill="1" applyBorder="1" applyAlignment="1" applyProtection="1">
      <alignment horizontal="center" vertical="center"/>
      <protection locked="0"/>
    </xf>
    <xf numFmtId="176" fontId="0" fillId="0" borderId="67" xfId="0" applyNumberFormat="1" applyFont="1" applyFill="1" applyBorder="1" applyAlignment="1" applyProtection="1">
      <alignment horizontal="center" vertical="center"/>
      <protection locked="0"/>
    </xf>
    <xf numFmtId="49" fontId="0" fillId="0" borderId="70" xfId="0" applyNumberFormat="1" applyFont="1" applyFill="1" applyBorder="1" applyAlignment="1" applyProtection="1">
      <alignment horizontal="center" vertical="center"/>
      <protection locked="0"/>
    </xf>
    <xf numFmtId="49" fontId="0" fillId="0" borderId="68" xfId="0" applyNumberFormat="1" applyFont="1" applyFill="1" applyBorder="1" applyAlignment="1" applyProtection="1">
      <alignment horizontal="center" vertical="center"/>
      <protection locked="0"/>
    </xf>
    <xf numFmtId="0" fontId="0" fillId="0" borderId="70" xfId="0" applyFont="1" applyFill="1" applyBorder="1" applyAlignment="1" applyProtection="1">
      <alignment horizontal="center" vertical="center"/>
      <protection locked="0"/>
    </xf>
    <xf numFmtId="176" fontId="0" fillId="0" borderId="70" xfId="0" applyNumberFormat="1" applyFont="1" applyFill="1" applyBorder="1" applyAlignment="1" applyProtection="1">
      <alignment horizontal="center" vertical="center"/>
      <protection locked="0"/>
    </xf>
    <xf numFmtId="176" fontId="0" fillId="0" borderId="69" xfId="0" applyNumberFormat="1" applyFont="1"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locked="0"/>
    </xf>
    <xf numFmtId="0" fontId="3" fillId="0" borderId="70" xfId="0" applyFont="1" applyFill="1" applyBorder="1" applyAlignment="1" applyProtection="1">
      <alignment horizontal="center" vertical="center"/>
      <protection locked="0"/>
    </xf>
    <xf numFmtId="0" fontId="1" fillId="6" borderId="190" xfId="0" applyFont="1" applyFill="1" applyBorder="1" applyAlignment="1">
      <alignment horizontal="center" vertical="center"/>
    </xf>
    <xf numFmtId="1" fontId="1" fillId="7" borderId="190" xfId="0" applyNumberFormat="1" applyFont="1" applyFill="1" applyBorder="1" applyAlignment="1">
      <alignment horizontal="center" vertical="center"/>
    </xf>
    <xf numFmtId="0" fontId="3" fillId="4" borderId="190" xfId="0" applyFont="1" applyFill="1" applyBorder="1" applyAlignment="1">
      <alignment horizontal="center" vertical="center"/>
    </xf>
    <xf numFmtId="14" fontId="3" fillId="4" borderId="190" xfId="0" applyNumberFormat="1" applyFont="1" applyFill="1" applyBorder="1" applyAlignment="1">
      <alignment horizontal="center" vertical="center"/>
    </xf>
    <xf numFmtId="0" fontId="0" fillId="5" borderId="190" xfId="0" applyFont="1" applyFill="1" applyBorder="1" applyAlignment="1">
      <alignment horizontal="center" vertical="center"/>
    </xf>
    <xf numFmtId="14" fontId="0" fillId="5" borderId="190" xfId="0" applyNumberFormat="1" applyFont="1" applyFill="1" applyBorder="1" applyAlignment="1">
      <alignment horizontal="center" vertical="center"/>
    </xf>
    <xf numFmtId="166" fontId="0" fillId="5" borderId="190" xfId="0" applyNumberFormat="1" applyFont="1" applyFill="1" applyBorder="1" applyAlignment="1">
      <alignment horizontal="center" vertical="center"/>
    </xf>
    <xf numFmtId="0" fontId="3" fillId="4" borderId="71" xfId="0" applyFont="1" applyFill="1" applyBorder="1" applyAlignment="1">
      <alignment horizontal="center" vertical="center"/>
    </xf>
    <xf numFmtId="0" fontId="3" fillId="4" borderId="191" xfId="0" applyFont="1" applyFill="1" applyBorder="1" applyAlignment="1">
      <alignment horizontal="center" vertical="center"/>
    </xf>
    <xf numFmtId="0" fontId="3" fillId="21" borderId="190" xfId="0" applyFont="1" applyFill="1" applyBorder="1" applyAlignment="1">
      <alignment horizontal="center" vertical="center"/>
    </xf>
    <xf numFmtId="0" fontId="3" fillId="4" borderId="190" xfId="0" applyNumberFormat="1" applyFont="1" applyFill="1" applyBorder="1" applyAlignment="1">
      <alignment horizontal="center" vertical="center"/>
    </xf>
    <xf numFmtId="176" fontId="3" fillId="4" borderId="190" xfId="0" applyNumberFormat="1" applyFont="1" applyFill="1" applyBorder="1" applyAlignment="1">
      <alignment horizontal="center" vertical="center"/>
    </xf>
    <xf numFmtId="176" fontId="0" fillId="5" borderId="190" xfId="0" applyNumberFormat="1" applyFont="1" applyFill="1" applyBorder="1" applyAlignment="1">
      <alignment horizontal="center" vertical="center"/>
    </xf>
    <xf numFmtId="0" fontId="0" fillId="20" borderId="192" xfId="0" applyFill="1" applyBorder="1" applyAlignment="1" applyProtection="1">
      <alignment horizontal="center" vertical="center"/>
      <protection locked="0"/>
    </xf>
    <xf numFmtId="0" fontId="0" fillId="20" borderId="193" xfId="0" applyFill="1" applyBorder="1" applyAlignment="1" applyProtection="1">
      <alignment horizontal="center" vertical="center"/>
      <protection locked="0"/>
    </xf>
    <xf numFmtId="0" fontId="0" fillId="20" borderId="194" xfId="0" applyFill="1" applyBorder="1" applyAlignment="1" applyProtection="1">
      <alignment horizontal="center" vertical="center"/>
      <protection locked="0"/>
    </xf>
    <xf numFmtId="0" fontId="0" fillId="20" borderId="195" xfId="0" applyFill="1" applyBorder="1" applyAlignment="1" applyProtection="1">
      <alignment horizontal="center" vertical="center"/>
      <protection locked="0"/>
    </xf>
    <xf numFmtId="49" fontId="0" fillId="20" borderId="194" xfId="0" applyNumberFormat="1" applyFill="1" applyBorder="1" applyAlignment="1" applyProtection="1">
      <alignment horizontal="center" vertical="center"/>
      <protection locked="0"/>
    </xf>
    <xf numFmtId="0" fontId="0" fillId="20" borderId="196" xfId="0" applyFill="1" applyBorder="1" applyAlignment="1" applyProtection="1">
      <alignment horizontal="center" vertical="center"/>
      <protection locked="0"/>
    </xf>
    <xf numFmtId="165" fontId="27" fillId="6" borderId="0" xfId="0" applyNumberFormat="1" applyFont="1" applyFill="1" applyBorder="1" applyAlignment="1">
      <alignment horizontal="center" vertical="center"/>
    </xf>
    <xf numFmtId="0" fontId="27" fillId="6" borderId="0" xfId="0" applyFont="1" applyFill="1" applyBorder="1" applyAlignment="1">
      <alignment horizontal="center" vertical="center"/>
    </xf>
    <xf numFmtId="0" fontId="27" fillId="7" borderId="0" xfId="0" applyFont="1" applyFill="1" applyBorder="1" applyAlignment="1">
      <alignment horizontal="center" vertical="center"/>
    </xf>
    <xf numFmtId="0" fontId="81" fillId="4" borderId="0" xfId="0" applyFont="1" applyFill="1" applyBorder="1" applyAlignment="1">
      <alignment horizontal="center" vertical="center"/>
    </xf>
    <xf numFmtId="0" fontId="27" fillId="5" borderId="0" xfId="0" applyFont="1" applyFill="1" applyBorder="1" applyAlignment="1">
      <alignment horizontal="center" vertical="center"/>
    </xf>
    <xf numFmtId="0" fontId="0" fillId="0" borderId="68" xfId="0" applyBorder="1" applyAlignment="1">
      <alignment horizontal="center" vertical="center"/>
    </xf>
    <xf numFmtId="166" fontId="0" fillId="5" borderId="190" xfId="0" applyNumberFormat="1" applyFont="1" applyFill="1" applyBorder="1" applyAlignment="1">
      <alignment vertical="top"/>
    </xf>
    <xf numFmtId="0" fontId="28" fillId="0" borderId="67" xfId="0" applyFont="1" applyBorder="1" applyAlignment="1" applyProtection="1">
      <alignment horizontal="center" vertical="center" readingOrder="1"/>
      <protection locked="0"/>
    </xf>
    <xf numFmtId="0" fontId="28" fillId="0" borderId="68" xfId="0" applyFont="1" applyBorder="1" applyAlignment="1" applyProtection="1">
      <alignment horizontal="center" vertical="center" readingOrder="1"/>
      <protection locked="0"/>
    </xf>
    <xf numFmtId="166" fontId="4" fillId="0" borderId="68" xfId="3" applyNumberFormat="1" applyFont="1" applyBorder="1" applyAlignment="1" applyProtection="1">
      <alignment horizontal="center" vertical="center"/>
      <protection locked="0"/>
    </xf>
    <xf numFmtId="166" fontId="0" fillId="0" borderId="68" xfId="3" applyNumberFormat="1" applyFont="1" applyFill="1" applyBorder="1" applyAlignment="1" applyProtection="1">
      <alignment horizontal="center" vertical="center"/>
      <protection locked="0"/>
    </xf>
    <xf numFmtId="49" fontId="0" fillId="0" borderId="173" xfId="0" applyNumberFormat="1" applyFont="1" applyFill="1" applyBorder="1" applyAlignment="1" applyProtection="1">
      <alignment horizontal="center" vertical="center"/>
      <protection locked="0"/>
    </xf>
    <xf numFmtId="0" fontId="0" fillId="0" borderId="0" xfId="0" applyFont="1" applyFill="1" applyAlignment="1" applyProtection="1">
      <alignment horizontal="center" vertical="center"/>
      <protection locked="0"/>
    </xf>
    <xf numFmtId="0" fontId="3" fillId="4" borderId="69" xfId="0" applyFont="1" applyFill="1" applyBorder="1" applyAlignment="1" applyProtection="1">
      <alignment horizontal="center" vertical="center"/>
      <protection locked="0"/>
    </xf>
    <xf numFmtId="14" fontId="35" fillId="0" borderId="68" xfId="0" applyNumberFormat="1" applyFont="1" applyBorder="1" applyAlignment="1" applyProtection="1">
      <alignment horizontal="center" vertical="center"/>
      <protection locked="0"/>
    </xf>
    <xf numFmtId="166" fontId="4" fillId="0" borderId="68" xfId="3" applyNumberFormat="1" applyFont="1" applyFill="1" applyBorder="1" applyAlignment="1" applyProtection="1">
      <alignment horizontal="center" vertical="center"/>
      <protection locked="0"/>
    </xf>
    <xf numFmtId="0" fontId="28" fillId="0" borderId="69" xfId="0" applyFont="1" applyBorder="1" applyAlignment="1" applyProtection="1">
      <alignment horizontal="center" vertical="center" readingOrder="1"/>
      <protection locked="0"/>
    </xf>
    <xf numFmtId="0" fontId="28" fillId="0" borderId="70" xfId="0" applyFont="1" applyBorder="1" applyAlignment="1" applyProtection="1">
      <alignment horizontal="center" vertical="center" readingOrder="1"/>
      <protection locked="0"/>
    </xf>
    <xf numFmtId="166" fontId="4" fillId="0" borderId="70" xfId="3" applyNumberFormat="1" applyFont="1" applyBorder="1" applyAlignment="1" applyProtection="1">
      <alignment horizontal="center" vertical="center"/>
      <protection locked="0"/>
    </xf>
    <xf numFmtId="0" fontId="0" fillId="0" borderId="67" xfId="0" applyBorder="1" applyAlignment="1" applyProtection="1">
      <alignment horizontal="center" vertical="center"/>
      <protection locked="0"/>
    </xf>
    <xf numFmtId="0" fontId="3" fillId="4" borderId="0" xfId="0" applyFont="1" applyFill="1" applyBorder="1" applyAlignment="1">
      <alignment horizontal="center" vertical="center"/>
    </xf>
    <xf numFmtId="0" fontId="35" fillId="0" borderId="69" xfId="0" applyFont="1" applyBorder="1" applyAlignment="1" applyProtection="1">
      <alignment horizontal="center" vertical="center"/>
      <protection locked="0"/>
    </xf>
    <xf numFmtId="0" fontId="35" fillId="0" borderId="70" xfId="0" applyFont="1" applyBorder="1" applyAlignment="1" applyProtection="1">
      <alignment horizontal="center" vertical="center"/>
      <protection locked="0"/>
    </xf>
    <xf numFmtId="0" fontId="35" fillId="0" borderId="67" xfId="0" applyFont="1" applyBorder="1" applyAlignment="1" applyProtection="1">
      <alignment horizontal="center" vertical="center"/>
      <protection locked="0"/>
    </xf>
    <xf numFmtId="0" fontId="4" fillId="0" borderId="69" xfId="0" applyFont="1" applyBorder="1" applyAlignment="1" applyProtection="1">
      <alignment horizontal="center" vertical="center"/>
      <protection locked="0"/>
    </xf>
    <xf numFmtId="0" fontId="4" fillId="0" borderId="67" xfId="0" applyFont="1" applyBorder="1" applyAlignment="1" applyProtection="1">
      <alignment horizontal="center" vertical="center"/>
      <protection locked="0"/>
    </xf>
    <xf numFmtId="0" fontId="0" fillId="0" borderId="160" xfId="0" applyBorder="1" applyAlignment="1" applyProtection="1">
      <alignment horizontal="center" vertical="center"/>
      <protection locked="0"/>
    </xf>
    <xf numFmtId="0" fontId="0" fillId="0" borderId="71" xfId="0" applyBorder="1" applyAlignment="1" applyProtection="1">
      <alignment horizontal="center" vertical="center"/>
      <protection locked="0"/>
    </xf>
    <xf numFmtId="0" fontId="3" fillId="0" borderId="69" xfId="0" applyFont="1" applyBorder="1" applyAlignment="1" applyProtection="1">
      <alignment horizontal="center" vertical="center"/>
      <protection locked="0"/>
    </xf>
    <xf numFmtId="0" fontId="3" fillId="4" borderId="115" xfId="0" applyFont="1" applyFill="1" applyBorder="1" applyAlignment="1">
      <alignment horizontal="center" vertical="center"/>
    </xf>
    <xf numFmtId="0" fontId="35" fillId="0" borderId="68" xfId="0" applyFont="1" applyBorder="1" applyAlignment="1" applyProtection="1">
      <alignment horizontal="center" vertical="center"/>
      <protection locked="0"/>
    </xf>
    <xf numFmtId="0" fontId="3" fillId="0" borderId="67" xfId="0" applyFont="1" applyBorder="1" applyAlignment="1" applyProtection="1">
      <alignment horizontal="center" vertical="center"/>
      <protection locked="0"/>
    </xf>
    <xf numFmtId="0" fontId="3" fillId="4" borderId="69" xfId="0" applyFont="1" applyFill="1" applyBorder="1" applyAlignment="1">
      <alignment horizontal="center" vertical="center"/>
    </xf>
    <xf numFmtId="0" fontId="3" fillId="4" borderId="190" xfId="0" applyFont="1" applyFill="1" applyBorder="1" applyAlignment="1" applyProtection="1">
      <alignment horizontal="center" vertical="center"/>
      <protection locked="0"/>
    </xf>
    <xf numFmtId="14" fontId="28" fillId="0" borderId="68" xfId="0" applyNumberFormat="1" applyFont="1" applyBorder="1" applyAlignment="1" applyProtection="1">
      <alignment horizontal="center" vertical="center" readingOrder="2"/>
      <protection locked="0"/>
    </xf>
    <xf numFmtId="49" fontId="0" fillId="0" borderId="68" xfId="0" applyNumberFormat="1" applyBorder="1" applyAlignment="1">
      <alignment horizontal="center" vertical="center"/>
    </xf>
    <xf numFmtId="14" fontId="82" fillId="0" borderId="68" xfId="0" applyNumberFormat="1" applyFont="1" applyBorder="1" applyAlignment="1" applyProtection="1">
      <alignment horizontal="center" vertical="center" readingOrder="2"/>
      <protection locked="0"/>
    </xf>
    <xf numFmtId="166" fontId="28" fillId="0" borderId="68" xfId="3" applyNumberFormat="1" applyFont="1" applyBorder="1" applyAlignment="1" applyProtection="1">
      <alignment horizontal="center" vertical="center" readingOrder="2"/>
      <protection locked="0"/>
    </xf>
    <xf numFmtId="166" fontId="82" fillId="0" borderId="68" xfId="3" applyNumberFormat="1" applyFont="1" applyBorder="1" applyAlignment="1" applyProtection="1">
      <alignment horizontal="center" vertical="center" readingOrder="2"/>
      <protection locked="0"/>
    </xf>
    <xf numFmtId="166" fontId="28" fillId="0" borderId="70" xfId="3" applyNumberFormat="1" applyFont="1" applyBorder="1" applyAlignment="1" applyProtection="1">
      <alignment horizontal="center" vertical="center" readingOrder="2"/>
      <protection locked="0"/>
    </xf>
    <xf numFmtId="14" fontId="28" fillId="0" borderId="70" xfId="0" applyNumberFormat="1" applyFont="1" applyBorder="1" applyAlignment="1" applyProtection="1">
      <alignment horizontal="center" vertical="center" readingOrder="2"/>
      <protection locked="0"/>
    </xf>
    <xf numFmtId="49" fontId="0" fillId="0" borderId="70" xfId="0" applyNumberFormat="1" applyBorder="1" applyAlignment="1">
      <alignment horizontal="center" vertical="center"/>
    </xf>
    <xf numFmtId="14" fontId="0" fillId="0" borderId="71" xfId="0" applyNumberFormat="1" applyBorder="1" applyAlignment="1" applyProtection="1">
      <alignment horizontal="center" vertical="center"/>
      <protection locked="0"/>
    </xf>
    <xf numFmtId="166" fontId="0" fillId="0" borderId="71" xfId="3" applyNumberFormat="1" applyFont="1" applyFill="1" applyBorder="1" applyAlignment="1" applyProtection="1">
      <alignment horizontal="center" vertical="center"/>
      <protection locked="0"/>
    </xf>
    <xf numFmtId="14" fontId="0" fillId="0" borderId="69" xfId="3" applyNumberFormat="1" applyFont="1" applyFill="1" applyBorder="1" applyAlignment="1" applyProtection="1">
      <alignment horizontal="center" vertical="center"/>
      <protection locked="0"/>
    </xf>
    <xf numFmtId="176" fontId="0" fillId="0" borderId="69" xfId="0" applyNumberFormat="1" applyBorder="1" applyAlignment="1" applyProtection="1">
      <alignment horizontal="center" vertical="center"/>
      <protection locked="0"/>
    </xf>
    <xf numFmtId="176" fontId="0" fillId="0" borderId="173" xfId="0" applyNumberFormat="1" applyFont="1" applyFill="1" applyBorder="1" applyAlignment="1" applyProtection="1">
      <alignment horizontal="center" vertical="center"/>
      <protection locked="0"/>
    </xf>
    <xf numFmtId="0" fontId="1" fillId="6" borderId="0" xfId="0" applyFont="1" applyFill="1" applyBorder="1" applyAlignment="1">
      <alignment horizontal="center" vertical="center"/>
    </xf>
    <xf numFmtId="1" fontId="1" fillId="7" borderId="0" xfId="0" applyNumberFormat="1" applyFont="1" applyFill="1" applyBorder="1" applyAlignment="1">
      <alignment horizontal="center" vertical="center"/>
    </xf>
    <xf numFmtId="0" fontId="0" fillId="5" borderId="0" xfId="0" applyFont="1" applyFill="1" applyBorder="1" applyAlignment="1">
      <alignment horizontal="center" vertical="center"/>
    </xf>
    <xf numFmtId="176" fontId="0" fillId="5" borderId="0" xfId="0" applyNumberFormat="1" applyFont="1" applyFill="1" applyBorder="1" applyAlignment="1">
      <alignment horizontal="center" vertical="center"/>
    </xf>
    <xf numFmtId="166" fontId="0" fillId="5" borderId="0" xfId="0" applyNumberFormat="1" applyFont="1" applyFill="1" applyBorder="1" applyAlignment="1">
      <alignment horizontal="center" vertical="center"/>
    </xf>
    <xf numFmtId="0" fontId="3" fillId="6" borderId="0" xfId="0" applyFont="1" applyFill="1" applyAlignment="1">
      <alignment horizontal="center" vertical="center"/>
    </xf>
    <xf numFmtId="0" fontId="0" fillId="6" borderId="160" xfId="0" applyFill="1" applyBorder="1" applyAlignment="1">
      <alignment horizontal="center" vertical="center"/>
    </xf>
    <xf numFmtId="0" fontId="3" fillId="6" borderId="199" xfId="0" applyFont="1" applyFill="1" applyBorder="1" applyAlignment="1">
      <alignment horizontal="center" vertical="center"/>
    </xf>
    <xf numFmtId="14" fontId="3" fillId="6" borderId="0" xfId="0" applyNumberFormat="1" applyFont="1" applyFill="1" applyAlignment="1">
      <alignment horizontal="center" vertical="center"/>
    </xf>
    <xf numFmtId="14" fontId="3" fillId="4" borderId="0" xfId="0" applyNumberFormat="1" applyFont="1" applyFill="1" applyAlignment="1">
      <alignment horizontal="center" vertical="center"/>
    </xf>
    <xf numFmtId="174" fontId="12" fillId="0" borderId="85" xfId="0" applyNumberFormat="1" applyFont="1" applyBorder="1" applyAlignment="1">
      <alignment horizontal="center" vertical="center"/>
    </xf>
    <xf numFmtId="14" fontId="3" fillId="4"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83" fillId="6" borderId="0" xfId="0" applyFont="1" applyFill="1" applyBorder="1" applyAlignment="1">
      <alignment horizontal="center" vertical="center"/>
    </xf>
    <xf numFmtId="14" fontId="3" fillId="6" borderId="0" xfId="0" applyNumberFormat="1" applyFont="1" applyFill="1" applyBorder="1" applyAlignment="1">
      <alignment horizontal="center" vertical="center"/>
    </xf>
    <xf numFmtId="14" fontId="83" fillId="6" borderId="0" xfId="0" applyNumberFormat="1" applyFont="1" applyFill="1" applyBorder="1" applyAlignment="1">
      <alignment horizontal="center" vertical="center"/>
    </xf>
    <xf numFmtId="0" fontId="0" fillId="0" borderId="0" xfId="0" applyFill="1" applyAlignment="1">
      <alignment horizontal="center" vertical="center"/>
    </xf>
    <xf numFmtId="0" fontId="27" fillId="0" borderId="200" xfId="0" applyFont="1" applyFill="1" applyBorder="1" applyAlignment="1">
      <alignment horizontal="center" vertical="center"/>
    </xf>
    <xf numFmtId="0" fontId="27" fillId="0" borderId="190" xfId="0" applyFont="1" applyFill="1" applyBorder="1" applyAlignment="1">
      <alignment horizontal="center" vertical="center"/>
    </xf>
    <xf numFmtId="0" fontId="0" fillId="0" borderId="200" xfId="0" applyFont="1" applyFill="1" applyBorder="1" applyAlignment="1">
      <alignment horizontal="center" vertical="center"/>
    </xf>
    <xf numFmtId="0" fontId="0" fillId="0" borderId="190" xfId="0" applyFont="1" applyFill="1" applyBorder="1" applyAlignment="1">
      <alignment horizontal="center" vertical="center"/>
    </xf>
    <xf numFmtId="0" fontId="0" fillId="0" borderId="197" xfId="0" applyFont="1" applyFill="1" applyBorder="1" applyAlignment="1">
      <alignment horizontal="center" vertical="center"/>
    </xf>
    <xf numFmtId="0" fontId="0" fillId="0" borderId="198" xfId="0" applyFont="1" applyFill="1" applyBorder="1" applyAlignment="1">
      <alignment horizontal="center" vertical="center"/>
    </xf>
    <xf numFmtId="176" fontId="0" fillId="0" borderId="190" xfId="0" applyNumberFormat="1" applyFont="1" applyFill="1" applyBorder="1" applyAlignment="1">
      <alignment horizontal="center" vertical="center"/>
    </xf>
    <xf numFmtId="176" fontId="0" fillId="0" borderId="198" xfId="0" applyNumberFormat="1" applyFont="1" applyFill="1" applyBorder="1" applyAlignment="1">
      <alignment horizontal="center" vertical="center"/>
    </xf>
    <xf numFmtId="0" fontId="0" fillId="22" borderId="190" xfId="0" applyFont="1" applyFill="1" applyBorder="1" applyAlignment="1">
      <alignment horizontal="center" vertical="center"/>
    </xf>
    <xf numFmtId="0" fontId="0" fillId="23" borderId="190" xfId="0" applyFont="1" applyFill="1" applyBorder="1" applyAlignment="1">
      <alignment horizontal="center" vertical="center"/>
    </xf>
    <xf numFmtId="0" fontId="0" fillId="10" borderId="0" xfId="0" applyFill="1" applyAlignment="1">
      <alignment horizontal="center" vertical="center"/>
    </xf>
    <xf numFmtId="16" fontId="0" fillId="0" borderId="0" xfId="0" applyNumberFormat="1" applyAlignment="1">
      <alignment horizontal="center" vertical="center"/>
    </xf>
    <xf numFmtId="0" fontId="0" fillId="10" borderId="0" xfId="0" applyNumberFormat="1" applyFill="1" applyAlignment="1">
      <alignment horizontal="center" vertical="center"/>
    </xf>
  </cellXfs>
  <cellStyles count="4">
    <cellStyle name="Comma" xfId="3" builtinId="3"/>
    <cellStyle name="Percent" xfId="1" builtinId="5"/>
    <cellStyle name="ارتباط تشعبي" xfId="2" builtinId="8"/>
    <cellStyle name="عادي" xfId="0" builtinId="0"/>
  </cellStyles>
  <dxfs count="173">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numFmt numFmtId="166" formatCode="_(* #,##0_);_(* \(#,##0\);_(* &quot;-&quot;??_);_(@_)"/>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numFmt numFmtId="166" formatCode="_(* #,##0_);_(* \(#,##0\);_(* &quot;-&quot;??_);_(@_)"/>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rgb="FF519798"/>
        <name val="Arial"/>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rgb="FF519798"/>
        <name val="Arial"/>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rgb="FF519798"/>
        <name val="Arial"/>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numFmt numFmtId="176" formatCode="dd/mm/yyyy"/>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rgb="FF519798"/>
        <name val="Arial"/>
        <family val="2"/>
        <scheme val="minor"/>
      </font>
      <numFmt numFmtId="176" formatCode="dd/mm/yyyy"/>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rgb="FF519798"/>
        <name val="Arial"/>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rgb="FF519798"/>
        <name val="Arial"/>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rgb="FF519798"/>
        <name val="Arial"/>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rgb="FF519798"/>
        <name val="Arial"/>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rgb="FF519798"/>
        <name val="Arial"/>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rgb="FF519798"/>
        <name val="Arial"/>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rgb="FF519798"/>
        <name val="Arial"/>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rgb="FF519798"/>
        <name val="Arial"/>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0"/>
        <name val="Arial"/>
        <family val="2"/>
        <scheme val="minor"/>
      </font>
      <numFmt numFmtId="1" formatCode="0"/>
      <fill>
        <patternFill patternType="solid">
          <fgColor indexed="64"/>
          <bgColor rgb="FF519798"/>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0"/>
        <name val="Arial"/>
        <family val="2"/>
        <scheme val="minor"/>
      </font>
      <fill>
        <patternFill patternType="solid">
          <fgColor indexed="64"/>
          <bgColor rgb="FFC0000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0"/>
        <name val="Arial"/>
        <family val="2"/>
        <scheme val="minor"/>
      </font>
      <fill>
        <patternFill patternType="solid">
          <fgColor indexed="64"/>
          <bgColor rgb="FFC0000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0"/>
        <name val="Arial"/>
        <family val="2"/>
        <scheme val="minor"/>
      </font>
      <fill>
        <patternFill patternType="solid">
          <fgColor indexed="64"/>
          <bgColor rgb="FFC00000"/>
        </patternFill>
      </fill>
      <alignment horizontal="center"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2"/>
        <color theme="1"/>
        <name val="Arial"/>
        <family val="2"/>
        <scheme val="minor"/>
      </font>
      <fill>
        <patternFill patternType="solid">
          <fgColor indexed="64"/>
          <bgColor theme="5"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2"/>
        <color theme="0"/>
        <name val="Arial"/>
        <family val="2"/>
        <scheme val="minor"/>
      </font>
      <fill>
        <patternFill patternType="solid">
          <fgColor indexed="64"/>
          <bgColor theme="5" tint="0.79998168889431442"/>
        </patternFill>
      </fill>
      <alignment horizontal="center" vertical="center" textRotation="0" wrapText="0" indent="0" justifyLastLine="0" shrinkToFit="0" readingOrder="0"/>
    </dxf>
    <dxf>
      <alignment horizontal="center" vertical="center" textRotation="0" indent="0" justifyLastLine="0" shrinkToFit="0"/>
    </dxf>
    <dxf>
      <alignment horizontal="center" vertical="center" textRotation="0" indent="0" justifyLastLine="0" shrinkToFit="0"/>
    </dxf>
    <dxf>
      <alignment horizontal="center" vertical="center" textRotation="0" indent="0" justifyLastLine="0" shrinkToFit="0"/>
    </dxf>
    <dxf>
      <alignment horizontal="center" vertical="center" textRotation="0" indent="0" justifyLastLine="0" shrinkToFit="0"/>
    </dxf>
    <dxf>
      <alignment horizontal="center" vertical="center" textRotation="0" indent="0" justifyLastLine="0" shrinkToFit="0"/>
    </dxf>
    <dxf>
      <alignment horizontal="center" vertical="center" textRotation="0" indent="0" justifyLastLine="0" shrinkToFit="0"/>
    </dxf>
    <dxf>
      <alignment horizontal="center" vertical="center" textRotation="0" indent="0" justifyLastLine="0" shrinkToFit="0"/>
    </dxf>
    <dxf>
      <alignment horizontal="center" vertical="center" textRotation="0" indent="0" justifyLastLine="0" shrinkToFit="0"/>
    </dxf>
    <dxf>
      <alignment horizontal="center" vertical="center" textRotation="0" indent="0" justifyLastLine="0" shrinkToFit="0"/>
    </dxf>
    <dxf>
      <numFmt numFmtId="19" formatCode="dd/mm/yy"/>
      <alignment horizontal="center" vertical="center" textRotation="0" indent="0" justifyLastLine="0" shrinkToFit="0"/>
    </dxf>
    <dxf>
      <alignment horizontal="center" vertical="center" textRotation="0" indent="0" justifyLastLine="0" shrinkToFit="0"/>
    </dxf>
    <dxf>
      <alignment horizontal="center" vertical="center" textRotation="0" indent="0" justifyLastLine="0" shrinkToFit="0"/>
    </dxf>
    <dxf>
      <alignment horizontal="center" vertical="center" textRotation="0" indent="0" justifyLastLine="0" shrinkToFit="0"/>
    </dxf>
    <dxf>
      <alignment horizontal="center" vertical="center" textRotation="0" indent="0" justifyLastLine="0" shrinkToFit="0"/>
    </dxf>
    <dxf>
      <alignment horizontal="center" vertical="center" textRotation="0" wrapText="0" indent="0" justifyLastLine="0" shrinkToFit="0" readingOrder="0"/>
      <border diagonalUp="0" diagonalDown="0" outline="0">
        <left/>
        <right/>
        <top style="thin">
          <color theme="1"/>
        </top>
        <bottom/>
      </border>
    </dxf>
    <dxf>
      <alignment horizontal="center" vertical="center" textRotation="0" indent="0" justifyLastLine="0" shrinkToFit="0"/>
    </dxf>
    <dxf>
      <alignment horizontal="center" vertical="center" textRotation="0" indent="0" justifyLastLine="0" shrinkToFit="0"/>
    </dxf>
    <dxf>
      <alignment horizontal="center" vertical="center" textRotation="0" indent="0" justifyLastLine="0" shrinkToFit="0"/>
    </dxf>
    <dxf>
      <alignment horizontal="center" vertical="center" textRotation="0" indent="0" justifyLastLine="0" shrinkToFit="0"/>
    </dxf>
    <dxf>
      <font>
        <b val="0"/>
        <i val="0"/>
        <strike val="0"/>
        <condense val="0"/>
        <extend val="0"/>
        <outline val="0"/>
        <shadow val="0"/>
        <u val="none"/>
        <vertAlign val="baseline"/>
        <sz val="14"/>
        <color theme="0"/>
        <name val="Roboto"/>
        <scheme val="none"/>
      </font>
      <fill>
        <patternFill patternType="solid">
          <fgColor indexed="64"/>
          <bgColor theme="3"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Arial"/>
        <family val="2"/>
        <scheme val="minor"/>
      </font>
      <numFmt numFmtId="30" formatCode="@"/>
      <fill>
        <patternFill patternType="none">
          <fgColor indexed="64"/>
          <bgColor indexed="65"/>
        </patternFill>
      </fill>
      <alignment horizontal="center" vertical="center" textRotation="0" wrapText="0" indent="0" justifyLastLine="0" shrinkToFit="0" readingOrder="0"/>
      <border diagonalUp="0" diagonalDown="0">
        <left style="thin">
          <color rgb="FF66B9B9"/>
        </left>
        <right style="thin">
          <color rgb="FF66B9B9"/>
        </right>
        <top style="thin">
          <color rgb="FF66B9B9"/>
        </top>
        <bottom style="thin">
          <color rgb="FF66B9B9"/>
        </bottom>
        <vertical/>
        <horizontal/>
      </border>
      <protection locked="0" hidden="0"/>
    </dxf>
    <dxf>
      <font>
        <b val="0"/>
        <i val="0"/>
        <strike val="0"/>
        <condense val="0"/>
        <extend val="0"/>
        <outline val="0"/>
        <shadow val="0"/>
        <u val="none"/>
        <vertAlign val="baseline"/>
        <sz val="12"/>
        <color rgb="FF000000"/>
        <name val="Calibri"/>
        <family val="2"/>
        <scheme val="none"/>
      </font>
      <numFmt numFmtId="166" formatCode="_(* #,##0_);_(* \(#,##0\);_(* &quot;-&quot;??_);_(@_)"/>
      <fill>
        <patternFill patternType="none">
          <fgColor indexed="64"/>
          <bgColor indexed="65"/>
        </patternFill>
      </fill>
      <alignment horizontal="center" vertical="center" textRotation="0" wrapText="0" indent="0" justifyLastLine="0" shrinkToFit="0" readingOrder="1"/>
      <border diagonalUp="0" diagonalDown="0">
        <left style="thin">
          <color rgb="FF66B9B9"/>
        </left>
        <right/>
        <top style="thin">
          <color rgb="FF66B9B9"/>
        </top>
        <bottom style="thin">
          <color rgb="FF66B9B9"/>
        </bottom>
        <vertical/>
        <horizontal/>
      </border>
      <protection locked="0" hidden="0"/>
    </dxf>
    <dxf>
      <font>
        <b val="0"/>
        <i val="0"/>
        <strike val="0"/>
        <condense val="0"/>
        <extend val="0"/>
        <outline val="0"/>
        <shadow val="0"/>
        <u val="none"/>
        <vertAlign val="baseline"/>
        <sz val="12"/>
        <color theme="1"/>
        <name val="Arial"/>
        <family val="2"/>
        <scheme val="minor"/>
      </font>
      <numFmt numFmtId="30" formatCode="@"/>
      <fill>
        <patternFill patternType="none">
          <fgColor indexed="64"/>
          <bgColor indexed="65"/>
        </patternFill>
      </fill>
      <alignment horizontal="center" vertical="center" textRotation="0" wrapText="0" indent="0" justifyLastLine="0" shrinkToFit="0" readingOrder="0"/>
      <border diagonalUp="0" diagonalDown="0">
        <left style="thin">
          <color rgb="FF66B9B9"/>
        </left>
        <right style="thin">
          <color rgb="FF66B9B9"/>
        </right>
        <top style="thin">
          <color rgb="FF66B9B9"/>
        </top>
        <bottom/>
        <vertical/>
        <horizontal/>
      </border>
      <protection locked="0" hidden="0"/>
    </dxf>
    <dxf>
      <font>
        <b val="0"/>
        <i val="0"/>
        <strike val="0"/>
        <condense val="0"/>
        <extend val="0"/>
        <outline val="0"/>
        <shadow val="0"/>
        <u val="none"/>
        <vertAlign val="baseline"/>
        <sz val="12"/>
        <color theme="1"/>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rgb="FF66B9B9"/>
        </left>
        <right style="thin">
          <color rgb="FF66B9B9"/>
        </right>
        <top style="thin">
          <color rgb="FF66B9B9"/>
        </top>
        <bottom style="thin">
          <color rgb="FF66B9B9"/>
        </bottom>
        <vertical/>
        <horizontal/>
      </border>
      <protection locked="0" hidden="0"/>
    </dxf>
    <dxf>
      <font>
        <b val="0"/>
        <i val="0"/>
        <strike val="0"/>
        <condense val="0"/>
        <extend val="0"/>
        <outline val="0"/>
        <shadow val="0"/>
        <u val="none"/>
        <vertAlign val="baseline"/>
        <sz val="12"/>
        <color theme="1"/>
        <name val="Arial"/>
        <family val="2"/>
        <scheme val="minor"/>
      </font>
      <numFmt numFmtId="176" formatCode="dd/mm/yyyy"/>
      <fill>
        <patternFill patternType="none">
          <fgColor indexed="64"/>
          <bgColor indexed="65"/>
        </patternFill>
      </fill>
      <alignment horizontal="center" vertical="center" textRotation="0" wrapText="0" indent="0" justifyLastLine="0" shrinkToFit="0" readingOrder="0"/>
      <border diagonalUp="0" diagonalDown="0">
        <left/>
        <right style="thin">
          <color rgb="FF66B9B9"/>
        </right>
        <top style="thin">
          <color rgb="FF66B9B9"/>
        </top>
        <bottom style="thin">
          <color rgb="FF66B9B9"/>
        </bottom>
        <vertical/>
        <horizontal/>
      </border>
      <protection locked="0" hidden="0"/>
    </dxf>
    <dxf>
      <font>
        <b val="0"/>
        <i val="0"/>
        <strike val="0"/>
        <condense val="0"/>
        <extend val="0"/>
        <outline val="0"/>
        <shadow val="0"/>
        <u val="none"/>
        <vertAlign val="baseline"/>
        <sz val="12"/>
        <color theme="1"/>
        <name val="Arial"/>
        <family val="2"/>
        <scheme val="minor"/>
      </font>
      <numFmt numFmtId="166" formatCode="_(* #,##0_);_(* \(#,##0\);_(* &quot;-&quot;??_);_(@_)"/>
      <fill>
        <patternFill patternType="none">
          <fgColor indexed="64"/>
          <bgColor indexed="65"/>
        </patternFill>
      </fill>
      <alignment horizontal="center" vertical="center" textRotation="0" wrapText="0" indent="0" justifyLastLine="0" shrinkToFit="0" readingOrder="0"/>
      <border diagonalUp="0" diagonalDown="0">
        <left/>
        <right style="thin">
          <color rgb="FF66B9B9"/>
        </right>
        <top style="thin">
          <color rgb="FF66B9B9"/>
        </top>
        <bottom style="thin">
          <color rgb="FF66B9B9"/>
        </bottom>
        <vertical/>
        <horizontal/>
      </border>
      <protection locked="0" hidden="0"/>
    </dxf>
    <dxf>
      <font>
        <b val="0"/>
        <i val="0"/>
        <strike val="0"/>
        <condense val="0"/>
        <extend val="0"/>
        <outline val="0"/>
        <shadow val="0"/>
        <u val="none"/>
        <vertAlign val="baseline"/>
        <sz val="12"/>
        <color theme="1"/>
        <name val="Arial"/>
        <family val="2"/>
        <scheme val="minor"/>
      </font>
      <numFmt numFmtId="166" formatCode="_(* #,##0_);_(* \(#,##0\);_(* &quot;-&quot;??_);_(@_)"/>
      <fill>
        <patternFill patternType="none">
          <fgColor indexed="64"/>
          <bgColor indexed="65"/>
        </patternFill>
      </fill>
      <alignment horizontal="center" vertical="center" textRotation="0" wrapText="0" indent="0" justifyLastLine="0" shrinkToFit="0" readingOrder="0"/>
      <border diagonalUp="0" diagonalDown="0">
        <left/>
        <right style="thin">
          <color rgb="FF66B9B9"/>
        </right>
        <top style="thin">
          <color rgb="FF66B9B9"/>
        </top>
        <bottom/>
        <vertical/>
        <horizontal/>
      </border>
      <protection locked="0" hidden="0"/>
    </dxf>
    <dxf>
      <font>
        <b val="0"/>
        <i val="0"/>
        <strike val="0"/>
        <condense val="0"/>
        <extend val="0"/>
        <outline val="0"/>
        <shadow val="0"/>
        <u val="none"/>
        <vertAlign val="baseline"/>
        <sz val="12"/>
        <color theme="1"/>
        <name val="Arial"/>
        <family val="2"/>
        <scheme val="minor"/>
      </font>
      <numFmt numFmtId="166"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rgb="FF66B9B9"/>
        </left>
        <right style="thin">
          <color rgb="FF66B9B9"/>
        </right>
        <top style="thin">
          <color rgb="FF66B9B9"/>
        </top>
        <bottom/>
        <vertical/>
        <horizontal/>
      </border>
      <protection locked="0" hidden="0"/>
    </dxf>
    <dxf>
      <numFmt numFmtId="19" formatCode="dd/mm/yy"/>
      <alignment horizontal="center" vertical="center" textRotation="0" wrapText="0" indent="0" justifyLastLine="0" shrinkToFit="0" readingOrder="0"/>
      <border diagonalUp="0" diagonalDown="0">
        <left style="thin">
          <color rgb="FF66B9B9"/>
        </left>
        <right style="thin">
          <color rgb="FF66B9B9"/>
        </right>
        <top style="thin">
          <color rgb="FF66B9B9"/>
        </top>
        <bottom style="thin">
          <color rgb="FF66B9B9"/>
        </bottom>
        <vertical/>
        <horizontal/>
      </border>
      <protection locked="0" hidden="0"/>
    </dxf>
    <dxf>
      <font>
        <b val="0"/>
        <i val="0"/>
        <strike val="0"/>
        <condense val="0"/>
        <extend val="0"/>
        <outline val="0"/>
        <shadow val="0"/>
        <u val="none"/>
        <vertAlign val="baseline"/>
        <sz val="12"/>
        <color theme="1"/>
        <name val="Arial"/>
        <family val="2"/>
        <scheme val="minor"/>
      </font>
      <numFmt numFmtId="176" formatCode="dd/mm/yyyy"/>
      <fill>
        <patternFill patternType="none">
          <fgColor indexed="64"/>
          <bgColor indexed="65"/>
        </patternFill>
      </fill>
      <alignment horizontal="center" vertical="center" textRotation="0" wrapText="0" indent="0" justifyLastLine="0" shrinkToFit="0" readingOrder="0"/>
      <border diagonalUp="0" diagonalDown="0">
        <left style="thin">
          <color rgb="FF66B9B9"/>
        </left>
        <right style="thin">
          <color rgb="FF66B9B9"/>
        </right>
        <top style="thin">
          <color rgb="FF66B9B9"/>
        </top>
        <bottom/>
        <vertical/>
        <horizontal/>
      </border>
      <protection locked="0" hidden="0"/>
    </dxf>
    <dxf>
      <font>
        <b val="0"/>
        <i val="0"/>
        <strike val="0"/>
        <condense val="0"/>
        <extend val="0"/>
        <outline val="0"/>
        <shadow val="0"/>
        <u val="none"/>
        <vertAlign val="baseline"/>
        <sz val="12"/>
        <color theme="1"/>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rgb="FF66B9B9"/>
        </left>
        <right style="thin">
          <color rgb="FF66B9B9"/>
        </right>
        <top style="thin">
          <color rgb="FF66B9B9"/>
        </top>
        <bottom/>
        <vertical/>
        <horizontal/>
      </border>
      <protection locked="0" hidden="0"/>
    </dxf>
    <dxf>
      <font>
        <b val="0"/>
        <i val="0"/>
        <strike val="0"/>
        <condense val="0"/>
        <extend val="0"/>
        <outline val="0"/>
        <shadow val="0"/>
        <u val="none"/>
        <vertAlign val="baseline"/>
        <sz val="12"/>
        <color theme="1"/>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rgb="FF66B9B9"/>
        </left>
        <right style="thin">
          <color rgb="FF66B9B9"/>
        </right>
        <top style="thin">
          <color rgb="FF66B9B9"/>
        </top>
        <bottom/>
        <vertical/>
        <horizontal/>
      </border>
      <protection locked="0" hidden="0"/>
    </dxf>
    <dxf>
      <font>
        <b val="0"/>
        <i val="0"/>
        <strike val="0"/>
        <condense val="0"/>
        <extend val="0"/>
        <outline val="0"/>
        <shadow val="0"/>
        <u val="none"/>
        <vertAlign val="baseline"/>
        <sz val="12"/>
        <color rgb="FF519798"/>
        <name val="Arial"/>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66B9B9"/>
        </left>
        <right style="thin">
          <color rgb="FF66B9B9"/>
        </right>
        <top style="thin">
          <color rgb="FF66B9B9"/>
        </top>
        <bottom/>
        <vertical/>
        <horizontal/>
      </border>
      <protection locked="0" hidden="0"/>
    </dxf>
    <dxf>
      <font>
        <b val="0"/>
        <i val="0"/>
        <strike val="0"/>
        <condense val="0"/>
        <extend val="0"/>
        <outline val="0"/>
        <shadow val="0"/>
        <u val="none"/>
        <vertAlign val="baseline"/>
        <sz val="12"/>
        <color rgb="FF519798"/>
        <name val="Arial"/>
        <family val="2"/>
        <scheme val="minor"/>
      </font>
      <fill>
        <patternFill patternType="solid">
          <fgColor indexed="64"/>
          <bgColor theme="0" tint="-4.9989318521683403E-2"/>
        </patternFill>
      </fill>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rgb="FF66B9B9"/>
        </left>
        <right style="thin">
          <color rgb="FF66B9B9"/>
        </right>
        <top style="thin">
          <color rgb="FF66B9B9"/>
        </top>
        <bottom/>
        <vertical/>
        <horizontal/>
      </border>
      <protection locked="0" hidden="0"/>
    </dxf>
    <dxf>
      <border outline="0">
        <top style="thin">
          <color theme="3" tint="0.24994659260841701"/>
        </top>
      </border>
    </dxf>
    <dxf>
      <border outline="0">
        <bottom style="thin">
          <color theme="3" tint="0.24994659260841701"/>
        </bottom>
      </border>
    </dxf>
    <dxf>
      <fill>
        <patternFill patternType="solid">
          <fgColor indexed="64"/>
          <bgColor theme="3" tint="0.249977111117893"/>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minor"/>
      </font>
      <fill>
        <patternFill patternType="none">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minor"/>
      </font>
      <fill>
        <patternFill patternType="none">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minor"/>
      </font>
      <fill>
        <patternFill patternType="none">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minor"/>
      </font>
      <fill>
        <patternFill patternType="none">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minor"/>
      </font>
      <fill>
        <patternFill patternType="none">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minor"/>
      </font>
      <numFmt numFmtId="176" formatCode="dd/mm/yyyy"/>
      <fill>
        <patternFill patternType="none">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minor"/>
      </font>
      <numFmt numFmtId="176" formatCode="dd/mm/yyyy"/>
      <fill>
        <patternFill patternType="none">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minor"/>
      </font>
      <fill>
        <patternFill patternType="none">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minor"/>
      </font>
      <fill>
        <patternFill patternType="none">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minor"/>
      </font>
      <fill>
        <patternFill patternType="none">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minor"/>
      </font>
      <fill>
        <patternFill patternType="none">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minor"/>
      </font>
      <fill>
        <patternFill patternType="none">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minor"/>
      </font>
      <fill>
        <patternFill patternType="none">
          <bgColor auto="1"/>
        </patternFill>
      </fill>
      <alignment horizontal="center" vertical="center" textRotation="0" wrapText="0" indent="0" justifyLastLine="0" shrinkToFit="0" readingOrder="0"/>
      <border diagonalUp="0" diagonalDown="0" outline="0">
        <left style="thin">
          <color theme="4" tint="0.39997558519241921"/>
        </left>
        <right/>
        <top style="thin">
          <color theme="4" tint="0.39997558519241921"/>
        </top>
        <bottom/>
      </border>
    </dxf>
    <dxf>
      <numFmt numFmtId="0" formatCode="General"/>
      <fill>
        <patternFill patternType="none">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ill>
        <patternFill patternType="none">
          <bgColor auto="1"/>
        </patternFill>
      </fill>
      <alignment horizontal="center" vertical="center" textRotation="0" wrapText="0" indent="0" justifyLastLine="0" shrinkToFit="0" readingOrder="0"/>
    </dxf>
    <dxf>
      <border outline="0">
        <right style="thin">
          <color theme="4" tint="0.39997558519241921"/>
        </right>
      </border>
    </dxf>
    <dxf>
      <font>
        <b val="0"/>
        <i val="0"/>
        <strike val="0"/>
        <condense val="0"/>
        <extend val="0"/>
        <outline val="0"/>
        <shadow val="0"/>
        <u val="none"/>
        <vertAlign val="baseline"/>
        <sz val="12"/>
        <color theme="1"/>
        <name val="Arial"/>
        <family val="2"/>
        <scheme val="minor"/>
      </font>
      <fill>
        <patternFill patternType="none">
          <bgColor auto="1"/>
        </patternFill>
      </fill>
      <alignment horizontal="center" vertical="center" textRotation="0" wrapText="0" indent="0" justifyLastLine="0" shrinkToFit="0" readingOrder="0"/>
    </dxf>
    <dxf>
      <font>
        <b/>
        <i val="0"/>
        <strike val="0"/>
        <condense val="0"/>
        <extend val="0"/>
        <outline val="0"/>
        <shadow val="0"/>
        <u val="none"/>
        <vertAlign val="baseline"/>
        <sz val="12"/>
        <color theme="0"/>
        <name val="Arial"/>
        <family val="2"/>
        <scheme val="minor"/>
      </font>
      <fill>
        <patternFill patternType="none">
          <fgColor theme="4"/>
          <bgColor auto="1"/>
        </patternFill>
      </fill>
      <alignment horizontal="center" vertical="center" textRotation="0" wrapText="0"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fill>
        <patternFill patternType="solid">
          <fgColor indexed="64"/>
          <bgColor rgb="FF519798"/>
        </patternFill>
      </fill>
      <alignment horizontal="center" vertical="center" textRotation="0" wrapText="1" indent="0" justifyLastLine="0" shrinkToFit="0" readingOrder="0"/>
    </dxf>
    <dxf>
      <fill>
        <patternFill patternType="solid">
          <fgColor rgb="FFDBE5F1"/>
          <bgColor rgb="FFDBE5F1"/>
        </patternFill>
      </fill>
    </dxf>
    <dxf>
      <fill>
        <patternFill patternType="solid">
          <fgColor rgb="FFB8CCE4"/>
          <bgColor rgb="FFB8CCE4"/>
        </patternFill>
      </fill>
    </dxf>
    <dxf>
      <fill>
        <patternFill patternType="none"/>
      </fill>
    </dxf>
  </dxfs>
  <tableStyles count="1" defaultTableStyle="TableStyleMedium2" defaultPivotStyle="PivotStyleLight16">
    <tableStyle name="WhatsApp-style" pivot="0" count="3" xr9:uid="{A963811F-3B1E-4912-B68C-7D29C0BE0F3A}">
      <tableStyleElement type="headerRow" dxfId="172"/>
      <tableStyleElement type="firstRowStripe" dxfId="171"/>
      <tableStyleElement type="secondRowStripe" dxfId="170"/>
    </tableStyle>
  </tableStyles>
  <colors>
    <mruColors>
      <color rgb="FF66B9B9"/>
      <color rgb="FF009899"/>
      <color rgb="FF007986"/>
      <color rgb="FF5197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298450</xdr:colOff>
          <xdr:row>1</xdr:row>
          <xdr:rowOff>95250</xdr:rowOff>
        </xdr:from>
        <xdr:to>
          <xdr:col>8</xdr:col>
          <xdr:colOff>234950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7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1">
                <a:defRPr sz="1000"/>
              </a:pPr>
              <a:r>
                <a:rPr lang="ar-SA" sz="1200" b="0" i="0" u="none" strike="noStrike" baseline="0">
                  <a:solidFill>
                    <a:srgbClr val="000000"/>
                  </a:solidFill>
                  <a:latin typeface="Arial"/>
                  <a:cs typeface="Arial"/>
                </a:rPr>
                <a:t>تعديل التواريخ</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1Comprehensive.xlsm" TargetMode="External"/><Relationship Id="rId1" Type="http://schemas.openxmlformats.org/officeDocument/2006/relationships/externalLinkPath" Target="file:///D:\1Comprehensiv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جدول التحديثات"/>
      <sheetName val="Offers"/>
      <sheetName val="Home"/>
      <sheetName val="وحدات المشاريع"/>
      <sheetName val="قطع الصيانة"/>
      <sheetName val="Reports"/>
      <sheetName val="Payments and Repayments"/>
      <sheetName val="Monthly Report"/>
      <sheetName val="Units Data"/>
      <sheetName val="الوسطاء"/>
      <sheetName val="جدول تراخيص اعلانات المطورين"/>
      <sheetName val="Expenses"/>
      <sheetName val="Revenue"/>
      <sheetName val="Unit Handover"/>
      <sheetName val="مصروفات من حساب عدالله راشد"/>
      <sheetName val="تامين مستاجرين"/>
      <sheetName val="ورقة1"/>
      <sheetName val="رواتب وسلف"/>
      <sheetName val="التدفقات"/>
      <sheetName val="دراسة ادارة املاك"/>
      <sheetName val="تقرير شهري"/>
      <sheetName val="الرواتب والسلف"/>
      <sheetName val="تفصيل1"/>
      <sheetName val="Number Processing"/>
      <sheetName val="ورقة3"/>
      <sheetName val="ارقام حاضنة المساكن"/>
      <sheetName val="Menus"/>
      <sheetName val="دراسة عمارة النرجس"/>
      <sheetName val="دخلات اخري للحساب"/>
      <sheetName val="البنك"/>
      <sheetName val="مديونيات التجديد"/>
      <sheetName val="التحويل بين عبدالله والحاضة"/>
      <sheetName val="Task"/>
      <sheetName val="تقرير الاربعاء"/>
      <sheetName val="تقرير الاحد"/>
      <sheetName val="دراسات"/>
      <sheetName val="Report of Abdullah Rashid"/>
      <sheetName val="Electricity and Water"/>
      <sheetName val="عروض الايجار"/>
      <sheetName val="العروض"/>
      <sheetName val="اكواد"/>
      <sheetName val="nagiz"/>
      <sheetName val="عقود وساطة"/>
      <sheetName val="Payment Data"/>
      <sheetName val="مسر رواتب"/>
      <sheetName val="مكافات نهاية الخدمة"/>
      <sheetName val="Deals"/>
      <sheetName val="التزامات المكتب"/>
      <sheetName val="ارقام مستاجرين النرجس"/>
      <sheetName val="روتين يومي"/>
      <sheetName val="1Comprehensive"/>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4</v>
    <v>1</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7F61AE1-75BC-4CFA-AA68-7A6B11457F4F}" name="الجدول2" displayName="الجدول2" ref="A3:W88" totalsRowShown="0" headerRowDxfId="169">
  <autoFilter ref="A3:W88" xr:uid="{87F61AE1-75BC-4CFA-AA68-7A6B11457F4F}"/>
  <tableColumns count="23">
    <tableColumn id="1" xr3:uid="{2C405195-C35A-4219-A2E7-7251EB782207}" name="حساب الدفع"/>
    <tableColumn id="2" xr3:uid="{CE2B6772-07BF-413B-8AD8-AFD7A06622C8}" name="المباني"/>
    <tableColumn id="3" xr3:uid="{198B3687-889E-4119-AC6F-BA101599A906}" name="الشهر" dataDxfId="168"/>
    <tableColumn id="4" xr3:uid="{594F5848-FAAF-40BD-99F8-1C58A4CD3DE5}" name="نوع العقار"/>
    <tableColumn id="5" xr3:uid="{A94021FF-22E7-4802-9A0F-E8A55094CC8A}" name="المدينة"/>
    <tableColumn id="6" xr3:uid="{FB10BDC9-EC25-464F-A4DA-C711AA1A027C}" name="الحي"/>
    <tableColumn id="7" xr3:uid="{5D891DA6-B3D3-4720-BB56-CFD850DFD567}" name="عمر العقار"/>
    <tableColumn id="8" xr3:uid="{3ECD094F-BFBF-4D85-A572-C13BBFD74498}" name="الدور_x000a_Floor"/>
    <tableColumn id="9" xr3:uid="{029A676C-2A9A-4241-89BE-1612DA8D8FBE}" name="الاتاحة_x000a_Availability"/>
    <tableColumn id="10" xr3:uid="{AB6221CD-DDF5-43FF-8DE6-3E203444E81B}" name="الوحدات" dataDxfId="167"/>
    <tableColumn id="11" xr3:uid="{939EA21A-EEF4-4A0B-B740-2544271576C4}" name="تصفية فلتر الوحدات" dataDxfId="166"/>
    <tableColumn id="12" xr3:uid="{D2CF8DA7-43E0-4C09-8880-A4594C90E34F}" name="نطاق البحث"/>
    <tableColumn id="13" xr3:uid="{E82EF43E-A433-4918-9C2E-5DF4153A161D}" name="ارقام العروض"/>
    <tableColumn id="14" xr3:uid="{D8B25424-5D1A-4EA6-B190-A84D34D0EBC5}" name="عدد الغرف"/>
    <tableColumn id="15" xr3:uid="{E13343E5-1842-4DE8-88E8-4EB603EC06C2}" name="الرسائل"/>
    <tableColumn id="16" xr3:uid="{ED261262-F319-47D1-8251-E0B2F7E20D2A}" name="للبيع / للايجار"/>
    <tableColumn id="17" xr3:uid="{8A8272D7-5126-4901-B025-6F0D3C9C75FA}" name="شامل الضريبة"/>
    <tableColumn id="18" xr3:uid="{21D32E1D-49BF-4AA5-B2BB-B3818D783085}" name="مؤثث"/>
    <tableColumn id="19" xr3:uid="{06B8AB9B-65B2-48CC-A7D7-E517957C346F}" name="المشاريع"/>
    <tableColumn id="20" xr3:uid="{1320670A-4ECF-4B92-91F3-A5DF29D44B58}" name="الوسطاء"/>
    <tableColumn id="21" xr3:uid="{4F0BBD72-9D65-479D-9F89-949CDB517426}" name="المصدر"/>
    <tableColumn id="22" xr3:uid="{0DA308CC-1652-435E-BCF7-C20B0E8F378A}" name="حالة العميل"/>
    <tableColumn id="23" xr3:uid="{6EFA2265-D4BB-4372-95F3-FE42A7E88669}" name="حالة العقد"/>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E92DE67-F5DC-4BCB-AA95-478604BB6E83}" name="الجدول4" displayName="الجدول4" ref="A6:BQ100" totalsRowShown="0" headerRowDxfId="71" dataDxfId="70" tableBorderDxfId="69">
  <autoFilter ref="A6:BQ100" xr:uid="{BE92DE67-F5DC-4BCB-AA95-478604BB6E83}">
    <filterColumn colId="4">
      <filters>
        <filter val="حنان ضاري سعد الدوسري"/>
      </filters>
    </filterColumn>
  </autoFilter>
  <tableColumns count="69">
    <tableColumn id="1" xr3:uid="{7E698732-189E-4F1E-9E19-B2F89822FCF1}" name="#" dataDxfId="68"/>
    <tableColumn id="2" xr3:uid="{E6C4F7AE-980A-4BEF-96F6-EA908D08E212}" name="رقم الشقة" dataDxfId="67"/>
    <tableColumn id="3" xr3:uid="{4F2AB9B7-18CB-478B-AC1F-292E42FDEABA}" name="المبني" dataDxfId="66"/>
    <tableColumn id="4" xr3:uid="{46623802-6425-4DFA-8C57-9B0F3006AA03}" name="المتبقي في العقد" dataDxfId="65">
      <calculatedColumnFormula>IF('Units Data'!$E7&lt;&gt;"", 'Units Data'!$O7 - 'Payments and Repayments'!B$1 + 1, "شاغرة")</calculatedColumnFormula>
    </tableColumn>
    <tableColumn id="5" xr3:uid="{FEE95324-3D76-47DF-8BE9-818B873E0318}" name="اسم المستاجر" dataDxfId="64"/>
    <tableColumn id="6" xr3:uid="{E9487627-295D-43D4-A134-F5586A459DA8}" name="الهوية-الإقامة" dataDxfId="63"/>
    <tableColumn id="7" xr3:uid="{3D9023DC-7B14-4A2C-A3F0-09F192F2889B}" name="رقم التواصل" dataDxfId="62"/>
    <tableColumn id="8" xr3:uid="{695F2376-858F-4A27-897C-EA7DC961687E}" name="تاريخ الميلاد" dataDxfId="61"/>
    <tableColumn id="9" xr3:uid="{1C89E00E-AA26-4249-9945-1DF88F3BFB1D}" name="رقم العقد" dataDxfId="60"/>
    <tableColumn id="10" xr3:uid="{C9868445-67E3-418E-AE04-AE4425428C00}" name="رقم النسخة" dataDxfId="59"/>
    <tableColumn id="11" xr3:uid="{CA806D72-0B51-4A5D-BA77-A0863A24717F}" name="مبلغ الايجار" dataDxfId="58"/>
    <tableColumn id="12" xr3:uid="{C826956C-EA5F-4007-A7BE-A604158057A8}" name="عدد الدفع" dataDxfId="57"/>
    <tableColumn id="13" xr3:uid="{30D378A7-83D1-490C-80AE-F04FB833BA81}" name="قيمة الدفعة" dataDxfId="56">
      <calculatedColumnFormula>K7/L7</calculatedColumnFormula>
    </tableColumn>
    <tableColumn id="14" xr3:uid="{8F185C04-5C8B-4B76-92E0-C19F97434314}" name="تاريخ بداية العقد" dataDxfId="55"/>
    <tableColumn id="15" xr3:uid="{26B3A400-F30E-4BF6-A94C-DD8F2BBA7ABF}" name="تاريخ نهاية العقد" dataDxfId="54">
      <calculatedColumnFormula>EDATE(N7,L7)-1</calculatedColumnFormula>
    </tableColumn>
    <tableColumn id="16" xr3:uid="{6638A45E-F795-4112-AFDF-A3BCAA869C3B}" name="التامين" dataDxfId="53"/>
    <tableColumn id="17" xr3:uid="{3D50BF35-C12B-4CAD-81BD-635C9636B882}" name="حساب دفع التامين" dataDxfId="52"/>
    <tableColumn id="18" xr3:uid="{D1DE150C-2279-4F6D-AA06-E116EF917520}" name="العمولة" dataDxfId="51"/>
    <tableColumn id="19" xr3:uid="{A4D5BD01-5BE6-4AFE-B5F3-84E358390656}" name="المبلغ المدفوع" dataDxfId="50">
      <calculatedColumnFormula>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calculatedColumnFormula>
    </tableColumn>
    <tableColumn id="20" xr3:uid="{D81F8B2B-EDEC-4832-A7A7-F66588A44CA3}" name="المبلغ المستحق" dataDxfId="49">
      <calculatedColumnFormula>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calculatedColumnFormula>
    </tableColumn>
    <tableColumn id="21" xr3:uid="{F04937C4-5D1E-43E4-87EF-CBB71472B089}" name="المبلغ المتبقي من العقد" dataDxfId="48">
      <calculatedColumnFormula>الجدول4[[#This Row],[مبلغ الايجار]]-الجدول4[[#This Row],[المبلغ المدفوع]]</calculatedColumnFormula>
    </tableColumn>
    <tableColumn id="22" xr3:uid="{BBA879C3-545B-4AA4-8C9E-52FA6EAA90F4}" name="مرفوع" dataDxfId="47">
      <calculatedColumnFormula>SUMIFS(الجدول3[مبلغ الدفعة], الجدول3[حساب الدفع], "مرفوعة في ناجز", الجدول3[رقم العقد], الجدول4[[#This Row],[رقم العقد]], الجدول3[اسم المستاجر], الجدول4[[#This Row],[اسم المستاجر]])</calculatedColumnFormula>
    </tableColumn>
    <tableColumn id="23" xr3:uid="{DD4BB46C-E72A-4520-94B7-D469C2995365}" name="وصل" dataDxfId="46"/>
    <tableColumn id="24" xr3:uid="{A2FC43A4-78EA-45E3-9D77-79C9164603BA}" name="متبقي" dataDxfId="45"/>
    <tableColumn id="25" xr3:uid="{D1BAD1AE-FA9E-4D79-8542-7C2C92ABA7FC}" name="المؤجر" dataDxfId="44"/>
    <tableColumn id="26" xr3:uid="{CAB8FEA1-ECD2-4962-9437-7EA1551404D2}" name="الاسم بالعربي" dataDxfId="43"/>
    <tableColumn id="27" xr3:uid="{64BB7F3B-17C7-4AF2-BED7-ADC1A617CE62}" name="الجنسية" dataDxfId="42"/>
    <tableColumn id="28" xr3:uid="{C1AB0657-98F3-42A9-BC78-CE85D83BD8C6}" name="تجديد العقد" dataDxfId="41"/>
    <tableColumn id="29" xr3:uid="{D82544C7-0C5C-4441-BC75-0FF6F06350CA}" name="رقم المبني" dataDxfId="40"/>
    <tableColumn id="30" xr3:uid="{59EA7EEF-7A10-4705-9410-E2A580EBFB12}" name="نوع الوحدة" dataDxfId="39"/>
    <tableColumn id="31" xr3:uid="{E521FF61-DB0F-492D-8858-A9DD357E0F3C}" name="عدد الغرف" dataDxfId="38"/>
    <tableColumn id="32" xr3:uid="{446C2AAF-F532-4957-9A87-D5A3C53A8B9A}" name="عدد المجالس" dataDxfId="37"/>
    <tableColumn id="33" xr3:uid="{AB1018AD-F511-44FC-80FD-EF87DD2FFC9C}" name="عدد الصالات" dataDxfId="36"/>
    <tableColumn id="34" xr3:uid="{4D1AA3AB-DE2D-466C-A225-5759B83467D8}" name="عدد المطابخ" dataDxfId="35"/>
    <tableColumn id="35" xr3:uid="{8C9E1BC9-1362-496B-BCCA-D5D81D7133A9}" name="عدد دورات المياه" dataDxfId="34"/>
    <tableColumn id="36" xr3:uid="{2300EB12-D0EB-4B48-B789-1C6517812370}" name="مكيف" dataDxfId="33"/>
    <tableColumn id="37" xr3:uid="{81CD9C21-0E7E-4636-B831-A818CCF540C0}" name="لوحات" dataDxfId="32"/>
    <tableColumn id="38" xr3:uid="{D4B36381-723C-4D8E-934F-AC6601C0EB30}" name="تحف" dataDxfId="31"/>
    <tableColumn id="39" xr3:uid="{FC58D7DF-87D4-4EE3-9518-B94D131D6AE4}" name="شاشة" dataDxfId="30"/>
    <tableColumn id="40" xr3:uid="{79304FE7-90AE-43C0-9987-2C3BA8C562A9}" name="سرير" dataDxfId="29"/>
    <tableColumn id="41" xr3:uid="{594402A1-8968-4945-AB7B-73D24E4C2055}" name="مرتبة" dataDxfId="28"/>
    <tableColumn id="42" xr3:uid="{7951AD2C-6DE8-47EF-8C64-C68940E29237}" name="مفرش السرير" dataDxfId="27"/>
    <tableColumn id="43" xr3:uid="{7393A0C8-7262-44DA-9ECE-0249DAAA8C7B}" name="كمدينو" dataDxfId="26"/>
    <tableColumn id="44" xr3:uid="{37258FF4-D95D-4A17-95FF-D944D9548BCD}" name="دولاب" dataDxfId="25"/>
    <tableColumn id="45" xr3:uid="{D94DD475-1018-46DF-9D80-36BECB251F52}" name="تسريحة" dataDxfId="24"/>
    <tableColumn id="46" xr3:uid="{6CB52388-99E7-44FA-920B-AE9E459757B2}" name="كرسي" dataDxfId="23"/>
    <tableColumn id="47" xr3:uid="{49A062AD-DBDC-4C5A-A39E-466EC9E549EE}" name="ثلاجة" dataDxfId="22"/>
    <tableColumn id="48" xr3:uid="{BD7882F3-DBB3-4EAE-9DB5-0633A4EE80DD}" name="غسالة" dataDxfId="21"/>
    <tableColumn id="49" xr3:uid="{C499D4CB-89D0-44B4-A7E7-5118A45A0C97}" name="بوتاجاز" dataDxfId="20"/>
    <tableColumn id="50" xr3:uid="{F159547B-1339-4B0D-889B-93921D4F4255}" name="الة قهوة" dataDxfId="19"/>
    <tableColumn id="51" xr3:uid="{DCFECDE3-CA1E-4911-AFA5-BC002FCC885C}" name="غلاي" dataDxfId="18"/>
    <tableColumn id="52" xr3:uid="{9ABF58DE-41CE-404D-9168-B4382C59F2FC}" name="مكنسة كهربائية" dataDxfId="17"/>
    <tableColumn id="53" xr3:uid="{611C13CF-836D-4C03-BEE0-A1459EEC8B5B}" name="كاوية ملابس" dataDxfId="16"/>
    <tableColumn id="54" xr3:uid="{493DC1D6-32A9-4E30-B0EE-908125CFD18B}" name="الستاير" dataDxfId="15"/>
    <tableColumn id="55" xr3:uid="{59DC2CEE-5B03-4419-97BF-F7E4114B6A64}" name="الزوالي" dataDxfId="14"/>
    <tableColumn id="56" xr3:uid="{BD6A0DA6-48DC-43F7-A9EB-A193006871DF}" name="المجلس" dataDxfId="13"/>
    <tableColumn id="57" xr3:uid="{A508562E-9ADC-4F64-9969-492624DCA050}" name="طربيزة" dataDxfId="12"/>
    <tableColumn id="58" xr3:uid="{2A53A08D-E270-4178-A128-386842ED9A0D}" name="ميكرويف" dataDxfId="11"/>
    <tableColumn id="59" xr3:uid="{E256F964-E812-46B7-8A06-3434B14E77EA}" name="فرن" dataDxfId="10"/>
    <tableColumn id="60" xr3:uid="{C08413D3-ED9B-4FC7-B88C-9C67ECE2D0DC}" name="ريمود" dataDxfId="9"/>
    <tableColumn id="61" xr3:uid="{FA192096-7BE7-4A4C-A1C4-FBD251ABEFB7}" name="سباكة دورة المياه" dataDxfId="8"/>
    <tableColumn id="62" xr3:uid="{0E4AFBD4-2B92-4ADD-91C9-526FBE62378D}" name="الانوار" dataDxfId="7"/>
    <tableColumn id="63" xr3:uid="{FB9E3B36-A992-44E8-A788-42F222F0DAD6}" name="اخر رسالة تجديد عقد" dataDxfId="6"/>
    <tableColumn id="64" xr3:uid="{E59CDEB0-D76D-4686-8198-2B6C877368CE}" name="عمود1" dataDxfId="5"/>
    <tableColumn id="65" xr3:uid="{8399820D-4D03-45B2-B527-96C66B83844C}" name="موافقة المؤجر" dataDxfId="4"/>
    <tableColumn id="66" xr3:uid="{EC6810DB-BE76-492D-8447-F49356CE57F3}" name="موافقة المستاجر" dataDxfId="3"/>
    <tableColumn id="67" xr3:uid="{FF1767EE-6EB8-49E1-8CBB-041BF00AFBED}" name="حالة العقد" dataDxfId="2"/>
    <tableColumn id="68" xr3:uid="{1051F67F-6D3B-4B08-9614-6AFAE365408C}" name="نموزج التسليم" dataDxfId="1"/>
    <tableColumn id="69" xr3:uid="{BB2A9AC0-F13F-4E0E-AE9D-CD227F8365A9}" name="نموزج الاستلام"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A779527-0063-4522-8A2C-2A515AF43981}" name="الجدول6" displayName="الجدول6" ref="A6:P544" totalsRowShown="0" headerRowDxfId="165" dataDxfId="164" tableBorderDxfId="163">
  <autoFilter ref="A6:P544" xr:uid="{8A779527-0063-4522-8A2C-2A515AF43981}"/>
  <tableColumns count="16">
    <tableColumn id="1" xr3:uid="{88FF83C2-4AC2-4E44-B4A7-06B0029603FB}" name="م" dataDxfId="162"/>
    <tableColumn id="16" xr3:uid="{94E354C8-AEB7-492D-8442-D368DA2E93F1}" name="المبني" dataDxfId="161">
      <calculatedColumnFormula array="1">IF(P7="","",_xlfn.XLOOKUP(P7&amp;"",'Units Data'!$I$6:$I$10000&amp;"",'Units Data'!$C$6:$C$10000,"غير موجود",0))</calculatedColumnFormula>
    </tableColumn>
    <tableColumn id="2" xr3:uid="{C2E47248-44B3-43BD-89B3-7660DC3575C0}" name="رقم الشقة" dataDxfId="160">
      <calculatedColumnFormula array="1">IF(P7="","",_xlfn.XLOOKUP(P7&amp;"",'Units Data'!$I$6:$I$10000&amp;"",'Units Data'!$B$6:$B$10000,"غير موجود",0))</calculatedColumnFormula>
    </tableColumn>
    <tableColumn id="3" xr3:uid="{0B74B282-944C-47F1-A436-6A76976FA967}" name="رقم الإيصال" dataDxfId="159"/>
    <tableColumn id="4" xr3:uid="{27922D18-73BE-4193-AE45-C2AAD9B3B787}" name="الحالة" dataDxfId="158"/>
    <tableColumn id="5" xr3:uid="{C6B32FCC-BBD3-4C80-83F8-D7CCE8500E07}" name="الى حساب و رقم الآيبان" dataDxfId="157"/>
    <tableColumn id="6" xr3:uid="{6BF3F23B-DDDC-4441-9505-F3C74FB63872}" name="طريقة الاستلام" dataDxfId="156"/>
    <tableColumn id="7" xr3:uid="{125328AA-5A4D-41F5-AD64-B93262941DA9}" name="طريقة الدفع او السداد" dataDxfId="155"/>
    <tableColumn id="8" xr3:uid="{80CED9A1-0CED-4686-BB3C-1A2C51B9A383}" name="المبلغ" dataDxfId="154"/>
    <tableColumn id="9" xr3:uid="{39ACAE03-34C2-4F78-A046-A29773E9E1E9}" name="تاريخ التحويل" dataDxfId="153"/>
    <tableColumn id="10" xr3:uid="{629BA657-5147-4CDC-AAB8-CA701FE37FF7}" name="تاريخ الاستحقاق" dataDxfId="152"/>
    <tableColumn id="11" xr3:uid="{DF5385AF-2F9C-4E98-ADDA-7A37AAE737D3}" name="اسم المستأجر" dataDxfId="151"/>
    <tableColumn id="12" xr3:uid="{99CC8544-2478-44B0-BFDF-36CDDFE78801}" name="رقم وثيقة الملكية" dataDxfId="150"/>
    <tableColumn id="13" xr3:uid="{F0EF7FA8-4ED9-4222-9589-B787C817F995}" name="رقم الفاتورة" dataDxfId="149"/>
    <tableColumn id="14" xr3:uid="{B1EC3F52-70F7-4A66-986C-448C2749A58B}" name="اسم العقار" dataDxfId="148"/>
    <tableColumn id="15" xr3:uid="{B0FA69F5-EB43-48C4-B11E-DEB6D2436C5C}" name="رقم العقد" dataDxfId="147"/>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8D0AB88-A449-4A60-81BD-CFC0377625FC}" name="الجدول7" displayName="الجدول7" ref="A6:P95" totalsRowShown="0" headerRowDxfId="146" dataDxfId="145">
  <autoFilter ref="A6:P95" xr:uid="{78D0AB88-A449-4A60-81BD-CFC0377625FC}"/>
  <tableColumns count="16">
    <tableColumn id="13" xr3:uid="{A026A311-BF18-4D3F-B37A-D616AA4441EE}" name="م" dataDxfId="144"/>
    <tableColumn id="14" xr3:uid="{636DCEA5-310E-4E3D-B011-9DAB065D224A}" name="المبني" dataDxfId="143">
      <calculatedColumnFormula array="1">IF(G7="","",_xlfn.XLOOKUP(TRIM(G7&amp;""),TRIM('Units Data'!$I$7:$I$10000&amp;""),'Units Data'!$C$7:$C$10000,"خارجي",0))</calculatedColumnFormula>
    </tableColumn>
    <tableColumn id="15" xr3:uid="{72FAD317-1DD9-4D85-8656-9AFB043D41E1}" name="الوحدة" dataDxfId="142">
      <calculatedColumnFormula array="1">IF(G7="","",_xlfn.XLOOKUP(TRIM(G7&amp;""),TRIM('Units Data'!$I$7:$I$10000&amp;""),'Units Data'!$B$7:$B$10000,"خارجي",0))</calculatedColumnFormula>
    </tableColumn>
    <tableColumn id="16" xr3:uid="{F65ADB1D-ECA5-446E-8391-D536857C7C30}" name="عمود1" dataDxfId="141">
      <calculatedColumnFormula array="1">_xlfn.SWITCH(TRIM(E7),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IF(E7="","","غير محدد"))</calculatedColumnFormula>
    </tableColumn>
    <tableColumn id="1" xr3:uid="{5802AE95-CFCD-4ADE-8B38-36790F7F8C45}" name="Process description" dataDxfId="140"/>
    <tableColumn id="2" xr3:uid="{23986278-40BF-44E5-81BB-D63E075741B2}" name="Invoice number" dataDxfId="139"/>
    <tableColumn id="3" xr3:uid="{1E2BAC6F-79B7-4C93-B4B9-BDC5E84EA244}" name="Contract No./Copy No" dataDxfId="138"/>
    <tableColumn id="4" xr3:uid="{877D5E34-394C-46AB-968D-CBEA3C2ADF2A}" name="Property Name" dataDxfId="137"/>
    <tableColumn id="5" xr3:uid="{7D57ACFC-02CE-4D85-8A1C-B5A4A85B3E01}" name="IBAN number" dataDxfId="136"/>
    <tableColumn id="6" xr3:uid="{714555ED-5C8A-49A8-A899-6476CF8648AE}" name="Remittance number" dataDxfId="135"/>
    <tableColumn id="7" xr3:uid="{761DE365-84EF-4588-8027-504C2929FE68}" name="Amount" dataDxfId="134"/>
    <tableColumn id="8" xr3:uid="{C0A369D4-77DD-492D-85E7-26A08BE05D4F}" name="Date" dataDxfId="133"/>
    <tableColumn id="9" xr3:uid="{527569B0-A015-4D2A-AC85-7F39442B0E64}" name="Status" dataDxfId="132"/>
    <tableColumn id="10" xr3:uid="{11744D21-BB67-4E75-95B2-6D7EFEB7F243}" name="Available Balance" dataDxfId="131"/>
    <tableColumn id="11" xr3:uid="{56980C5E-16F7-41C4-B3DC-984A86FCDC2F}" name="Reserved Balance" dataDxfId="130"/>
    <tableColumn id="12" xr3:uid="{3B7C09CD-2088-483C-9B57-3DA5481F9D6F}" name="Purpose of Recharge" dataDxfId="129"/>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46E207E-6CE9-4161-A492-C52897BEC047}" name="الجدول8" displayName="الجدول8" ref="A6:P138" totalsRowShown="0" headerRowDxfId="128" dataDxfId="127">
  <autoFilter ref="A6:P138" xr:uid="{946E207E-6CE9-4161-A492-C52897BEC047}">
    <filterColumn colId="1">
      <filters>
        <filter val="102"/>
        <filter val="A"/>
      </filters>
    </filterColumn>
  </autoFilter>
  <tableColumns count="16">
    <tableColumn id="13" xr3:uid="{0A403819-F9F3-45C1-A907-3E2240BB7381}" name="م" dataDxfId="126"/>
    <tableColumn id="15" xr3:uid="{9F19E5D4-FAF4-4A38-8DCE-A3EA6151DE8C}" name="المبني" dataDxfId="125">
      <calculatedColumnFormula array="1">IF(E7="Recharge","شحن المحفظة",IF(G7="","",_xlfn.XLOOKUP(TRIM(G7&amp;""),TRIM('Units Data'!$I$7:$I$10000&amp;""),'Units Data'!$C$7:$C$10000,"خارجي",0)))</calculatedColumnFormula>
    </tableColumn>
    <tableColumn id="14" xr3:uid="{78C8B464-D9FF-47C5-A0F5-090CE6996E16}" name="الوحدة" dataDxfId="124">
      <calculatedColumnFormula array="1">IF(E7="Recharge","شحن المحفظة",IF(G7="","",_xlfn.XLOOKUP(TRIM(G7&amp;""),TRIM('Units Data'!$I$7:$I$10000&amp;""),'Units Data'!$B$7:$B$10000,"خارجي",0)))</calculatedColumnFormula>
    </tableColumn>
    <tableColumn id="16" xr3:uid="{2066D574-14FB-4C99-A208-49E39BF9BDB9}" name="الغرض" dataDxfId="123">
      <calculatedColumnFormula array="1">_xlfn.SWITCH(TRIM(E7),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IF(E7="","","غير محدد"))</calculatedColumnFormula>
    </tableColumn>
    <tableColumn id="1" xr3:uid="{9DB16DE8-44AB-40D2-A05F-0A05A165C21C}" name="Process description" dataDxfId="122"/>
    <tableColumn id="2" xr3:uid="{DE85D6FD-37F4-45CA-ABD3-11AD269F919C}" name="Invoice number" dataDxfId="121"/>
    <tableColumn id="3" xr3:uid="{38D3DDB9-D044-4571-885B-7664C1A63FA5}" name="Contract No./Copy No" dataDxfId="120"/>
    <tableColumn id="4" xr3:uid="{61251CF2-5852-4A14-86A9-1B80DD2DB3EF}" name="Property Name" dataDxfId="119"/>
    <tableColumn id="5" xr3:uid="{3AD8130D-6E99-4387-BE66-3F3C0D10EB61}" name="IBAN number" dataDxfId="118"/>
    <tableColumn id="6" xr3:uid="{8FA663A0-9B6D-4AAA-B780-B723D8710A4C}" name="Remittance number" dataDxfId="117"/>
    <tableColumn id="7" xr3:uid="{A0E261EB-3965-431A-9400-C4A62ABCDAEB}" name="Amount" dataDxfId="116"/>
    <tableColumn id="8" xr3:uid="{C64FC296-8877-4C76-A709-A499057E3F8F}" name="Date" dataDxfId="115"/>
    <tableColumn id="9" xr3:uid="{234FE414-56CA-4B18-B91D-D0B797D61F5D}" name="Status" dataDxfId="114"/>
    <tableColumn id="10" xr3:uid="{DD3FA0A8-E774-463F-B7E4-137317AC9B79}" name="Available Balance" dataDxfId="113"/>
    <tableColumn id="11" xr3:uid="{2A47D938-706D-48F0-A445-CBA75EB213B9}" name="Reserved Balance" dataDxfId="112"/>
    <tableColumn id="12" xr3:uid="{9DC4FCAF-3EFB-489F-AC41-D8E2BD17F216}" name="Purpose of Recharge" dataDxfId="111"/>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738B4FE-ABA0-4A00-A842-A9E525B994F2}" name="الجدول3" displayName="الجدول3" ref="B38:Q644" totalsRowShown="0" headerRowDxfId="110" headerRowBorderDxfId="109" tableBorderDxfId="108">
  <autoFilter ref="B38:Q644" xr:uid="{8738B4FE-ABA0-4A00-A842-A9E525B994F2}">
    <filterColumn colId="2">
      <filters>
        <filter val="10383332923"/>
      </filters>
    </filterColumn>
  </autoFilter>
  <tableColumns count="16">
    <tableColumn id="1" xr3:uid="{7AC92E52-B263-4755-891F-54C6015E6059}" name="م" dataDxfId="107"/>
    <tableColumn id="2" xr3:uid="{49C152F4-49C2-4C5D-A70B-74BFBE98D750}" name="اسم المستاجر" dataDxfId="106"/>
    <tableColumn id="3" xr3:uid="{8C74E001-A7D4-4DF2-9CDD-114BCA8D57BA}" name="رقم العقد" dataDxfId="105"/>
    <tableColumn id="4" xr3:uid="{1338020C-B227-4179-938F-06F96B4C9C05}" name="الوحدة" dataDxfId="104"/>
    <tableColumn id="5" xr3:uid="{600B9EB7-99B3-45FC-9CBA-E0B5A0978846}" name="المبني" dataDxfId="103"/>
    <tableColumn id="6" xr3:uid="{AA8C2A1B-BB33-4A48-A276-103152821A1A}" name="تاريخ الدفعة" dataDxfId="102"/>
    <tableColumn id="7" xr3:uid="{877442FA-03F8-454A-BA2B-355EAABD908C}" name="شهر الدفعة" dataDxfId="101"/>
    <tableColumn id="8" xr3:uid="{4C2838D3-DCAF-4B2F-A2F1-2F4304F33D61}" name="مبلغ الدفعة" dataDxfId="100" dataCellStyle="Comma"/>
    <tableColumn id="9" xr3:uid="{8E2925FD-41B3-4144-99D5-969C91877DF5}" name="المبلغ المستحق" dataDxfId="99" dataCellStyle="Comma"/>
    <tableColumn id="10" xr3:uid="{FD38E156-5E82-462D-84E6-FEE79140F0AC}" name="المدفوع" dataDxfId="98" dataCellStyle="Comma"/>
    <tableColumn id="11" xr3:uid="{6E588F8C-0552-41D6-8B28-56DA29B190B3}" name="تاريخ الدفع" dataDxfId="97"/>
    <tableColumn id="12" xr3:uid="{3598AB3B-0703-4C56-9556-0308BAD180D8}" name="حساب الدفع" dataDxfId="96">
      <calculatedColumnFormula array="1">_xlfn.IFS(#REF!
    -#REF!&gt;0, "مدفوع جزئي",#REF!
    -#REF!=0, "مدفوع",
    (#REF!-#REF!&lt;0) * ($B$1=#REF!), "مستحقة اليوم",
    (#REF!-#REF!&lt;0) * ((#REF!-$B$1)&gt;=-15) * ((#REF!-$B$1)&lt;=0), "مستحقة",
    (#REF!-#REF!&lt;0) * ((#REF!-$B$1)&lt;-15), "متأخر",
    ((#REF!-$B$1)&gt;0) * ((#REF!-$B$1)&lt;=7) * (#REF!=0), "اقترب",
    (#REF!=0) * ((#REF!-$B$1)&gt;7), "باقي"
)</calculatedColumnFormula>
    </tableColumn>
    <tableColumn id="13" xr3:uid="{F2C8E6B6-EDBF-491A-BB73-93C44CCB630C}" name="شهر التقرير" dataDxfId="95"/>
    <tableColumn id="14" xr3:uid="{B8E91AE6-F337-4DFF-9376-0CD7DAE25C18}" name="الرصيد" dataDxfId="94" dataCellStyle="Comma">
      <calculatedColumnFormula>[1]!Table3[[#This Row],[المدفوع]]-[1]!Table3[[#This Row],[المبلغ المستحق]]</calculatedColumnFormula>
    </tableColumn>
    <tableColumn id="15" xr3:uid="{BFA18B70-7ED9-4599-A60B-41714A6012E0}" name="رقم ناجز" dataDxfId="93"/>
    <tableColumn id="16" xr3:uid="{690F13ED-C93C-4D76-836F-5D8FEBE71C8E}" name="حالة العقد" dataDxfId="92"/>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AB188A4-5CF4-4251-9C67-9960D862170E}" name="الجدول5" displayName="الجدول5" ref="A8:R72" totalsRowShown="0" headerRowDxfId="91" dataDxfId="90">
  <autoFilter ref="A8:R72" xr:uid="{2AB188A4-5CF4-4251-9C67-9960D862170E}"/>
  <tableColumns count="18">
    <tableColumn id="1" xr3:uid="{66661D26-27DE-4500-B3CE-83992A930B6D}" name="#" dataDxfId="89"/>
    <tableColumn id="2" xr3:uid="{CDA119C2-7000-41F2-9B57-A924548C4DE0}" name="البيان" dataDxfId="88"/>
    <tableColumn id="3" xr3:uid="{CDA2F989-4374-4643-A530-80D9DF6AEE03}" name="المبلغ بدون ضريبة" dataDxfId="87"/>
    <tableColumn id="4" xr3:uid="{603824ED-D7A4-4D00-B6CD-43C45F89DAD1}" name="الضريبة" dataDxfId="86"/>
    <tableColumn id="5" xr3:uid="{8EF2FA27-C468-48F3-99F7-3B596D8FB63E}" name="الإجمالي" dataDxfId="85"/>
    <tableColumn id="6" xr3:uid="{427E18BB-74DB-42EE-A9F7-29FEBB7B2539}" name="تحويل للملاك" dataDxfId="84"/>
    <tableColumn id="7" xr3:uid="{8BE5C26A-5B56-420A-96B0-940ED49AC638}" name="الصنف" dataDxfId="83"/>
    <tableColumn id="8" xr3:uid="{294AA123-EAF9-4CC6-AAAB-10AE04313B5B}" name="المبني" dataDxfId="82"/>
    <tableColumn id="9" xr3:uid="{A1592CC5-4B18-439B-94BF-B5B6E0345A2B}" name="تاريخ المصروف" dataDxfId="81"/>
    <tableColumn id="10" xr3:uid="{70C0229E-3E7D-4D54-87AE-DDFD6953DBE5}" name="شهر" dataDxfId="80"/>
    <tableColumn id="11" xr3:uid="{716732E5-24F2-4C1D-AEA1-8CB33625BF83}" name="ملاحظات" dataDxfId="79"/>
    <tableColumn id="12" xr3:uid="{0AE2D66F-1602-439E-92E0-5E91A11860A7}" name="تحمل المالك" dataDxfId="78"/>
    <tableColumn id="13" xr3:uid="{EA078BB0-D78B-4240-A068-5B107B7EB883}" name="تحمل الحاضنة" dataDxfId="77"/>
    <tableColumn id="14" xr3:uid="{AB87602E-0838-45E6-B1AB-D745EB1C80C5}" name="م" dataDxfId="76"/>
    <tableColumn id="15" xr3:uid="{097D1E38-732F-4B91-8FBF-A7C773B1E292}" name="الحساب" dataDxfId="75"/>
    <tableColumn id="16" xr3:uid="{944F1D75-FBE2-42CE-B52D-ACEB6C4F4FE3}" name="تم الخصم" dataDxfId="74"/>
    <tableColumn id="17" xr3:uid="{FD4294F3-8458-4EDE-B6FA-7D4979B7697B}" name="يشمل الضريبة" dataDxfId="73"/>
    <tableColumn id="18" xr3:uid="{673C4C4B-5DF3-4D48-A9C9-7EBE3045CDFC}" name="الربع" dataDxfId="72"/>
  </tableColumns>
  <tableStyleInfo name="TableStyleLight8" showFirstColumn="0" showLastColumn="0" showRowStripes="1" showColumnStripes="0"/>
</table>
</file>

<file path=xl/theme/theme1.xml><?xml version="1.0" encoding="utf-8"?>
<a:theme xmlns:a="http://schemas.openxmlformats.org/drawingml/2006/main" name="نسق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ورقة8"/>
  <dimension ref="A1:N9"/>
  <sheetViews>
    <sheetView rightToLeft="1" workbookViewId="0"/>
  </sheetViews>
  <sheetFormatPr defaultRowHeight="15.5"/>
  <sheetData>
    <row r="1" spans="1:14">
      <c r="B1" s="1" t="s">
        <v>749</v>
      </c>
      <c r="H1" s="1" t="s">
        <v>751</v>
      </c>
      <c r="J1" s="1" t="s">
        <v>751</v>
      </c>
    </row>
    <row r="2" spans="1:14">
      <c r="A2" s="1" t="s">
        <v>5</v>
      </c>
      <c r="B2" s="1" t="s">
        <v>27</v>
      </c>
      <c r="C2" s="1" t="s">
        <v>756</v>
      </c>
      <c r="D2" s="1" t="s">
        <v>753</v>
      </c>
      <c r="E2" s="1" t="s">
        <v>757</v>
      </c>
      <c r="F2" s="1" t="s">
        <v>754</v>
      </c>
      <c r="G2" s="1" t="s">
        <v>758</v>
      </c>
      <c r="H2" s="1" t="s">
        <v>755</v>
      </c>
      <c r="I2" s="1" t="s">
        <v>759</v>
      </c>
      <c r="J2" s="1" t="s">
        <v>752</v>
      </c>
      <c r="K2" s="1" t="s">
        <v>761</v>
      </c>
      <c r="L2" s="1" t="s">
        <v>762</v>
      </c>
      <c r="M2" s="1" t="s">
        <v>763</v>
      </c>
      <c r="N2" s="1" t="s">
        <v>764</v>
      </c>
    </row>
    <row r="3" spans="1:14" ht="46.5">
      <c r="A3" s="1">
        <v>1</v>
      </c>
      <c r="B3" s="3" t="s">
        <v>750</v>
      </c>
      <c r="C3" s="1">
        <v>30</v>
      </c>
      <c r="D3" s="1">
        <f t="shared" ref="D3:D9" si="0">C3*1.15</f>
        <v>34.5</v>
      </c>
      <c r="E3" s="1">
        <v>25</v>
      </c>
      <c r="F3" s="1">
        <f t="shared" ref="F3:F9" si="1">E3*1.15</f>
        <v>28.749999999999996</v>
      </c>
      <c r="G3" s="1">
        <v>25</v>
      </c>
      <c r="H3" s="1">
        <f t="shared" ref="H3:H9" si="2">G3*1.15</f>
        <v>28.749999999999996</v>
      </c>
      <c r="I3" s="1">
        <v>0</v>
      </c>
      <c r="J3" s="1">
        <f t="shared" ref="J3:J9" si="3">I3*1.15</f>
        <v>0</v>
      </c>
      <c r="K3" s="1">
        <v>25</v>
      </c>
      <c r="L3" s="1" t="e">
        <f>#REF!*1.15</f>
        <v>#REF!</v>
      </c>
      <c r="M3" s="1">
        <v>25</v>
      </c>
      <c r="N3" s="1" t="e">
        <f>#REF!*1.15</f>
        <v>#REF!</v>
      </c>
    </row>
    <row r="4" spans="1:14" ht="31">
      <c r="A4" s="1">
        <v>2</v>
      </c>
      <c r="B4" s="3" t="s">
        <v>765</v>
      </c>
      <c r="D4" s="1">
        <f t="shared" si="0"/>
        <v>0</v>
      </c>
      <c r="F4" s="1">
        <f t="shared" si="1"/>
        <v>0</v>
      </c>
      <c r="H4" s="1">
        <f t="shared" si="2"/>
        <v>0</v>
      </c>
      <c r="J4" s="1">
        <f t="shared" si="3"/>
        <v>0</v>
      </c>
      <c r="L4" s="1" t="e">
        <f>#REF!*1.15</f>
        <v>#REF!</v>
      </c>
      <c r="M4" s="1">
        <v>1304.3479</v>
      </c>
      <c r="N4" s="1" t="e">
        <f>#REF!*1.15</f>
        <v>#REF!</v>
      </c>
    </row>
    <row r="5" spans="1:14" ht="31">
      <c r="A5" s="1">
        <v>3</v>
      </c>
      <c r="B5" s="3" t="s">
        <v>718</v>
      </c>
      <c r="D5" s="1">
        <f t="shared" si="0"/>
        <v>0</v>
      </c>
      <c r="F5" s="1">
        <f t="shared" si="1"/>
        <v>0</v>
      </c>
      <c r="H5" s="1">
        <f t="shared" si="2"/>
        <v>0</v>
      </c>
      <c r="J5" s="1">
        <f t="shared" si="3"/>
        <v>0</v>
      </c>
      <c r="L5" s="1" t="e">
        <f>#REF!*1.15</f>
        <v>#REF!</v>
      </c>
      <c r="M5" s="1">
        <v>521.73919999999998</v>
      </c>
      <c r="N5" s="1" t="e">
        <f>#REF!*1.15</f>
        <v>#REF!</v>
      </c>
    </row>
    <row r="6" spans="1:14">
      <c r="B6" s="3" t="s">
        <v>768</v>
      </c>
      <c r="D6" s="1">
        <f t="shared" si="0"/>
        <v>0</v>
      </c>
      <c r="F6" s="1">
        <f t="shared" si="1"/>
        <v>0</v>
      </c>
      <c r="H6" s="1">
        <f t="shared" si="2"/>
        <v>0</v>
      </c>
      <c r="J6" s="1">
        <f t="shared" si="3"/>
        <v>0</v>
      </c>
      <c r="L6" s="1" t="e">
        <f>#REF!*1.15</f>
        <v>#REF!</v>
      </c>
      <c r="M6" s="1">
        <v>173.91309999999999</v>
      </c>
      <c r="N6" s="1" t="e">
        <f>#REF!*1.15</f>
        <v>#REF!</v>
      </c>
    </row>
    <row r="7" spans="1:14" ht="46.5">
      <c r="A7" s="1">
        <v>4</v>
      </c>
      <c r="B7" s="3" t="s">
        <v>767</v>
      </c>
      <c r="C7" s="1">
        <v>26.087</v>
      </c>
      <c r="D7" s="1">
        <f t="shared" si="0"/>
        <v>30.000049999999998</v>
      </c>
      <c r="E7" s="1">
        <v>26.087</v>
      </c>
      <c r="F7" s="1">
        <f t="shared" si="1"/>
        <v>30.000049999999998</v>
      </c>
      <c r="G7" s="1">
        <v>26.087</v>
      </c>
      <c r="H7" s="1">
        <f t="shared" si="2"/>
        <v>30.000049999999998</v>
      </c>
      <c r="I7" s="1">
        <v>26.087</v>
      </c>
      <c r="J7" s="1">
        <f t="shared" si="3"/>
        <v>30.000049999999998</v>
      </c>
      <c r="K7" s="1">
        <v>26.087</v>
      </c>
      <c r="L7" s="1" t="e">
        <f>#REF!*1.15</f>
        <v>#REF!</v>
      </c>
      <c r="M7" s="1">
        <v>26.087</v>
      </c>
      <c r="N7" s="1" t="e">
        <f>#REF!*1.15</f>
        <v>#REF!</v>
      </c>
    </row>
    <row r="8" spans="1:14" ht="77.5">
      <c r="A8" s="1">
        <v>5</v>
      </c>
      <c r="B8" s="3" t="s">
        <v>766</v>
      </c>
      <c r="C8" s="1">
        <v>173.91309999999999</v>
      </c>
      <c r="D8" s="1">
        <f t="shared" si="0"/>
        <v>200.00006499999998</v>
      </c>
      <c r="E8" s="1">
        <v>173.91309999999999</v>
      </c>
      <c r="F8" s="1">
        <f t="shared" si="1"/>
        <v>200.00006499999998</v>
      </c>
      <c r="G8" s="1">
        <v>173.91309999999999</v>
      </c>
      <c r="H8" s="1">
        <f t="shared" si="2"/>
        <v>200.00006499999998</v>
      </c>
      <c r="I8" s="1">
        <v>173.91309999999999</v>
      </c>
      <c r="J8" s="1">
        <f t="shared" si="3"/>
        <v>200.00006499999998</v>
      </c>
      <c r="K8" s="1">
        <v>173.91309999999999</v>
      </c>
      <c r="L8" s="1" t="e">
        <f>#REF!*1.15</f>
        <v>#REF!</v>
      </c>
      <c r="M8" s="1">
        <v>173.91309999999999</v>
      </c>
      <c r="N8" s="1" t="e">
        <f>#REF!*1.15</f>
        <v>#REF!</v>
      </c>
    </row>
    <row r="9" spans="1:14">
      <c r="B9" s="3"/>
      <c r="D9" s="1">
        <f t="shared" si="0"/>
        <v>0</v>
      </c>
      <c r="F9" s="1">
        <f t="shared" si="1"/>
        <v>0</v>
      </c>
      <c r="H9" s="1">
        <f t="shared" si="2"/>
        <v>0</v>
      </c>
      <c r="J9" s="1">
        <f t="shared" si="3"/>
        <v>0</v>
      </c>
      <c r="L9" s="1" t="e">
        <f>#REF!*1.15</f>
        <v>#REF!</v>
      </c>
      <c r="N9" s="1" t="e">
        <f>#REF!*1.15</f>
        <v>#REF!</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ورقة9"/>
  <dimension ref="A3:AF76"/>
  <sheetViews>
    <sheetView rightToLeft="1" workbookViewId="0"/>
  </sheetViews>
  <sheetFormatPr defaultRowHeight="15.5"/>
  <sheetData>
    <row r="3" spans="1:32">
      <c r="B3" s="733" t="s">
        <v>0</v>
      </c>
      <c r="C3" s="733"/>
      <c r="D3" s="733"/>
      <c r="E3" s="733"/>
      <c r="F3" s="733"/>
      <c r="G3" s="733"/>
    </row>
    <row r="4" spans="1:32">
      <c r="B4" s="114" t="s">
        <v>1</v>
      </c>
      <c r="C4" s="114" t="s">
        <v>2</v>
      </c>
      <c r="D4" s="114" t="s">
        <v>3</v>
      </c>
      <c r="E4" s="114" t="s">
        <v>4</v>
      </c>
      <c r="F4" s="114" t="s">
        <v>8</v>
      </c>
      <c r="G4" s="114" t="s">
        <v>12</v>
      </c>
    </row>
    <row r="5" spans="1:32">
      <c r="B5" s="115">
        <v>6</v>
      </c>
      <c r="C5" s="115"/>
      <c r="D5" s="115"/>
      <c r="E5" s="115"/>
      <c r="F5" s="1" t="s">
        <v>130</v>
      </c>
      <c r="G5" s="1">
        <v>10954135613</v>
      </c>
    </row>
    <row r="6" spans="1:32" ht="46.5">
      <c r="B6" s="116" t="s">
        <v>44</v>
      </c>
      <c r="C6" s="116" t="s">
        <v>14</v>
      </c>
      <c r="D6" s="116" t="s">
        <v>45</v>
      </c>
      <c r="E6" s="116" t="s">
        <v>46</v>
      </c>
      <c r="F6" s="116" t="s">
        <v>27</v>
      </c>
      <c r="G6" s="116" t="s">
        <v>9</v>
      </c>
      <c r="K6" s="130"/>
      <c r="AD6" s="117">
        <v>565000</v>
      </c>
      <c r="AE6" s="117">
        <v>1.1499999999999999</v>
      </c>
      <c r="AF6" s="117">
        <v>84750</v>
      </c>
    </row>
    <row r="7" spans="1:32">
      <c r="B7" s="1">
        <v>2000</v>
      </c>
      <c r="C7" s="1">
        <v>6000</v>
      </c>
      <c r="D7" s="1">
        <v>2000</v>
      </c>
      <c r="E7" s="1">
        <f>D7-C5</f>
        <v>2000</v>
      </c>
      <c r="F7" s="1">
        <v>103</v>
      </c>
      <c r="G7" s="1">
        <v>531427057</v>
      </c>
      <c r="AD7" s="113">
        <f>AD6/20</f>
        <v>28250</v>
      </c>
    </row>
    <row r="8" spans="1:32">
      <c r="B8" s="116" t="s">
        <v>50</v>
      </c>
      <c r="C8" s="118"/>
      <c r="D8" s="116" t="s">
        <v>264</v>
      </c>
      <c r="E8" s="115"/>
      <c r="F8" s="113" t="s">
        <v>132</v>
      </c>
      <c r="G8" s="113">
        <v>26</v>
      </c>
    </row>
    <row r="13" spans="1:32">
      <c r="B13" s="119" t="s">
        <v>168</v>
      </c>
      <c r="C13" s="120" t="s">
        <v>8</v>
      </c>
      <c r="D13" s="121" t="s">
        <v>12</v>
      </c>
      <c r="E13" s="121" t="s">
        <v>1</v>
      </c>
      <c r="F13" s="121" t="s">
        <v>27</v>
      </c>
      <c r="G13" s="121" t="s">
        <v>68</v>
      </c>
      <c r="H13" s="121" t="s">
        <v>72</v>
      </c>
      <c r="I13" s="121" t="s">
        <v>69</v>
      </c>
      <c r="J13" s="121" t="s">
        <v>26</v>
      </c>
      <c r="K13" s="121" t="s">
        <v>67</v>
      </c>
      <c r="L13" s="121" t="s">
        <v>70</v>
      </c>
      <c r="M13" s="121" t="s">
        <v>43</v>
      </c>
      <c r="N13" s="121" t="s">
        <v>73</v>
      </c>
      <c r="O13" s="122" t="s">
        <v>71</v>
      </c>
    </row>
    <row r="14" spans="1:32">
      <c r="A14" s="113">
        <v>1</v>
      </c>
      <c r="B14" s="1" t="e">
        <f t="array" ref="B14">_xlfn._xlws.FILTER(#REF!,(Home!F5=#REF!)*(#REF!=Home!B5)*(Home!G5=#REF!),0)</f>
        <v>#REF!</v>
      </c>
      <c r="G14" s="123"/>
      <c r="L14" s="123"/>
    </row>
    <row r="15" spans="1:32">
      <c r="A15" s="113">
        <v>2</v>
      </c>
      <c r="G15" s="123"/>
      <c r="L15" s="123"/>
    </row>
    <row r="16" spans="1:32">
      <c r="A16" s="113">
        <v>3</v>
      </c>
      <c r="G16" s="123"/>
      <c r="L16" s="123"/>
    </row>
    <row r="17" spans="1:12">
      <c r="A17" s="113">
        <v>4</v>
      </c>
      <c r="G17" s="123"/>
      <c r="L17" s="123"/>
    </row>
    <row r="18" spans="1:12">
      <c r="A18" s="113">
        <v>5</v>
      </c>
      <c r="G18" s="123"/>
      <c r="L18" s="123"/>
    </row>
    <row r="19" spans="1:12">
      <c r="A19" s="113">
        <v>6</v>
      </c>
      <c r="G19" s="123"/>
      <c r="L19" s="123"/>
    </row>
    <row r="20" spans="1:12">
      <c r="A20" s="113">
        <v>7</v>
      </c>
      <c r="G20" s="123"/>
      <c r="L20" s="123"/>
    </row>
    <row r="21" spans="1:12">
      <c r="A21" s="113">
        <v>8</v>
      </c>
      <c r="G21" s="123"/>
      <c r="L21" s="123"/>
    </row>
    <row r="22" spans="1:12">
      <c r="A22" s="113">
        <v>9</v>
      </c>
      <c r="G22" s="123"/>
      <c r="L22" s="123"/>
    </row>
    <row r="23" spans="1:12">
      <c r="A23" s="113">
        <v>10</v>
      </c>
      <c r="G23" s="123"/>
      <c r="L23" s="123"/>
    </row>
    <row r="24" spans="1:12">
      <c r="A24" s="113">
        <v>11</v>
      </c>
      <c r="G24" s="123"/>
      <c r="L24" s="123"/>
    </row>
    <row r="25" spans="1:12">
      <c r="A25" s="113">
        <v>12</v>
      </c>
      <c r="G25" s="123"/>
      <c r="L25" s="123"/>
    </row>
    <row r="26" spans="1:12">
      <c r="G26" s="123"/>
      <c r="L26" s="123"/>
    </row>
    <row r="27" spans="1:12">
      <c r="G27" s="123"/>
      <c r="L27" s="123"/>
    </row>
    <row r="28" spans="1:12">
      <c r="G28" s="123"/>
      <c r="L28" s="123"/>
    </row>
    <row r="29" spans="1:12">
      <c r="G29" s="123"/>
      <c r="L29" s="123"/>
    </row>
    <row r="30" spans="1:12">
      <c r="G30" s="123"/>
      <c r="L30" s="123"/>
    </row>
    <row r="31" spans="1:12">
      <c r="G31" s="123"/>
      <c r="L31" s="123"/>
    </row>
    <row r="32" spans="1:12">
      <c r="G32" s="123"/>
      <c r="L32" s="123"/>
    </row>
    <row r="33" spans="2:13">
      <c r="G33" s="123"/>
      <c r="L33" s="123"/>
    </row>
    <row r="34" spans="2:13">
      <c r="G34" s="123"/>
      <c r="L34" s="123"/>
    </row>
    <row r="35" spans="2:13">
      <c r="G35" s="123"/>
      <c r="L35" s="123"/>
    </row>
    <row r="36" spans="2:13">
      <c r="G36" s="123"/>
      <c r="L36" s="123"/>
    </row>
    <row r="37" spans="2:13">
      <c r="G37" s="123"/>
      <c r="L37" s="123"/>
    </row>
    <row r="38" spans="2:13">
      <c r="G38" s="123"/>
      <c r="L38" s="123"/>
    </row>
    <row r="39" spans="2:13">
      <c r="G39" s="123"/>
      <c r="L39" s="123"/>
    </row>
    <row r="40" spans="2:13">
      <c r="G40" s="123"/>
      <c r="L40" s="123"/>
    </row>
    <row r="41" spans="2:13" ht="20">
      <c r="B41" s="734" t="s">
        <v>133</v>
      </c>
      <c r="C41" s="734"/>
      <c r="D41" s="734"/>
      <c r="E41" s="734"/>
      <c r="F41" s="734"/>
      <c r="G41" s="735"/>
      <c r="H41" s="117"/>
      <c r="L41" s="123"/>
    </row>
    <row r="42" spans="2:13" ht="20">
      <c r="B42" s="125" t="s">
        <v>5</v>
      </c>
      <c r="C42" s="124" t="s">
        <v>134</v>
      </c>
      <c r="D42" s="126"/>
      <c r="E42" s="126"/>
      <c r="F42" s="126"/>
      <c r="G42" s="127"/>
      <c r="L42" s="123"/>
    </row>
    <row r="43" spans="2:13">
      <c r="B43" s="733">
        <v>1</v>
      </c>
      <c r="C43" s="733" t="s">
        <v>636</v>
      </c>
      <c r="D43" s="736" t="e" vm="1">
        <f ca="1">_xlfn.LET(
_xlpm.msgType,C43,
_xlpm.name,F5,
_xlpm.unit,B5,
_xlpm.contract,G5,
_xlpm.days,G8,
IF(_xlpm.msgType="دفع الايجار",
"مرحبا "&amp;_xlpm.name&amp;CHAR(10)&amp;CHAR(10)&amp;
"نود تذكيركم بموعد سداد الإيجار."&amp;CHAR(10)&amp;CHAR(10)&amp;
"طريقة دفع الإيجار:"&amp;CHAR(10)&amp;
"• الدخول إلى تطبيق البنك"&amp;CHAR(10)&amp;
"• سداد فاتورة (153 - إيجار)"&amp;CHAR(10)&amp;
"• رقم العقد: "&amp;_xlpm.contract&amp;CHAR(10)&amp;
"ثم إتمام عملية السداد."&amp;CHAR(10)&amp;CHAR(10)&amp;
"*الرجاء التأكد من صحة رقم العقد من خلال حسابكم في منصة إيجار قبل السداد*"&amp;CHAR(10)&amp;
"نأمل تزويدنا بالإيصال بعد السداد."&amp;CHAR(10)&amp;
"خالص التحيات."&amp;CHAR(10)&amp;CHAR(10)&amp;
"--------------------------------"&amp;CHAR(10)&amp;CHAR(10)&amp;
"Hello "&amp;_xlpm.name&amp;","&amp;CHAR(10)&amp;CHAR(10)&amp;
"This is a reminder that your rent payment is due."&amp;CHAR(10)&amp;CHAR(10)&amp;
"Payment method:"&amp;CHAR(10)&amp;
"• Log in to your bank application"&amp;CHAR(10)&amp;
"• Select bill payment (153 - Rent)"&amp;CHAR(10)&amp;
"• Contract number: "&amp;_xlpm.contract&amp;CHAR(10)&amp;
"Then complete the payment process."&amp;CHAR(10)&amp;CHAR(10)&amp;
"*Please make sure to verify the contract number through your account on the Ejar platform before making the payment*"&amp;CHAR(10)&amp;
"Kindly provide us with the payment receipt after completing the transfer."&amp;CHAR(10)&amp;
"Best regards.",
IF(_xlpm.msgType="موعد انتهاء العقد",
"السلام عليكم ورحمة الله وبركاته "&amp;CHAR(10)&amp;
"الأستاذ/ "&amp;_xlpm.name&amp;CHAR(10)&amp;CHAR(10)&amp;
IF(_xlpm.days&gt;0,
"نود إشعاركم بأن عقد الشقة "&amp;_xlpm.unit&amp;
" ينتهي بعد "&amp;_xlpm.days&amp;
IF(_xlpm.days=1," يوم."," أيام.")&amp;CHAR(10)&amp;
"نأمل التكرم بالتواصل معنا بخصوص التجديد قبل انتهاء المدة.",
IF(_xlpm.days=0,
"نود إشعاركم بأن اليوم هو آخر يوم في عقد الشقة "&amp;_xlpm.unit&amp;"."&amp;CHAR(10)&amp;
"يرجى التواصل معنا بشكل عاجل بخصوص التجديد.",
"نود إشعاركم بأن عقد الشقة "&amp;_xlpm.unit&amp;
" قد انتهى منذ "&amp;ABS(_xlpm.days)&amp;
IF(ABS(_xlpm.days)=1," يوم."," أيام.")&amp;"."&amp;CHAR(10)&amp;
"نأمل سرعة التواصل معنا لإكمال الإجراءات اللازمة."
)
)
&amp;CHAR(10)&amp;CHAR(10)&amp;
"شاكرين ومقدرين تعاونكم."&amp;CHAR(10)&amp;CHAR(10)&amp;
"--------------------------------"&amp;CHAR(10)&amp;CHAR(10)&amp;
"Peace be upon you,"&amp;CHAR(10)&amp;
"Mr./ "&amp;_xlpm.name&amp;CHAR(10)&amp;CHAR(10)&amp;
IF(_xlpm.days&gt;0,
"We would like to inform you that the lease contract for apartment "&amp;_xlpm.unit&amp;
" will expire in "&amp;_xlpm.days&amp;
IF(_xlpm.days=1," day."," days.")&amp;CHAR(10)&amp;
"Kindly contact us regarding renewal before the contract ends.",
IF(_xlpm.days=0,
"This is to inform you that today is the last day of the lease contract for apartment "&amp;_xlpm.unit&amp;"."&amp;CHAR(10)&amp;
"Please contact us urgently regarding renewal.",
"We would like to inform you that the lease contract for apartment "&amp;_xlpm.unit&amp;
" has expired "&amp;ABS(_xlpm.days)&amp;
IF(ABS(_xlpm.days)=1," day ago."," days ago.")&amp;CHAR(10)&amp;
"Kindly contact us as soon as possible to complete the necessary procedures."
)
)
&amp;CHAR(10)&amp;CHAR(10)&amp;
"Thank you for your cooperation.",
IF(_xlpm.msgType="إلغاء التجديد التلقائي",
"السلام عليكم ورحمة الله وبركاته،"&amp;CHAR(10)&amp;CHAR(10)&amp;
"الأستاذ/ "&amp;_xlpm.name&amp;CHAR(10)&amp;CHAR(10)&amp;
"نود تذكيركم بضرورة إلغاء خاصية التجديد التلقائي لعقد إيجار الوحدة "&amp;_xlpm.unit&amp;
" قبل انتهاء العقد بمدة لا تقل عن 60 يومًا، وذلك في حال عدم الرغبة في تجديد العقد، تفاديًا لتجديده تلقائيًا وخصم رسوم العقد."&amp;CHAR(10)&amp;CHAR(10)&amp;
"وفي حال كانت المدة المتبقية على انتهاء العقد أقل من 60 يومًا ولا توجد رغبة في التجديد، نأمل منكم التكرم بتقديم طلب إنهاء العقد بتاريخ الانتهاء الفعلي للعقد أو بتاريخ سابق له، وذلك لتجنب التجديد التلقائي وخصم الرسوم المترتبة."&amp;CHAR(10)&amp;CHAR(10)&amp;
"كما نود الإفادة بأن مبلغ التأمين يُستعاد خلال مدة لا تتجاوز 5 أيام عمل من تاريخ استلام الوحدة بعد التأكد من سلامتها."&amp;CHAR(10)&amp;CHAR(10)&amp;
"شاكرين ومقدّرين حسن تعاونكم،"&amp;CHAR(10)&amp;
"وتفضلوا بقبول فائق الاحترام."&amp;CHAR(10)&amp;CHAR(10)&amp;
"Peace be upon you and God’s mercy and blessings,"&amp;CHAR(10)&amp;CHAR(10)&amp;
_xlfn._LONGTEXT("We would like to remind you of the necessity to cancel the automatic renewal feature of the lease contract at least 60 days before the contract’s expiration date, in the event that you do not wish to renew the contract. This is to avoid automatic renewal ","and the deduction of contract renewal fees.")&amp;CHAR(10)&amp;CHAR(10)&amp;
_xlfn._LONGTEXT("If the remaining period until the contract’s expiration is less than 60 days and you do not wish to renew, kindly submit a request to terminate the contract effective on the actual expiration date or an earlier date, in order to avoid automatic renewal an","d the associated fees.")&amp;CHAR(10)&amp;CHAR(10)&amp;
"Please note that the security deposit will be refunded within no more than 5 business days from the date the unit is handed over, after confirming that it is in good condition."&amp;CHAR(10)&amp;CHAR(10)&amp;
"Thank you for your cooperation,"&amp;CHAR(10)&amp;
"With our sincere appreciation and best regards.",
"")
)
))</f>
        <v>#NAME?</v>
      </c>
      <c r="E43" s="736"/>
      <c r="F43" s="128"/>
      <c r="G43" s="129"/>
      <c r="J43" s="128"/>
      <c r="K43" s="128"/>
      <c r="L43" s="123"/>
      <c r="M43" s="128"/>
    </row>
    <row r="44" spans="2:13">
      <c r="B44" s="733"/>
      <c r="C44" s="733"/>
      <c r="D44" s="736"/>
      <c r="E44" s="736"/>
      <c r="F44" s="128"/>
      <c r="G44" s="128"/>
      <c r="J44" s="128"/>
      <c r="K44" s="128"/>
      <c r="M44" s="128"/>
    </row>
    <row r="45" spans="2:13">
      <c r="B45" s="733"/>
      <c r="C45" s="733"/>
      <c r="D45" s="736"/>
      <c r="E45" s="736"/>
      <c r="F45" s="128"/>
      <c r="G45" s="128"/>
      <c r="J45" s="128"/>
      <c r="K45" s="128"/>
      <c r="M45" s="128"/>
    </row>
    <row r="46" spans="2:13">
      <c r="B46" s="733"/>
      <c r="C46" s="733"/>
      <c r="D46" s="736"/>
      <c r="E46" s="736"/>
      <c r="F46" s="128"/>
      <c r="G46" s="128"/>
      <c r="J46" s="128"/>
      <c r="K46" s="128"/>
      <c r="M46" s="128"/>
    </row>
    <row r="47" spans="2:13">
      <c r="B47" s="733"/>
      <c r="C47" s="733"/>
      <c r="D47" s="736"/>
      <c r="E47" s="736"/>
      <c r="F47" s="128"/>
      <c r="G47" s="128"/>
      <c r="J47" s="128"/>
      <c r="K47" s="128"/>
      <c r="M47" s="128"/>
    </row>
    <row r="48" spans="2:13">
      <c r="B48" s="733"/>
      <c r="C48" s="733"/>
      <c r="D48" s="736"/>
      <c r="E48" s="736"/>
      <c r="F48" s="128"/>
      <c r="G48" s="128"/>
      <c r="J48" s="128"/>
      <c r="K48" s="128"/>
      <c r="M48" s="128"/>
    </row>
    <row r="49" spans="2:13">
      <c r="B49" s="733"/>
      <c r="C49" s="733"/>
      <c r="D49" s="736"/>
      <c r="E49" s="736"/>
      <c r="F49" s="128"/>
      <c r="G49" s="128"/>
      <c r="J49" s="128"/>
      <c r="K49" s="128"/>
      <c r="M49" s="128"/>
    </row>
    <row r="50" spans="2:13">
      <c r="B50" s="733"/>
      <c r="C50" s="733"/>
      <c r="D50" s="736"/>
      <c r="E50" s="736"/>
      <c r="F50" s="128"/>
      <c r="G50" s="128"/>
      <c r="J50" s="128"/>
      <c r="K50" s="128"/>
      <c r="M50" s="128"/>
    </row>
    <row r="51" spans="2:13">
      <c r="B51" s="733"/>
      <c r="C51" s="733"/>
      <c r="D51" s="736"/>
      <c r="E51" s="736"/>
      <c r="F51" s="128"/>
      <c r="G51" s="128"/>
      <c r="M51" s="128"/>
    </row>
    <row r="52" spans="2:13">
      <c r="B52" s="733"/>
      <c r="C52" s="733"/>
      <c r="D52" s="736"/>
      <c r="E52" s="736"/>
    </row>
    <row r="53" spans="2:13">
      <c r="D53" s="736"/>
      <c r="E53" s="736"/>
    </row>
    <row r="54" spans="2:13">
      <c r="D54" s="736"/>
      <c r="E54" s="736"/>
    </row>
    <row r="55" spans="2:13">
      <c r="D55" s="736"/>
      <c r="E55" s="736"/>
    </row>
    <row r="56" spans="2:13">
      <c r="D56" s="736"/>
      <c r="E56" s="736"/>
    </row>
    <row r="57" spans="2:13">
      <c r="D57" s="736"/>
      <c r="E57" s="736"/>
    </row>
    <row r="58" spans="2:13">
      <c r="D58" s="736"/>
      <c r="E58" s="736"/>
    </row>
    <row r="59" spans="2:13">
      <c r="D59" s="736"/>
      <c r="E59" s="736"/>
    </row>
    <row r="60" spans="2:13">
      <c r="D60" s="736"/>
      <c r="E60" s="736"/>
    </row>
    <row r="61" spans="2:13">
      <c r="D61" s="736"/>
      <c r="E61" s="736"/>
    </row>
    <row r="62" spans="2:13">
      <c r="D62" s="736"/>
      <c r="E62" s="736"/>
    </row>
    <row r="63" spans="2:13">
      <c r="D63" s="736"/>
      <c r="E63" s="736"/>
    </row>
    <row r="64" spans="2:13">
      <c r="D64" s="736"/>
      <c r="E64" s="736"/>
    </row>
    <row r="65" spans="4:5">
      <c r="D65" s="736"/>
      <c r="E65" s="736"/>
    </row>
    <row r="66" spans="4:5">
      <c r="D66" s="736"/>
      <c r="E66" s="736"/>
    </row>
    <row r="67" spans="4:5">
      <c r="D67" s="736"/>
      <c r="E67" s="736"/>
    </row>
    <row r="68" spans="4:5">
      <c r="D68" s="736"/>
      <c r="E68" s="736"/>
    </row>
    <row r="69" spans="4:5">
      <c r="D69" s="736"/>
      <c r="E69" s="736"/>
    </row>
    <row r="70" spans="4:5">
      <c r="D70" s="736"/>
      <c r="E70" s="736"/>
    </row>
    <row r="71" spans="4:5">
      <c r="D71" s="736"/>
      <c r="E71" s="736"/>
    </row>
    <row r="72" spans="4:5">
      <c r="D72" s="736"/>
      <c r="E72" s="736"/>
    </row>
    <row r="73" spans="4:5">
      <c r="D73" s="736"/>
      <c r="E73" s="736"/>
    </row>
    <row r="74" spans="4:5">
      <c r="D74" s="736"/>
      <c r="E74" s="736"/>
    </row>
    <row r="75" spans="4:5">
      <c r="D75" s="736"/>
      <c r="E75" s="736"/>
    </row>
    <row r="76" spans="4:5">
      <c r="D76" s="736"/>
      <c r="E76" s="73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ورقة11"/>
  <dimension ref="B6:C10"/>
  <sheetViews>
    <sheetView rightToLeft="1" workbookViewId="0"/>
  </sheetViews>
  <sheetFormatPr defaultRowHeight="15.5"/>
  <sheetData>
    <row r="6" spans="2:3">
      <c r="B6" t="s">
        <v>5</v>
      </c>
      <c r="C6" t="s">
        <v>51</v>
      </c>
    </row>
    <row r="7" spans="2:3">
      <c r="B7">
        <v>1</v>
      </c>
      <c r="C7" t="s">
        <v>969</v>
      </c>
    </row>
    <row r="8" spans="2:3">
      <c r="C8" t="s">
        <v>970</v>
      </c>
    </row>
    <row r="9" spans="2:3">
      <c r="C9" t="s">
        <v>971</v>
      </c>
    </row>
    <row r="10" spans="2:3">
      <c r="C10" t="s">
        <v>972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ورقة12"/>
  <dimension ref="B1:BD333"/>
  <sheetViews>
    <sheetView rightToLeft="1" workbookViewId="0"/>
  </sheetViews>
  <sheetFormatPr defaultRowHeight="15.5"/>
  <sheetData>
    <row r="1" spans="2:56">
      <c r="AL1" s="1"/>
      <c r="BD1" s="1"/>
    </row>
    <row r="2" spans="2:56">
      <c r="E2" s="626" t="s">
        <v>953</v>
      </c>
      <c r="F2" s="626"/>
      <c r="G2" s="626"/>
      <c r="H2" s="626"/>
      <c r="I2" s="626" t="s">
        <v>954</v>
      </c>
      <c r="J2" s="627" t="s">
        <v>271</v>
      </c>
      <c r="K2" s="628" t="e">
        <f>SUMIFS(#REF!,#REF!,#REF!,#REF!,J2,#REF!,0)</f>
        <v>#REF!</v>
      </c>
      <c r="L2" s="626" t="s">
        <v>118</v>
      </c>
      <c r="M2" s="628" t="e">
        <f>SUMIFS(#REF!,#REF!,#REF!,#REF!,J2,#REF!,0,#REF!,103)</f>
        <v>#REF!</v>
      </c>
      <c r="N2" s="626" t="s">
        <v>283</v>
      </c>
      <c r="O2" s="628" t="e">
        <f>SUMIFS(#REF!,#REF!,#REF!,#REF!,J2,#REF!,0,#REF!,102)</f>
        <v>#REF!</v>
      </c>
      <c r="V2" s="740" t="s">
        <v>955</v>
      </c>
      <c r="W2" s="740"/>
      <c r="X2" s="740"/>
      <c r="Y2" s="740"/>
      <c r="Z2" s="740"/>
      <c r="AA2" s="740"/>
      <c r="AB2" s="740"/>
      <c r="AC2" s="740"/>
      <c r="AD2" s="740"/>
      <c r="AE2" s="740"/>
      <c r="AF2" s="740"/>
      <c r="AG2" s="740"/>
      <c r="AH2" s="740"/>
      <c r="AI2" s="740"/>
      <c r="AJ2" s="740"/>
      <c r="AK2" s="741"/>
      <c r="AM2" s="742" t="s">
        <v>956</v>
      </c>
      <c r="AN2" s="740"/>
      <c r="AO2" s="740"/>
      <c r="AP2" s="740"/>
      <c r="AQ2" s="740"/>
      <c r="AR2" s="740"/>
      <c r="AS2" s="740"/>
      <c r="AT2" s="740"/>
      <c r="AU2" s="740"/>
      <c r="AV2" s="740"/>
      <c r="AW2" s="740"/>
      <c r="AX2" s="740"/>
      <c r="AY2" s="740"/>
      <c r="AZ2" s="740"/>
      <c r="BA2" s="740"/>
      <c r="BB2" s="741"/>
    </row>
    <row r="3" spans="2:56">
      <c r="AL3" s="1"/>
      <c r="BD3" s="1"/>
    </row>
    <row r="4" spans="2:56">
      <c r="B4" s="294" t="s">
        <v>168</v>
      </c>
      <c r="C4" s="53" t="s">
        <v>12</v>
      </c>
      <c r="D4" s="53" t="s">
        <v>1</v>
      </c>
      <c r="E4" s="53" t="s">
        <v>8</v>
      </c>
      <c r="F4" s="53" t="s">
        <v>27</v>
      </c>
      <c r="G4" s="53" t="s">
        <v>957</v>
      </c>
      <c r="H4" s="53" t="s">
        <v>50</v>
      </c>
      <c r="I4" s="53" t="s">
        <v>67</v>
      </c>
      <c r="J4" s="69" t="s">
        <v>70</v>
      </c>
      <c r="K4" s="53" t="s">
        <v>961</v>
      </c>
      <c r="L4" s="53" t="s">
        <v>799</v>
      </c>
      <c r="M4" s="53" t="s">
        <v>62</v>
      </c>
      <c r="N4" s="53" t="s">
        <v>71</v>
      </c>
      <c r="O4" s="53" t="s">
        <v>72</v>
      </c>
      <c r="P4" s="54" t="s">
        <v>264</v>
      </c>
      <c r="Q4" s="657" t="s">
        <v>962</v>
      </c>
      <c r="V4" s="53" t="s">
        <v>168</v>
      </c>
      <c r="W4" s="53" t="s">
        <v>12</v>
      </c>
      <c r="X4" s="53" t="s">
        <v>169</v>
      </c>
      <c r="Y4" s="53" t="s">
        <v>47</v>
      </c>
      <c r="Z4" s="53" t="s">
        <v>282</v>
      </c>
      <c r="AA4" s="53" t="s">
        <v>589</v>
      </c>
      <c r="AB4" s="53" t="s">
        <v>957</v>
      </c>
      <c r="AC4" s="53" t="s">
        <v>50</v>
      </c>
      <c r="AD4" s="53" t="s">
        <v>42</v>
      </c>
      <c r="AE4" s="53" t="s">
        <v>958</v>
      </c>
      <c r="AF4" s="53" t="s">
        <v>27</v>
      </c>
      <c r="AG4" s="53" t="s">
        <v>959</v>
      </c>
      <c r="AH4" s="53" t="s">
        <v>62</v>
      </c>
      <c r="AI4" s="53" t="s">
        <v>71</v>
      </c>
      <c r="AJ4" s="53" t="s">
        <v>57</v>
      </c>
      <c r="AK4" s="53" t="s">
        <v>960</v>
      </c>
      <c r="AM4" s="53" t="s">
        <v>168</v>
      </c>
      <c r="AN4" s="53" t="s">
        <v>12</v>
      </c>
      <c r="AO4" s="53" t="s">
        <v>169</v>
      </c>
      <c r="AP4" s="53" t="s">
        <v>47</v>
      </c>
      <c r="AQ4" s="53" t="s">
        <v>282</v>
      </c>
      <c r="AR4" s="53" t="s">
        <v>589</v>
      </c>
      <c r="AS4" s="53" t="s">
        <v>957</v>
      </c>
      <c r="AT4" s="53" t="s">
        <v>50</v>
      </c>
      <c r="AU4" s="53" t="s">
        <v>42</v>
      </c>
      <c r="AV4" s="69" t="s">
        <v>958</v>
      </c>
      <c r="AW4" s="53" t="s">
        <v>27</v>
      </c>
      <c r="AX4" s="53" t="s">
        <v>959</v>
      </c>
      <c r="AY4" s="53" t="s">
        <v>62</v>
      </c>
      <c r="AZ4" s="53" t="s">
        <v>71</v>
      </c>
      <c r="BA4" s="53" t="s">
        <v>57</v>
      </c>
    </row>
    <row r="5" spans="2:56" ht="17.5">
      <c r="B5" s="629"/>
      <c r="C5" s="4">
        <v>10509420651</v>
      </c>
      <c r="D5" s="57" t="s">
        <v>896</v>
      </c>
      <c r="E5" s="57" t="s">
        <v>898</v>
      </c>
      <c r="F5" s="57" t="s">
        <v>896</v>
      </c>
      <c r="G5" s="57"/>
      <c r="H5" s="57"/>
      <c r="I5" s="57">
        <v>70000</v>
      </c>
      <c r="J5" s="58">
        <v>46204</v>
      </c>
      <c r="K5" s="57"/>
      <c r="L5" s="58"/>
      <c r="M5" s="57"/>
      <c r="N5" s="57"/>
      <c r="O5" s="57" t="s">
        <v>276</v>
      </c>
      <c r="P5" s="59">
        <v>70000</v>
      </c>
      <c r="Q5" s="658">
        <v>39</v>
      </c>
      <c r="V5" s="1" t="e">
        <f t="array" ref="V5:AK19">_xlfn._xlws.FILTER(#REF!,(#REF!&gt;#REF!)*(#REF!&gt;#REF!))</f>
        <v>#REF!</v>
      </c>
      <c r="W5" s="1" t="e">
        <v>#REF!</v>
      </c>
      <c r="X5" s="1" t="e">
        <v>#REF!</v>
      </c>
      <c r="Y5" s="1" t="e">
        <v>#REF!</v>
      </c>
      <c r="Z5" s="1" t="e">
        <v>#REF!</v>
      </c>
      <c r="AA5" s="1" t="e">
        <v>#REF!</v>
      </c>
      <c r="AB5" s="1" t="e">
        <v>#REF!</v>
      </c>
      <c r="AC5" s="2" t="e">
        <v>#REF!</v>
      </c>
      <c r="AD5" s="1" t="e">
        <v>#REF!</v>
      </c>
      <c r="AE5" s="1" t="e">
        <v>#REF!</v>
      </c>
      <c r="AF5" s="1" t="e">
        <v>#REF!</v>
      </c>
      <c r="AG5" s="1" t="e">
        <v>#REF!</v>
      </c>
      <c r="AH5" s="1" t="e">
        <v>#REF!</v>
      </c>
      <c r="AI5" s="1" t="e">
        <v>#REF!</v>
      </c>
      <c r="AJ5" s="1" t="e">
        <v>#REF!</v>
      </c>
      <c r="AK5" s="1" t="e">
        <v>#REF!</v>
      </c>
      <c r="AM5" s="1" t="e">
        <f t="array" ref="AM5:BB333">_xlfn._xlws.FILTER(#REF!,(#REF!&lt;=0))</f>
        <v>#REF!</v>
      </c>
      <c r="AN5" s="1" t="e">
        <v>#REF!</v>
      </c>
      <c r="AO5" s="1" t="e">
        <v>#REF!</v>
      </c>
      <c r="AP5" s="1" t="e">
        <v>#REF!</v>
      </c>
      <c r="AQ5" s="1" t="e">
        <v>#REF!</v>
      </c>
      <c r="AR5" s="1" t="e">
        <v>#REF!</v>
      </c>
      <c r="AS5" s="1" t="e">
        <v>#REF!</v>
      </c>
      <c r="AT5" s="1" t="e">
        <v>#REF!</v>
      </c>
      <c r="AU5" s="1" t="e">
        <v>#REF!</v>
      </c>
      <c r="AV5" s="2" t="e">
        <v>#REF!</v>
      </c>
      <c r="AW5" s="1" t="e">
        <v>#REF!</v>
      </c>
      <c r="AX5" s="1" t="e">
        <v>#REF!</v>
      </c>
      <c r="AY5" s="1" t="e">
        <v>#REF!</v>
      </c>
      <c r="AZ5" s="1" t="e">
        <v>#REF!</v>
      </c>
      <c r="BA5" s="1" t="e">
        <v>#REF!</v>
      </c>
      <c r="BB5" s="1" t="e">
        <v>#REF!</v>
      </c>
    </row>
    <row r="6" spans="2:56" ht="17.5">
      <c r="B6" s="629"/>
      <c r="C6" s="4">
        <v>10855099232</v>
      </c>
      <c r="D6" s="629" t="s">
        <v>897</v>
      </c>
      <c r="E6" s="629" t="s">
        <v>899</v>
      </c>
      <c r="F6" s="629" t="s">
        <v>897</v>
      </c>
      <c r="G6" s="629"/>
      <c r="H6" s="629"/>
      <c r="I6" s="629">
        <v>80000</v>
      </c>
      <c r="J6" s="630">
        <v>46208</v>
      </c>
      <c r="K6" s="629"/>
      <c r="L6" s="630"/>
      <c r="M6" s="629"/>
      <c r="N6" s="629"/>
      <c r="O6" s="629" t="s">
        <v>276</v>
      </c>
      <c r="P6" s="63">
        <v>80000</v>
      </c>
      <c r="Q6" s="658">
        <v>49</v>
      </c>
      <c r="V6" s="1" t="e">
        <v>#REF!</v>
      </c>
      <c r="W6" s="1" t="e">
        <v>#REF!</v>
      </c>
      <c r="X6" s="1" t="e">
        <v>#REF!</v>
      </c>
      <c r="Y6" s="1" t="e">
        <v>#REF!</v>
      </c>
      <c r="Z6" s="1" t="e">
        <v>#REF!</v>
      </c>
      <c r="AA6" s="1" t="e">
        <v>#REF!</v>
      </c>
      <c r="AB6" s="1" t="e">
        <v>#REF!</v>
      </c>
      <c r="AC6" s="2" t="e">
        <v>#REF!</v>
      </c>
      <c r="AD6" s="1" t="e">
        <v>#REF!</v>
      </c>
      <c r="AE6" s="1" t="e">
        <v>#REF!</v>
      </c>
      <c r="AF6" s="1" t="e">
        <v>#REF!</v>
      </c>
      <c r="AG6" s="1" t="e">
        <v>#REF!</v>
      </c>
      <c r="AH6" s="1" t="e">
        <v>#REF!</v>
      </c>
      <c r="AI6" s="1" t="e">
        <v>#REF!</v>
      </c>
      <c r="AJ6" s="1" t="e">
        <v>#REF!</v>
      </c>
      <c r="AK6" s="1" t="e">
        <v>#REF!</v>
      </c>
      <c r="AM6" s="1" t="e">
        <v>#REF!</v>
      </c>
      <c r="AN6" s="1" t="e">
        <v>#REF!</v>
      </c>
      <c r="AO6" s="1" t="e">
        <v>#REF!</v>
      </c>
      <c r="AP6" s="1" t="e">
        <v>#REF!</v>
      </c>
      <c r="AQ6" s="1" t="e">
        <v>#REF!</v>
      </c>
      <c r="AR6" s="1" t="e">
        <v>#REF!</v>
      </c>
      <c r="AS6" s="1" t="e">
        <v>#REF!</v>
      </c>
      <c r="AT6" s="1" t="e">
        <v>#REF!</v>
      </c>
      <c r="AU6" s="1" t="e">
        <v>#REF!</v>
      </c>
      <c r="AV6" s="2" t="e">
        <v>#REF!</v>
      </c>
      <c r="AW6" s="1" t="e">
        <v>#REF!</v>
      </c>
      <c r="AX6" s="1" t="e">
        <v>#REF!</v>
      </c>
      <c r="AY6" s="1" t="e">
        <v>#REF!</v>
      </c>
      <c r="AZ6" s="1" t="e">
        <v>#REF!</v>
      </c>
      <c r="BA6" s="1" t="e">
        <v>#REF!</v>
      </c>
      <c r="BB6" s="1" t="e">
        <v>#REF!</v>
      </c>
    </row>
    <row r="7" spans="2:56" ht="17.5">
      <c r="B7" s="629"/>
      <c r="C7" s="4">
        <v>10727655349</v>
      </c>
      <c r="D7" s="629" t="s">
        <v>31</v>
      </c>
      <c r="E7" s="4" t="s">
        <v>900</v>
      </c>
      <c r="F7" s="629" t="s">
        <v>896</v>
      </c>
      <c r="G7" s="629"/>
      <c r="H7" s="629"/>
      <c r="I7" s="629">
        <v>2000</v>
      </c>
      <c r="J7" s="630">
        <v>46252</v>
      </c>
      <c r="K7" s="629"/>
      <c r="L7" s="630"/>
      <c r="M7" s="629"/>
      <c r="N7" s="629"/>
      <c r="O7" s="629" t="s">
        <v>277</v>
      </c>
      <c r="P7" s="63">
        <v>2000</v>
      </c>
      <c r="Q7" s="658">
        <v>59</v>
      </c>
      <c r="V7" s="1" t="e">
        <v>#REF!</v>
      </c>
      <c r="W7" s="1" t="e">
        <v>#REF!</v>
      </c>
      <c r="X7" s="1" t="e">
        <v>#REF!</v>
      </c>
      <c r="Y7" s="1" t="e">
        <v>#REF!</v>
      </c>
      <c r="Z7" s="1" t="e">
        <v>#REF!</v>
      </c>
      <c r="AA7" s="1" t="e">
        <v>#REF!</v>
      </c>
      <c r="AB7" s="1" t="e">
        <v>#REF!</v>
      </c>
      <c r="AC7" s="2" t="e">
        <v>#REF!</v>
      </c>
      <c r="AD7" s="1" t="e">
        <v>#REF!</v>
      </c>
      <c r="AE7" s="1" t="e">
        <v>#REF!</v>
      </c>
      <c r="AF7" s="1" t="e">
        <v>#REF!</v>
      </c>
      <c r="AG7" s="1" t="e">
        <v>#REF!</v>
      </c>
      <c r="AH7" s="1" t="e">
        <v>#REF!</v>
      </c>
      <c r="AI7" s="1" t="e">
        <v>#REF!</v>
      </c>
      <c r="AJ7" s="1" t="e">
        <v>#REF!</v>
      </c>
      <c r="AK7" s="1" t="e">
        <v>#REF!</v>
      </c>
      <c r="AM7" s="1" t="e">
        <v>#REF!</v>
      </c>
      <c r="AN7" s="1" t="e">
        <v>#REF!</v>
      </c>
      <c r="AO7" s="1" t="e">
        <v>#REF!</v>
      </c>
      <c r="AP7" s="1" t="e">
        <v>#REF!</v>
      </c>
      <c r="AQ7" s="1" t="e">
        <v>#REF!</v>
      </c>
      <c r="AR7" s="1" t="e">
        <v>#REF!</v>
      </c>
      <c r="AS7" s="1" t="e">
        <v>#REF!</v>
      </c>
      <c r="AT7" s="1" t="e">
        <v>#REF!</v>
      </c>
      <c r="AU7" s="1" t="e">
        <v>#REF!</v>
      </c>
      <c r="AV7" s="2" t="e">
        <v>#REF!</v>
      </c>
      <c r="AW7" s="1" t="e">
        <v>#REF!</v>
      </c>
      <c r="AX7" s="1" t="e">
        <v>#REF!</v>
      </c>
      <c r="AY7" s="1" t="e">
        <v>#REF!</v>
      </c>
      <c r="AZ7" s="1" t="e">
        <v>#REF!</v>
      </c>
      <c r="BA7" s="1" t="e">
        <v>#REF!</v>
      </c>
      <c r="BB7" s="1" t="e">
        <v>#REF!</v>
      </c>
    </row>
    <row r="8" spans="2:56" ht="17.5">
      <c r="B8" s="629"/>
      <c r="C8" s="4">
        <v>10727655349</v>
      </c>
      <c r="D8" s="629" t="s">
        <v>31</v>
      </c>
      <c r="E8" s="629" t="s">
        <v>900</v>
      </c>
      <c r="F8" s="629" t="s">
        <v>896</v>
      </c>
      <c r="G8" s="629"/>
      <c r="H8" s="629"/>
      <c r="I8" s="629">
        <v>2000</v>
      </c>
      <c r="J8" s="630">
        <v>46281</v>
      </c>
      <c r="K8" s="629"/>
      <c r="L8" s="630"/>
      <c r="M8" s="629"/>
      <c r="N8" s="629"/>
      <c r="O8" s="629" t="s">
        <v>328</v>
      </c>
      <c r="P8" s="63">
        <v>2000</v>
      </c>
      <c r="Q8" s="91">
        <v>60</v>
      </c>
      <c r="V8" s="1" t="e">
        <v>#REF!</v>
      </c>
      <c r="W8" s="1" t="e">
        <v>#REF!</v>
      </c>
      <c r="X8" s="1" t="e">
        <v>#REF!</v>
      </c>
      <c r="Y8" s="1" t="e">
        <v>#REF!</v>
      </c>
      <c r="Z8" s="1" t="e">
        <v>#REF!</v>
      </c>
      <c r="AA8" s="1" t="e">
        <v>#REF!</v>
      </c>
      <c r="AB8" s="1" t="e">
        <v>#REF!</v>
      </c>
      <c r="AC8" s="2" t="e">
        <v>#REF!</v>
      </c>
      <c r="AD8" s="1" t="e">
        <v>#REF!</v>
      </c>
      <c r="AE8" s="1" t="e">
        <v>#REF!</v>
      </c>
      <c r="AF8" s="1" t="e">
        <v>#REF!</v>
      </c>
      <c r="AG8" s="1" t="e">
        <v>#REF!</v>
      </c>
      <c r="AH8" s="1" t="e">
        <v>#REF!</v>
      </c>
      <c r="AI8" s="1" t="e">
        <v>#REF!</v>
      </c>
      <c r="AJ8" s="1" t="e">
        <v>#REF!</v>
      </c>
      <c r="AK8" s="1" t="e">
        <v>#REF!</v>
      </c>
      <c r="AM8" s="1" t="e">
        <v>#REF!</v>
      </c>
      <c r="AN8" s="1" t="e">
        <v>#REF!</v>
      </c>
      <c r="AO8" s="1" t="e">
        <v>#REF!</v>
      </c>
      <c r="AP8" s="1" t="e">
        <v>#REF!</v>
      </c>
      <c r="AQ8" s="1" t="e">
        <v>#REF!</v>
      </c>
      <c r="AR8" s="1" t="e">
        <v>#REF!</v>
      </c>
      <c r="AS8" s="1" t="e">
        <v>#REF!</v>
      </c>
      <c r="AT8" s="2" t="e">
        <v>#REF!</v>
      </c>
      <c r="AU8" s="1" t="e">
        <v>#REF!</v>
      </c>
      <c r="AV8" s="2" t="e">
        <v>#REF!</v>
      </c>
      <c r="AW8" s="1" t="e">
        <v>#REF!</v>
      </c>
      <c r="AX8" s="1" t="e">
        <v>#REF!</v>
      </c>
      <c r="AY8" s="1" t="e">
        <v>#REF!</v>
      </c>
      <c r="AZ8" s="1" t="e">
        <v>#REF!</v>
      </c>
      <c r="BA8" s="1" t="e">
        <v>#REF!</v>
      </c>
      <c r="BB8" s="1" t="e">
        <v>#REF!</v>
      </c>
    </row>
    <row r="9" spans="2:56" ht="17.5">
      <c r="B9" s="629"/>
      <c r="C9" s="61">
        <v>10843479317</v>
      </c>
      <c r="D9" s="629" t="s">
        <v>30</v>
      </c>
      <c r="E9" s="629" t="s">
        <v>921</v>
      </c>
      <c r="F9" s="629" t="s">
        <v>896</v>
      </c>
      <c r="G9" s="629"/>
      <c r="H9" s="629"/>
      <c r="I9" s="629">
        <v>2000</v>
      </c>
      <c r="J9" s="630">
        <v>46255</v>
      </c>
      <c r="K9" s="629"/>
      <c r="L9" s="630"/>
      <c r="M9" s="629"/>
      <c r="N9" s="629"/>
      <c r="O9" s="629" t="s">
        <v>277</v>
      </c>
      <c r="P9" s="63">
        <v>2000</v>
      </c>
      <c r="Q9" s="91">
        <v>95</v>
      </c>
      <c r="V9" s="1" t="e">
        <v>#REF!</v>
      </c>
      <c r="W9" s="1" t="e">
        <v>#REF!</v>
      </c>
      <c r="X9" s="1" t="e">
        <v>#REF!</v>
      </c>
      <c r="Y9" s="1" t="e">
        <v>#REF!</v>
      </c>
      <c r="Z9" s="1" t="e">
        <v>#REF!</v>
      </c>
      <c r="AA9" s="1" t="e">
        <v>#REF!</v>
      </c>
      <c r="AB9" s="1" t="e">
        <v>#REF!</v>
      </c>
      <c r="AC9" s="2" t="e">
        <v>#REF!</v>
      </c>
      <c r="AD9" s="1" t="e">
        <v>#REF!</v>
      </c>
      <c r="AE9" s="1" t="e">
        <v>#REF!</v>
      </c>
      <c r="AF9" s="1" t="e">
        <v>#REF!</v>
      </c>
      <c r="AG9" s="1" t="e">
        <v>#REF!</v>
      </c>
      <c r="AH9" s="1" t="e">
        <v>#REF!</v>
      </c>
      <c r="AI9" s="1" t="e">
        <v>#REF!</v>
      </c>
      <c r="AJ9" s="1" t="e">
        <v>#REF!</v>
      </c>
      <c r="AK9" s="1" t="e">
        <v>#REF!</v>
      </c>
      <c r="AM9" s="1" t="e">
        <v>#REF!</v>
      </c>
      <c r="AN9" s="1" t="e">
        <v>#REF!</v>
      </c>
      <c r="AO9" s="1" t="e">
        <v>#REF!</v>
      </c>
      <c r="AP9" s="1" t="e">
        <v>#REF!</v>
      </c>
      <c r="AQ9" s="1" t="e">
        <v>#REF!</v>
      </c>
      <c r="AR9" s="1" t="e">
        <v>#REF!</v>
      </c>
      <c r="AS9" s="1" t="e">
        <v>#REF!</v>
      </c>
      <c r="AT9" s="2" t="e">
        <v>#REF!</v>
      </c>
      <c r="AU9" s="1" t="e">
        <v>#REF!</v>
      </c>
      <c r="AV9" s="2" t="e">
        <v>#REF!</v>
      </c>
      <c r="AW9" s="1" t="e">
        <v>#REF!</v>
      </c>
      <c r="AX9" s="1" t="e">
        <v>#REF!</v>
      </c>
      <c r="AY9" s="1" t="e">
        <v>#REF!</v>
      </c>
      <c r="AZ9" s="1" t="e">
        <v>#REF!</v>
      </c>
      <c r="BA9" s="1" t="e">
        <v>#REF!</v>
      </c>
      <c r="BB9" s="1" t="e">
        <v>#REF!</v>
      </c>
    </row>
    <row r="10" spans="2:56" ht="17.5">
      <c r="B10" s="629"/>
      <c r="C10" s="4">
        <v>10248740301</v>
      </c>
      <c r="D10" s="629" t="s">
        <v>38</v>
      </c>
      <c r="E10" s="629" t="s">
        <v>902</v>
      </c>
      <c r="F10" s="629" t="s">
        <v>896</v>
      </c>
      <c r="G10" s="629"/>
      <c r="H10" s="629"/>
      <c r="I10" s="629">
        <v>2800</v>
      </c>
      <c r="J10" s="630">
        <v>46254</v>
      </c>
      <c r="K10" s="629"/>
      <c r="L10" s="630"/>
      <c r="M10" s="629"/>
      <c r="N10" s="629"/>
      <c r="O10" s="629" t="s">
        <v>277</v>
      </c>
      <c r="P10" s="63">
        <v>2800</v>
      </c>
      <c r="Q10" s="91">
        <v>96</v>
      </c>
      <c r="V10" s="1" t="e">
        <v>#REF!</v>
      </c>
      <c r="W10" s="1" t="e">
        <v>#REF!</v>
      </c>
      <c r="X10" s="1" t="e">
        <v>#REF!</v>
      </c>
      <c r="Y10" s="1" t="e">
        <v>#REF!</v>
      </c>
      <c r="Z10" s="1" t="e">
        <v>#REF!</v>
      </c>
      <c r="AA10" s="1" t="e">
        <v>#REF!</v>
      </c>
      <c r="AB10" s="1" t="e">
        <v>#REF!</v>
      </c>
      <c r="AC10" s="2" t="e">
        <v>#REF!</v>
      </c>
      <c r="AD10" s="1" t="e">
        <v>#REF!</v>
      </c>
      <c r="AE10" s="1" t="e">
        <v>#REF!</v>
      </c>
      <c r="AF10" s="1" t="e">
        <v>#REF!</v>
      </c>
      <c r="AG10" s="1" t="e">
        <v>#REF!</v>
      </c>
      <c r="AH10" s="1" t="e">
        <v>#REF!</v>
      </c>
      <c r="AI10" s="1" t="e">
        <v>#REF!</v>
      </c>
      <c r="AJ10" s="1" t="e">
        <v>#REF!</v>
      </c>
      <c r="AK10" s="1" t="e">
        <v>#REF!</v>
      </c>
      <c r="AM10" s="1" t="e">
        <v>#REF!</v>
      </c>
      <c r="AN10" s="1" t="e">
        <v>#REF!</v>
      </c>
      <c r="AO10" s="1" t="e">
        <v>#REF!</v>
      </c>
      <c r="AP10" s="1" t="e">
        <v>#REF!</v>
      </c>
      <c r="AQ10" s="1" t="e">
        <v>#REF!</v>
      </c>
      <c r="AR10" s="1" t="e">
        <v>#REF!</v>
      </c>
      <c r="AS10" s="1" t="e">
        <v>#REF!</v>
      </c>
      <c r="AT10" s="2" t="e">
        <v>#REF!</v>
      </c>
      <c r="AU10" s="1" t="e">
        <v>#REF!</v>
      </c>
      <c r="AV10" s="2" t="e">
        <v>#REF!</v>
      </c>
      <c r="AW10" s="1" t="e">
        <v>#REF!</v>
      </c>
      <c r="AX10" s="1" t="e">
        <v>#REF!</v>
      </c>
      <c r="AY10" s="1" t="e">
        <v>#REF!</v>
      </c>
      <c r="AZ10" s="1" t="e">
        <v>#REF!</v>
      </c>
      <c r="BA10" s="1" t="e">
        <v>#REF!</v>
      </c>
      <c r="BB10" s="1" t="e">
        <v>#REF!</v>
      </c>
    </row>
    <row r="11" spans="2:56" ht="17.5">
      <c r="B11" s="629"/>
      <c r="C11" s="4">
        <v>10248740301</v>
      </c>
      <c r="D11" s="629" t="s">
        <v>38</v>
      </c>
      <c r="E11" s="629" t="s">
        <v>902</v>
      </c>
      <c r="F11" s="629" t="s">
        <v>896</v>
      </c>
      <c r="G11" s="629"/>
      <c r="H11" s="629"/>
      <c r="I11" s="629">
        <v>2800</v>
      </c>
      <c r="J11" s="630">
        <v>46292</v>
      </c>
      <c r="K11" s="629"/>
      <c r="L11" s="630"/>
      <c r="M11" s="629"/>
      <c r="N11" s="629"/>
      <c r="O11" s="629" t="s">
        <v>328</v>
      </c>
      <c r="P11" s="63">
        <v>2800</v>
      </c>
      <c r="Q11" s="91">
        <v>97</v>
      </c>
      <c r="V11" s="1" t="e">
        <v>#REF!</v>
      </c>
      <c r="W11" s="1" t="e">
        <v>#REF!</v>
      </c>
      <c r="X11" s="1" t="e">
        <v>#REF!</v>
      </c>
      <c r="Y11" s="1" t="e">
        <v>#REF!</v>
      </c>
      <c r="Z11" s="1" t="e">
        <v>#REF!</v>
      </c>
      <c r="AA11" s="1" t="e">
        <v>#REF!</v>
      </c>
      <c r="AB11" s="1" t="e">
        <v>#REF!</v>
      </c>
      <c r="AC11" s="2" t="e">
        <v>#REF!</v>
      </c>
      <c r="AD11" s="1" t="e">
        <v>#REF!</v>
      </c>
      <c r="AE11" s="1" t="e">
        <v>#REF!</v>
      </c>
      <c r="AF11" s="1" t="e">
        <v>#REF!</v>
      </c>
      <c r="AG11" s="1" t="e">
        <v>#REF!</v>
      </c>
      <c r="AH11" s="1" t="e">
        <v>#REF!</v>
      </c>
      <c r="AI11" s="1" t="e">
        <v>#REF!</v>
      </c>
      <c r="AJ11" s="1" t="e">
        <v>#REF!</v>
      </c>
      <c r="AK11" s="1" t="e">
        <v>#REF!</v>
      </c>
      <c r="AM11" s="1" t="e">
        <v>#REF!</v>
      </c>
      <c r="AN11" s="1" t="e">
        <v>#REF!</v>
      </c>
      <c r="AO11" s="1" t="e">
        <v>#REF!</v>
      </c>
      <c r="AP11" s="1" t="e">
        <v>#REF!</v>
      </c>
      <c r="AQ11" s="1" t="e">
        <v>#REF!</v>
      </c>
      <c r="AR11" s="1" t="e">
        <v>#REF!</v>
      </c>
      <c r="AS11" s="1" t="e">
        <v>#REF!</v>
      </c>
      <c r="AT11" s="2" t="e">
        <v>#REF!</v>
      </c>
      <c r="AU11" s="1" t="e">
        <v>#REF!</v>
      </c>
      <c r="AV11" s="2" t="e">
        <v>#REF!</v>
      </c>
      <c r="AW11" s="1" t="e">
        <v>#REF!</v>
      </c>
      <c r="AX11" s="1" t="e">
        <v>#REF!</v>
      </c>
      <c r="AY11" s="1" t="e">
        <v>#REF!</v>
      </c>
      <c r="AZ11" s="1" t="e">
        <v>#REF!</v>
      </c>
      <c r="BA11" s="1" t="e">
        <v>#REF!</v>
      </c>
      <c r="BB11" s="1" t="e">
        <v>#REF!</v>
      </c>
    </row>
    <row r="12" spans="2:56" ht="17.5">
      <c r="B12" s="629"/>
      <c r="C12" s="4">
        <v>10230635933</v>
      </c>
      <c r="D12" s="629" t="s">
        <v>37</v>
      </c>
      <c r="E12" s="629" t="s">
        <v>901</v>
      </c>
      <c r="F12" s="629" t="s">
        <v>896</v>
      </c>
      <c r="G12" s="629"/>
      <c r="H12" s="629"/>
      <c r="I12" s="629">
        <v>2500</v>
      </c>
      <c r="J12" s="630">
        <v>46264</v>
      </c>
      <c r="K12" s="629"/>
      <c r="L12" s="630"/>
      <c r="M12" s="629"/>
      <c r="N12" s="629"/>
      <c r="O12" s="629" t="s">
        <v>277</v>
      </c>
      <c r="P12" s="63">
        <v>2500</v>
      </c>
      <c r="Q12" s="91">
        <v>108</v>
      </c>
      <c r="V12" s="1" t="e">
        <v>#REF!</v>
      </c>
      <c r="W12" s="1" t="e">
        <v>#REF!</v>
      </c>
      <c r="X12" s="1" t="e">
        <v>#REF!</v>
      </c>
      <c r="Y12" s="1" t="e">
        <v>#REF!</v>
      </c>
      <c r="Z12" s="1" t="e">
        <v>#REF!</v>
      </c>
      <c r="AA12" s="1" t="e">
        <v>#REF!</v>
      </c>
      <c r="AB12" s="1" t="e">
        <v>#REF!</v>
      </c>
      <c r="AC12" s="2" t="e">
        <v>#REF!</v>
      </c>
      <c r="AD12" s="1" t="e">
        <v>#REF!</v>
      </c>
      <c r="AE12" s="1" t="e">
        <v>#REF!</v>
      </c>
      <c r="AF12" s="1" t="e">
        <v>#REF!</v>
      </c>
      <c r="AG12" s="1" t="e">
        <v>#REF!</v>
      </c>
      <c r="AH12" s="1" t="e">
        <v>#REF!</v>
      </c>
      <c r="AI12" s="1" t="e">
        <v>#REF!</v>
      </c>
      <c r="AJ12" s="1" t="e">
        <v>#REF!</v>
      </c>
      <c r="AK12" s="1" t="e">
        <v>#REF!</v>
      </c>
      <c r="AM12" s="1" t="e">
        <v>#REF!</v>
      </c>
      <c r="AN12" s="1" t="e">
        <v>#REF!</v>
      </c>
      <c r="AO12" s="1" t="e">
        <v>#REF!</v>
      </c>
      <c r="AP12" s="1" t="e">
        <v>#REF!</v>
      </c>
      <c r="AQ12" s="1" t="e">
        <v>#REF!</v>
      </c>
      <c r="AR12" s="1" t="e">
        <v>#REF!</v>
      </c>
      <c r="AS12" s="1" t="e">
        <v>#REF!</v>
      </c>
      <c r="AT12" s="2" t="e">
        <v>#REF!</v>
      </c>
      <c r="AU12" s="1" t="e">
        <v>#REF!</v>
      </c>
      <c r="AV12" s="2" t="e">
        <v>#REF!</v>
      </c>
      <c r="AW12" s="1" t="e">
        <v>#REF!</v>
      </c>
      <c r="AX12" s="1" t="e">
        <v>#REF!</v>
      </c>
      <c r="AY12" s="1" t="e">
        <v>#REF!</v>
      </c>
      <c r="AZ12" s="1" t="e">
        <v>#REF!</v>
      </c>
      <c r="BA12" s="1" t="e">
        <v>#REF!</v>
      </c>
      <c r="BB12" s="1" t="e">
        <v>#REF!</v>
      </c>
    </row>
    <row r="13" spans="2:56" ht="17.5">
      <c r="B13" s="629"/>
      <c r="C13" s="4">
        <v>10230635933</v>
      </c>
      <c r="D13" s="131" t="s">
        <v>37</v>
      </c>
      <c r="E13" s="629" t="s">
        <v>901</v>
      </c>
      <c r="F13" s="629" t="s">
        <v>896</v>
      </c>
      <c r="G13" s="629"/>
      <c r="H13" s="629"/>
      <c r="I13" s="629">
        <v>2500</v>
      </c>
      <c r="J13" s="630">
        <v>46294</v>
      </c>
      <c r="K13" s="629"/>
      <c r="L13" s="630"/>
      <c r="M13" s="629"/>
      <c r="N13" s="629"/>
      <c r="O13" s="629" t="s">
        <v>328</v>
      </c>
      <c r="P13" s="63">
        <v>2500</v>
      </c>
      <c r="Q13" s="91">
        <v>109</v>
      </c>
      <c r="V13" s="1" t="e">
        <v>#REF!</v>
      </c>
      <c r="W13" s="1" t="e">
        <v>#REF!</v>
      </c>
      <c r="X13" s="1" t="e">
        <v>#REF!</v>
      </c>
      <c r="Y13" s="1" t="e">
        <v>#REF!</v>
      </c>
      <c r="Z13" s="1" t="e">
        <v>#REF!</v>
      </c>
      <c r="AA13" s="1" t="e">
        <v>#REF!</v>
      </c>
      <c r="AB13" s="1" t="e">
        <v>#REF!</v>
      </c>
      <c r="AC13" s="2" t="e">
        <v>#REF!</v>
      </c>
      <c r="AD13" s="1" t="e">
        <v>#REF!</v>
      </c>
      <c r="AE13" s="1" t="e">
        <v>#REF!</v>
      </c>
      <c r="AF13" s="1" t="e">
        <v>#REF!</v>
      </c>
      <c r="AG13" s="1" t="e">
        <v>#REF!</v>
      </c>
      <c r="AH13" s="1" t="e">
        <v>#REF!</v>
      </c>
      <c r="AI13" s="1" t="e">
        <v>#REF!</v>
      </c>
      <c r="AJ13" s="1" t="e">
        <v>#REF!</v>
      </c>
      <c r="AK13" s="1" t="e">
        <v>#REF!</v>
      </c>
      <c r="AM13" s="1" t="e">
        <v>#REF!</v>
      </c>
      <c r="AN13" s="1" t="e">
        <v>#REF!</v>
      </c>
      <c r="AO13" s="1" t="e">
        <v>#REF!</v>
      </c>
      <c r="AP13" s="1" t="e">
        <v>#REF!</v>
      </c>
      <c r="AQ13" s="1" t="e">
        <v>#REF!</v>
      </c>
      <c r="AR13" s="1" t="e">
        <v>#REF!</v>
      </c>
      <c r="AS13" s="1" t="e">
        <v>#REF!</v>
      </c>
      <c r="AT13" s="2" t="e">
        <v>#REF!</v>
      </c>
      <c r="AU13" s="1" t="e">
        <v>#REF!</v>
      </c>
      <c r="AV13" s="2" t="e">
        <v>#REF!</v>
      </c>
      <c r="AW13" s="1" t="e">
        <v>#REF!</v>
      </c>
      <c r="AX13" s="1" t="e">
        <v>#REF!</v>
      </c>
      <c r="AY13" s="1" t="e">
        <v>#REF!</v>
      </c>
      <c r="AZ13" s="1" t="e">
        <v>#REF!</v>
      </c>
      <c r="BA13" s="1" t="e">
        <v>#REF!</v>
      </c>
      <c r="BB13" s="1" t="e">
        <v>#REF!</v>
      </c>
    </row>
    <row r="14" spans="2:56" ht="17.5">
      <c r="B14" s="629"/>
      <c r="C14" s="4">
        <v>10229579861</v>
      </c>
      <c r="D14" s="629" t="s">
        <v>28</v>
      </c>
      <c r="E14" s="629" t="s">
        <v>924</v>
      </c>
      <c r="F14" s="629" t="s">
        <v>896</v>
      </c>
      <c r="G14" s="629"/>
      <c r="H14" s="629"/>
      <c r="I14" s="629">
        <v>2000</v>
      </c>
      <c r="J14" s="630">
        <v>46266</v>
      </c>
      <c r="K14" s="629"/>
      <c r="L14" s="630"/>
      <c r="M14" s="629"/>
      <c r="N14" s="629"/>
      <c r="O14" s="629" t="s">
        <v>277</v>
      </c>
      <c r="P14" s="63">
        <v>2000</v>
      </c>
      <c r="Q14" s="91">
        <v>147</v>
      </c>
      <c r="V14" s="1" t="e">
        <v>#REF!</v>
      </c>
      <c r="W14" s="1" t="e">
        <v>#REF!</v>
      </c>
      <c r="X14" s="1" t="e">
        <v>#REF!</v>
      </c>
      <c r="Y14" s="1" t="e">
        <v>#REF!</v>
      </c>
      <c r="Z14" s="1" t="e">
        <v>#REF!</v>
      </c>
      <c r="AA14" s="1" t="e">
        <v>#REF!</v>
      </c>
      <c r="AB14" s="1" t="e">
        <v>#REF!</v>
      </c>
      <c r="AC14" s="2" t="e">
        <v>#REF!</v>
      </c>
      <c r="AD14" s="1" t="e">
        <v>#REF!</v>
      </c>
      <c r="AE14" s="1" t="e">
        <v>#REF!</v>
      </c>
      <c r="AF14" s="1" t="e">
        <v>#REF!</v>
      </c>
      <c r="AG14" s="1" t="e">
        <v>#REF!</v>
      </c>
      <c r="AH14" s="1" t="e">
        <v>#REF!</v>
      </c>
      <c r="AI14" s="1" t="e">
        <v>#REF!</v>
      </c>
      <c r="AJ14" s="1" t="e">
        <v>#REF!</v>
      </c>
      <c r="AK14" s="1" t="e">
        <v>#REF!</v>
      </c>
      <c r="AM14" s="1" t="e">
        <v>#REF!</v>
      </c>
      <c r="AN14" s="1" t="e">
        <v>#REF!</v>
      </c>
      <c r="AO14" s="1" t="e">
        <v>#REF!</v>
      </c>
      <c r="AP14" s="1" t="e">
        <v>#REF!</v>
      </c>
      <c r="AQ14" s="1" t="e">
        <v>#REF!</v>
      </c>
      <c r="AR14" s="1" t="e">
        <v>#REF!</v>
      </c>
      <c r="AS14" s="1" t="e">
        <v>#REF!</v>
      </c>
      <c r="AT14" s="2" t="e">
        <v>#REF!</v>
      </c>
      <c r="AU14" s="1" t="e">
        <v>#REF!</v>
      </c>
      <c r="AV14" s="2" t="e">
        <v>#REF!</v>
      </c>
      <c r="AW14" s="1" t="e">
        <v>#REF!</v>
      </c>
      <c r="AX14" s="1" t="e">
        <v>#REF!</v>
      </c>
      <c r="AY14" s="1" t="e">
        <v>#REF!</v>
      </c>
      <c r="AZ14" s="1" t="e">
        <v>#REF!</v>
      </c>
      <c r="BA14" s="1" t="e">
        <v>#REF!</v>
      </c>
      <c r="BB14" s="1" t="e">
        <v>#REF!</v>
      </c>
    </row>
    <row r="15" spans="2:56" ht="17.5">
      <c r="B15" s="629"/>
      <c r="C15" s="4">
        <v>10293396456</v>
      </c>
      <c r="D15" s="629" t="s">
        <v>29</v>
      </c>
      <c r="E15" s="629" t="s">
        <v>923</v>
      </c>
      <c r="F15" s="629" t="s">
        <v>896</v>
      </c>
      <c r="G15" s="629"/>
      <c r="H15" s="629"/>
      <c r="I15" s="629">
        <v>2000</v>
      </c>
      <c r="J15" s="630">
        <v>46268</v>
      </c>
      <c r="K15" s="629"/>
      <c r="L15" s="630"/>
      <c r="M15" s="629"/>
      <c r="N15" s="629"/>
      <c r="O15" s="629" t="s">
        <v>277</v>
      </c>
      <c r="P15" s="63">
        <v>2000</v>
      </c>
      <c r="Q15" s="91">
        <v>159</v>
      </c>
      <c r="V15" s="1" t="e">
        <v>#REF!</v>
      </c>
      <c r="W15" s="1" t="e">
        <v>#REF!</v>
      </c>
      <c r="X15" s="1" t="e">
        <v>#REF!</v>
      </c>
      <c r="Y15" s="1" t="e">
        <v>#REF!</v>
      </c>
      <c r="Z15" s="1" t="e">
        <v>#REF!</v>
      </c>
      <c r="AA15" s="1" t="e">
        <v>#REF!</v>
      </c>
      <c r="AB15" s="1" t="e">
        <v>#REF!</v>
      </c>
      <c r="AC15" s="2" t="e">
        <v>#REF!</v>
      </c>
      <c r="AD15" s="1" t="e">
        <v>#REF!</v>
      </c>
      <c r="AE15" s="1" t="e">
        <v>#REF!</v>
      </c>
      <c r="AF15" s="1" t="e">
        <v>#REF!</v>
      </c>
      <c r="AG15" s="1" t="e">
        <v>#REF!</v>
      </c>
      <c r="AH15" s="1" t="e">
        <v>#REF!</v>
      </c>
      <c r="AI15" s="1" t="e">
        <v>#REF!</v>
      </c>
      <c r="AJ15" s="1" t="e">
        <v>#REF!</v>
      </c>
      <c r="AK15" s="1" t="e">
        <v>#REF!</v>
      </c>
      <c r="AM15" s="1" t="e">
        <v>#REF!</v>
      </c>
      <c r="AN15" s="1" t="e">
        <v>#REF!</v>
      </c>
      <c r="AO15" s="1" t="e">
        <v>#REF!</v>
      </c>
      <c r="AP15" s="1" t="e">
        <v>#REF!</v>
      </c>
      <c r="AQ15" s="1" t="e">
        <v>#REF!</v>
      </c>
      <c r="AR15" s="1" t="e">
        <v>#REF!</v>
      </c>
      <c r="AS15" s="1" t="e">
        <v>#REF!</v>
      </c>
      <c r="AT15" s="2" t="e">
        <v>#REF!</v>
      </c>
      <c r="AU15" s="1" t="e">
        <v>#REF!</v>
      </c>
      <c r="AV15" s="2" t="e">
        <v>#REF!</v>
      </c>
      <c r="AW15" s="1" t="e">
        <v>#REF!</v>
      </c>
      <c r="AX15" s="1" t="e">
        <v>#REF!</v>
      </c>
      <c r="AY15" s="1" t="e">
        <v>#REF!</v>
      </c>
      <c r="AZ15" s="1" t="e">
        <v>#REF!</v>
      </c>
      <c r="BA15" s="1" t="e">
        <v>#REF!</v>
      </c>
      <c r="BB15" s="1" t="e">
        <v>#REF!</v>
      </c>
    </row>
    <row r="16" spans="2:56" ht="17.5">
      <c r="B16" s="629"/>
      <c r="C16" s="4">
        <v>10181957244</v>
      </c>
      <c r="D16" s="629" t="s">
        <v>32</v>
      </c>
      <c r="E16" s="629" t="s">
        <v>941</v>
      </c>
      <c r="F16" s="629" t="s">
        <v>896</v>
      </c>
      <c r="G16" s="629"/>
      <c r="H16" s="629"/>
      <c r="I16" s="629">
        <v>2000</v>
      </c>
      <c r="J16" s="630">
        <v>46271</v>
      </c>
      <c r="K16" s="629"/>
      <c r="L16" s="630"/>
      <c r="M16" s="629"/>
      <c r="N16" s="629"/>
      <c r="O16" s="629" t="s">
        <v>328</v>
      </c>
      <c r="P16" s="63">
        <v>2000</v>
      </c>
      <c r="Q16" s="91">
        <v>171</v>
      </c>
      <c r="V16" s="1" t="e">
        <v>#REF!</v>
      </c>
      <c r="W16" s="1" t="e">
        <v>#REF!</v>
      </c>
      <c r="X16" s="1" t="e">
        <v>#REF!</v>
      </c>
      <c r="Y16" s="1" t="e">
        <v>#REF!</v>
      </c>
      <c r="Z16" s="1" t="e">
        <v>#REF!</v>
      </c>
      <c r="AA16" s="1" t="e">
        <v>#REF!</v>
      </c>
      <c r="AB16" s="1" t="e">
        <v>#REF!</v>
      </c>
      <c r="AC16" s="2" t="e">
        <v>#REF!</v>
      </c>
      <c r="AD16" s="1" t="e">
        <v>#REF!</v>
      </c>
      <c r="AE16" s="1" t="e">
        <v>#REF!</v>
      </c>
      <c r="AF16" s="1" t="e">
        <v>#REF!</v>
      </c>
      <c r="AG16" s="1" t="e">
        <v>#REF!</v>
      </c>
      <c r="AH16" s="1" t="e">
        <v>#REF!</v>
      </c>
      <c r="AI16" s="1" t="e">
        <v>#REF!</v>
      </c>
      <c r="AJ16" s="1" t="e">
        <v>#REF!</v>
      </c>
      <c r="AK16" s="1" t="e">
        <v>#REF!</v>
      </c>
      <c r="AM16" s="1" t="e">
        <v>#REF!</v>
      </c>
      <c r="AN16" s="1" t="e">
        <v>#REF!</v>
      </c>
      <c r="AO16" s="1" t="e">
        <v>#REF!</v>
      </c>
      <c r="AP16" s="1" t="e">
        <v>#REF!</v>
      </c>
      <c r="AQ16" s="1" t="e">
        <v>#REF!</v>
      </c>
      <c r="AR16" s="1" t="e">
        <v>#REF!</v>
      </c>
      <c r="AS16" s="1" t="e">
        <v>#REF!</v>
      </c>
      <c r="AT16" s="2" t="e">
        <v>#REF!</v>
      </c>
      <c r="AU16" s="1" t="e">
        <v>#REF!</v>
      </c>
      <c r="AV16" s="2" t="e">
        <v>#REF!</v>
      </c>
      <c r="AW16" s="1" t="e">
        <v>#REF!</v>
      </c>
      <c r="AX16" s="1" t="e">
        <v>#REF!</v>
      </c>
      <c r="AY16" s="1" t="e">
        <v>#REF!</v>
      </c>
      <c r="AZ16" s="1" t="e">
        <v>#REF!</v>
      </c>
      <c r="BA16" s="1" t="e">
        <v>#REF!</v>
      </c>
      <c r="BB16" s="1" t="e">
        <v>#REF!</v>
      </c>
    </row>
    <row r="17" spans="2:54" ht="17.5">
      <c r="B17" s="629"/>
      <c r="C17" s="4">
        <v>10744903211</v>
      </c>
      <c r="D17" s="629" t="s">
        <v>34</v>
      </c>
      <c r="E17" s="629" t="s">
        <v>951</v>
      </c>
      <c r="F17" s="629" t="s">
        <v>896</v>
      </c>
      <c r="G17" s="629"/>
      <c r="H17" s="629"/>
      <c r="I17" s="629">
        <v>1900</v>
      </c>
      <c r="J17" s="630">
        <v>46275</v>
      </c>
      <c r="K17" s="629"/>
      <c r="L17" s="630"/>
      <c r="M17" s="629"/>
      <c r="N17" s="629"/>
      <c r="O17" s="629" t="s">
        <v>328</v>
      </c>
      <c r="P17" s="63">
        <v>1900</v>
      </c>
      <c r="Q17" s="91">
        <v>201</v>
      </c>
      <c r="V17" s="1" t="e">
        <v>#REF!</v>
      </c>
      <c r="W17" s="1" t="e">
        <v>#REF!</v>
      </c>
      <c r="X17" s="1" t="e">
        <v>#REF!</v>
      </c>
      <c r="Y17" s="1" t="e">
        <v>#REF!</v>
      </c>
      <c r="Z17" s="1" t="e">
        <v>#REF!</v>
      </c>
      <c r="AA17" s="1" t="e">
        <v>#REF!</v>
      </c>
      <c r="AB17" s="1" t="e">
        <v>#REF!</v>
      </c>
      <c r="AC17" s="2" t="e">
        <v>#REF!</v>
      </c>
      <c r="AD17" s="1" t="e">
        <v>#REF!</v>
      </c>
      <c r="AE17" s="1" t="e">
        <v>#REF!</v>
      </c>
      <c r="AF17" s="1" t="e">
        <v>#REF!</v>
      </c>
      <c r="AG17" s="1" t="e">
        <v>#REF!</v>
      </c>
      <c r="AH17" s="1" t="e">
        <v>#REF!</v>
      </c>
      <c r="AI17" s="1" t="e">
        <v>#REF!</v>
      </c>
      <c r="AJ17" s="1" t="e">
        <v>#REF!</v>
      </c>
      <c r="AK17" s="1" t="e">
        <v>#REF!</v>
      </c>
      <c r="AM17" s="1" t="e">
        <v>#REF!</v>
      </c>
      <c r="AN17" s="1" t="e">
        <v>#REF!</v>
      </c>
      <c r="AO17" s="1" t="e">
        <v>#REF!</v>
      </c>
      <c r="AP17" s="1" t="e">
        <v>#REF!</v>
      </c>
      <c r="AQ17" s="1" t="e">
        <v>#REF!</v>
      </c>
      <c r="AR17" s="1" t="e">
        <v>#REF!</v>
      </c>
      <c r="AS17" s="1" t="e">
        <v>#REF!</v>
      </c>
      <c r="AT17" s="2" t="e">
        <v>#REF!</v>
      </c>
      <c r="AU17" s="1" t="e">
        <v>#REF!</v>
      </c>
      <c r="AV17" s="2" t="e">
        <v>#REF!</v>
      </c>
      <c r="AW17" s="1" t="e">
        <v>#REF!</v>
      </c>
      <c r="AX17" s="1" t="e">
        <v>#REF!</v>
      </c>
      <c r="AY17" s="1" t="e">
        <v>#REF!</v>
      </c>
      <c r="AZ17" s="1" t="e">
        <v>#REF!</v>
      </c>
      <c r="BA17" s="1" t="e">
        <v>#REF!</v>
      </c>
      <c r="BB17" s="1" t="e">
        <v>#REF!</v>
      </c>
    </row>
    <row r="18" spans="2:54" ht="17.5">
      <c r="B18" s="629"/>
      <c r="C18" s="4">
        <v>10874887163</v>
      </c>
      <c r="D18" s="629" t="s">
        <v>945</v>
      </c>
      <c r="E18" s="629" t="s">
        <v>949</v>
      </c>
      <c r="F18" s="629" t="s">
        <v>897</v>
      </c>
      <c r="G18" s="629"/>
      <c r="H18" s="629"/>
      <c r="I18" s="629">
        <v>1900</v>
      </c>
      <c r="J18" s="630">
        <v>46292</v>
      </c>
      <c r="K18" s="629"/>
      <c r="L18" s="630"/>
      <c r="M18" s="629"/>
      <c r="N18" s="629"/>
      <c r="O18" s="629" t="s">
        <v>328</v>
      </c>
      <c r="P18" s="63">
        <v>1900</v>
      </c>
      <c r="Q18" s="91">
        <v>177</v>
      </c>
      <c r="V18" s="1" t="e">
        <v>#REF!</v>
      </c>
      <c r="W18" s="1" t="e">
        <v>#REF!</v>
      </c>
      <c r="X18" s="1" t="e">
        <v>#REF!</v>
      </c>
      <c r="Y18" s="1" t="e">
        <v>#REF!</v>
      </c>
      <c r="Z18" s="1" t="e">
        <v>#REF!</v>
      </c>
      <c r="AA18" s="1" t="e">
        <v>#REF!</v>
      </c>
      <c r="AB18" s="1" t="e">
        <v>#REF!</v>
      </c>
      <c r="AC18" s="2" t="e">
        <v>#REF!</v>
      </c>
      <c r="AD18" s="1" t="e">
        <v>#REF!</v>
      </c>
      <c r="AE18" s="1" t="e">
        <v>#REF!</v>
      </c>
      <c r="AF18" s="1" t="e">
        <v>#REF!</v>
      </c>
      <c r="AG18" s="1" t="e">
        <v>#REF!</v>
      </c>
      <c r="AH18" s="1" t="e">
        <v>#REF!</v>
      </c>
      <c r="AI18" s="1" t="e">
        <v>#REF!</v>
      </c>
      <c r="AJ18" s="1" t="e">
        <v>#REF!</v>
      </c>
      <c r="AK18" s="1" t="e">
        <v>#REF!</v>
      </c>
      <c r="AM18" s="1" t="e">
        <v>#REF!</v>
      </c>
      <c r="AN18" s="1" t="e">
        <v>#REF!</v>
      </c>
      <c r="AO18" s="1" t="e">
        <v>#REF!</v>
      </c>
      <c r="AP18" s="1" t="e">
        <v>#REF!</v>
      </c>
      <c r="AQ18" s="1" t="e">
        <v>#REF!</v>
      </c>
      <c r="AR18" s="1" t="e">
        <v>#REF!</v>
      </c>
      <c r="AS18" s="1" t="e">
        <v>#REF!</v>
      </c>
      <c r="AT18" s="2" t="e">
        <v>#REF!</v>
      </c>
      <c r="AU18" s="1" t="e">
        <v>#REF!</v>
      </c>
      <c r="AV18" s="2" t="e">
        <v>#REF!</v>
      </c>
      <c r="AW18" s="1" t="e">
        <v>#REF!</v>
      </c>
      <c r="AX18" s="1" t="e">
        <v>#REF!</v>
      </c>
      <c r="AY18" s="1" t="e">
        <v>#REF!</v>
      </c>
      <c r="AZ18" s="1" t="e">
        <v>#REF!</v>
      </c>
      <c r="BA18" s="1" t="e">
        <v>#REF!</v>
      </c>
      <c r="BB18" s="1" t="e">
        <v>#REF!</v>
      </c>
    </row>
    <row r="19" spans="2:54" ht="17.5">
      <c r="B19" s="629"/>
      <c r="C19" s="4">
        <v>10645869084</v>
      </c>
      <c r="D19" s="629" t="s">
        <v>65</v>
      </c>
      <c r="E19" s="629" t="s">
        <v>952</v>
      </c>
      <c r="F19" s="629" t="s">
        <v>897</v>
      </c>
      <c r="G19" s="629"/>
      <c r="H19" s="629"/>
      <c r="I19" s="629">
        <v>2000</v>
      </c>
      <c r="J19" s="630">
        <v>46282</v>
      </c>
      <c r="K19" s="629"/>
      <c r="L19" s="630"/>
      <c r="M19" s="629"/>
      <c r="N19" s="629"/>
      <c r="O19" s="629" t="s">
        <v>328</v>
      </c>
      <c r="P19" s="63">
        <v>2000</v>
      </c>
      <c r="Q19" s="91">
        <v>225</v>
      </c>
      <c r="V19" s="1" t="e">
        <v>#REF!</v>
      </c>
      <c r="W19" s="1" t="e">
        <v>#REF!</v>
      </c>
      <c r="X19" s="1" t="e">
        <v>#REF!</v>
      </c>
      <c r="Y19" s="1" t="e">
        <v>#REF!</v>
      </c>
      <c r="Z19" s="1" t="e">
        <v>#REF!</v>
      </c>
      <c r="AA19" s="1" t="e">
        <v>#REF!</v>
      </c>
      <c r="AB19" s="1" t="e">
        <v>#REF!</v>
      </c>
      <c r="AC19" s="2" t="e">
        <v>#REF!</v>
      </c>
      <c r="AD19" s="1" t="e">
        <v>#REF!</v>
      </c>
      <c r="AE19" s="1" t="e">
        <v>#REF!</v>
      </c>
      <c r="AF19" s="1" t="e">
        <v>#REF!</v>
      </c>
      <c r="AG19" s="1" t="e">
        <v>#REF!</v>
      </c>
      <c r="AH19" s="1" t="e">
        <v>#REF!</v>
      </c>
      <c r="AI19" s="1" t="e">
        <v>#REF!</v>
      </c>
      <c r="AJ19" s="1" t="e">
        <v>#REF!</v>
      </c>
      <c r="AK19" s="1" t="e">
        <v>#REF!</v>
      </c>
      <c r="AM19" s="1" t="e">
        <v>#REF!</v>
      </c>
      <c r="AN19" s="1" t="e">
        <v>#REF!</v>
      </c>
      <c r="AO19" s="1" t="e">
        <v>#REF!</v>
      </c>
      <c r="AP19" s="1" t="e">
        <v>#REF!</v>
      </c>
      <c r="AQ19" s="1" t="e">
        <v>#REF!</v>
      </c>
      <c r="AR19" s="1" t="e">
        <v>#REF!</v>
      </c>
      <c r="AS19" s="1" t="e">
        <v>#REF!</v>
      </c>
      <c r="AT19" s="2" t="e">
        <v>#REF!</v>
      </c>
      <c r="AU19" s="1" t="e">
        <v>#REF!</v>
      </c>
      <c r="AV19" s="2" t="e">
        <v>#REF!</v>
      </c>
      <c r="AW19" s="1" t="e">
        <v>#REF!</v>
      </c>
      <c r="AX19" s="1" t="e">
        <v>#REF!</v>
      </c>
      <c r="AY19" s="1" t="e">
        <v>#REF!</v>
      </c>
      <c r="AZ19" s="1" t="e">
        <v>#REF!</v>
      </c>
      <c r="BA19" s="1" t="e">
        <v>#REF!</v>
      </c>
      <c r="BB19" s="1" t="e">
        <v>#REF!</v>
      </c>
    </row>
    <row r="20" spans="2:54" ht="17.5">
      <c r="B20" s="629"/>
      <c r="C20" s="61"/>
      <c r="D20" s="629"/>
      <c r="E20" s="629"/>
      <c r="F20" s="629"/>
      <c r="G20" s="629"/>
      <c r="H20" s="629"/>
      <c r="I20" s="629"/>
      <c r="J20" s="630"/>
      <c r="K20" s="629"/>
      <c r="L20" s="630"/>
      <c r="M20" s="629"/>
      <c r="N20" s="629"/>
      <c r="O20" s="629"/>
      <c r="P20" s="63"/>
      <c r="Q20" s="161"/>
      <c r="AM20" s="1" t="e">
        <v>#REF!</v>
      </c>
      <c r="AN20" s="1" t="e">
        <v>#REF!</v>
      </c>
      <c r="AO20" s="1" t="e">
        <v>#REF!</v>
      </c>
      <c r="AP20" s="1" t="e">
        <v>#REF!</v>
      </c>
      <c r="AQ20" s="1" t="e">
        <v>#REF!</v>
      </c>
      <c r="AR20" s="1" t="e">
        <v>#REF!</v>
      </c>
      <c r="AS20" s="1" t="e">
        <v>#REF!</v>
      </c>
      <c r="AT20" s="2" t="e">
        <v>#REF!</v>
      </c>
      <c r="AU20" s="1" t="e">
        <v>#REF!</v>
      </c>
      <c r="AV20" s="2" t="e">
        <v>#REF!</v>
      </c>
      <c r="AW20" s="1" t="e">
        <v>#REF!</v>
      </c>
      <c r="AX20" s="1" t="e">
        <v>#REF!</v>
      </c>
      <c r="AY20" s="1" t="e">
        <v>#REF!</v>
      </c>
      <c r="AZ20" s="1" t="e">
        <v>#REF!</v>
      </c>
      <c r="BA20" s="1" t="e">
        <v>#REF!</v>
      </c>
      <c r="BB20" s="1" t="e">
        <v>#REF!</v>
      </c>
    </row>
    <row r="21" spans="2:54" ht="17.5">
      <c r="B21" s="629"/>
      <c r="C21" s="61"/>
      <c r="D21" s="629"/>
      <c r="E21" s="629"/>
      <c r="F21" s="629"/>
      <c r="G21" s="629"/>
      <c r="H21" s="629"/>
      <c r="I21" s="629"/>
      <c r="J21" s="630"/>
      <c r="K21" s="629"/>
      <c r="L21" s="630"/>
      <c r="M21" s="629"/>
      <c r="N21" s="629"/>
      <c r="O21" s="629"/>
      <c r="P21" s="63"/>
      <c r="Q21" s="161"/>
      <c r="AM21" s="1" t="e">
        <v>#REF!</v>
      </c>
      <c r="AN21" s="1" t="e">
        <v>#REF!</v>
      </c>
      <c r="AO21" s="1" t="e">
        <v>#REF!</v>
      </c>
      <c r="AP21" s="1" t="e">
        <v>#REF!</v>
      </c>
      <c r="AQ21" s="1" t="e">
        <v>#REF!</v>
      </c>
      <c r="AR21" s="1" t="e">
        <v>#REF!</v>
      </c>
      <c r="AS21" s="1" t="e">
        <v>#REF!</v>
      </c>
      <c r="AT21" s="2" t="e">
        <v>#REF!</v>
      </c>
      <c r="AU21" s="1" t="e">
        <v>#REF!</v>
      </c>
      <c r="AV21" s="2" t="e">
        <v>#REF!</v>
      </c>
      <c r="AW21" s="1" t="e">
        <v>#REF!</v>
      </c>
      <c r="AX21" s="1" t="e">
        <v>#REF!</v>
      </c>
      <c r="AY21" s="1" t="e">
        <v>#REF!</v>
      </c>
      <c r="AZ21" s="1" t="e">
        <v>#REF!</v>
      </c>
      <c r="BA21" s="1" t="e">
        <v>#REF!</v>
      </c>
      <c r="BB21" s="1" t="e">
        <v>#REF!</v>
      </c>
    </row>
    <row r="22" spans="2:54" ht="17.5">
      <c r="B22" s="629"/>
      <c r="C22" s="61"/>
      <c r="D22" s="629"/>
      <c r="E22" s="629"/>
      <c r="F22" s="629"/>
      <c r="G22" s="629"/>
      <c r="H22" s="629"/>
      <c r="I22" s="629"/>
      <c r="J22" s="630"/>
      <c r="K22" s="629"/>
      <c r="L22" s="630"/>
      <c r="M22" s="629"/>
      <c r="N22" s="629"/>
      <c r="O22" s="629"/>
      <c r="P22" s="63"/>
      <c r="Q22" s="161"/>
      <c r="AM22" s="1" t="e">
        <v>#REF!</v>
      </c>
      <c r="AN22" s="1" t="e">
        <v>#REF!</v>
      </c>
      <c r="AO22" s="1" t="e">
        <v>#REF!</v>
      </c>
      <c r="AP22" s="1" t="e">
        <v>#REF!</v>
      </c>
      <c r="AQ22" s="1" t="e">
        <v>#REF!</v>
      </c>
      <c r="AR22" s="1" t="e">
        <v>#REF!</v>
      </c>
      <c r="AS22" s="1" t="e">
        <v>#REF!</v>
      </c>
      <c r="AT22" s="2" t="e">
        <v>#REF!</v>
      </c>
      <c r="AU22" s="1" t="e">
        <v>#REF!</v>
      </c>
      <c r="AV22" s="2" t="e">
        <v>#REF!</v>
      </c>
      <c r="AW22" s="1" t="e">
        <v>#REF!</v>
      </c>
      <c r="AX22" s="1" t="e">
        <v>#REF!</v>
      </c>
      <c r="AY22" s="1" t="e">
        <v>#REF!</v>
      </c>
      <c r="AZ22" s="1" t="e">
        <v>#REF!</v>
      </c>
      <c r="BA22" s="1" t="e">
        <v>#REF!</v>
      </c>
      <c r="BB22" s="1" t="e">
        <v>#REF!</v>
      </c>
    </row>
    <row r="23" spans="2:54" ht="17.5">
      <c r="B23" s="629"/>
      <c r="C23" s="61"/>
      <c r="D23" s="629"/>
      <c r="E23" s="629"/>
      <c r="F23" s="629"/>
      <c r="G23" s="629"/>
      <c r="H23" s="629"/>
      <c r="I23" s="629"/>
      <c r="J23" s="630"/>
      <c r="K23" s="629"/>
      <c r="L23" s="630"/>
      <c r="M23" s="629"/>
      <c r="N23" s="629"/>
      <c r="O23" s="629"/>
      <c r="P23" s="63"/>
      <c r="Q23" s="161"/>
      <c r="AM23" s="1" t="e">
        <v>#REF!</v>
      </c>
      <c r="AN23" s="1" t="e">
        <v>#REF!</v>
      </c>
      <c r="AO23" s="1" t="e">
        <v>#REF!</v>
      </c>
      <c r="AP23" s="1" t="e">
        <v>#REF!</v>
      </c>
      <c r="AQ23" s="1" t="e">
        <v>#REF!</v>
      </c>
      <c r="AR23" s="1" t="e">
        <v>#REF!</v>
      </c>
      <c r="AS23" s="1" t="e">
        <v>#REF!</v>
      </c>
      <c r="AT23" s="2" t="e">
        <v>#REF!</v>
      </c>
      <c r="AU23" s="1" t="e">
        <v>#REF!</v>
      </c>
      <c r="AV23" s="2" t="e">
        <v>#REF!</v>
      </c>
      <c r="AW23" s="1" t="e">
        <v>#REF!</v>
      </c>
      <c r="AX23" s="1" t="e">
        <v>#REF!</v>
      </c>
      <c r="AY23" s="1" t="e">
        <v>#REF!</v>
      </c>
      <c r="AZ23" s="1" t="e">
        <v>#REF!</v>
      </c>
      <c r="BA23" s="1" t="e">
        <v>#REF!</v>
      </c>
      <c r="BB23" s="1" t="e">
        <v>#REF!</v>
      </c>
    </row>
    <row r="24" spans="2:54" ht="17.5">
      <c r="B24" s="629"/>
      <c r="C24" s="61"/>
      <c r="D24" s="629"/>
      <c r="E24" s="629"/>
      <c r="F24" s="629"/>
      <c r="G24" s="629"/>
      <c r="H24" s="629"/>
      <c r="I24" s="629"/>
      <c r="J24" s="630"/>
      <c r="K24" s="629"/>
      <c r="L24" s="630"/>
      <c r="M24" s="629"/>
      <c r="N24" s="629"/>
      <c r="O24" s="629"/>
      <c r="P24" s="63"/>
      <c r="Q24" s="161"/>
      <c r="AM24" s="1" t="e">
        <v>#REF!</v>
      </c>
      <c r="AN24" s="1" t="e">
        <v>#REF!</v>
      </c>
      <c r="AO24" s="1" t="e">
        <v>#REF!</v>
      </c>
      <c r="AP24" s="1" t="e">
        <v>#REF!</v>
      </c>
      <c r="AQ24" s="1" t="e">
        <v>#REF!</v>
      </c>
      <c r="AR24" s="1" t="e">
        <v>#REF!</v>
      </c>
      <c r="AS24" s="1" t="e">
        <v>#REF!</v>
      </c>
      <c r="AT24" s="2" t="e">
        <v>#REF!</v>
      </c>
      <c r="AU24" s="1" t="e">
        <v>#REF!</v>
      </c>
      <c r="AV24" s="2" t="e">
        <v>#REF!</v>
      </c>
      <c r="AW24" s="1" t="e">
        <v>#REF!</v>
      </c>
      <c r="AX24" s="1" t="e">
        <v>#REF!</v>
      </c>
      <c r="AY24" s="1" t="e">
        <v>#REF!</v>
      </c>
      <c r="AZ24" s="1" t="e">
        <v>#REF!</v>
      </c>
      <c r="BA24" s="1" t="e">
        <v>#REF!</v>
      </c>
      <c r="BB24" s="1" t="e">
        <v>#REF!</v>
      </c>
    </row>
    <row r="25" spans="2:54" ht="17.5">
      <c r="B25" s="629"/>
      <c r="C25" s="61"/>
      <c r="D25" s="629"/>
      <c r="E25" s="629"/>
      <c r="F25" s="629"/>
      <c r="G25" s="629"/>
      <c r="H25" s="629"/>
      <c r="I25" s="629"/>
      <c r="J25" s="630"/>
      <c r="K25" s="629"/>
      <c r="L25" s="630"/>
      <c r="M25" s="629"/>
      <c r="N25" s="629"/>
      <c r="O25" s="629"/>
      <c r="P25" s="63"/>
      <c r="Q25" s="161"/>
      <c r="AM25" s="1" t="e">
        <v>#REF!</v>
      </c>
      <c r="AN25" s="1" t="e">
        <v>#REF!</v>
      </c>
      <c r="AO25" s="1" t="e">
        <v>#REF!</v>
      </c>
      <c r="AP25" s="1" t="e">
        <v>#REF!</v>
      </c>
      <c r="AQ25" s="1" t="e">
        <v>#REF!</v>
      </c>
      <c r="AR25" s="1" t="e">
        <v>#REF!</v>
      </c>
      <c r="AS25" s="1" t="e">
        <v>#REF!</v>
      </c>
      <c r="AT25" s="2" t="e">
        <v>#REF!</v>
      </c>
      <c r="AU25" s="1" t="e">
        <v>#REF!</v>
      </c>
      <c r="AV25" s="2" t="e">
        <v>#REF!</v>
      </c>
      <c r="AW25" s="1" t="e">
        <v>#REF!</v>
      </c>
      <c r="AX25" s="1" t="e">
        <v>#REF!</v>
      </c>
      <c r="AY25" s="1" t="e">
        <v>#REF!</v>
      </c>
      <c r="AZ25" s="1" t="e">
        <v>#REF!</v>
      </c>
      <c r="BA25" s="1" t="e">
        <v>#REF!</v>
      </c>
      <c r="BB25" s="1" t="e">
        <v>#REF!</v>
      </c>
    </row>
    <row r="26" spans="2:54" ht="17.5">
      <c r="B26" s="629"/>
      <c r="C26" s="61"/>
      <c r="D26" s="629"/>
      <c r="E26" s="629"/>
      <c r="F26" s="629"/>
      <c r="G26" s="629"/>
      <c r="H26" s="629"/>
      <c r="I26" s="629"/>
      <c r="J26" s="630"/>
      <c r="K26" s="629"/>
      <c r="L26" s="630"/>
      <c r="M26" s="629"/>
      <c r="N26" s="629"/>
      <c r="O26" s="629"/>
      <c r="P26" s="63"/>
      <c r="Q26" s="161"/>
      <c r="AM26" s="1" t="e">
        <v>#REF!</v>
      </c>
      <c r="AN26" s="1" t="e">
        <v>#REF!</v>
      </c>
      <c r="AO26" s="1" t="e">
        <v>#REF!</v>
      </c>
      <c r="AP26" s="1" t="e">
        <v>#REF!</v>
      </c>
      <c r="AQ26" s="1" t="e">
        <v>#REF!</v>
      </c>
      <c r="AR26" s="1" t="e">
        <v>#REF!</v>
      </c>
      <c r="AS26" s="1" t="e">
        <v>#REF!</v>
      </c>
      <c r="AT26" s="2" t="e">
        <v>#REF!</v>
      </c>
      <c r="AU26" s="1" t="e">
        <v>#REF!</v>
      </c>
      <c r="AV26" s="2" t="e">
        <v>#REF!</v>
      </c>
      <c r="AW26" s="1" t="e">
        <v>#REF!</v>
      </c>
      <c r="AX26" s="1" t="e">
        <v>#REF!</v>
      </c>
      <c r="AY26" s="1" t="e">
        <v>#REF!</v>
      </c>
      <c r="AZ26" s="1" t="e">
        <v>#REF!</v>
      </c>
      <c r="BA26" s="1" t="e">
        <v>#REF!</v>
      </c>
      <c r="BB26" s="1" t="e">
        <v>#REF!</v>
      </c>
    </row>
    <row r="27" spans="2:54" ht="17.5">
      <c r="B27" s="629"/>
      <c r="C27" s="61"/>
      <c r="D27" s="629"/>
      <c r="E27" s="629"/>
      <c r="F27" s="629"/>
      <c r="G27" s="629"/>
      <c r="H27" s="629"/>
      <c r="I27" s="629"/>
      <c r="J27" s="630"/>
      <c r="K27" s="629"/>
      <c r="L27" s="630"/>
      <c r="M27" s="629"/>
      <c r="N27" s="629"/>
      <c r="O27" s="629"/>
      <c r="P27" s="63"/>
      <c r="Q27" s="161"/>
      <c r="AM27" s="1" t="e">
        <v>#REF!</v>
      </c>
      <c r="AN27" s="1" t="e">
        <v>#REF!</v>
      </c>
      <c r="AO27" s="1" t="e">
        <v>#REF!</v>
      </c>
      <c r="AP27" s="1" t="e">
        <v>#REF!</v>
      </c>
      <c r="AQ27" s="1" t="e">
        <v>#REF!</v>
      </c>
      <c r="AR27" s="1" t="e">
        <v>#REF!</v>
      </c>
      <c r="AS27" s="1" t="e">
        <v>#REF!</v>
      </c>
      <c r="AT27" s="2" t="e">
        <v>#REF!</v>
      </c>
      <c r="AU27" s="1" t="e">
        <v>#REF!</v>
      </c>
      <c r="AV27" s="2" t="e">
        <v>#REF!</v>
      </c>
      <c r="AW27" s="1" t="e">
        <v>#REF!</v>
      </c>
      <c r="AX27" s="1" t="e">
        <v>#REF!</v>
      </c>
      <c r="AY27" s="1" t="e">
        <v>#REF!</v>
      </c>
      <c r="AZ27" s="1" t="e">
        <v>#REF!</v>
      </c>
      <c r="BA27" s="1" t="e">
        <v>#REF!</v>
      </c>
      <c r="BB27" s="1" t="e">
        <v>#REF!</v>
      </c>
    </row>
    <row r="28" spans="2:54" ht="17.5">
      <c r="B28" s="629"/>
      <c r="C28" s="61"/>
      <c r="D28" s="629"/>
      <c r="E28" s="629"/>
      <c r="F28" s="629"/>
      <c r="G28" s="629"/>
      <c r="H28" s="629"/>
      <c r="I28" s="629"/>
      <c r="J28" s="630"/>
      <c r="K28" s="629"/>
      <c r="L28" s="630"/>
      <c r="M28" s="629"/>
      <c r="N28" s="629"/>
      <c r="O28" s="629"/>
      <c r="P28" s="63"/>
      <c r="Q28" s="161"/>
      <c r="AM28" s="1" t="e">
        <v>#REF!</v>
      </c>
      <c r="AN28" s="1" t="e">
        <v>#REF!</v>
      </c>
      <c r="AO28" s="1" t="e">
        <v>#REF!</v>
      </c>
      <c r="AP28" s="1" t="e">
        <v>#REF!</v>
      </c>
      <c r="AQ28" s="1" t="e">
        <v>#REF!</v>
      </c>
      <c r="AR28" s="1" t="e">
        <v>#REF!</v>
      </c>
      <c r="AS28" s="1" t="e">
        <v>#REF!</v>
      </c>
      <c r="AT28" s="2" t="e">
        <v>#REF!</v>
      </c>
      <c r="AU28" s="1" t="e">
        <v>#REF!</v>
      </c>
      <c r="AV28" s="2" t="e">
        <v>#REF!</v>
      </c>
      <c r="AW28" s="1" t="e">
        <v>#REF!</v>
      </c>
      <c r="AX28" s="1" t="e">
        <v>#REF!</v>
      </c>
      <c r="AY28" s="1" t="e">
        <v>#REF!</v>
      </c>
      <c r="AZ28" s="1" t="e">
        <v>#REF!</v>
      </c>
      <c r="BA28" s="1" t="e">
        <v>#REF!</v>
      </c>
      <c r="BB28" s="1" t="e">
        <v>#REF!</v>
      </c>
    </row>
    <row r="29" spans="2:54" ht="17.5">
      <c r="B29" s="629"/>
      <c r="C29" s="61"/>
      <c r="D29" s="629"/>
      <c r="E29" s="629"/>
      <c r="F29" s="629"/>
      <c r="G29" s="629"/>
      <c r="H29" s="629"/>
      <c r="I29" s="629"/>
      <c r="J29" s="630"/>
      <c r="K29" s="629"/>
      <c r="L29" s="630"/>
      <c r="M29" s="629"/>
      <c r="N29" s="629"/>
      <c r="O29" s="629"/>
      <c r="P29" s="63"/>
      <c r="Q29" s="161"/>
      <c r="AM29" s="1" t="e">
        <v>#REF!</v>
      </c>
      <c r="AN29" s="1" t="e">
        <v>#REF!</v>
      </c>
      <c r="AO29" s="1" t="e">
        <v>#REF!</v>
      </c>
      <c r="AP29" s="1" t="e">
        <v>#REF!</v>
      </c>
      <c r="AQ29" s="1" t="e">
        <v>#REF!</v>
      </c>
      <c r="AR29" s="1" t="e">
        <v>#REF!</v>
      </c>
      <c r="AS29" s="1" t="e">
        <v>#REF!</v>
      </c>
      <c r="AT29" s="2" t="e">
        <v>#REF!</v>
      </c>
      <c r="AU29" s="1" t="e">
        <v>#REF!</v>
      </c>
      <c r="AV29" s="2" t="e">
        <v>#REF!</v>
      </c>
      <c r="AW29" s="1" t="e">
        <v>#REF!</v>
      </c>
      <c r="AX29" s="1" t="e">
        <v>#REF!</v>
      </c>
      <c r="AY29" s="1" t="e">
        <v>#REF!</v>
      </c>
      <c r="AZ29" s="1" t="e">
        <v>#REF!</v>
      </c>
      <c r="BA29" s="1" t="e">
        <v>#REF!</v>
      </c>
      <c r="BB29" s="1" t="e">
        <v>#REF!</v>
      </c>
    </row>
    <row r="30" spans="2:54" ht="17.5">
      <c r="B30" s="629"/>
      <c r="C30" s="61"/>
      <c r="D30" s="629"/>
      <c r="E30" s="629"/>
      <c r="F30" s="629"/>
      <c r="G30" s="629"/>
      <c r="H30" s="629"/>
      <c r="I30" s="629"/>
      <c r="J30" s="630"/>
      <c r="K30" s="629"/>
      <c r="L30" s="630"/>
      <c r="M30" s="629"/>
      <c r="N30" s="629"/>
      <c r="O30" s="629"/>
      <c r="P30" s="63"/>
      <c r="Q30" s="161"/>
      <c r="AM30" s="1" t="e">
        <v>#REF!</v>
      </c>
      <c r="AN30" s="1" t="e">
        <v>#REF!</v>
      </c>
      <c r="AO30" s="1" t="e">
        <v>#REF!</v>
      </c>
      <c r="AP30" s="1" t="e">
        <v>#REF!</v>
      </c>
      <c r="AQ30" s="1" t="e">
        <v>#REF!</v>
      </c>
      <c r="AR30" s="1" t="e">
        <v>#REF!</v>
      </c>
      <c r="AS30" s="1" t="e">
        <v>#REF!</v>
      </c>
      <c r="AT30" s="2" t="e">
        <v>#REF!</v>
      </c>
      <c r="AU30" s="1" t="e">
        <v>#REF!</v>
      </c>
      <c r="AV30" s="2" t="e">
        <v>#REF!</v>
      </c>
      <c r="AW30" s="1" t="e">
        <v>#REF!</v>
      </c>
      <c r="AX30" s="1" t="e">
        <v>#REF!</v>
      </c>
      <c r="AY30" s="1" t="e">
        <v>#REF!</v>
      </c>
      <c r="AZ30" s="1" t="e">
        <v>#REF!</v>
      </c>
      <c r="BA30" s="1" t="e">
        <v>#REF!</v>
      </c>
      <c r="BB30" s="1" t="e">
        <v>#REF!</v>
      </c>
    </row>
    <row r="31" spans="2:54" ht="17.5">
      <c r="B31" s="629"/>
      <c r="C31" s="172"/>
      <c r="D31" s="131"/>
      <c r="E31" s="629"/>
      <c r="F31" s="629"/>
      <c r="G31" s="629"/>
      <c r="H31" s="629"/>
      <c r="I31" s="629"/>
      <c r="J31" s="630"/>
      <c r="K31" s="629"/>
      <c r="L31" s="630"/>
      <c r="M31" s="629"/>
      <c r="N31" s="629"/>
      <c r="O31" s="629"/>
      <c r="P31" s="63"/>
      <c r="Q31" s="161"/>
      <c r="AM31" s="1" t="e">
        <v>#REF!</v>
      </c>
      <c r="AN31" s="1" t="e">
        <v>#REF!</v>
      </c>
      <c r="AO31" s="1" t="e">
        <v>#REF!</v>
      </c>
      <c r="AP31" s="1" t="e">
        <v>#REF!</v>
      </c>
      <c r="AQ31" s="1" t="e">
        <v>#REF!</v>
      </c>
      <c r="AR31" s="1" t="e">
        <v>#REF!</v>
      </c>
      <c r="AS31" s="1" t="e">
        <v>#REF!</v>
      </c>
      <c r="AT31" s="2" t="e">
        <v>#REF!</v>
      </c>
      <c r="AU31" s="1" t="e">
        <v>#REF!</v>
      </c>
      <c r="AV31" s="2" t="e">
        <v>#REF!</v>
      </c>
      <c r="AW31" s="1" t="e">
        <v>#REF!</v>
      </c>
      <c r="AX31" s="1" t="e">
        <v>#REF!</v>
      </c>
      <c r="AY31" s="1" t="e">
        <v>#REF!</v>
      </c>
      <c r="AZ31" s="1" t="e">
        <v>#REF!</v>
      </c>
      <c r="BA31" s="1" t="e">
        <v>#REF!</v>
      </c>
      <c r="BB31" s="1" t="e">
        <v>#REF!</v>
      </c>
    </row>
    <row r="32" spans="2:54" ht="17.5">
      <c r="B32" s="629"/>
      <c r="C32" s="61"/>
      <c r="D32" s="629"/>
      <c r="E32" s="629"/>
      <c r="F32" s="629"/>
      <c r="G32" s="629"/>
      <c r="H32" s="629"/>
      <c r="I32" s="629"/>
      <c r="J32" s="630"/>
      <c r="K32" s="629"/>
      <c r="L32" s="630"/>
      <c r="M32" s="629"/>
      <c r="N32" s="629"/>
      <c r="O32" s="629"/>
      <c r="P32" s="63"/>
      <c r="Q32" s="161"/>
      <c r="AM32" s="1" t="e">
        <v>#REF!</v>
      </c>
      <c r="AN32" s="1" t="e">
        <v>#REF!</v>
      </c>
      <c r="AO32" s="1" t="e">
        <v>#REF!</v>
      </c>
      <c r="AP32" s="1" t="e">
        <v>#REF!</v>
      </c>
      <c r="AQ32" s="1" t="e">
        <v>#REF!</v>
      </c>
      <c r="AR32" s="1" t="e">
        <v>#REF!</v>
      </c>
      <c r="AS32" s="1" t="e">
        <v>#REF!</v>
      </c>
      <c r="AT32" s="2" t="e">
        <v>#REF!</v>
      </c>
      <c r="AU32" s="1" t="e">
        <v>#REF!</v>
      </c>
      <c r="AV32" s="2" t="e">
        <v>#REF!</v>
      </c>
      <c r="AW32" s="1" t="e">
        <v>#REF!</v>
      </c>
      <c r="AX32" s="1" t="e">
        <v>#REF!</v>
      </c>
      <c r="AY32" s="1" t="e">
        <v>#REF!</v>
      </c>
      <c r="AZ32" s="1" t="e">
        <v>#REF!</v>
      </c>
      <c r="BA32" s="1" t="e">
        <v>#REF!</v>
      </c>
      <c r="BB32" s="1" t="e">
        <v>#REF!</v>
      </c>
    </row>
    <row r="33" spans="2:54" ht="17.5">
      <c r="B33" s="629"/>
      <c r="C33" s="61"/>
      <c r="D33" s="629"/>
      <c r="E33" s="629"/>
      <c r="F33" s="629"/>
      <c r="G33" s="629"/>
      <c r="H33" s="629"/>
      <c r="I33" s="629"/>
      <c r="J33" s="630"/>
      <c r="K33" s="629"/>
      <c r="L33" s="630"/>
      <c r="M33" s="629"/>
      <c r="N33" s="629"/>
      <c r="O33" s="629"/>
      <c r="P33" s="63"/>
      <c r="Q33" s="161"/>
      <c r="AM33" s="1" t="e">
        <v>#REF!</v>
      </c>
      <c r="AN33" s="1" t="e">
        <v>#REF!</v>
      </c>
      <c r="AO33" s="1" t="e">
        <v>#REF!</v>
      </c>
      <c r="AP33" s="1" t="e">
        <v>#REF!</v>
      </c>
      <c r="AQ33" s="1" t="e">
        <v>#REF!</v>
      </c>
      <c r="AR33" s="1" t="e">
        <v>#REF!</v>
      </c>
      <c r="AS33" s="1" t="e">
        <v>#REF!</v>
      </c>
      <c r="AT33" s="2" t="e">
        <v>#REF!</v>
      </c>
      <c r="AU33" s="1" t="e">
        <v>#REF!</v>
      </c>
      <c r="AV33" s="2" t="e">
        <v>#REF!</v>
      </c>
      <c r="AW33" s="1" t="e">
        <v>#REF!</v>
      </c>
      <c r="AX33" s="1" t="e">
        <v>#REF!</v>
      </c>
      <c r="AY33" s="1" t="e">
        <v>#REF!</v>
      </c>
      <c r="AZ33" s="1" t="e">
        <v>#REF!</v>
      </c>
      <c r="BA33" s="1" t="e">
        <v>#REF!</v>
      </c>
      <c r="BB33" s="1" t="e">
        <v>#REF!</v>
      </c>
    </row>
    <row r="34" spans="2:54" ht="17.5">
      <c r="B34" s="629"/>
      <c r="C34" s="631"/>
      <c r="D34" s="629"/>
      <c r="E34" s="629"/>
      <c r="F34" s="629"/>
      <c r="G34" s="629"/>
      <c r="H34" s="629"/>
      <c r="I34" s="629"/>
      <c r="J34" s="630"/>
      <c r="K34" s="629"/>
      <c r="L34" s="630"/>
      <c r="M34" s="629"/>
      <c r="N34" s="629"/>
      <c r="O34" s="629"/>
      <c r="P34" s="63"/>
      <c r="Q34" s="161"/>
      <c r="AM34" s="1" t="e">
        <v>#REF!</v>
      </c>
      <c r="AN34" s="1" t="e">
        <v>#REF!</v>
      </c>
      <c r="AO34" s="1" t="e">
        <v>#REF!</v>
      </c>
      <c r="AP34" s="1" t="e">
        <v>#REF!</v>
      </c>
      <c r="AQ34" s="1" t="e">
        <v>#REF!</v>
      </c>
      <c r="AR34" s="1" t="e">
        <v>#REF!</v>
      </c>
      <c r="AS34" s="1" t="e">
        <v>#REF!</v>
      </c>
      <c r="AT34" s="2" t="e">
        <v>#REF!</v>
      </c>
      <c r="AU34" s="1" t="e">
        <v>#REF!</v>
      </c>
      <c r="AV34" s="2" t="e">
        <v>#REF!</v>
      </c>
      <c r="AW34" s="1" t="e">
        <v>#REF!</v>
      </c>
      <c r="AX34" s="1" t="e">
        <v>#REF!</v>
      </c>
      <c r="AY34" s="1" t="e">
        <v>#REF!</v>
      </c>
      <c r="AZ34" s="1" t="e">
        <v>#REF!</v>
      </c>
      <c r="BA34" s="1" t="e">
        <v>#REF!</v>
      </c>
      <c r="BB34" s="1" t="e">
        <v>#REF!</v>
      </c>
    </row>
    <row r="35" spans="2:54" ht="17.5">
      <c r="B35" s="629"/>
      <c r="C35" s="61"/>
      <c r="D35" s="629"/>
      <c r="E35" s="629"/>
      <c r="F35" s="629"/>
      <c r="G35" s="629"/>
      <c r="H35" s="629"/>
      <c r="I35" s="629"/>
      <c r="J35" s="630"/>
      <c r="K35" s="629"/>
      <c r="L35" s="630"/>
      <c r="M35" s="629"/>
      <c r="N35" s="629"/>
      <c r="O35" s="629"/>
      <c r="P35" s="63"/>
      <c r="Q35" s="161"/>
      <c r="AM35" s="1" t="e">
        <v>#REF!</v>
      </c>
      <c r="AN35" s="1" t="e">
        <v>#REF!</v>
      </c>
      <c r="AO35" s="1" t="e">
        <v>#REF!</v>
      </c>
      <c r="AP35" s="1" t="e">
        <v>#REF!</v>
      </c>
      <c r="AQ35" s="1" t="e">
        <v>#REF!</v>
      </c>
      <c r="AR35" s="1" t="e">
        <v>#REF!</v>
      </c>
      <c r="AS35" s="1" t="e">
        <v>#REF!</v>
      </c>
      <c r="AT35" s="2" t="e">
        <v>#REF!</v>
      </c>
      <c r="AU35" s="1" t="e">
        <v>#REF!</v>
      </c>
      <c r="AV35" s="2" t="e">
        <v>#REF!</v>
      </c>
      <c r="AW35" s="1" t="e">
        <v>#REF!</v>
      </c>
      <c r="AX35" s="1" t="e">
        <v>#REF!</v>
      </c>
      <c r="AY35" s="1" t="e">
        <v>#REF!</v>
      </c>
      <c r="AZ35" s="1" t="e">
        <v>#REF!</v>
      </c>
      <c r="BA35" s="1" t="e">
        <v>#REF!</v>
      </c>
      <c r="BB35" s="1" t="e">
        <v>#REF!</v>
      </c>
    </row>
    <row r="36" spans="2:54" ht="17.5">
      <c r="B36" s="629"/>
      <c r="C36" s="61"/>
      <c r="D36" s="629"/>
      <c r="E36" s="629"/>
      <c r="F36" s="629"/>
      <c r="G36" s="629"/>
      <c r="H36" s="629"/>
      <c r="I36" s="629"/>
      <c r="J36" s="630"/>
      <c r="K36" s="629"/>
      <c r="L36" s="630"/>
      <c r="M36" s="629"/>
      <c r="N36" s="629"/>
      <c r="O36" s="629"/>
      <c r="P36" s="63"/>
      <c r="Q36" s="161"/>
      <c r="AM36" s="1" t="e">
        <v>#REF!</v>
      </c>
      <c r="AN36" s="1" t="e">
        <v>#REF!</v>
      </c>
      <c r="AO36" s="1" t="e">
        <v>#REF!</v>
      </c>
      <c r="AP36" s="1" t="e">
        <v>#REF!</v>
      </c>
      <c r="AQ36" s="1" t="e">
        <v>#REF!</v>
      </c>
      <c r="AR36" s="1" t="e">
        <v>#REF!</v>
      </c>
      <c r="AS36" s="1" t="e">
        <v>#REF!</v>
      </c>
      <c r="AT36" s="2" t="e">
        <v>#REF!</v>
      </c>
      <c r="AU36" s="1" t="e">
        <v>#REF!</v>
      </c>
      <c r="AV36" s="2" t="e">
        <v>#REF!</v>
      </c>
      <c r="AW36" s="1" t="e">
        <v>#REF!</v>
      </c>
      <c r="AX36" s="1" t="e">
        <v>#REF!</v>
      </c>
      <c r="AY36" s="1" t="e">
        <v>#REF!</v>
      </c>
      <c r="AZ36" s="1" t="e">
        <v>#REF!</v>
      </c>
      <c r="BA36" s="1" t="e">
        <v>#REF!</v>
      </c>
      <c r="BB36" s="1" t="e">
        <v>#REF!</v>
      </c>
    </row>
    <row r="37" spans="2:54" ht="17.5">
      <c r="B37" s="629"/>
      <c r="C37" s="61"/>
      <c r="D37" s="629"/>
      <c r="E37" s="629"/>
      <c r="F37" s="629"/>
      <c r="G37" s="629"/>
      <c r="H37" s="629"/>
      <c r="I37" s="629"/>
      <c r="J37" s="630"/>
      <c r="K37" s="629"/>
      <c r="L37" s="630"/>
      <c r="M37" s="629"/>
      <c r="N37" s="629"/>
      <c r="O37" s="629"/>
      <c r="P37" s="63"/>
      <c r="Q37" s="161"/>
      <c r="AM37" s="1" t="e">
        <v>#REF!</v>
      </c>
      <c r="AN37" s="1" t="e">
        <v>#REF!</v>
      </c>
      <c r="AO37" s="1" t="e">
        <v>#REF!</v>
      </c>
      <c r="AP37" s="1" t="e">
        <v>#REF!</v>
      </c>
      <c r="AQ37" s="1" t="e">
        <v>#REF!</v>
      </c>
      <c r="AR37" s="1" t="e">
        <v>#REF!</v>
      </c>
      <c r="AS37" s="1" t="e">
        <v>#REF!</v>
      </c>
      <c r="AT37" s="2" t="e">
        <v>#REF!</v>
      </c>
      <c r="AU37" s="1" t="e">
        <v>#REF!</v>
      </c>
      <c r="AV37" s="2" t="e">
        <v>#REF!</v>
      </c>
      <c r="AW37" s="1" t="e">
        <v>#REF!</v>
      </c>
      <c r="AX37" s="1" t="e">
        <v>#REF!</v>
      </c>
      <c r="AY37" s="1" t="e">
        <v>#REF!</v>
      </c>
      <c r="AZ37" s="1" t="e">
        <v>#REF!</v>
      </c>
      <c r="BA37" s="1" t="e">
        <v>#REF!</v>
      </c>
      <c r="BB37" s="1" t="e">
        <v>#REF!</v>
      </c>
    </row>
    <row r="38" spans="2:54" ht="17.5">
      <c r="B38" s="629"/>
      <c r="C38" s="61"/>
      <c r="D38" s="629"/>
      <c r="E38" s="629"/>
      <c r="F38" s="629"/>
      <c r="G38" s="629"/>
      <c r="H38" s="629"/>
      <c r="I38" s="629"/>
      <c r="J38" s="630"/>
      <c r="K38" s="629"/>
      <c r="L38" s="630"/>
      <c r="M38" s="629"/>
      <c r="N38" s="629"/>
      <c r="O38" s="629"/>
      <c r="P38" s="63"/>
      <c r="Q38" s="161"/>
      <c r="AM38" s="1" t="e">
        <v>#REF!</v>
      </c>
      <c r="AN38" s="1" t="e">
        <v>#REF!</v>
      </c>
      <c r="AO38" s="1" t="e">
        <v>#REF!</v>
      </c>
      <c r="AP38" s="1" t="e">
        <v>#REF!</v>
      </c>
      <c r="AQ38" s="1" t="e">
        <v>#REF!</v>
      </c>
      <c r="AR38" s="1" t="e">
        <v>#REF!</v>
      </c>
      <c r="AS38" s="1" t="e">
        <v>#REF!</v>
      </c>
      <c r="AT38" s="2" t="e">
        <v>#REF!</v>
      </c>
      <c r="AU38" s="1" t="e">
        <v>#REF!</v>
      </c>
      <c r="AV38" s="2" t="e">
        <v>#REF!</v>
      </c>
      <c r="AW38" s="1" t="e">
        <v>#REF!</v>
      </c>
      <c r="AX38" s="1" t="e">
        <v>#REF!</v>
      </c>
      <c r="AY38" s="1" t="e">
        <v>#REF!</v>
      </c>
      <c r="AZ38" s="1" t="e">
        <v>#REF!</v>
      </c>
      <c r="BA38" s="1" t="e">
        <v>#REF!</v>
      </c>
      <c r="BB38" s="1" t="e">
        <v>#REF!</v>
      </c>
    </row>
    <row r="39" spans="2:54" ht="17.5">
      <c r="B39" s="629"/>
      <c r="C39" s="61"/>
      <c r="D39" s="629"/>
      <c r="E39" s="629"/>
      <c r="F39" s="629"/>
      <c r="G39" s="629"/>
      <c r="H39" s="629"/>
      <c r="I39" s="629"/>
      <c r="J39" s="630"/>
      <c r="K39" s="629"/>
      <c r="L39" s="630"/>
      <c r="M39" s="629"/>
      <c r="N39" s="629"/>
      <c r="O39" s="629"/>
      <c r="P39" s="63"/>
      <c r="Q39" s="161"/>
      <c r="AM39" s="1" t="e">
        <v>#REF!</v>
      </c>
      <c r="AN39" s="1" t="e">
        <v>#REF!</v>
      </c>
      <c r="AO39" s="1" t="e">
        <v>#REF!</v>
      </c>
      <c r="AP39" s="1" t="e">
        <v>#REF!</v>
      </c>
      <c r="AQ39" s="1" t="e">
        <v>#REF!</v>
      </c>
      <c r="AR39" s="1" t="e">
        <v>#REF!</v>
      </c>
      <c r="AS39" s="1" t="e">
        <v>#REF!</v>
      </c>
      <c r="AT39" s="2" t="e">
        <v>#REF!</v>
      </c>
      <c r="AU39" s="1" t="e">
        <v>#REF!</v>
      </c>
      <c r="AV39" s="2" t="e">
        <v>#REF!</v>
      </c>
      <c r="AW39" s="1" t="e">
        <v>#REF!</v>
      </c>
      <c r="AX39" s="1" t="e">
        <v>#REF!</v>
      </c>
      <c r="AY39" s="1" t="e">
        <v>#REF!</v>
      </c>
      <c r="AZ39" s="1" t="e">
        <v>#REF!</v>
      </c>
      <c r="BA39" s="1" t="e">
        <v>#REF!</v>
      </c>
      <c r="BB39" s="1" t="e">
        <v>#REF!</v>
      </c>
    </row>
    <row r="40" spans="2:54" ht="17.5">
      <c r="B40" s="629"/>
      <c r="C40" s="61"/>
      <c r="D40" s="629"/>
      <c r="E40" s="629"/>
      <c r="F40" s="629"/>
      <c r="G40" s="629"/>
      <c r="H40" s="629"/>
      <c r="I40" s="629"/>
      <c r="J40" s="630"/>
      <c r="K40" s="629"/>
      <c r="L40" s="630"/>
      <c r="M40" s="629"/>
      <c r="N40" s="629"/>
      <c r="O40" s="629"/>
      <c r="P40" s="63"/>
      <c r="Q40" s="161"/>
      <c r="AM40" s="1" t="e">
        <v>#REF!</v>
      </c>
      <c r="AN40" s="1" t="e">
        <v>#REF!</v>
      </c>
      <c r="AO40" s="1" t="e">
        <v>#REF!</v>
      </c>
      <c r="AP40" s="1" t="e">
        <v>#REF!</v>
      </c>
      <c r="AQ40" s="1" t="e">
        <v>#REF!</v>
      </c>
      <c r="AR40" s="1" t="e">
        <v>#REF!</v>
      </c>
      <c r="AS40" s="1" t="e">
        <v>#REF!</v>
      </c>
      <c r="AT40" s="2" t="e">
        <v>#REF!</v>
      </c>
      <c r="AU40" s="1" t="e">
        <v>#REF!</v>
      </c>
      <c r="AV40" s="2" t="e">
        <v>#REF!</v>
      </c>
      <c r="AW40" s="1" t="e">
        <v>#REF!</v>
      </c>
      <c r="AX40" s="1" t="e">
        <v>#REF!</v>
      </c>
      <c r="AY40" s="1" t="e">
        <v>#REF!</v>
      </c>
      <c r="AZ40" s="1" t="e">
        <v>#REF!</v>
      </c>
      <c r="BA40" s="1" t="e">
        <v>#REF!</v>
      </c>
      <c r="BB40" s="1" t="e">
        <v>#REF!</v>
      </c>
    </row>
    <row r="41" spans="2:54" ht="17.5">
      <c r="B41" s="629"/>
      <c r="C41" s="61"/>
      <c r="D41" s="629"/>
      <c r="E41" s="629"/>
      <c r="F41" s="629"/>
      <c r="G41" s="629"/>
      <c r="H41" s="629"/>
      <c r="I41" s="629"/>
      <c r="J41" s="630"/>
      <c r="K41" s="629"/>
      <c r="L41" s="630"/>
      <c r="M41" s="629"/>
      <c r="N41" s="629"/>
      <c r="O41" s="629"/>
      <c r="P41" s="63"/>
      <c r="Q41" s="161"/>
      <c r="AM41" s="1" t="e">
        <v>#REF!</v>
      </c>
      <c r="AN41" s="1" t="e">
        <v>#REF!</v>
      </c>
      <c r="AO41" s="1" t="e">
        <v>#REF!</v>
      </c>
      <c r="AP41" s="1" t="e">
        <v>#REF!</v>
      </c>
      <c r="AQ41" s="1" t="e">
        <v>#REF!</v>
      </c>
      <c r="AR41" s="1" t="e">
        <v>#REF!</v>
      </c>
      <c r="AS41" s="1" t="e">
        <v>#REF!</v>
      </c>
      <c r="AT41" s="2" t="e">
        <v>#REF!</v>
      </c>
      <c r="AU41" s="1" t="e">
        <v>#REF!</v>
      </c>
      <c r="AV41" s="2" t="e">
        <v>#REF!</v>
      </c>
      <c r="AW41" s="1" t="e">
        <v>#REF!</v>
      </c>
      <c r="AX41" s="1" t="e">
        <v>#REF!</v>
      </c>
      <c r="AY41" s="1" t="e">
        <v>#REF!</v>
      </c>
      <c r="AZ41" s="1" t="e">
        <v>#REF!</v>
      </c>
      <c r="BA41" s="1" t="e">
        <v>#REF!</v>
      </c>
      <c r="BB41" s="1" t="e">
        <v>#REF!</v>
      </c>
    </row>
    <row r="42" spans="2:54" ht="17.5">
      <c r="B42" s="629"/>
      <c r="C42" s="61"/>
      <c r="D42" s="629"/>
      <c r="E42" s="629"/>
      <c r="F42" s="629"/>
      <c r="G42" s="629"/>
      <c r="H42" s="629"/>
      <c r="I42" s="629"/>
      <c r="J42" s="630"/>
      <c r="K42" s="629"/>
      <c r="L42" s="630"/>
      <c r="M42" s="629"/>
      <c r="N42" s="629"/>
      <c r="O42" s="629"/>
      <c r="P42" s="63"/>
      <c r="Q42" s="161"/>
      <c r="AM42" s="1" t="e">
        <v>#REF!</v>
      </c>
      <c r="AN42" s="1" t="e">
        <v>#REF!</v>
      </c>
      <c r="AO42" s="1" t="e">
        <v>#REF!</v>
      </c>
      <c r="AP42" s="1" t="e">
        <v>#REF!</v>
      </c>
      <c r="AQ42" s="1" t="e">
        <v>#REF!</v>
      </c>
      <c r="AR42" s="1" t="e">
        <v>#REF!</v>
      </c>
      <c r="AS42" s="1" t="e">
        <v>#REF!</v>
      </c>
      <c r="AT42" s="2" t="e">
        <v>#REF!</v>
      </c>
      <c r="AU42" s="1" t="e">
        <v>#REF!</v>
      </c>
      <c r="AV42" s="2" t="e">
        <v>#REF!</v>
      </c>
      <c r="AW42" s="1" t="e">
        <v>#REF!</v>
      </c>
      <c r="AX42" s="1" t="e">
        <v>#REF!</v>
      </c>
      <c r="AY42" s="1" t="e">
        <v>#REF!</v>
      </c>
      <c r="AZ42" s="1" t="e">
        <v>#REF!</v>
      </c>
      <c r="BA42" s="1" t="e">
        <v>#REF!</v>
      </c>
      <c r="BB42" s="1" t="e">
        <v>#REF!</v>
      </c>
    </row>
    <row r="43" spans="2:54" ht="17.5">
      <c r="B43" s="629"/>
      <c r="C43" s="61"/>
      <c r="D43" s="629"/>
      <c r="E43" s="629"/>
      <c r="F43" s="629"/>
      <c r="G43" s="629"/>
      <c r="H43" s="629"/>
      <c r="I43" s="629"/>
      <c r="J43" s="630"/>
      <c r="K43" s="629"/>
      <c r="L43" s="630"/>
      <c r="M43" s="629"/>
      <c r="N43" s="629"/>
      <c r="O43" s="629"/>
      <c r="P43" s="63"/>
      <c r="Q43" s="161"/>
      <c r="AM43" s="1" t="e">
        <v>#REF!</v>
      </c>
      <c r="AN43" s="1" t="e">
        <v>#REF!</v>
      </c>
      <c r="AO43" s="1" t="e">
        <v>#REF!</v>
      </c>
      <c r="AP43" s="1" t="e">
        <v>#REF!</v>
      </c>
      <c r="AQ43" s="1" t="e">
        <v>#REF!</v>
      </c>
      <c r="AR43" s="1" t="e">
        <v>#REF!</v>
      </c>
      <c r="AS43" s="1" t="e">
        <v>#REF!</v>
      </c>
      <c r="AT43" s="2" t="e">
        <v>#REF!</v>
      </c>
      <c r="AU43" s="1" t="e">
        <v>#REF!</v>
      </c>
      <c r="AV43" s="2" t="e">
        <v>#REF!</v>
      </c>
      <c r="AW43" s="1" t="e">
        <v>#REF!</v>
      </c>
      <c r="AX43" s="1" t="e">
        <v>#REF!</v>
      </c>
      <c r="AY43" s="1" t="e">
        <v>#REF!</v>
      </c>
      <c r="AZ43" s="1" t="e">
        <v>#REF!</v>
      </c>
      <c r="BA43" s="1" t="e">
        <v>#REF!</v>
      </c>
      <c r="BB43" s="1" t="e">
        <v>#REF!</v>
      </c>
    </row>
    <row r="44" spans="2:54" ht="17.5">
      <c r="B44" s="629"/>
      <c r="C44" s="61"/>
      <c r="D44" s="629"/>
      <c r="E44" s="629"/>
      <c r="F44" s="629"/>
      <c r="G44" s="629"/>
      <c r="H44" s="629"/>
      <c r="I44" s="629"/>
      <c r="J44" s="630"/>
      <c r="K44" s="629"/>
      <c r="L44" s="630"/>
      <c r="M44" s="629"/>
      <c r="N44" s="629"/>
      <c r="O44" s="629"/>
      <c r="P44" s="63"/>
      <c r="Q44" s="161"/>
      <c r="AM44" s="1" t="e">
        <v>#REF!</v>
      </c>
      <c r="AN44" s="1" t="e">
        <v>#REF!</v>
      </c>
      <c r="AO44" s="1" t="e">
        <v>#REF!</v>
      </c>
      <c r="AP44" s="1" t="e">
        <v>#REF!</v>
      </c>
      <c r="AQ44" s="1" t="e">
        <v>#REF!</v>
      </c>
      <c r="AR44" s="1" t="e">
        <v>#REF!</v>
      </c>
      <c r="AS44" s="1" t="e">
        <v>#REF!</v>
      </c>
      <c r="AT44" s="2" t="e">
        <v>#REF!</v>
      </c>
      <c r="AU44" s="1" t="e">
        <v>#REF!</v>
      </c>
      <c r="AV44" s="2" t="e">
        <v>#REF!</v>
      </c>
      <c r="AW44" s="1" t="e">
        <v>#REF!</v>
      </c>
      <c r="AX44" s="1" t="e">
        <v>#REF!</v>
      </c>
      <c r="AY44" s="1" t="e">
        <v>#REF!</v>
      </c>
      <c r="AZ44" s="1" t="e">
        <v>#REF!</v>
      </c>
      <c r="BA44" s="1" t="e">
        <v>#REF!</v>
      </c>
      <c r="BB44" s="1" t="e">
        <v>#REF!</v>
      </c>
    </row>
    <row r="45" spans="2:54" ht="17.5">
      <c r="B45" s="629"/>
      <c r="C45" s="61"/>
      <c r="D45" s="629"/>
      <c r="E45" s="629"/>
      <c r="F45" s="629"/>
      <c r="G45" s="629"/>
      <c r="H45" s="629"/>
      <c r="I45" s="629"/>
      <c r="J45" s="630"/>
      <c r="K45" s="629"/>
      <c r="L45" s="630"/>
      <c r="M45" s="629"/>
      <c r="N45" s="629"/>
      <c r="O45" s="629"/>
      <c r="P45" s="63"/>
      <c r="Q45" s="161"/>
      <c r="AM45" s="1" t="e">
        <v>#REF!</v>
      </c>
      <c r="AN45" s="1" t="e">
        <v>#REF!</v>
      </c>
      <c r="AO45" s="1" t="e">
        <v>#REF!</v>
      </c>
      <c r="AP45" s="1" t="e">
        <v>#REF!</v>
      </c>
      <c r="AQ45" s="1" t="e">
        <v>#REF!</v>
      </c>
      <c r="AR45" s="1" t="e">
        <v>#REF!</v>
      </c>
      <c r="AS45" s="1" t="e">
        <v>#REF!</v>
      </c>
      <c r="AT45" s="2" t="e">
        <v>#REF!</v>
      </c>
      <c r="AU45" s="1" t="e">
        <v>#REF!</v>
      </c>
      <c r="AV45" s="2" t="e">
        <v>#REF!</v>
      </c>
      <c r="AW45" s="1" t="e">
        <v>#REF!</v>
      </c>
      <c r="AX45" s="1" t="e">
        <v>#REF!</v>
      </c>
      <c r="AY45" s="1" t="e">
        <v>#REF!</v>
      </c>
      <c r="AZ45" s="1" t="e">
        <v>#REF!</v>
      </c>
      <c r="BA45" s="1" t="e">
        <v>#REF!</v>
      </c>
      <c r="BB45" s="1" t="e">
        <v>#REF!</v>
      </c>
    </row>
    <row r="46" spans="2:54" ht="17.5">
      <c r="B46" s="629"/>
      <c r="C46" s="61"/>
      <c r="D46" s="629"/>
      <c r="E46" s="629"/>
      <c r="F46" s="629"/>
      <c r="G46" s="629"/>
      <c r="H46" s="629"/>
      <c r="I46" s="629"/>
      <c r="J46" s="630"/>
      <c r="K46" s="629"/>
      <c r="L46" s="630"/>
      <c r="M46" s="629"/>
      <c r="N46" s="629"/>
      <c r="O46" s="629"/>
      <c r="P46" s="63"/>
      <c r="Q46" s="161"/>
      <c r="AM46" s="1" t="e">
        <v>#REF!</v>
      </c>
      <c r="AN46" s="1" t="e">
        <v>#REF!</v>
      </c>
      <c r="AO46" s="1" t="e">
        <v>#REF!</v>
      </c>
      <c r="AP46" s="1" t="e">
        <v>#REF!</v>
      </c>
      <c r="AQ46" s="1" t="e">
        <v>#REF!</v>
      </c>
      <c r="AR46" s="1" t="e">
        <v>#REF!</v>
      </c>
      <c r="AS46" s="1" t="e">
        <v>#REF!</v>
      </c>
      <c r="AT46" s="2" t="e">
        <v>#REF!</v>
      </c>
      <c r="AU46" s="1" t="e">
        <v>#REF!</v>
      </c>
      <c r="AV46" s="2" t="e">
        <v>#REF!</v>
      </c>
      <c r="AW46" s="1" t="e">
        <v>#REF!</v>
      </c>
      <c r="AX46" s="1" t="e">
        <v>#REF!</v>
      </c>
      <c r="AY46" s="1" t="e">
        <v>#REF!</v>
      </c>
      <c r="AZ46" s="1" t="e">
        <v>#REF!</v>
      </c>
      <c r="BA46" s="1" t="e">
        <v>#REF!</v>
      </c>
      <c r="BB46" s="1" t="e">
        <v>#REF!</v>
      </c>
    </row>
    <row r="47" spans="2:54" ht="17.5">
      <c r="B47" s="629"/>
      <c r="C47" s="172"/>
      <c r="D47" s="131"/>
      <c r="E47" s="629"/>
      <c r="F47" s="629"/>
      <c r="G47" s="629"/>
      <c r="H47" s="629"/>
      <c r="I47" s="629"/>
      <c r="J47" s="630"/>
      <c r="K47" s="629"/>
      <c r="L47" s="630"/>
      <c r="M47" s="629"/>
      <c r="N47" s="629"/>
      <c r="O47" s="629"/>
      <c r="P47" s="63"/>
      <c r="Q47" s="161"/>
      <c r="AM47" s="1" t="e">
        <v>#REF!</v>
      </c>
      <c r="AN47" s="1" t="e">
        <v>#REF!</v>
      </c>
      <c r="AO47" s="1" t="e">
        <v>#REF!</v>
      </c>
      <c r="AP47" s="1" t="e">
        <v>#REF!</v>
      </c>
      <c r="AQ47" s="1" t="e">
        <v>#REF!</v>
      </c>
      <c r="AR47" s="1" t="e">
        <v>#REF!</v>
      </c>
      <c r="AS47" s="1" t="e">
        <v>#REF!</v>
      </c>
      <c r="AT47" s="2" t="e">
        <v>#REF!</v>
      </c>
      <c r="AU47" s="1" t="e">
        <v>#REF!</v>
      </c>
      <c r="AV47" s="2" t="e">
        <v>#REF!</v>
      </c>
      <c r="AW47" s="1" t="e">
        <v>#REF!</v>
      </c>
      <c r="AX47" s="1" t="e">
        <v>#REF!</v>
      </c>
      <c r="AY47" s="1" t="e">
        <v>#REF!</v>
      </c>
      <c r="AZ47" s="1" t="e">
        <v>#REF!</v>
      </c>
      <c r="BA47" s="1" t="e">
        <v>#REF!</v>
      </c>
      <c r="BB47" s="1" t="e">
        <v>#REF!</v>
      </c>
    </row>
    <row r="48" spans="2:54" ht="17.5">
      <c r="B48" s="629"/>
      <c r="C48" s="61"/>
      <c r="D48" s="629"/>
      <c r="E48" s="629"/>
      <c r="F48" s="629"/>
      <c r="G48" s="629"/>
      <c r="H48" s="629"/>
      <c r="I48" s="629"/>
      <c r="J48" s="630"/>
      <c r="K48" s="629"/>
      <c r="L48" s="630"/>
      <c r="M48" s="629"/>
      <c r="N48" s="629"/>
      <c r="O48" s="629"/>
      <c r="P48" s="63"/>
      <c r="Q48" s="161"/>
      <c r="AM48" s="1" t="e">
        <v>#REF!</v>
      </c>
      <c r="AN48" s="1" t="e">
        <v>#REF!</v>
      </c>
      <c r="AO48" s="1" t="e">
        <v>#REF!</v>
      </c>
      <c r="AP48" s="1" t="e">
        <v>#REF!</v>
      </c>
      <c r="AQ48" s="1" t="e">
        <v>#REF!</v>
      </c>
      <c r="AR48" s="1" t="e">
        <v>#REF!</v>
      </c>
      <c r="AS48" s="1" t="e">
        <v>#REF!</v>
      </c>
      <c r="AT48" s="2" t="e">
        <v>#REF!</v>
      </c>
      <c r="AU48" s="1" t="e">
        <v>#REF!</v>
      </c>
      <c r="AV48" s="2" t="e">
        <v>#REF!</v>
      </c>
      <c r="AW48" s="1" t="e">
        <v>#REF!</v>
      </c>
      <c r="AX48" s="1" t="e">
        <v>#REF!</v>
      </c>
      <c r="AY48" s="1" t="e">
        <v>#REF!</v>
      </c>
      <c r="AZ48" s="1" t="e">
        <v>#REF!</v>
      </c>
      <c r="BA48" s="1" t="e">
        <v>#REF!</v>
      </c>
      <c r="BB48" s="1" t="e">
        <v>#REF!</v>
      </c>
    </row>
    <row r="49" spans="2:54" ht="17.5">
      <c r="B49" s="629"/>
      <c r="C49" s="61"/>
      <c r="D49" s="629"/>
      <c r="E49" s="629"/>
      <c r="F49" s="629"/>
      <c r="G49" s="629"/>
      <c r="H49" s="629"/>
      <c r="I49" s="629"/>
      <c r="J49" s="630"/>
      <c r="K49" s="629"/>
      <c r="L49" s="630"/>
      <c r="M49" s="629"/>
      <c r="N49" s="629"/>
      <c r="O49" s="629"/>
      <c r="P49" s="63"/>
      <c r="Q49" s="161"/>
      <c r="AM49" s="1" t="e">
        <v>#REF!</v>
      </c>
      <c r="AN49" s="1" t="e">
        <v>#REF!</v>
      </c>
      <c r="AO49" s="1" t="e">
        <v>#REF!</v>
      </c>
      <c r="AP49" s="1" t="e">
        <v>#REF!</v>
      </c>
      <c r="AQ49" s="1" t="e">
        <v>#REF!</v>
      </c>
      <c r="AR49" s="1" t="e">
        <v>#REF!</v>
      </c>
      <c r="AS49" s="1" t="e">
        <v>#REF!</v>
      </c>
      <c r="AT49" s="2" t="e">
        <v>#REF!</v>
      </c>
      <c r="AU49" s="1" t="e">
        <v>#REF!</v>
      </c>
      <c r="AV49" s="2" t="e">
        <v>#REF!</v>
      </c>
      <c r="AW49" s="1" t="e">
        <v>#REF!</v>
      </c>
      <c r="AX49" s="1" t="e">
        <v>#REF!</v>
      </c>
      <c r="AY49" s="1" t="e">
        <v>#REF!</v>
      </c>
      <c r="AZ49" s="1" t="e">
        <v>#REF!</v>
      </c>
      <c r="BA49" s="1" t="e">
        <v>#REF!</v>
      </c>
      <c r="BB49" s="1" t="e">
        <v>#REF!</v>
      </c>
    </row>
    <row r="50" spans="2:54" ht="17.5">
      <c r="B50" s="629"/>
      <c r="C50" s="61"/>
      <c r="D50" s="629"/>
      <c r="E50" s="629"/>
      <c r="F50" s="629"/>
      <c r="G50" s="629"/>
      <c r="H50" s="629"/>
      <c r="I50" s="629"/>
      <c r="J50" s="630"/>
      <c r="K50" s="629"/>
      <c r="L50" s="630"/>
      <c r="M50" s="629"/>
      <c r="N50" s="629"/>
      <c r="O50" s="629"/>
      <c r="P50" s="63"/>
      <c r="Q50" s="161"/>
      <c r="AM50" s="1" t="e">
        <v>#REF!</v>
      </c>
      <c r="AN50" s="1" t="e">
        <v>#REF!</v>
      </c>
      <c r="AO50" s="1" t="e">
        <v>#REF!</v>
      </c>
      <c r="AP50" s="1" t="e">
        <v>#REF!</v>
      </c>
      <c r="AQ50" s="1" t="e">
        <v>#REF!</v>
      </c>
      <c r="AR50" s="1" t="e">
        <v>#REF!</v>
      </c>
      <c r="AS50" s="1" t="e">
        <v>#REF!</v>
      </c>
      <c r="AT50" s="2" t="e">
        <v>#REF!</v>
      </c>
      <c r="AU50" s="1" t="e">
        <v>#REF!</v>
      </c>
      <c r="AV50" s="2" t="e">
        <v>#REF!</v>
      </c>
      <c r="AW50" s="1" t="e">
        <v>#REF!</v>
      </c>
      <c r="AX50" s="1" t="e">
        <v>#REF!</v>
      </c>
      <c r="AY50" s="1" t="e">
        <v>#REF!</v>
      </c>
      <c r="AZ50" s="1" t="e">
        <v>#REF!</v>
      </c>
      <c r="BA50" s="1" t="e">
        <v>#REF!</v>
      </c>
      <c r="BB50" s="1" t="e">
        <v>#REF!</v>
      </c>
    </row>
    <row r="51" spans="2:54" ht="17.5">
      <c r="B51" s="629"/>
      <c r="C51" s="61"/>
      <c r="D51" s="629"/>
      <c r="E51" s="629"/>
      <c r="F51" s="629"/>
      <c r="G51" s="629"/>
      <c r="H51" s="629"/>
      <c r="I51" s="629"/>
      <c r="J51" s="630"/>
      <c r="K51" s="629"/>
      <c r="L51" s="630"/>
      <c r="M51" s="629"/>
      <c r="N51" s="629"/>
      <c r="O51" s="629"/>
      <c r="P51" s="63"/>
      <c r="Q51" s="161"/>
      <c r="AM51" s="1" t="e">
        <v>#REF!</v>
      </c>
      <c r="AN51" s="1" t="e">
        <v>#REF!</v>
      </c>
      <c r="AO51" s="1" t="e">
        <v>#REF!</v>
      </c>
      <c r="AP51" s="1" t="e">
        <v>#REF!</v>
      </c>
      <c r="AQ51" s="1" t="e">
        <v>#REF!</v>
      </c>
      <c r="AR51" s="1" t="e">
        <v>#REF!</v>
      </c>
      <c r="AS51" s="1" t="e">
        <v>#REF!</v>
      </c>
      <c r="AT51" s="2" t="e">
        <v>#REF!</v>
      </c>
      <c r="AU51" s="1" t="e">
        <v>#REF!</v>
      </c>
      <c r="AV51" s="2" t="e">
        <v>#REF!</v>
      </c>
      <c r="AW51" s="1" t="e">
        <v>#REF!</v>
      </c>
      <c r="AX51" s="1" t="e">
        <v>#REF!</v>
      </c>
      <c r="AY51" s="1" t="e">
        <v>#REF!</v>
      </c>
      <c r="AZ51" s="1" t="e">
        <v>#REF!</v>
      </c>
      <c r="BA51" s="1" t="e">
        <v>#REF!</v>
      </c>
      <c r="BB51" s="1" t="e">
        <v>#REF!</v>
      </c>
    </row>
    <row r="52" spans="2:54" ht="17.5">
      <c r="B52" s="629"/>
      <c r="C52" s="631"/>
      <c r="D52" s="629"/>
      <c r="E52" s="629"/>
      <c r="F52" s="629"/>
      <c r="G52" s="629"/>
      <c r="H52" s="629"/>
      <c r="I52" s="629"/>
      <c r="J52" s="630"/>
      <c r="K52" s="629"/>
      <c r="L52" s="630"/>
      <c r="M52" s="629"/>
      <c r="N52" s="629"/>
      <c r="O52" s="629"/>
      <c r="P52" s="63"/>
      <c r="Q52" s="161"/>
      <c r="AM52" s="1" t="e">
        <v>#REF!</v>
      </c>
      <c r="AN52" s="1" t="e">
        <v>#REF!</v>
      </c>
      <c r="AO52" s="1" t="e">
        <v>#REF!</v>
      </c>
      <c r="AP52" s="1" t="e">
        <v>#REF!</v>
      </c>
      <c r="AQ52" s="1" t="e">
        <v>#REF!</v>
      </c>
      <c r="AR52" s="1" t="e">
        <v>#REF!</v>
      </c>
      <c r="AS52" s="1" t="e">
        <v>#REF!</v>
      </c>
      <c r="AT52" s="2" t="e">
        <v>#REF!</v>
      </c>
      <c r="AU52" s="1" t="e">
        <v>#REF!</v>
      </c>
      <c r="AV52" s="2" t="e">
        <v>#REF!</v>
      </c>
      <c r="AW52" s="1" t="e">
        <v>#REF!</v>
      </c>
      <c r="AX52" s="1" t="e">
        <v>#REF!</v>
      </c>
      <c r="AY52" s="1" t="e">
        <v>#REF!</v>
      </c>
      <c r="AZ52" s="1" t="e">
        <v>#REF!</v>
      </c>
      <c r="BA52" s="1" t="e">
        <v>#REF!</v>
      </c>
      <c r="BB52" s="1" t="e">
        <v>#REF!</v>
      </c>
    </row>
    <row r="53" spans="2:54" ht="17.5">
      <c r="B53" s="629"/>
      <c r="C53" s="61"/>
      <c r="D53" s="629"/>
      <c r="E53" s="629"/>
      <c r="F53" s="629"/>
      <c r="G53" s="629"/>
      <c r="H53" s="629"/>
      <c r="I53" s="629"/>
      <c r="J53" s="630"/>
      <c r="K53" s="629"/>
      <c r="L53" s="630"/>
      <c r="M53" s="629"/>
      <c r="N53" s="629"/>
      <c r="O53" s="629"/>
      <c r="P53" s="63"/>
      <c r="Q53" s="161"/>
      <c r="AM53" s="1" t="e">
        <v>#REF!</v>
      </c>
      <c r="AN53" s="1" t="e">
        <v>#REF!</v>
      </c>
      <c r="AO53" s="1" t="e">
        <v>#REF!</v>
      </c>
      <c r="AP53" s="1" t="e">
        <v>#REF!</v>
      </c>
      <c r="AQ53" s="1" t="e">
        <v>#REF!</v>
      </c>
      <c r="AR53" s="1" t="e">
        <v>#REF!</v>
      </c>
      <c r="AS53" s="1" t="e">
        <v>#REF!</v>
      </c>
      <c r="AT53" s="2" t="e">
        <v>#REF!</v>
      </c>
      <c r="AU53" s="1" t="e">
        <v>#REF!</v>
      </c>
      <c r="AV53" s="2" t="e">
        <v>#REF!</v>
      </c>
      <c r="AW53" s="1" t="e">
        <v>#REF!</v>
      </c>
      <c r="AX53" s="1" t="e">
        <v>#REF!</v>
      </c>
      <c r="AY53" s="1" t="e">
        <v>#REF!</v>
      </c>
      <c r="AZ53" s="1" t="e">
        <v>#REF!</v>
      </c>
      <c r="BA53" s="1" t="e">
        <v>#REF!</v>
      </c>
      <c r="BB53" s="1" t="e">
        <v>#REF!</v>
      </c>
    </row>
    <row r="54" spans="2:54" ht="17.5">
      <c r="B54" s="629"/>
      <c r="C54" s="61"/>
      <c r="D54" s="629"/>
      <c r="E54" s="629"/>
      <c r="F54" s="629"/>
      <c r="G54" s="629"/>
      <c r="H54" s="629"/>
      <c r="I54" s="629"/>
      <c r="J54" s="630"/>
      <c r="K54" s="629"/>
      <c r="L54" s="630"/>
      <c r="M54" s="629"/>
      <c r="N54" s="629"/>
      <c r="O54" s="629"/>
      <c r="P54" s="63"/>
      <c r="Q54" s="161"/>
      <c r="AM54" s="1" t="e">
        <v>#REF!</v>
      </c>
      <c r="AN54" s="1" t="e">
        <v>#REF!</v>
      </c>
      <c r="AO54" s="1" t="e">
        <v>#REF!</v>
      </c>
      <c r="AP54" s="1" t="e">
        <v>#REF!</v>
      </c>
      <c r="AQ54" s="1" t="e">
        <v>#REF!</v>
      </c>
      <c r="AR54" s="1" t="e">
        <v>#REF!</v>
      </c>
      <c r="AS54" s="1" t="e">
        <v>#REF!</v>
      </c>
      <c r="AT54" s="2" t="e">
        <v>#REF!</v>
      </c>
      <c r="AU54" s="1" t="e">
        <v>#REF!</v>
      </c>
      <c r="AV54" s="2" t="e">
        <v>#REF!</v>
      </c>
      <c r="AW54" s="1" t="e">
        <v>#REF!</v>
      </c>
      <c r="AX54" s="1" t="e">
        <v>#REF!</v>
      </c>
      <c r="AY54" s="1" t="e">
        <v>#REF!</v>
      </c>
      <c r="AZ54" s="1" t="e">
        <v>#REF!</v>
      </c>
      <c r="BA54" s="1" t="e">
        <v>#REF!</v>
      </c>
      <c r="BB54" s="1" t="e">
        <v>#REF!</v>
      </c>
    </row>
    <row r="55" spans="2:54" ht="17.5">
      <c r="B55" s="629"/>
      <c r="C55" s="61"/>
      <c r="D55" s="629"/>
      <c r="E55" s="629"/>
      <c r="F55" s="629"/>
      <c r="G55" s="629"/>
      <c r="H55" s="629"/>
      <c r="I55" s="629"/>
      <c r="J55" s="630"/>
      <c r="K55" s="629"/>
      <c r="L55" s="630"/>
      <c r="M55" s="629"/>
      <c r="N55" s="629"/>
      <c r="O55" s="629"/>
      <c r="P55" s="63"/>
      <c r="Q55" s="161"/>
      <c r="AM55" s="1" t="e">
        <v>#REF!</v>
      </c>
      <c r="AN55" s="1" t="e">
        <v>#REF!</v>
      </c>
      <c r="AO55" s="1" t="e">
        <v>#REF!</v>
      </c>
      <c r="AP55" s="1" t="e">
        <v>#REF!</v>
      </c>
      <c r="AQ55" s="1" t="e">
        <v>#REF!</v>
      </c>
      <c r="AR55" s="1" t="e">
        <v>#REF!</v>
      </c>
      <c r="AS55" s="1" t="e">
        <v>#REF!</v>
      </c>
      <c r="AT55" s="2" t="e">
        <v>#REF!</v>
      </c>
      <c r="AU55" s="1" t="e">
        <v>#REF!</v>
      </c>
      <c r="AV55" s="2" t="e">
        <v>#REF!</v>
      </c>
      <c r="AW55" s="1" t="e">
        <v>#REF!</v>
      </c>
      <c r="AX55" s="1" t="e">
        <v>#REF!</v>
      </c>
      <c r="AY55" s="1" t="e">
        <v>#REF!</v>
      </c>
      <c r="AZ55" s="1" t="e">
        <v>#REF!</v>
      </c>
      <c r="BA55" s="1" t="e">
        <v>#REF!</v>
      </c>
      <c r="BB55" s="1" t="e">
        <v>#REF!</v>
      </c>
    </row>
    <row r="56" spans="2:54" ht="17.5">
      <c r="B56" s="629"/>
      <c r="C56" s="61"/>
      <c r="D56" s="629"/>
      <c r="E56" s="629"/>
      <c r="F56" s="629"/>
      <c r="G56" s="629"/>
      <c r="H56" s="629"/>
      <c r="I56" s="629"/>
      <c r="J56" s="630"/>
      <c r="K56" s="629"/>
      <c r="L56" s="630"/>
      <c r="M56" s="629"/>
      <c r="N56" s="629"/>
      <c r="O56" s="629"/>
      <c r="P56" s="63"/>
      <c r="Q56" s="161"/>
      <c r="AM56" s="1" t="e">
        <v>#REF!</v>
      </c>
      <c r="AN56" s="1" t="e">
        <v>#REF!</v>
      </c>
      <c r="AO56" s="1" t="e">
        <v>#REF!</v>
      </c>
      <c r="AP56" s="1" t="e">
        <v>#REF!</v>
      </c>
      <c r="AQ56" s="1" t="e">
        <v>#REF!</v>
      </c>
      <c r="AR56" s="1" t="e">
        <v>#REF!</v>
      </c>
      <c r="AS56" s="1" t="e">
        <v>#REF!</v>
      </c>
      <c r="AT56" s="2" t="e">
        <v>#REF!</v>
      </c>
      <c r="AU56" s="1" t="e">
        <v>#REF!</v>
      </c>
      <c r="AV56" s="2" t="e">
        <v>#REF!</v>
      </c>
      <c r="AW56" s="1" t="e">
        <v>#REF!</v>
      </c>
      <c r="AX56" s="1" t="e">
        <v>#REF!</v>
      </c>
      <c r="AY56" s="1" t="e">
        <v>#REF!</v>
      </c>
      <c r="AZ56" s="1" t="e">
        <v>#REF!</v>
      </c>
      <c r="BA56" s="1" t="e">
        <v>#REF!</v>
      </c>
      <c r="BB56" s="1" t="e">
        <v>#REF!</v>
      </c>
    </row>
    <row r="57" spans="2:54" ht="17.5">
      <c r="B57" s="629"/>
      <c r="C57" s="61"/>
      <c r="D57" s="629"/>
      <c r="E57" s="629"/>
      <c r="F57" s="629"/>
      <c r="G57" s="629"/>
      <c r="H57" s="629"/>
      <c r="I57" s="629"/>
      <c r="J57" s="630"/>
      <c r="K57" s="629"/>
      <c r="L57" s="630"/>
      <c r="M57" s="629"/>
      <c r="N57" s="629"/>
      <c r="O57" s="629"/>
      <c r="P57" s="63"/>
      <c r="Q57" s="161"/>
      <c r="AM57" s="1" t="e">
        <v>#REF!</v>
      </c>
      <c r="AN57" s="1" t="e">
        <v>#REF!</v>
      </c>
      <c r="AO57" s="1" t="e">
        <v>#REF!</v>
      </c>
      <c r="AP57" s="1" t="e">
        <v>#REF!</v>
      </c>
      <c r="AQ57" s="1" t="e">
        <v>#REF!</v>
      </c>
      <c r="AR57" s="1" t="e">
        <v>#REF!</v>
      </c>
      <c r="AS57" s="1" t="e">
        <v>#REF!</v>
      </c>
      <c r="AT57" s="2" t="e">
        <v>#REF!</v>
      </c>
      <c r="AU57" s="1" t="e">
        <v>#REF!</v>
      </c>
      <c r="AV57" s="2" t="e">
        <v>#REF!</v>
      </c>
      <c r="AW57" s="1" t="e">
        <v>#REF!</v>
      </c>
      <c r="AX57" s="1" t="e">
        <v>#REF!</v>
      </c>
      <c r="AY57" s="1" t="e">
        <v>#REF!</v>
      </c>
      <c r="AZ57" s="1" t="e">
        <v>#REF!</v>
      </c>
      <c r="BA57" s="1" t="e">
        <v>#REF!</v>
      </c>
      <c r="BB57" s="1" t="e">
        <v>#REF!</v>
      </c>
    </row>
    <row r="58" spans="2:54" ht="17.5">
      <c r="B58" s="629"/>
      <c r="C58" s="172"/>
      <c r="D58" s="629"/>
      <c r="E58" s="629"/>
      <c r="F58" s="629"/>
      <c r="G58" s="629"/>
      <c r="H58" s="629"/>
      <c r="I58" s="629"/>
      <c r="J58" s="630"/>
      <c r="K58" s="629"/>
      <c r="L58" s="630"/>
      <c r="M58" s="629"/>
      <c r="N58" s="629"/>
      <c r="O58" s="629"/>
      <c r="P58" s="63"/>
      <c r="Q58" s="161"/>
      <c r="AM58" s="1" t="e">
        <v>#REF!</v>
      </c>
      <c r="AN58" s="1" t="e">
        <v>#REF!</v>
      </c>
      <c r="AO58" s="1" t="e">
        <v>#REF!</v>
      </c>
      <c r="AP58" s="1" t="e">
        <v>#REF!</v>
      </c>
      <c r="AQ58" s="1" t="e">
        <v>#REF!</v>
      </c>
      <c r="AR58" s="1" t="e">
        <v>#REF!</v>
      </c>
      <c r="AS58" s="1" t="e">
        <v>#REF!</v>
      </c>
      <c r="AT58" s="2" t="e">
        <v>#REF!</v>
      </c>
      <c r="AU58" s="1" t="e">
        <v>#REF!</v>
      </c>
      <c r="AV58" s="2" t="e">
        <v>#REF!</v>
      </c>
      <c r="AW58" s="1" t="e">
        <v>#REF!</v>
      </c>
      <c r="AX58" s="1" t="e">
        <v>#REF!</v>
      </c>
      <c r="AY58" s="1" t="e">
        <v>#REF!</v>
      </c>
      <c r="AZ58" s="1" t="e">
        <v>#REF!</v>
      </c>
      <c r="BA58" s="1" t="e">
        <v>#REF!</v>
      </c>
      <c r="BB58" s="1" t="e">
        <v>#REF!</v>
      </c>
    </row>
    <row r="59" spans="2:54" ht="17.5">
      <c r="B59" s="629"/>
      <c r="C59" s="61"/>
      <c r="D59" s="629"/>
      <c r="E59" s="629"/>
      <c r="F59" s="629"/>
      <c r="G59" s="629"/>
      <c r="H59" s="629"/>
      <c r="I59" s="629"/>
      <c r="J59" s="630"/>
      <c r="K59" s="629"/>
      <c r="L59" s="630"/>
      <c r="M59" s="629"/>
      <c r="N59" s="629"/>
      <c r="O59" s="629"/>
      <c r="P59" s="63"/>
      <c r="Q59" s="161"/>
      <c r="AM59" s="1" t="e">
        <v>#REF!</v>
      </c>
      <c r="AN59" s="1" t="e">
        <v>#REF!</v>
      </c>
      <c r="AO59" s="1" t="e">
        <v>#REF!</v>
      </c>
      <c r="AP59" s="1" t="e">
        <v>#REF!</v>
      </c>
      <c r="AQ59" s="1" t="e">
        <v>#REF!</v>
      </c>
      <c r="AR59" s="1" t="e">
        <v>#REF!</v>
      </c>
      <c r="AS59" s="1" t="e">
        <v>#REF!</v>
      </c>
      <c r="AT59" s="2" t="e">
        <v>#REF!</v>
      </c>
      <c r="AU59" s="1" t="e">
        <v>#REF!</v>
      </c>
      <c r="AV59" s="2" t="e">
        <v>#REF!</v>
      </c>
      <c r="AW59" s="1" t="e">
        <v>#REF!</v>
      </c>
      <c r="AX59" s="1" t="e">
        <v>#REF!</v>
      </c>
      <c r="AY59" s="1" t="e">
        <v>#REF!</v>
      </c>
      <c r="AZ59" s="1" t="e">
        <v>#REF!</v>
      </c>
      <c r="BA59" s="1" t="e">
        <v>#REF!</v>
      </c>
      <c r="BB59" s="1" t="e">
        <v>#REF!</v>
      </c>
    </row>
    <row r="60" spans="2:54" ht="17.5">
      <c r="B60" s="629"/>
      <c r="C60" s="61"/>
      <c r="D60" s="629"/>
      <c r="E60" s="629"/>
      <c r="F60" s="629"/>
      <c r="G60" s="629"/>
      <c r="H60" s="629"/>
      <c r="I60" s="629"/>
      <c r="J60" s="630"/>
      <c r="K60" s="629"/>
      <c r="L60" s="630"/>
      <c r="M60" s="629"/>
      <c r="N60" s="629"/>
      <c r="O60" s="629"/>
      <c r="P60" s="64"/>
      <c r="Q60" s="161"/>
      <c r="AM60" s="1" t="e">
        <v>#REF!</v>
      </c>
      <c r="AN60" s="1" t="e">
        <v>#REF!</v>
      </c>
      <c r="AO60" s="1" t="e">
        <v>#REF!</v>
      </c>
      <c r="AP60" s="1" t="e">
        <v>#REF!</v>
      </c>
      <c r="AQ60" s="1" t="e">
        <v>#REF!</v>
      </c>
      <c r="AR60" s="1" t="e">
        <v>#REF!</v>
      </c>
      <c r="AS60" s="1" t="e">
        <v>#REF!</v>
      </c>
      <c r="AT60" s="2" t="e">
        <v>#REF!</v>
      </c>
      <c r="AU60" s="1" t="e">
        <v>#REF!</v>
      </c>
      <c r="AV60" s="2" t="e">
        <v>#REF!</v>
      </c>
      <c r="AW60" s="1" t="e">
        <v>#REF!</v>
      </c>
      <c r="AX60" s="1" t="e">
        <v>#REF!</v>
      </c>
      <c r="AY60" s="1" t="e">
        <v>#REF!</v>
      </c>
      <c r="AZ60" s="1" t="e">
        <v>#REF!</v>
      </c>
      <c r="BA60" s="1" t="e">
        <v>#REF!</v>
      </c>
      <c r="BB60" s="1" t="e">
        <v>#REF!</v>
      </c>
    </row>
    <row r="61" spans="2:54" ht="17.5">
      <c r="B61" s="629"/>
      <c r="C61" s="61"/>
      <c r="D61" s="629"/>
      <c r="E61" s="629"/>
      <c r="F61" s="629"/>
      <c r="G61" s="629"/>
      <c r="H61" s="629"/>
      <c r="I61" s="629"/>
      <c r="J61" s="630"/>
      <c r="K61" s="629"/>
      <c r="L61" s="630"/>
      <c r="M61" s="629"/>
      <c r="N61" s="629"/>
      <c r="O61" s="629"/>
      <c r="P61" s="63"/>
      <c r="Q61" s="161"/>
      <c r="AM61" s="1" t="e">
        <v>#REF!</v>
      </c>
      <c r="AN61" s="1" t="e">
        <v>#REF!</v>
      </c>
      <c r="AO61" s="1" t="e">
        <v>#REF!</v>
      </c>
      <c r="AP61" s="1" t="e">
        <v>#REF!</v>
      </c>
      <c r="AQ61" s="1" t="e">
        <v>#REF!</v>
      </c>
      <c r="AR61" s="1" t="e">
        <v>#REF!</v>
      </c>
      <c r="AS61" s="1" t="e">
        <v>#REF!</v>
      </c>
      <c r="AT61" s="2" t="e">
        <v>#REF!</v>
      </c>
      <c r="AU61" s="1" t="e">
        <v>#REF!</v>
      </c>
      <c r="AV61" s="2" t="e">
        <v>#REF!</v>
      </c>
      <c r="AW61" s="1" t="e">
        <v>#REF!</v>
      </c>
      <c r="AX61" s="1" t="e">
        <v>#REF!</v>
      </c>
      <c r="AY61" s="1" t="e">
        <v>#REF!</v>
      </c>
      <c r="AZ61" s="1" t="e">
        <v>#REF!</v>
      </c>
      <c r="BA61" s="1" t="e">
        <v>#REF!</v>
      </c>
      <c r="BB61" s="1" t="e">
        <v>#REF!</v>
      </c>
    </row>
    <row r="62" spans="2:54" ht="17.5">
      <c r="B62" s="629"/>
      <c r="C62" s="61"/>
      <c r="D62" s="629"/>
      <c r="E62" s="629"/>
      <c r="F62" s="629"/>
      <c r="G62" s="629"/>
      <c r="H62" s="629"/>
      <c r="I62" s="629"/>
      <c r="J62" s="630"/>
      <c r="K62" s="629"/>
      <c r="L62" s="630"/>
      <c r="M62" s="629"/>
      <c r="N62" s="629"/>
      <c r="O62" s="629"/>
      <c r="P62" s="63"/>
      <c r="Q62" s="161"/>
      <c r="AM62" s="1" t="e">
        <v>#REF!</v>
      </c>
      <c r="AN62" s="1" t="e">
        <v>#REF!</v>
      </c>
      <c r="AO62" s="1" t="e">
        <v>#REF!</v>
      </c>
      <c r="AP62" s="1" t="e">
        <v>#REF!</v>
      </c>
      <c r="AQ62" s="1" t="e">
        <v>#REF!</v>
      </c>
      <c r="AR62" s="1" t="e">
        <v>#REF!</v>
      </c>
      <c r="AS62" s="1" t="e">
        <v>#REF!</v>
      </c>
      <c r="AT62" s="2" t="e">
        <v>#REF!</v>
      </c>
      <c r="AU62" s="1" t="e">
        <v>#REF!</v>
      </c>
      <c r="AV62" s="2" t="e">
        <v>#REF!</v>
      </c>
      <c r="AW62" s="1" t="e">
        <v>#REF!</v>
      </c>
      <c r="AX62" s="1" t="e">
        <v>#REF!</v>
      </c>
      <c r="AY62" s="1" t="e">
        <v>#REF!</v>
      </c>
      <c r="AZ62" s="1" t="e">
        <v>#REF!</v>
      </c>
      <c r="BA62" s="1" t="e">
        <v>#REF!</v>
      </c>
      <c r="BB62" s="1" t="e">
        <v>#REF!</v>
      </c>
    </row>
    <row r="63" spans="2:54" ht="17.5">
      <c r="B63" s="629"/>
      <c r="C63" s="61"/>
      <c r="D63" s="629"/>
      <c r="E63" s="629"/>
      <c r="F63" s="629"/>
      <c r="G63" s="629"/>
      <c r="H63" s="629"/>
      <c r="I63" s="629"/>
      <c r="J63" s="630"/>
      <c r="K63" s="629"/>
      <c r="L63" s="630"/>
      <c r="M63" s="629"/>
      <c r="N63" s="629"/>
      <c r="O63" s="629"/>
      <c r="P63" s="63"/>
      <c r="Q63" s="161"/>
      <c r="AM63" s="1" t="e">
        <v>#REF!</v>
      </c>
      <c r="AN63" s="1" t="e">
        <v>#REF!</v>
      </c>
      <c r="AO63" s="1" t="e">
        <v>#REF!</v>
      </c>
      <c r="AP63" s="1" t="e">
        <v>#REF!</v>
      </c>
      <c r="AQ63" s="1" t="e">
        <v>#REF!</v>
      </c>
      <c r="AR63" s="1" t="e">
        <v>#REF!</v>
      </c>
      <c r="AS63" s="1" t="e">
        <v>#REF!</v>
      </c>
      <c r="AT63" s="2" t="e">
        <v>#REF!</v>
      </c>
      <c r="AU63" s="1" t="e">
        <v>#REF!</v>
      </c>
      <c r="AV63" s="2" t="e">
        <v>#REF!</v>
      </c>
      <c r="AW63" s="1" t="e">
        <v>#REF!</v>
      </c>
      <c r="AX63" s="1" t="e">
        <v>#REF!</v>
      </c>
      <c r="AY63" s="1" t="e">
        <v>#REF!</v>
      </c>
      <c r="AZ63" s="1" t="e">
        <v>#REF!</v>
      </c>
      <c r="BA63" s="1" t="e">
        <v>#REF!</v>
      </c>
      <c r="BB63" s="1" t="e">
        <v>#REF!</v>
      </c>
    </row>
    <row r="64" spans="2:54" ht="17.5">
      <c r="B64" s="629"/>
      <c r="C64" s="61"/>
      <c r="D64" s="629"/>
      <c r="E64" s="629"/>
      <c r="F64" s="629"/>
      <c r="G64" s="629"/>
      <c r="H64" s="629"/>
      <c r="I64" s="629"/>
      <c r="J64" s="630"/>
      <c r="K64" s="629"/>
      <c r="L64" s="630"/>
      <c r="M64" s="629"/>
      <c r="N64" s="629"/>
      <c r="O64" s="629"/>
      <c r="P64" s="63"/>
      <c r="Q64" s="161"/>
      <c r="AM64" s="1" t="e">
        <v>#REF!</v>
      </c>
      <c r="AN64" s="1" t="e">
        <v>#REF!</v>
      </c>
      <c r="AO64" s="1" t="e">
        <v>#REF!</v>
      </c>
      <c r="AP64" s="1" t="e">
        <v>#REF!</v>
      </c>
      <c r="AQ64" s="1" t="e">
        <v>#REF!</v>
      </c>
      <c r="AR64" s="1" t="e">
        <v>#REF!</v>
      </c>
      <c r="AS64" s="1" t="e">
        <v>#REF!</v>
      </c>
      <c r="AT64" s="2" t="e">
        <v>#REF!</v>
      </c>
      <c r="AU64" s="1" t="e">
        <v>#REF!</v>
      </c>
      <c r="AV64" s="2" t="e">
        <v>#REF!</v>
      </c>
      <c r="AW64" s="1" t="e">
        <v>#REF!</v>
      </c>
      <c r="AX64" s="1" t="e">
        <v>#REF!</v>
      </c>
      <c r="AY64" s="1" t="e">
        <v>#REF!</v>
      </c>
      <c r="AZ64" s="1" t="e">
        <v>#REF!</v>
      </c>
      <c r="BA64" s="1" t="e">
        <v>#REF!</v>
      </c>
      <c r="BB64" s="1" t="e">
        <v>#REF!</v>
      </c>
    </row>
    <row r="65" spans="2:54" ht="17.5">
      <c r="B65" s="629"/>
      <c r="C65" s="61"/>
      <c r="D65" s="629"/>
      <c r="E65" s="629"/>
      <c r="F65" s="629"/>
      <c r="G65" s="629"/>
      <c r="H65" s="629"/>
      <c r="I65" s="629"/>
      <c r="J65" s="630"/>
      <c r="K65" s="629"/>
      <c r="L65" s="630"/>
      <c r="M65" s="629"/>
      <c r="N65" s="629"/>
      <c r="O65" s="630"/>
      <c r="P65" s="63"/>
      <c r="Q65" s="161"/>
      <c r="AM65" s="1" t="e">
        <v>#REF!</v>
      </c>
      <c r="AN65" s="1" t="e">
        <v>#REF!</v>
      </c>
      <c r="AO65" s="1" t="e">
        <v>#REF!</v>
      </c>
      <c r="AP65" s="1" t="e">
        <v>#REF!</v>
      </c>
      <c r="AQ65" s="1" t="e">
        <v>#REF!</v>
      </c>
      <c r="AR65" s="1" t="e">
        <v>#REF!</v>
      </c>
      <c r="AS65" s="1" t="e">
        <v>#REF!</v>
      </c>
      <c r="AT65" s="2" t="e">
        <v>#REF!</v>
      </c>
      <c r="AU65" s="1" t="e">
        <v>#REF!</v>
      </c>
      <c r="AV65" s="2" t="e">
        <v>#REF!</v>
      </c>
      <c r="AW65" s="1" t="e">
        <v>#REF!</v>
      </c>
      <c r="AX65" s="1" t="e">
        <v>#REF!</v>
      </c>
      <c r="AY65" s="1" t="e">
        <v>#REF!</v>
      </c>
      <c r="AZ65" s="1" t="e">
        <v>#REF!</v>
      </c>
      <c r="BA65" s="1" t="e">
        <v>#REF!</v>
      </c>
      <c r="BB65" s="1" t="e">
        <v>#REF!</v>
      </c>
    </row>
    <row r="66" spans="2:54" ht="17.5">
      <c r="B66" s="629"/>
      <c r="C66" s="61"/>
      <c r="D66" s="629"/>
      <c r="E66" s="629"/>
      <c r="F66" s="629"/>
      <c r="G66" s="629"/>
      <c r="H66" s="629"/>
      <c r="I66" s="629"/>
      <c r="J66" s="630"/>
      <c r="K66" s="629"/>
      <c r="L66" s="630"/>
      <c r="M66" s="629"/>
      <c r="N66" s="629"/>
      <c r="O66" s="629"/>
      <c r="P66" s="63"/>
      <c r="Q66" s="161"/>
      <c r="AM66" s="1" t="e">
        <v>#REF!</v>
      </c>
      <c r="AN66" s="1" t="e">
        <v>#REF!</v>
      </c>
      <c r="AO66" s="1" t="e">
        <v>#REF!</v>
      </c>
      <c r="AP66" s="1" t="e">
        <v>#REF!</v>
      </c>
      <c r="AQ66" s="1" t="e">
        <v>#REF!</v>
      </c>
      <c r="AR66" s="1" t="e">
        <v>#REF!</v>
      </c>
      <c r="AS66" s="1" t="e">
        <v>#REF!</v>
      </c>
      <c r="AT66" s="2" t="e">
        <v>#REF!</v>
      </c>
      <c r="AU66" s="1" t="e">
        <v>#REF!</v>
      </c>
      <c r="AV66" s="2" t="e">
        <v>#REF!</v>
      </c>
      <c r="AW66" s="1" t="e">
        <v>#REF!</v>
      </c>
      <c r="AX66" s="1" t="e">
        <v>#REF!</v>
      </c>
      <c r="AY66" s="1" t="e">
        <v>#REF!</v>
      </c>
      <c r="AZ66" s="1" t="e">
        <v>#REF!</v>
      </c>
      <c r="BA66" s="1" t="e">
        <v>#REF!</v>
      </c>
      <c r="BB66" s="1" t="e">
        <v>#REF!</v>
      </c>
    </row>
    <row r="67" spans="2:54" ht="17.5">
      <c r="B67" s="629"/>
      <c r="C67" s="172"/>
      <c r="D67" s="131"/>
      <c r="E67" s="629"/>
      <c r="F67" s="131"/>
      <c r="G67" s="629"/>
      <c r="H67" s="629"/>
      <c r="I67" s="629"/>
      <c r="J67" s="630"/>
      <c r="K67" s="629"/>
      <c r="L67" s="630"/>
      <c r="M67" s="629"/>
      <c r="N67" s="629"/>
      <c r="O67" s="629"/>
      <c r="P67" s="63"/>
      <c r="Q67" s="161"/>
      <c r="AM67" s="1" t="e">
        <v>#REF!</v>
      </c>
      <c r="AN67" s="1" t="e">
        <v>#REF!</v>
      </c>
      <c r="AO67" s="1" t="e">
        <v>#REF!</v>
      </c>
      <c r="AP67" s="1" t="e">
        <v>#REF!</v>
      </c>
      <c r="AQ67" s="1" t="e">
        <v>#REF!</v>
      </c>
      <c r="AR67" s="1" t="e">
        <v>#REF!</v>
      </c>
      <c r="AS67" s="1" t="e">
        <v>#REF!</v>
      </c>
      <c r="AT67" s="2" t="e">
        <v>#REF!</v>
      </c>
      <c r="AU67" s="1" t="e">
        <v>#REF!</v>
      </c>
      <c r="AV67" s="2" t="e">
        <v>#REF!</v>
      </c>
      <c r="AW67" s="1" t="e">
        <v>#REF!</v>
      </c>
      <c r="AX67" s="1" t="e">
        <v>#REF!</v>
      </c>
      <c r="AY67" s="1" t="e">
        <v>#REF!</v>
      </c>
      <c r="AZ67" s="1" t="e">
        <v>#REF!</v>
      </c>
      <c r="BA67" s="1" t="e">
        <v>#REF!</v>
      </c>
      <c r="BB67" s="1" t="e">
        <v>#REF!</v>
      </c>
    </row>
    <row r="68" spans="2:54" ht="17.5">
      <c r="B68" s="629"/>
      <c r="C68" s="61"/>
      <c r="D68" s="629"/>
      <c r="E68" s="629"/>
      <c r="F68" s="629"/>
      <c r="G68" s="629"/>
      <c r="H68" s="629"/>
      <c r="I68" s="629"/>
      <c r="J68" s="630"/>
      <c r="K68" s="629"/>
      <c r="L68" s="630"/>
      <c r="M68" s="629"/>
      <c r="N68" s="629"/>
      <c r="O68" s="629"/>
      <c r="P68" s="63"/>
      <c r="Q68" s="161"/>
      <c r="AM68" s="1" t="e">
        <v>#REF!</v>
      </c>
      <c r="AN68" s="1" t="e">
        <v>#REF!</v>
      </c>
      <c r="AO68" s="1" t="e">
        <v>#REF!</v>
      </c>
      <c r="AP68" s="1" t="e">
        <v>#REF!</v>
      </c>
      <c r="AQ68" s="1" t="e">
        <v>#REF!</v>
      </c>
      <c r="AR68" s="1" t="e">
        <v>#REF!</v>
      </c>
      <c r="AS68" s="1" t="e">
        <v>#REF!</v>
      </c>
      <c r="AT68" s="2" t="e">
        <v>#REF!</v>
      </c>
      <c r="AU68" s="1" t="e">
        <v>#REF!</v>
      </c>
      <c r="AV68" s="2" t="e">
        <v>#REF!</v>
      </c>
      <c r="AW68" s="1" t="e">
        <v>#REF!</v>
      </c>
      <c r="AX68" s="1" t="e">
        <v>#REF!</v>
      </c>
      <c r="AY68" s="1" t="e">
        <v>#REF!</v>
      </c>
      <c r="AZ68" s="1" t="e">
        <v>#REF!</v>
      </c>
      <c r="BA68" s="1" t="e">
        <v>#REF!</v>
      </c>
      <c r="BB68" s="1" t="e">
        <v>#REF!</v>
      </c>
    </row>
    <row r="69" spans="2:54" ht="17.5">
      <c r="B69" s="629"/>
      <c r="C69" s="61"/>
      <c r="D69" s="629"/>
      <c r="E69" s="629"/>
      <c r="F69" s="629"/>
      <c r="G69" s="629"/>
      <c r="H69" s="629"/>
      <c r="I69" s="629"/>
      <c r="J69" s="630"/>
      <c r="K69" s="629"/>
      <c r="L69" s="630"/>
      <c r="M69" s="629"/>
      <c r="N69" s="629"/>
      <c r="O69" s="629"/>
      <c r="P69" s="63"/>
      <c r="Q69" s="161"/>
      <c r="AM69" s="1" t="e">
        <v>#REF!</v>
      </c>
      <c r="AN69" s="1" t="e">
        <v>#REF!</v>
      </c>
      <c r="AO69" s="1" t="e">
        <v>#REF!</v>
      </c>
      <c r="AP69" s="1" t="e">
        <v>#REF!</v>
      </c>
      <c r="AQ69" s="1" t="e">
        <v>#REF!</v>
      </c>
      <c r="AR69" s="1" t="e">
        <v>#REF!</v>
      </c>
      <c r="AS69" s="1" t="e">
        <v>#REF!</v>
      </c>
      <c r="AT69" s="2" t="e">
        <v>#REF!</v>
      </c>
      <c r="AU69" s="1" t="e">
        <v>#REF!</v>
      </c>
      <c r="AV69" s="2" t="e">
        <v>#REF!</v>
      </c>
      <c r="AW69" s="1" t="e">
        <v>#REF!</v>
      </c>
      <c r="AX69" s="1" t="e">
        <v>#REF!</v>
      </c>
      <c r="AY69" s="1" t="e">
        <v>#REF!</v>
      </c>
      <c r="AZ69" s="1" t="e">
        <v>#REF!</v>
      </c>
      <c r="BA69" s="1" t="e">
        <v>#REF!</v>
      </c>
      <c r="BB69" s="1" t="e">
        <v>#REF!</v>
      </c>
    </row>
    <row r="70" spans="2:54" ht="17.5">
      <c r="B70" s="629"/>
      <c r="C70" s="61"/>
      <c r="D70" s="629"/>
      <c r="E70" s="629"/>
      <c r="F70" s="629"/>
      <c r="G70" s="629"/>
      <c r="H70" s="629"/>
      <c r="I70" s="629"/>
      <c r="J70" s="630"/>
      <c r="K70" s="629"/>
      <c r="L70" s="630"/>
      <c r="M70" s="629"/>
      <c r="N70" s="629"/>
      <c r="O70" s="629"/>
      <c r="P70" s="63"/>
      <c r="Q70" s="161"/>
      <c r="AM70" s="1" t="e">
        <v>#REF!</v>
      </c>
      <c r="AN70" s="1" t="e">
        <v>#REF!</v>
      </c>
      <c r="AO70" s="1" t="e">
        <v>#REF!</v>
      </c>
      <c r="AP70" s="1" t="e">
        <v>#REF!</v>
      </c>
      <c r="AQ70" s="1" t="e">
        <v>#REF!</v>
      </c>
      <c r="AR70" s="1" t="e">
        <v>#REF!</v>
      </c>
      <c r="AS70" s="1" t="e">
        <v>#REF!</v>
      </c>
      <c r="AT70" s="2" t="e">
        <v>#REF!</v>
      </c>
      <c r="AU70" s="1" t="e">
        <v>#REF!</v>
      </c>
      <c r="AV70" s="2" t="e">
        <v>#REF!</v>
      </c>
      <c r="AW70" s="1" t="e">
        <v>#REF!</v>
      </c>
      <c r="AX70" s="1" t="e">
        <v>#REF!</v>
      </c>
      <c r="AY70" s="1" t="e">
        <v>#REF!</v>
      </c>
      <c r="AZ70" s="1" t="e">
        <v>#REF!</v>
      </c>
      <c r="BA70" s="1" t="e">
        <v>#REF!</v>
      </c>
      <c r="BB70" s="1" t="e">
        <v>#REF!</v>
      </c>
    </row>
    <row r="71" spans="2:54" ht="17.5">
      <c r="B71" s="629"/>
      <c r="C71" s="61"/>
      <c r="D71" s="629"/>
      <c r="E71" s="629"/>
      <c r="F71" s="629"/>
      <c r="G71" s="629"/>
      <c r="H71" s="629"/>
      <c r="I71" s="629"/>
      <c r="J71" s="630"/>
      <c r="K71" s="629"/>
      <c r="L71" s="630"/>
      <c r="M71" s="629"/>
      <c r="N71" s="629"/>
      <c r="O71" s="629"/>
      <c r="P71" s="63"/>
      <c r="Q71" s="161"/>
      <c r="AM71" s="1" t="e">
        <v>#REF!</v>
      </c>
      <c r="AN71" s="1" t="e">
        <v>#REF!</v>
      </c>
      <c r="AO71" s="1" t="e">
        <v>#REF!</v>
      </c>
      <c r="AP71" s="1" t="e">
        <v>#REF!</v>
      </c>
      <c r="AQ71" s="1" t="e">
        <v>#REF!</v>
      </c>
      <c r="AR71" s="1" t="e">
        <v>#REF!</v>
      </c>
      <c r="AS71" s="1" t="e">
        <v>#REF!</v>
      </c>
      <c r="AT71" s="2" t="e">
        <v>#REF!</v>
      </c>
      <c r="AU71" s="1" t="e">
        <v>#REF!</v>
      </c>
      <c r="AV71" s="2" t="e">
        <v>#REF!</v>
      </c>
      <c r="AW71" s="1" t="e">
        <v>#REF!</v>
      </c>
      <c r="AX71" s="1" t="e">
        <v>#REF!</v>
      </c>
      <c r="AY71" s="1" t="e">
        <v>#REF!</v>
      </c>
      <c r="AZ71" s="1" t="e">
        <v>#REF!</v>
      </c>
      <c r="BA71" s="1" t="e">
        <v>#REF!</v>
      </c>
      <c r="BB71" s="1" t="e">
        <v>#REF!</v>
      </c>
    </row>
    <row r="72" spans="2:54" ht="17.5">
      <c r="B72" s="629"/>
      <c r="C72" s="61"/>
      <c r="D72" s="629"/>
      <c r="E72" s="629"/>
      <c r="F72" s="629"/>
      <c r="G72" s="629"/>
      <c r="H72" s="629"/>
      <c r="I72" s="629"/>
      <c r="J72" s="630"/>
      <c r="K72" s="629"/>
      <c r="L72" s="630"/>
      <c r="M72" s="629"/>
      <c r="N72" s="629"/>
      <c r="O72" s="629"/>
      <c r="P72" s="63"/>
      <c r="Q72" s="161"/>
      <c r="AM72" s="1" t="e">
        <v>#REF!</v>
      </c>
      <c r="AN72" s="1" t="e">
        <v>#REF!</v>
      </c>
      <c r="AO72" s="1" t="e">
        <v>#REF!</v>
      </c>
      <c r="AP72" s="1" t="e">
        <v>#REF!</v>
      </c>
      <c r="AQ72" s="1" t="e">
        <v>#REF!</v>
      </c>
      <c r="AR72" s="1" t="e">
        <v>#REF!</v>
      </c>
      <c r="AS72" s="1" t="e">
        <v>#REF!</v>
      </c>
      <c r="AT72" s="2" t="e">
        <v>#REF!</v>
      </c>
      <c r="AU72" s="1" t="e">
        <v>#REF!</v>
      </c>
      <c r="AV72" s="2" t="e">
        <v>#REF!</v>
      </c>
      <c r="AW72" s="1" t="e">
        <v>#REF!</v>
      </c>
      <c r="AX72" s="1" t="e">
        <v>#REF!</v>
      </c>
      <c r="AY72" s="1" t="e">
        <v>#REF!</v>
      </c>
      <c r="AZ72" s="1" t="e">
        <v>#REF!</v>
      </c>
      <c r="BA72" s="1" t="e">
        <v>#REF!</v>
      </c>
      <c r="BB72" s="1" t="e">
        <v>#REF!</v>
      </c>
    </row>
    <row r="73" spans="2:54" ht="17.5">
      <c r="B73" s="629"/>
      <c r="C73" s="61"/>
      <c r="D73" s="629"/>
      <c r="E73" s="629"/>
      <c r="F73" s="629"/>
      <c r="G73" s="629"/>
      <c r="H73" s="629"/>
      <c r="I73" s="629"/>
      <c r="J73" s="630"/>
      <c r="K73" s="629"/>
      <c r="L73" s="630"/>
      <c r="M73" s="629"/>
      <c r="N73" s="629"/>
      <c r="O73" s="629"/>
      <c r="P73" s="63"/>
      <c r="Q73" s="161"/>
      <c r="AM73" s="1" t="e">
        <v>#REF!</v>
      </c>
      <c r="AN73" s="1" t="e">
        <v>#REF!</v>
      </c>
      <c r="AO73" s="1" t="e">
        <v>#REF!</v>
      </c>
      <c r="AP73" s="1" t="e">
        <v>#REF!</v>
      </c>
      <c r="AQ73" s="1" t="e">
        <v>#REF!</v>
      </c>
      <c r="AR73" s="1" t="e">
        <v>#REF!</v>
      </c>
      <c r="AS73" s="1" t="e">
        <v>#REF!</v>
      </c>
      <c r="AT73" s="2" t="e">
        <v>#REF!</v>
      </c>
      <c r="AU73" s="1" t="e">
        <v>#REF!</v>
      </c>
      <c r="AV73" s="2" t="e">
        <v>#REF!</v>
      </c>
      <c r="AW73" s="1" t="e">
        <v>#REF!</v>
      </c>
      <c r="AX73" s="1" t="e">
        <v>#REF!</v>
      </c>
      <c r="AY73" s="1" t="e">
        <v>#REF!</v>
      </c>
      <c r="AZ73" s="1" t="e">
        <v>#REF!</v>
      </c>
      <c r="BA73" s="1" t="e">
        <v>#REF!</v>
      </c>
      <c r="BB73" s="1" t="e">
        <v>#REF!</v>
      </c>
    </row>
    <row r="74" spans="2:54" ht="17.5">
      <c r="B74" s="629"/>
      <c r="C74" s="61"/>
      <c r="D74" s="629"/>
      <c r="E74" s="629"/>
      <c r="F74" s="629"/>
      <c r="G74" s="629"/>
      <c r="H74" s="629"/>
      <c r="I74" s="629"/>
      <c r="J74" s="630"/>
      <c r="K74" s="629"/>
      <c r="L74" s="630"/>
      <c r="M74" s="629"/>
      <c r="N74" s="629"/>
      <c r="O74" s="629"/>
      <c r="P74" s="63"/>
      <c r="Q74" s="161"/>
      <c r="AM74" s="1" t="e">
        <v>#REF!</v>
      </c>
      <c r="AN74" s="1" t="e">
        <v>#REF!</v>
      </c>
      <c r="AO74" s="1" t="e">
        <v>#REF!</v>
      </c>
      <c r="AP74" s="1" t="e">
        <v>#REF!</v>
      </c>
      <c r="AQ74" s="1" t="e">
        <v>#REF!</v>
      </c>
      <c r="AR74" s="1" t="e">
        <v>#REF!</v>
      </c>
      <c r="AS74" s="1" t="e">
        <v>#REF!</v>
      </c>
      <c r="AT74" s="2" t="e">
        <v>#REF!</v>
      </c>
      <c r="AU74" s="1" t="e">
        <v>#REF!</v>
      </c>
      <c r="AV74" s="2" t="e">
        <v>#REF!</v>
      </c>
      <c r="AW74" s="1" t="e">
        <v>#REF!</v>
      </c>
      <c r="AX74" s="1" t="e">
        <v>#REF!</v>
      </c>
      <c r="AY74" s="1" t="e">
        <v>#REF!</v>
      </c>
      <c r="AZ74" s="1" t="e">
        <v>#REF!</v>
      </c>
      <c r="BA74" s="1" t="e">
        <v>#REF!</v>
      </c>
      <c r="BB74" s="1" t="e">
        <v>#REF!</v>
      </c>
    </row>
    <row r="75" spans="2:54" ht="17.5">
      <c r="B75" s="629"/>
      <c r="C75" s="61"/>
      <c r="D75" s="629"/>
      <c r="E75" s="629"/>
      <c r="F75" s="629"/>
      <c r="G75" s="629"/>
      <c r="H75" s="629"/>
      <c r="I75" s="629"/>
      <c r="J75" s="630"/>
      <c r="K75" s="629"/>
      <c r="L75" s="630"/>
      <c r="M75" s="629"/>
      <c r="N75" s="629"/>
      <c r="O75" s="629"/>
      <c r="P75" s="63"/>
      <c r="Q75" s="161"/>
      <c r="AM75" s="1" t="e">
        <v>#REF!</v>
      </c>
      <c r="AN75" s="1" t="e">
        <v>#REF!</v>
      </c>
      <c r="AO75" s="1" t="e">
        <v>#REF!</v>
      </c>
      <c r="AP75" s="1" t="e">
        <v>#REF!</v>
      </c>
      <c r="AQ75" s="1" t="e">
        <v>#REF!</v>
      </c>
      <c r="AR75" s="1" t="e">
        <v>#REF!</v>
      </c>
      <c r="AS75" s="1" t="e">
        <v>#REF!</v>
      </c>
      <c r="AT75" s="2" t="e">
        <v>#REF!</v>
      </c>
      <c r="AU75" s="1" t="e">
        <v>#REF!</v>
      </c>
      <c r="AV75" s="2" t="e">
        <v>#REF!</v>
      </c>
      <c r="AW75" s="1" t="e">
        <v>#REF!</v>
      </c>
      <c r="AX75" s="1" t="e">
        <v>#REF!</v>
      </c>
      <c r="AY75" s="1" t="e">
        <v>#REF!</v>
      </c>
      <c r="AZ75" s="1" t="e">
        <v>#REF!</v>
      </c>
      <c r="BA75" s="1" t="e">
        <v>#REF!</v>
      </c>
      <c r="BB75" s="1" t="e">
        <v>#REF!</v>
      </c>
    </row>
    <row r="76" spans="2:54" ht="17.5">
      <c r="B76" s="629"/>
      <c r="C76" s="61"/>
      <c r="D76" s="629"/>
      <c r="E76" s="632"/>
      <c r="F76" s="632"/>
      <c r="G76" s="632"/>
      <c r="H76" s="632"/>
      <c r="I76" s="629"/>
      <c r="J76" s="630"/>
      <c r="K76" s="629"/>
      <c r="L76" s="630"/>
      <c r="M76" s="629"/>
      <c r="N76" s="629"/>
      <c r="O76" s="629"/>
      <c r="P76" s="63"/>
      <c r="Q76" s="161"/>
      <c r="AM76" s="1" t="e">
        <v>#REF!</v>
      </c>
      <c r="AN76" s="1" t="e">
        <v>#REF!</v>
      </c>
      <c r="AO76" s="1" t="e">
        <v>#REF!</v>
      </c>
      <c r="AP76" s="1" t="e">
        <v>#REF!</v>
      </c>
      <c r="AQ76" s="1" t="e">
        <v>#REF!</v>
      </c>
      <c r="AR76" s="1" t="e">
        <v>#REF!</v>
      </c>
      <c r="AS76" s="1" t="e">
        <v>#REF!</v>
      </c>
      <c r="AT76" s="2" t="e">
        <v>#REF!</v>
      </c>
      <c r="AU76" s="1" t="e">
        <v>#REF!</v>
      </c>
      <c r="AV76" s="2" t="e">
        <v>#REF!</v>
      </c>
      <c r="AW76" s="1" t="e">
        <v>#REF!</v>
      </c>
      <c r="AX76" s="1" t="e">
        <v>#REF!</v>
      </c>
      <c r="AY76" s="1" t="e">
        <v>#REF!</v>
      </c>
      <c r="AZ76" s="1" t="e">
        <v>#REF!</v>
      </c>
      <c r="BA76" s="1" t="e">
        <v>#REF!</v>
      </c>
      <c r="BB76" s="1" t="e">
        <v>#REF!</v>
      </c>
    </row>
    <row r="77" spans="2:54" ht="17.5">
      <c r="B77" s="629"/>
      <c r="C77" s="61"/>
      <c r="D77" s="629"/>
      <c r="E77" s="629"/>
      <c r="F77" s="629"/>
      <c r="G77" s="629"/>
      <c r="H77" s="629"/>
      <c r="I77" s="629"/>
      <c r="J77" s="630"/>
      <c r="K77" s="629"/>
      <c r="L77" s="630"/>
      <c r="M77" s="629"/>
      <c r="N77" s="629"/>
      <c r="O77" s="629"/>
      <c r="P77" s="63"/>
      <c r="Q77" s="161"/>
      <c r="AM77" s="1" t="e">
        <v>#REF!</v>
      </c>
      <c r="AN77" s="1" t="e">
        <v>#REF!</v>
      </c>
      <c r="AO77" s="1" t="e">
        <v>#REF!</v>
      </c>
      <c r="AP77" s="1" t="e">
        <v>#REF!</v>
      </c>
      <c r="AQ77" s="1" t="e">
        <v>#REF!</v>
      </c>
      <c r="AR77" s="1" t="e">
        <v>#REF!</v>
      </c>
      <c r="AS77" s="1" t="e">
        <v>#REF!</v>
      </c>
      <c r="AT77" s="2" t="e">
        <v>#REF!</v>
      </c>
      <c r="AU77" s="1" t="e">
        <v>#REF!</v>
      </c>
      <c r="AV77" s="2" t="e">
        <v>#REF!</v>
      </c>
      <c r="AW77" s="1" t="e">
        <v>#REF!</v>
      </c>
      <c r="AX77" s="1" t="e">
        <v>#REF!</v>
      </c>
      <c r="AY77" s="1" t="e">
        <v>#REF!</v>
      </c>
      <c r="AZ77" s="1" t="e">
        <v>#REF!</v>
      </c>
      <c r="BA77" s="1" t="e">
        <v>#REF!</v>
      </c>
      <c r="BB77" s="1" t="e">
        <v>#REF!</v>
      </c>
    </row>
    <row r="78" spans="2:54" ht="17.5">
      <c r="B78" s="629"/>
      <c r="C78" s="61"/>
      <c r="D78" s="629"/>
      <c r="E78" s="629"/>
      <c r="F78" s="629"/>
      <c r="G78" s="629"/>
      <c r="H78" s="629"/>
      <c r="I78" s="629"/>
      <c r="J78" s="630"/>
      <c r="K78" s="629"/>
      <c r="L78" s="630"/>
      <c r="M78" s="629"/>
      <c r="N78" s="629"/>
      <c r="O78" s="629"/>
      <c r="P78" s="63"/>
      <c r="Q78" s="161"/>
      <c r="AM78" s="1" t="e">
        <v>#REF!</v>
      </c>
      <c r="AN78" s="1" t="e">
        <v>#REF!</v>
      </c>
      <c r="AO78" s="1" t="e">
        <v>#REF!</v>
      </c>
      <c r="AP78" s="1" t="e">
        <v>#REF!</v>
      </c>
      <c r="AQ78" s="1" t="e">
        <v>#REF!</v>
      </c>
      <c r="AR78" s="1" t="e">
        <v>#REF!</v>
      </c>
      <c r="AS78" s="1" t="e">
        <v>#REF!</v>
      </c>
      <c r="AT78" s="2" t="e">
        <v>#REF!</v>
      </c>
      <c r="AU78" s="1" t="e">
        <v>#REF!</v>
      </c>
      <c r="AV78" s="2" t="e">
        <v>#REF!</v>
      </c>
      <c r="AW78" s="1" t="e">
        <v>#REF!</v>
      </c>
      <c r="AX78" s="1" t="e">
        <v>#REF!</v>
      </c>
      <c r="AY78" s="1" t="e">
        <v>#REF!</v>
      </c>
      <c r="AZ78" s="1" t="e">
        <v>#REF!</v>
      </c>
      <c r="BA78" s="1" t="e">
        <v>#REF!</v>
      </c>
      <c r="BB78" s="1" t="e">
        <v>#REF!</v>
      </c>
    </row>
    <row r="79" spans="2:54" ht="17.5">
      <c r="B79" s="629"/>
      <c r="C79" s="61"/>
      <c r="D79" s="629"/>
      <c r="E79" s="629"/>
      <c r="F79" s="629"/>
      <c r="G79" s="629"/>
      <c r="H79" s="629"/>
      <c r="I79" s="629"/>
      <c r="J79" s="630"/>
      <c r="K79" s="629"/>
      <c r="L79" s="630"/>
      <c r="M79" s="629"/>
      <c r="N79" s="629"/>
      <c r="O79" s="629"/>
      <c r="P79" s="63"/>
      <c r="Q79" s="161"/>
      <c r="AM79" s="1" t="e">
        <v>#REF!</v>
      </c>
      <c r="AN79" s="1" t="e">
        <v>#REF!</v>
      </c>
      <c r="AO79" s="1" t="e">
        <v>#REF!</v>
      </c>
      <c r="AP79" s="1" t="e">
        <v>#REF!</v>
      </c>
      <c r="AQ79" s="1" t="e">
        <v>#REF!</v>
      </c>
      <c r="AR79" s="1" t="e">
        <v>#REF!</v>
      </c>
      <c r="AS79" s="1" t="e">
        <v>#REF!</v>
      </c>
      <c r="AT79" s="2" t="e">
        <v>#REF!</v>
      </c>
      <c r="AU79" s="1" t="e">
        <v>#REF!</v>
      </c>
      <c r="AV79" s="2" t="e">
        <v>#REF!</v>
      </c>
      <c r="AW79" s="1" t="e">
        <v>#REF!</v>
      </c>
      <c r="AX79" s="1" t="e">
        <v>#REF!</v>
      </c>
      <c r="AY79" s="1" t="e">
        <v>#REF!</v>
      </c>
      <c r="AZ79" s="1" t="e">
        <v>#REF!</v>
      </c>
      <c r="BA79" s="1" t="e">
        <v>#REF!</v>
      </c>
      <c r="BB79" s="1" t="e">
        <v>#REF!</v>
      </c>
    </row>
    <row r="80" spans="2:54" ht="17.5">
      <c r="B80" s="629"/>
      <c r="C80" s="61"/>
      <c r="D80" s="629"/>
      <c r="E80" s="629"/>
      <c r="F80" s="629"/>
      <c r="G80" s="629"/>
      <c r="H80" s="629"/>
      <c r="I80" s="629"/>
      <c r="J80" s="630"/>
      <c r="K80" s="629"/>
      <c r="L80" s="630"/>
      <c r="M80" s="629"/>
      <c r="N80" s="629"/>
      <c r="O80" s="629"/>
      <c r="P80" s="63"/>
      <c r="Q80" s="161"/>
      <c r="AM80" s="1" t="e">
        <v>#REF!</v>
      </c>
      <c r="AN80" s="1" t="e">
        <v>#REF!</v>
      </c>
      <c r="AO80" s="1" t="e">
        <v>#REF!</v>
      </c>
      <c r="AP80" s="1" t="e">
        <v>#REF!</v>
      </c>
      <c r="AQ80" s="1" t="e">
        <v>#REF!</v>
      </c>
      <c r="AR80" s="1" t="e">
        <v>#REF!</v>
      </c>
      <c r="AS80" s="1" t="e">
        <v>#REF!</v>
      </c>
      <c r="AT80" s="2" t="e">
        <v>#REF!</v>
      </c>
      <c r="AU80" s="1" t="e">
        <v>#REF!</v>
      </c>
      <c r="AV80" s="2" t="e">
        <v>#REF!</v>
      </c>
      <c r="AW80" s="1" t="e">
        <v>#REF!</v>
      </c>
      <c r="AX80" s="1" t="e">
        <v>#REF!</v>
      </c>
      <c r="AY80" s="1" t="e">
        <v>#REF!</v>
      </c>
      <c r="AZ80" s="1" t="e">
        <v>#REF!</v>
      </c>
      <c r="BA80" s="1" t="e">
        <v>#REF!</v>
      </c>
      <c r="BB80" s="1" t="e">
        <v>#REF!</v>
      </c>
    </row>
    <row r="81" spans="2:54" ht="17.5">
      <c r="B81" s="629"/>
      <c r="C81" s="172"/>
      <c r="D81" s="629"/>
      <c r="E81" s="629"/>
      <c r="F81" s="629"/>
      <c r="G81" s="629"/>
      <c r="H81" s="629"/>
      <c r="I81" s="629"/>
      <c r="J81" s="630"/>
      <c r="K81" s="629"/>
      <c r="L81" s="630"/>
      <c r="M81" s="629"/>
      <c r="N81" s="629"/>
      <c r="O81" s="629"/>
      <c r="P81" s="63"/>
      <c r="Q81" s="161"/>
      <c r="AM81" s="1" t="e">
        <v>#REF!</v>
      </c>
      <c r="AN81" s="1" t="e">
        <v>#REF!</v>
      </c>
      <c r="AO81" s="1" t="e">
        <v>#REF!</v>
      </c>
      <c r="AP81" s="1" t="e">
        <v>#REF!</v>
      </c>
      <c r="AQ81" s="1" t="e">
        <v>#REF!</v>
      </c>
      <c r="AR81" s="1" t="e">
        <v>#REF!</v>
      </c>
      <c r="AS81" s="1" t="e">
        <v>#REF!</v>
      </c>
      <c r="AT81" s="2" t="e">
        <v>#REF!</v>
      </c>
      <c r="AU81" s="1" t="e">
        <v>#REF!</v>
      </c>
      <c r="AV81" s="2" t="e">
        <v>#REF!</v>
      </c>
      <c r="AW81" s="1" t="e">
        <v>#REF!</v>
      </c>
      <c r="AX81" s="1" t="e">
        <v>#REF!</v>
      </c>
      <c r="AY81" s="1" t="e">
        <v>#REF!</v>
      </c>
      <c r="AZ81" s="1" t="e">
        <v>#REF!</v>
      </c>
      <c r="BA81" s="1" t="e">
        <v>#REF!</v>
      </c>
      <c r="BB81" s="1" t="e">
        <v>#REF!</v>
      </c>
    </row>
    <row r="82" spans="2:54" ht="17.5">
      <c r="B82" s="629"/>
      <c r="C82" s="61"/>
      <c r="D82" s="629"/>
      <c r="E82" s="629"/>
      <c r="F82" s="629"/>
      <c r="G82" s="629"/>
      <c r="H82" s="629"/>
      <c r="I82" s="629"/>
      <c r="J82" s="630"/>
      <c r="K82" s="629"/>
      <c r="L82" s="630"/>
      <c r="M82" s="629"/>
      <c r="N82" s="629"/>
      <c r="O82" s="629"/>
      <c r="P82" s="63"/>
      <c r="Q82" s="161"/>
      <c r="AM82" s="1" t="e">
        <v>#REF!</v>
      </c>
      <c r="AN82" s="1" t="e">
        <v>#REF!</v>
      </c>
      <c r="AO82" s="1" t="e">
        <v>#REF!</v>
      </c>
      <c r="AP82" s="1" t="e">
        <v>#REF!</v>
      </c>
      <c r="AQ82" s="1" t="e">
        <v>#REF!</v>
      </c>
      <c r="AR82" s="1" t="e">
        <v>#REF!</v>
      </c>
      <c r="AS82" s="1" t="e">
        <v>#REF!</v>
      </c>
      <c r="AT82" s="2" t="e">
        <v>#REF!</v>
      </c>
      <c r="AU82" s="1" t="e">
        <v>#REF!</v>
      </c>
      <c r="AV82" s="2" t="e">
        <v>#REF!</v>
      </c>
      <c r="AW82" s="1" t="e">
        <v>#REF!</v>
      </c>
      <c r="AX82" s="1" t="e">
        <v>#REF!</v>
      </c>
      <c r="AY82" s="1" t="e">
        <v>#REF!</v>
      </c>
      <c r="AZ82" s="1" t="e">
        <v>#REF!</v>
      </c>
      <c r="BA82" s="1" t="e">
        <v>#REF!</v>
      </c>
      <c r="BB82" s="1" t="e">
        <v>#REF!</v>
      </c>
    </row>
    <row r="83" spans="2:54" ht="20">
      <c r="B83" s="629"/>
      <c r="C83" s="61"/>
      <c r="D83" s="629"/>
      <c r="E83" s="633"/>
      <c r="F83" s="629"/>
      <c r="G83" s="629"/>
      <c r="H83" s="629"/>
      <c r="I83" s="629"/>
      <c r="J83" s="630"/>
      <c r="K83" s="629"/>
      <c r="L83" s="630"/>
      <c r="M83" s="629"/>
      <c r="N83" s="629"/>
      <c r="O83" s="629"/>
      <c r="P83" s="63"/>
      <c r="Q83" s="161"/>
      <c r="AM83" s="1" t="e">
        <v>#REF!</v>
      </c>
      <c r="AN83" s="1" t="e">
        <v>#REF!</v>
      </c>
      <c r="AO83" s="1" t="e">
        <v>#REF!</v>
      </c>
      <c r="AP83" s="1" t="e">
        <v>#REF!</v>
      </c>
      <c r="AQ83" s="1" t="e">
        <v>#REF!</v>
      </c>
      <c r="AR83" s="1" t="e">
        <v>#REF!</v>
      </c>
      <c r="AS83" s="1" t="e">
        <v>#REF!</v>
      </c>
      <c r="AT83" s="2" t="e">
        <v>#REF!</v>
      </c>
      <c r="AU83" s="1" t="e">
        <v>#REF!</v>
      </c>
      <c r="AV83" s="2" t="e">
        <v>#REF!</v>
      </c>
      <c r="AW83" s="1" t="e">
        <v>#REF!</v>
      </c>
      <c r="AX83" s="1" t="e">
        <v>#REF!</v>
      </c>
      <c r="AY83" s="1" t="e">
        <v>#REF!</v>
      </c>
      <c r="AZ83" s="1" t="e">
        <v>#REF!</v>
      </c>
      <c r="BA83" s="1" t="e">
        <v>#REF!</v>
      </c>
      <c r="BB83" s="1" t="e">
        <v>#REF!</v>
      </c>
    </row>
    <row r="84" spans="2:54" ht="17.5">
      <c r="B84" s="629"/>
      <c r="C84" s="61"/>
      <c r="D84" s="629"/>
      <c r="E84" s="161"/>
      <c r="F84" s="629"/>
      <c r="G84" s="629"/>
      <c r="H84" s="629"/>
      <c r="I84" s="629"/>
      <c r="J84" s="630"/>
      <c r="K84" s="629"/>
      <c r="L84" s="630"/>
      <c r="M84" s="629"/>
      <c r="N84" s="629"/>
      <c r="O84" s="629"/>
      <c r="P84" s="63"/>
      <c r="Q84" s="161"/>
      <c r="AM84" s="1" t="e">
        <v>#REF!</v>
      </c>
      <c r="AN84" s="1" t="e">
        <v>#REF!</v>
      </c>
      <c r="AO84" s="1" t="e">
        <v>#REF!</v>
      </c>
      <c r="AP84" s="1" t="e">
        <v>#REF!</v>
      </c>
      <c r="AQ84" s="1" t="e">
        <v>#REF!</v>
      </c>
      <c r="AR84" s="1" t="e">
        <v>#REF!</v>
      </c>
      <c r="AS84" s="1" t="e">
        <v>#REF!</v>
      </c>
      <c r="AT84" s="2" t="e">
        <v>#REF!</v>
      </c>
      <c r="AU84" s="1" t="e">
        <v>#REF!</v>
      </c>
      <c r="AV84" s="2" t="e">
        <v>#REF!</v>
      </c>
      <c r="AW84" s="1" t="e">
        <v>#REF!</v>
      </c>
      <c r="AX84" s="1" t="e">
        <v>#REF!</v>
      </c>
      <c r="AY84" s="1" t="e">
        <v>#REF!</v>
      </c>
      <c r="AZ84" s="1" t="e">
        <v>#REF!</v>
      </c>
      <c r="BA84" s="1" t="e">
        <v>#REF!</v>
      </c>
      <c r="BB84" s="1" t="e">
        <v>#REF!</v>
      </c>
    </row>
    <row r="85" spans="2:54" ht="17.5">
      <c r="B85" s="629"/>
      <c r="C85" s="61"/>
      <c r="D85" s="629"/>
      <c r="E85" s="629"/>
      <c r="F85" s="629"/>
      <c r="G85" s="629"/>
      <c r="H85" s="629"/>
      <c r="I85" s="629"/>
      <c r="J85" s="630"/>
      <c r="K85" s="629"/>
      <c r="L85" s="630"/>
      <c r="M85" s="629"/>
      <c r="N85" s="629"/>
      <c r="O85" s="629"/>
      <c r="P85" s="63"/>
      <c r="Q85" s="161"/>
      <c r="AM85" s="1" t="e">
        <v>#REF!</v>
      </c>
      <c r="AN85" s="1" t="e">
        <v>#REF!</v>
      </c>
      <c r="AO85" s="1" t="e">
        <v>#REF!</v>
      </c>
      <c r="AP85" s="1" t="e">
        <v>#REF!</v>
      </c>
      <c r="AQ85" s="1" t="e">
        <v>#REF!</v>
      </c>
      <c r="AR85" s="1" t="e">
        <v>#REF!</v>
      </c>
      <c r="AS85" s="1" t="e">
        <v>#REF!</v>
      </c>
      <c r="AT85" s="2" t="e">
        <v>#REF!</v>
      </c>
      <c r="AU85" s="1" t="e">
        <v>#REF!</v>
      </c>
      <c r="AV85" s="2" t="e">
        <v>#REF!</v>
      </c>
      <c r="AW85" s="1" t="e">
        <v>#REF!</v>
      </c>
      <c r="AX85" s="1" t="e">
        <v>#REF!</v>
      </c>
      <c r="AY85" s="1" t="e">
        <v>#REF!</v>
      </c>
      <c r="AZ85" s="1" t="e">
        <v>#REF!</v>
      </c>
      <c r="BA85" s="1" t="e">
        <v>#REF!</v>
      </c>
      <c r="BB85" s="1" t="e">
        <v>#REF!</v>
      </c>
    </row>
    <row r="86" spans="2:54" ht="17.5">
      <c r="B86" s="629"/>
      <c r="C86" s="61"/>
      <c r="D86" s="629"/>
      <c r="E86" s="629"/>
      <c r="F86" s="629"/>
      <c r="G86" s="629"/>
      <c r="H86" s="629"/>
      <c r="I86" s="629"/>
      <c r="J86" s="630"/>
      <c r="K86" s="629"/>
      <c r="L86" s="630"/>
      <c r="M86" s="629"/>
      <c r="N86" s="629"/>
      <c r="O86" s="629"/>
      <c r="P86" s="63"/>
      <c r="Q86" s="161"/>
      <c r="AM86" s="1" t="e">
        <v>#REF!</v>
      </c>
      <c r="AN86" s="1" t="e">
        <v>#REF!</v>
      </c>
      <c r="AO86" s="1" t="e">
        <v>#REF!</v>
      </c>
      <c r="AP86" s="1" t="e">
        <v>#REF!</v>
      </c>
      <c r="AQ86" s="1" t="e">
        <v>#REF!</v>
      </c>
      <c r="AR86" s="1" t="e">
        <v>#REF!</v>
      </c>
      <c r="AS86" s="1" t="e">
        <v>#REF!</v>
      </c>
      <c r="AT86" s="2" t="e">
        <v>#REF!</v>
      </c>
      <c r="AU86" s="1" t="e">
        <v>#REF!</v>
      </c>
      <c r="AV86" s="2" t="e">
        <v>#REF!</v>
      </c>
      <c r="AW86" s="1" t="e">
        <v>#REF!</v>
      </c>
      <c r="AX86" s="1" t="e">
        <v>#REF!</v>
      </c>
      <c r="AY86" s="1" t="e">
        <v>#REF!</v>
      </c>
      <c r="AZ86" s="1" t="e">
        <v>#REF!</v>
      </c>
      <c r="BA86" s="1" t="e">
        <v>#REF!</v>
      </c>
      <c r="BB86" s="1" t="e">
        <v>#REF!</v>
      </c>
    </row>
    <row r="87" spans="2:54" ht="17.5">
      <c r="B87" s="629"/>
      <c r="C87" s="61"/>
      <c r="D87" s="629"/>
      <c r="E87" s="629"/>
      <c r="F87" s="629"/>
      <c r="G87" s="629"/>
      <c r="H87" s="629"/>
      <c r="I87" s="629"/>
      <c r="J87" s="630"/>
      <c r="K87" s="629"/>
      <c r="L87" s="630"/>
      <c r="M87" s="629"/>
      <c r="N87" s="629"/>
      <c r="O87" s="629"/>
      <c r="P87" s="63"/>
      <c r="Q87" s="161"/>
      <c r="AM87" s="1" t="e">
        <v>#REF!</v>
      </c>
      <c r="AN87" s="1" t="e">
        <v>#REF!</v>
      </c>
      <c r="AO87" s="1" t="e">
        <v>#REF!</v>
      </c>
      <c r="AP87" s="1" t="e">
        <v>#REF!</v>
      </c>
      <c r="AQ87" s="1" t="e">
        <v>#REF!</v>
      </c>
      <c r="AR87" s="1" t="e">
        <v>#REF!</v>
      </c>
      <c r="AS87" s="1" t="e">
        <v>#REF!</v>
      </c>
      <c r="AT87" s="2" t="e">
        <v>#REF!</v>
      </c>
      <c r="AU87" s="1" t="e">
        <v>#REF!</v>
      </c>
      <c r="AV87" s="2" t="e">
        <v>#REF!</v>
      </c>
      <c r="AW87" s="1" t="e">
        <v>#REF!</v>
      </c>
      <c r="AX87" s="1" t="e">
        <v>#REF!</v>
      </c>
      <c r="AY87" s="1" t="e">
        <v>#REF!</v>
      </c>
      <c r="AZ87" s="1" t="e">
        <v>#REF!</v>
      </c>
      <c r="BA87" s="1" t="e">
        <v>#REF!</v>
      </c>
      <c r="BB87" s="1" t="e">
        <v>#REF!</v>
      </c>
    </row>
    <row r="88" spans="2:54" ht="17.5">
      <c r="B88" s="629"/>
      <c r="C88" s="61"/>
      <c r="D88" s="629"/>
      <c r="E88" s="629"/>
      <c r="F88" s="629"/>
      <c r="G88" s="629"/>
      <c r="H88" s="629"/>
      <c r="I88" s="629"/>
      <c r="J88" s="630"/>
      <c r="K88" s="629"/>
      <c r="L88" s="630"/>
      <c r="M88" s="629"/>
      <c r="N88" s="629"/>
      <c r="O88" s="629"/>
      <c r="P88" s="63"/>
      <c r="Q88" s="161"/>
      <c r="AM88" s="1" t="e">
        <v>#REF!</v>
      </c>
      <c r="AN88" s="1" t="e">
        <v>#REF!</v>
      </c>
      <c r="AO88" s="1" t="e">
        <v>#REF!</v>
      </c>
      <c r="AP88" s="1" t="e">
        <v>#REF!</v>
      </c>
      <c r="AQ88" s="1" t="e">
        <v>#REF!</v>
      </c>
      <c r="AR88" s="1" t="e">
        <v>#REF!</v>
      </c>
      <c r="AS88" s="1" t="e">
        <v>#REF!</v>
      </c>
      <c r="AT88" s="2" t="e">
        <v>#REF!</v>
      </c>
      <c r="AU88" s="1" t="e">
        <v>#REF!</v>
      </c>
      <c r="AV88" s="2" t="e">
        <v>#REF!</v>
      </c>
      <c r="AW88" s="1" t="e">
        <v>#REF!</v>
      </c>
      <c r="AX88" s="1" t="e">
        <v>#REF!</v>
      </c>
      <c r="AY88" s="1" t="e">
        <v>#REF!</v>
      </c>
      <c r="AZ88" s="1" t="e">
        <v>#REF!</v>
      </c>
      <c r="BA88" s="1" t="e">
        <v>#REF!</v>
      </c>
      <c r="BB88" s="1" t="e">
        <v>#REF!</v>
      </c>
    </row>
    <row r="89" spans="2:54" ht="17.5">
      <c r="B89" s="629"/>
      <c r="C89" s="61"/>
      <c r="D89" s="629"/>
      <c r="E89" s="629"/>
      <c r="F89" s="629"/>
      <c r="G89" s="629"/>
      <c r="H89" s="629"/>
      <c r="I89" s="629"/>
      <c r="J89" s="630"/>
      <c r="K89" s="629"/>
      <c r="L89" s="630"/>
      <c r="M89" s="629"/>
      <c r="N89" s="629"/>
      <c r="O89" s="629"/>
      <c r="P89" s="63"/>
      <c r="Q89" s="161"/>
      <c r="AM89" s="1" t="e">
        <v>#REF!</v>
      </c>
      <c r="AN89" s="1" t="e">
        <v>#REF!</v>
      </c>
      <c r="AO89" s="1" t="e">
        <v>#REF!</v>
      </c>
      <c r="AP89" s="1" t="e">
        <v>#REF!</v>
      </c>
      <c r="AQ89" s="1" t="e">
        <v>#REF!</v>
      </c>
      <c r="AR89" s="1" t="e">
        <v>#REF!</v>
      </c>
      <c r="AS89" s="1" t="e">
        <v>#REF!</v>
      </c>
      <c r="AT89" s="2" t="e">
        <v>#REF!</v>
      </c>
      <c r="AU89" s="1" t="e">
        <v>#REF!</v>
      </c>
      <c r="AV89" s="2" t="e">
        <v>#REF!</v>
      </c>
      <c r="AW89" s="1" t="e">
        <v>#REF!</v>
      </c>
      <c r="AX89" s="1" t="e">
        <v>#REF!</v>
      </c>
      <c r="AY89" s="1" t="e">
        <v>#REF!</v>
      </c>
      <c r="AZ89" s="1" t="e">
        <v>#REF!</v>
      </c>
      <c r="BA89" s="1" t="e">
        <v>#REF!</v>
      </c>
      <c r="BB89" s="1" t="e">
        <v>#REF!</v>
      </c>
    </row>
    <row r="90" spans="2:54" ht="17.5">
      <c r="B90" s="629"/>
      <c r="C90" s="61"/>
      <c r="D90" s="629"/>
      <c r="E90" s="629"/>
      <c r="F90" s="629"/>
      <c r="G90" s="629"/>
      <c r="H90" s="629"/>
      <c r="I90" s="629"/>
      <c r="J90" s="630"/>
      <c r="K90" s="629"/>
      <c r="L90" s="630"/>
      <c r="M90" s="629"/>
      <c r="N90" s="629"/>
      <c r="O90" s="629"/>
      <c r="P90" s="63"/>
      <c r="Q90" s="161"/>
      <c r="AM90" s="1" t="e">
        <v>#REF!</v>
      </c>
      <c r="AN90" s="1" t="e">
        <v>#REF!</v>
      </c>
      <c r="AO90" s="1" t="e">
        <v>#REF!</v>
      </c>
      <c r="AP90" s="1" t="e">
        <v>#REF!</v>
      </c>
      <c r="AQ90" s="1" t="e">
        <v>#REF!</v>
      </c>
      <c r="AR90" s="1" t="e">
        <v>#REF!</v>
      </c>
      <c r="AS90" s="1" t="e">
        <v>#REF!</v>
      </c>
      <c r="AT90" s="2" t="e">
        <v>#REF!</v>
      </c>
      <c r="AU90" s="1" t="e">
        <v>#REF!</v>
      </c>
      <c r="AV90" s="2" t="e">
        <v>#REF!</v>
      </c>
      <c r="AW90" s="1" t="e">
        <v>#REF!</v>
      </c>
      <c r="AX90" s="1" t="e">
        <v>#REF!</v>
      </c>
      <c r="AY90" s="1" t="e">
        <v>#REF!</v>
      </c>
      <c r="AZ90" s="1" t="e">
        <v>#REF!</v>
      </c>
      <c r="BA90" s="1" t="e">
        <v>#REF!</v>
      </c>
      <c r="BB90" s="1" t="e">
        <v>#REF!</v>
      </c>
    </row>
    <row r="91" spans="2:54" ht="17.5">
      <c r="B91" s="629"/>
      <c r="C91" s="61"/>
      <c r="D91" s="629"/>
      <c r="E91" s="629"/>
      <c r="F91" s="629"/>
      <c r="G91" s="629"/>
      <c r="H91" s="629"/>
      <c r="I91" s="629"/>
      <c r="J91" s="630"/>
      <c r="K91" s="629"/>
      <c r="L91" s="630"/>
      <c r="M91" s="629"/>
      <c r="N91" s="629"/>
      <c r="O91" s="629"/>
      <c r="P91" s="63"/>
      <c r="Q91" s="161"/>
      <c r="AM91" s="1" t="e">
        <v>#REF!</v>
      </c>
      <c r="AN91" s="1" t="e">
        <v>#REF!</v>
      </c>
      <c r="AO91" s="1" t="e">
        <v>#REF!</v>
      </c>
      <c r="AP91" s="1" t="e">
        <v>#REF!</v>
      </c>
      <c r="AQ91" s="1" t="e">
        <v>#REF!</v>
      </c>
      <c r="AR91" s="1" t="e">
        <v>#REF!</v>
      </c>
      <c r="AS91" s="1" t="e">
        <v>#REF!</v>
      </c>
      <c r="AT91" s="2" t="e">
        <v>#REF!</v>
      </c>
      <c r="AU91" s="1" t="e">
        <v>#REF!</v>
      </c>
      <c r="AV91" s="2" t="e">
        <v>#REF!</v>
      </c>
      <c r="AW91" s="1" t="e">
        <v>#REF!</v>
      </c>
      <c r="AX91" s="1" t="e">
        <v>#REF!</v>
      </c>
      <c r="AY91" s="1" t="e">
        <v>#REF!</v>
      </c>
      <c r="AZ91" s="1" t="e">
        <v>#REF!</v>
      </c>
      <c r="BA91" s="1" t="e">
        <v>#REF!</v>
      </c>
      <c r="BB91" s="1" t="e">
        <v>#REF!</v>
      </c>
    </row>
    <row r="92" spans="2:54" ht="17.5">
      <c r="B92" s="629"/>
      <c r="C92" s="61"/>
      <c r="D92" s="629"/>
      <c r="E92" s="632"/>
      <c r="F92" s="632"/>
      <c r="G92" s="632"/>
      <c r="H92" s="632"/>
      <c r="I92" s="629"/>
      <c r="J92" s="630"/>
      <c r="K92" s="629"/>
      <c r="L92" s="630"/>
      <c r="M92" s="629"/>
      <c r="N92" s="629"/>
      <c r="O92" s="629"/>
      <c r="P92" s="63"/>
      <c r="Q92" s="161"/>
      <c r="AM92" s="1" t="e">
        <v>#REF!</v>
      </c>
      <c r="AN92" s="1" t="e">
        <v>#REF!</v>
      </c>
      <c r="AO92" s="1" t="e">
        <v>#REF!</v>
      </c>
      <c r="AP92" s="1" t="e">
        <v>#REF!</v>
      </c>
      <c r="AQ92" s="1" t="e">
        <v>#REF!</v>
      </c>
      <c r="AR92" s="1" t="e">
        <v>#REF!</v>
      </c>
      <c r="AS92" s="1" t="e">
        <v>#REF!</v>
      </c>
      <c r="AT92" s="2" t="e">
        <v>#REF!</v>
      </c>
      <c r="AU92" s="1" t="e">
        <v>#REF!</v>
      </c>
      <c r="AV92" s="2" t="e">
        <v>#REF!</v>
      </c>
      <c r="AW92" s="1" t="e">
        <v>#REF!</v>
      </c>
      <c r="AX92" s="1" t="e">
        <v>#REF!</v>
      </c>
      <c r="AY92" s="1" t="e">
        <v>#REF!</v>
      </c>
      <c r="AZ92" s="1" t="e">
        <v>#REF!</v>
      </c>
      <c r="BA92" s="1" t="e">
        <v>#REF!</v>
      </c>
      <c r="BB92" s="1" t="e">
        <v>#REF!</v>
      </c>
    </row>
    <row r="93" spans="2:54" ht="17.5">
      <c r="B93" s="629"/>
      <c r="C93" s="61"/>
      <c r="D93" s="629"/>
      <c r="E93" s="629"/>
      <c r="F93" s="629"/>
      <c r="G93" s="629"/>
      <c r="H93" s="629"/>
      <c r="I93" s="629"/>
      <c r="J93" s="630"/>
      <c r="K93" s="629"/>
      <c r="L93" s="630"/>
      <c r="M93" s="629"/>
      <c r="N93" s="629"/>
      <c r="O93" s="629"/>
      <c r="P93" s="63"/>
      <c r="Q93" s="161"/>
      <c r="AM93" s="1" t="e">
        <v>#REF!</v>
      </c>
      <c r="AN93" s="1" t="e">
        <v>#REF!</v>
      </c>
      <c r="AO93" s="1" t="e">
        <v>#REF!</v>
      </c>
      <c r="AP93" s="1" t="e">
        <v>#REF!</v>
      </c>
      <c r="AQ93" s="1" t="e">
        <v>#REF!</v>
      </c>
      <c r="AR93" s="1" t="e">
        <v>#REF!</v>
      </c>
      <c r="AS93" s="1" t="e">
        <v>#REF!</v>
      </c>
      <c r="AT93" s="2" t="e">
        <v>#REF!</v>
      </c>
      <c r="AU93" s="1" t="e">
        <v>#REF!</v>
      </c>
      <c r="AV93" s="2" t="e">
        <v>#REF!</v>
      </c>
      <c r="AW93" s="1" t="e">
        <v>#REF!</v>
      </c>
      <c r="AX93" s="1" t="e">
        <v>#REF!</v>
      </c>
      <c r="AY93" s="1" t="e">
        <v>#REF!</v>
      </c>
      <c r="AZ93" s="1" t="e">
        <v>#REF!</v>
      </c>
      <c r="BA93" s="1" t="e">
        <v>#REF!</v>
      </c>
      <c r="BB93" s="1" t="e">
        <v>#REF!</v>
      </c>
    </row>
    <row r="94" spans="2:54" ht="17.5">
      <c r="B94" s="629"/>
      <c r="C94" s="61"/>
      <c r="D94" s="629"/>
      <c r="E94" s="629"/>
      <c r="F94" s="629"/>
      <c r="G94" s="629"/>
      <c r="H94" s="629"/>
      <c r="I94" s="629"/>
      <c r="J94" s="630"/>
      <c r="K94" s="629"/>
      <c r="L94" s="630"/>
      <c r="M94" s="629"/>
      <c r="N94" s="629"/>
      <c r="O94" s="629"/>
      <c r="P94" s="63"/>
      <c r="Q94" s="161"/>
      <c r="AM94" s="1" t="e">
        <v>#REF!</v>
      </c>
      <c r="AN94" s="1" t="e">
        <v>#REF!</v>
      </c>
      <c r="AO94" s="1" t="e">
        <v>#REF!</v>
      </c>
      <c r="AP94" s="1" t="e">
        <v>#REF!</v>
      </c>
      <c r="AQ94" s="1" t="e">
        <v>#REF!</v>
      </c>
      <c r="AR94" s="1" t="e">
        <v>#REF!</v>
      </c>
      <c r="AS94" s="1" t="e">
        <v>#REF!</v>
      </c>
      <c r="AT94" s="2" t="e">
        <v>#REF!</v>
      </c>
      <c r="AU94" s="1" t="e">
        <v>#REF!</v>
      </c>
      <c r="AV94" s="2" t="e">
        <v>#REF!</v>
      </c>
      <c r="AW94" s="1" t="e">
        <v>#REF!</v>
      </c>
      <c r="AX94" s="1" t="e">
        <v>#REF!</v>
      </c>
      <c r="AY94" s="1" t="e">
        <v>#REF!</v>
      </c>
      <c r="AZ94" s="1" t="e">
        <v>#REF!</v>
      </c>
      <c r="BA94" s="1" t="e">
        <v>#REF!</v>
      </c>
      <c r="BB94" s="1" t="e">
        <v>#REF!</v>
      </c>
    </row>
    <row r="95" spans="2:54" ht="17.5">
      <c r="B95" s="629"/>
      <c r="C95" s="61"/>
      <c r="D95" s="629"/>
      <c r="E95" s="629"/>
      <c r="F95" s="629"/>
      <c r="G95" s="629"/>
      <c r="H95" s="629"/>
      <c r="I95" s="629"/>
      <c r="J95" s="630"/>
      <c r="K95" s="629"/>
      <c r="L95" s="630"/>
      <c r="M95" s="629"/>
      <c r="N95" s="629"/>
      <c r="O95" s="629"/>
      <c r="P95" s="63"/>
      <c r="Q95" s="161"/>
      <c r="AM95" s="1" t="e">
        <v>#REF!</v>
      </c>
      <c r="AN95" s="1" t="e">
        <v>#REF!</v>
      </c>
      <c r="AO95" s="1" t="e">
        <v>#REF!</v>
      </c>
      <c r="AP95" s="1" t="e">
        <v>#REF!</v>
      </c>
      <c r="AQ95" s="1" t="e">
        <v>#REF!</v>
      </c>
      <c r="AR95" s="1" t="e">
        <v>#REF!</v>
      </c>
      <c r="AS95" s="1" t="e">
        <v>#REF!</v>
      </c>
      <c r="AT95" s="2" t="e">
        <v>#REF!</v>
      </c>
      <c r="AU95" s="1" t="e">
        <v>#REF!</v>
      </c>
      <c r="AV95" s="2" t="e">
        <v>#REF!</v>
      </c>
      <c r="AW95" s="1" t="e">
        <v>#REF!</v>
      </c>
      <c r="AX95" s="1" t="e">
        <v>#REF!</v>
      </c>
      <c r="AY95" s="1" t="e">
        <v>#REF!</v>
      </c>
      <c r="AZ95" s="1" t="e">
        <v>#REF!</v>
      </c>
      <c r="BA95" s="1" t="e">
        <v>#REF!</v>
      </c>
      <c r="BB95" s="1" t="e">
        <v>#REF!</v>
      </c>
    </row>
    <row r="96" spans="2:54" ht="17.5">
      <c r="B96" s="629"/>
      <c r="C96" s="61"/>
      <c r="D96" s="629"/>
      <c r="E96" s="629"/>
      <c r="F96" s="629"/>
      <c r="G96" s="629"/>
      <c r="H96" s="629"/>
      <c r="I96" s="629"/>
      <c r="J96" s="630"/>
      <c r="K96" s="629"/>
      <c r="L96" s="630"/>
      <c r="M96" s="629"/>
      <c r="N96" s="629"/>
      <c r="O96" s="629"/>
      <c r="P96" s="63"/>
      <c r="Q96" s="161"/>
      <c r="AM96" s="1" t="e">
        <v>#REF!</v>
      </c>
      <c r="AN96" s="1" t="e">
        <v>#REF!</v>
      </c>
      <c r="AO96" s="1" t="e">
        <v>#REF!</v>
      </c>
      <c r="AP96" s="1" t="e">
        <v>#REF!</v>
      </c>
      <c r="AQ96" s="1" t="e">
        <v>#REF!</v>
      </c>
      <c r="AR96" s="1" t="e">
        <v>#REF!</v>
      </c>
      <c r="AS96" s="1" t="e">
        <v>#REF!</v>
      </c>
      <c r="AT96" s="2" t="e">
        <v>#REF!</v>
      </c>
      <c r="AU96" s="1" t="e">
        <v>#REF!</v>
      </c>
      <c r="AV96" s="2" t="e">
        <v>#REF!</v>
      </c>
      <c r="AW96" s="1" t="e">
        <v>#REF!</v>
      </c>
      <c r="AX96" s="1" t="e">
        <v>#REF!</v>
      </c>
      <c r="AY96" s="1" t="e">
        <v>#REF!</v>
      </c>
      <c r="AZ96" s="1" t="e">
        <v>#REF!</v>
      </c>
      <c r="BA96" s="1" t="e">
        <v>#REF!</v>
      </c>
      <c r="BB96" s="1" t="e">
        <v>#REF!</v>
      </c>
    </row>
    <row r="97" spans="2:54" ht="17.5">
      <c r="B97" s="629"/>
      <c r="C97" s="61"/>
      <c r="D97" s="629"/>
      <c r="E97" s="629"/>
      <c r="F97" s="629"/>
      <c r="G97" s="629"/>
      <c r="H97" s="629"/>
      <c r="I97" s="629"/>
      <c r="J97" s="630"/>
      <c r="K97" s="629"/>
      <c r="L97" s="630"/>
      <c r="M97" s="629"/>
      <c r="N97" s="629"/>
      <c r="O97" s="629"/>
      <c r="P97" s="63"/>
      <c r="Q97" s="161"/>
      <c r="AM97" s="1" t="e">
        <v>#REF!</v>
      </c>
      <c r="AN97" s="1" t="e">
        <v>#REF!</v>
      </c>
      <c r="AO97" s="1" t="e">
        <v>#REF!</v>
      </c>
      <c r="AP97" s="1" t="e">
        <v>#REF!</v>
      </c>
      <c r="AQ97" s="1" t="e">
        <v>#REF!</v>
      </c>
      <c r="AR97" s="1" t="e">
        <v>#REF!</v>
      </c>
      <c r="AS97" s="1" t="e">
        <v>#REF!</v>
      </c>
      <c r="AT97" s="2" t="e">
        <v>#REF!</v>
      </c>
      <c r="AU97" s="1" t="e">
        <v>#REF!</v>
      </c>
      <c r="AV97" s="2" t="e">
        <v>#REF!</v>
      </c>
      <c r="AW97" s="1" t="e">
        <v>#REF!</v>
      </c>
      <c r="AX97" s="1" t="e">
        <v>#REF!</v>
      </c>
      <c r="AY97" s="1" t="e">
        <v>#REF!</v>
      </c>
      <c r="AZ97" s="1" t="e">
        <v>#REF!</v>
      </c>
      <c r="BA97" s="1" t="e">
        <v>#REF!</v>
      </c>
      <c r="BB97" s="1" t="e">
        <v>#REF!</v>
      </c>
    </row>
    <row r="98" spans="2:54" ht="17.5">
      <c r="B98" s="629"/>
      <c r="C98" s="61"/>
      <c r="D98" s="629"/>
      <c r="E98" s="629"/>
      <c r="F98" s="629"/>
      <c r="G98" s="629"/>
      <c r="H98" s="629"/>
      <c r="I98" s="629"/>
      <c r="J98" s="630"/>
      <c r="K98" s="629"/>
      <c r="L98" s="630"/>
      <c r="M98" s="629"/>
      <c r="N98" s="629"/>
      <c r="O98" s="629"/>
      <c r="P98" s="63"/>
      <c r="Q98" s="161"/>
      <c r="AM98" s="1" t="e">
        <v>#REF!</v>
      </c>
      <c r="AN98" s="1" t="e">
        <v>#REF!</v>
      </c>
      <c r="AO98" s="1" t="e">
        <v>#REF!</v>
      </c>
      <c r="AP98" s="1" t="e">
        <v>#REF!</v>
      </c>
      <c r="AQ98" s="1" t="e">
        <v>#REF!</v>
      </c>
      <c r="AR98" s="1" t="e">
        <v>#REF!</v>
      </c>
      <c r="AS98" s="1" t="e">
        <v>#REF!</v>
      </c>
      <c r="AT98" s="2" t="e">
        <v>#REF!</v>
      </c>
      <c r="AU98" s="1" t="e">
        <v>#REF!</v>
      </c>
      <c r="AV98" s="2" t="e">
        <v>#REF!</v>
      </c>
      <c r="AW98" s="1" t="e">
        <v>#REF!</v>
      </c>
      <c r="AX98" s="1" t="e">
        <v>#REF!</v>
      </c>
      <c r="AY98" s="1" t="e">
        <v>#REF!</v>
      </c>
      <c r="AZ98" s="1" t="e">
        <v>#REF!</v>
      </c>
      <c r="BA98" s="1" t="e">
        <v>#REF!</v>
      </c>
      <c r="BB98" s="1" t="e">
        <v>#REF!</v>
      </c>
    </row>
    <row r="99" spans="2:54" ht="17.5">
      <c r="B99" s="629"/>
      <c r="C99" s="61"/>
      <c r="D99" s="629"/>
      <c r="E99" s="629"/>
      <c r="F99" s="629"/>
      <c r="G99" s="629"/>
      <c r="H99" s="629"/>
      <c r="I99" s="629"/>
      <c r="J99" s="630"/>
      <c r="K99" s="629"/>
      <c r="L99" s="630"/>
      <c r="M99" s="629"/>
      <c r="N99" s="629"/>
      <c r="O99" s="629"/>
      <c r="P99" s="63"/>
      <c r="Q99" s="161"/>
      <c r="AM99" s="1" t="e">
        <v>#REF!</v>
      </c>
      <c r="AN99" s="1" t="e">
        <v>#REF!</v>
      </c>
      <c r="AO99" s="1" t="e">
        <v>#REF!</v>
      </c>
      <c r="AP99" s="1" t="e">
        <v>#REF!</v>
      </c>
      <c r="AQ99" s="1" t="e">
        <v>#REF!</v>
      </c>
      <c r="AR99" s="1" t="e">
        <v>#REF!</v>
      </c>
      <c r="AS99" s="1" t="e">
        <v>#REF!</v>
      </c>
      <c r="AT99" s="2" t="e">
        <v>#REF!</v>
      </c>
      <c r="AU99" s="1" t="e">
        <v>#REF!</v>
      </c>
      <c r="AV99" s="2" t="e">
        <v>#REF!</v>
      </c>
      <c r="AW99" s="1" t="e">
        <v>#REF!</v>
      </c>
      <c r="AX99" s="1" t="e">
        <v>#REF!</v>
      </c>
      <c r="AY99" s="1" t="e">
        <v>#REF!</v>
      </c>
      <c r="AZ99" s="1" t="e">
        <v>#REF!</v>
      </c>
      <c r="BA99" s="1" t="e">
        <v>#REF!</v>
      </c>
      <c r="BB99" s="1" t="e">
        <v>#REF!</v>
      </c>
    </row>
    <row r="100" spans="2:54" ht="17.5">
      <c r="B100" s="629"/>
      <c r="C100" s="61"/>
      <c r="D100" s="629"/>
      <c r="E100" s="629"/>
      <c r="F100" s="629"/>
      <c r="G100" s="629"/>
      <c r="H100" s="629"/>
      <c r="I100" s="629"/>
      <c r="J100" s="630"/>
      <c r="K100" s="629"/>
      <c r="L100" s="630"/>
      <c r="M100" s="629"/>
      <c r="N100" s="629"/>
      <c r="O100" s="629"/>
      <c r="P100" s="63"/>
      <c r="Q100" s="161"/>
      <c r="AM100" s="1" t="e">
        <v>#REF!</v>
      </c>
      <c r="AN100" s="1" t="e">
        <v>#REF!</v>
      </c>
      <c r="AO100" s="1" t="e">
        <v>#REF!</v>
      </c>
      <c r="AP100" s="1" t="e">
        <v>#REF!</v>
      </c>
      <c r="AQ100" s="1" t="e">
        <v>#REF!</v>
      </c>
      <c r="AR100" s="1" t="e">
        <v>#REF!</v>
      </c>
      <c r="AS100" s="1" t="e">
        <v>#REF!</v>
      </c>
      <c r="AT100" s="2" t="e">
        <v>#REF!</v>
      </c>
      <c r="AU100" s="1" t="e">
        <v>#REF!</v>
      </c>
      <c r="AV100" s="2" t="e">
        <v>#REF!</v>
      </c>
      <c r="AW100" s="1" t="e">
        <v>#REF!</v>
      </c>
      <c r="AX100" s="1" t="e">
        <v>#REF!</v>
      </c>
      <c r="AY100" s="1" t="e">
        <v>#REF!</v>
      </c>
      <c r="AZ100" s="1" t="e">
        <v>#REF!</v>
      </c>
      <c r="BA100" s="1" t="e">
        <v>#REF!</v>
      </c>
      <c r="BB100" s="1" t="e">
        <v>#REF!</v>
      </c>
    </row>
    <row r="101" spans="2:54" ht="20">
      <c r="B101" s="629"/>
      <c r="C101" s="61"/>
      <c r="D101" s="629"/>
      <c r="E101" s="165"/>
      <c r="F101" s="629"/>
      <c r="G101" s="629"/>
      <c r="H101" s="629"/>
      <c r="I101" s="629"/>
      <c r="J101" s="630"/>
      <c r="K101" s="629"/>
      <c r="L101" s="630"/>
      <c r="M101" s="629"/>
      <c r="N101" s="629"/>
      <c r="O101" s="629"/>
      <c r="P101" s="63"/>
      <c r="Q101" s="161"/>
      <c r="AM101" s="1" t="e">
        <v>#REF!</v>
      </c>
      <c r="AN101" s="1" t="e">
        <v>#REF!</v>
      </c>
      <c r="AO101" s="1" t="e">
        <v>#REF!</v>
      </c>
      <c r="AP101" s="1" t="e">
        <v>#REF!</v>
      </c>
      <c r="AQ101" s="1" t="e">
        <v>#REF!</v>
      </c>
      <c r="AR101" s="1" t="e">
        <v>#REF!</v>
      </c>
      <c r="AS101" s="1" t="e">
        <v>#REF!</v>
      </c>
      <c r="AT101" s="2" t="e">
        <v>#REF!</v>
      </c>
      <c r="AU101" s="1" t="e">
        <v>#REF!</v>
      </c>
      <c r="AV101" s="2" t="e">
        <v>#REF!</v>
      </c>
      <c r="AW101" s="1" t="e">
        <v>#REF!</v>
      </c>
      <c r="AX101" s="1" t="e">
        <v>#REF!</v>
      </c>
      <c r="AY101" s="1" t="e">
        <v>#REF!</v>
      </c>
      <c r="AZ101" s="1" t="e">
        <v>#REF!</v>
      </c>
      <c r="BA101" s="1" t="e">
        <v>#REF!</v>
      </c>
      <c r="BB101" s="1" t="e">
        <v>#REF!</v>
      </c>
    </row>
    <row r="102" spans="2:54" ht="17.5">
      <c r="B102" s="629"/>
      <c r="C102" s="61"/>
      <c r="D102" s="629"/>
      <c r="E102" s="629"/>
      <c r="F102" s="629"/>
      <c r="G102" s="629"/>
      <c r="H102" s="629"/>
      <c r="I102" s="629"/>
      <c r="J102" s="630"/>
      <c r="K102" s="629"/>
      <c r="L102" s="630"/>
      <c r="M102" s="629"/>
      <c r="N102" s="629"/>
      <c r="O102" s="629"/>
      <c r="P102" s="63"/>
      <c r="Q102" s="161"/>
      <c r="AM102" s="1" t="e">
        <v>#REF!</v>
      </c>
      <c r="AN102" s="1" t="e">
        <v>#REF!</v>
      </c>
      <c r="AO102" s="1" t="e">
        <v>#REF!</v>
      </c>
      <c r="AP102" s="1" t="e">
        <v>#REF!</v>
      </c>
      <c r="AQ102" s="1" t="e">
        <v>#REF!</v>
      </c>
      <c r="AR102" s="1" t="e">
        <v>#REF!</v>
      </c>
      <c r="AS102" s="1" t="e">
        <v>#REF!</v>
      </c>
      <c r="AT102" s="2" t="e">
        <v>#REF!</v>
      </c>
      <c r="AU102" s="1" t="e">
        <v>#REF!</v>
      </c>
      <c r="AV102" s="2" t="e">
        <v>#REF!</v>
      </c>
      <c r="AW102" s="1" t="e">
        <v>#REF!</v>
      </c>
      <c r="AX102" s="1" t="e">
        <v>#REF!</v>
      </c>
      <c r="AY102" s="1" t="e">
        <v>#REF!</v>
      </c>
      <c r="AZ102" s="1" t="e">
        <v>#REF!</v>
      </c>
      <c r="BA102" s="1" t="e">
        <v>#REF!</v>
      </c>
      <c r="BB102" s="1" t="e">
        <v>#REF!</v>
      </c>
    </row>
    <row r="103" spans="2:54" ht="17.5">
      <c r="B103" s="629"/>
      <c r="C103" s="61"/>
      <c r="D103" s="629"/>
      <c r="E103" s="629"/>
      <c r="F103" s="629"/>
      <c r="G103" s="629"/>
      <c r="H103" s="629"/>
      <c r="I103" s="629"/>
      <c r="J103" s="630"/>
      <c r="K103" s="629"/>
      <c r="L103" s="630"/>
      <c r="M103" s="629"/>
      <c r="N103" s="629"/>
      <c r="O103" s="629"/>
      <c r="P103" s="63"/>
      <c r="Q103" s="161"/>
      <c r="AM103" s="1" t="e">
        <v>#REF!</v>
      </c>
      <c r="AN103" s="1" t="e">
        <v>#REF!</v>
      </c>
      <c r="AO103" s="1" t="e">
        <v>#REF!</v>
      </c>
      <c r="AP103" s="1" t="e">
        <v>#REF!</v>
      </c>
      <c r="AQ103" s="1" t="e">
        <v>#REF!</v>
      </c>
      <c r="AR103" s="1" t="e">
        <v>#REF!</v>
      </c>
      <c r="AS103" s="1" t="e">
        <v>#REF!</v>
      </c>
      <c r="AT103" s="2" t="e">
        <v>#REF!</v>
      </c>
      <c r="AU103" s="1" t="e">
        <v>#REF!</v>
      </c>
      <c r="AV103" s="2" t="e">
        <v>#REF!</v>
      </c>
      <c r="AW103" s="1" t="e">
        <v>#REF!</v>
      </c>
      <c r="AX103" s="1" t="e">
        <v>#REF!</v>
      </c>
      <c r="AY103" s="1" t="e">
        <v>#REF!</v>
      </c>
      <c r="AZ103" s="1" t="e">
        <v>#REF!</v>
      </c>
      <c r="BA103" s="1" t="e">
        <v>#REF!</v>
      </c>
      <c r="BB103" s="1" t="e">
        <v>#REF!</v>
      </c>
    </row>
    <row r="104" spans="2:54" ht="17.5">
      <c r="B104" s="629"/>
      <c r="C104" s="61"/>
      <c r="D104" s="629"/>
      <c r="E104" s="629"/>
      <c r="F104" s="629"/>
      <c r="G104" s="629"/>
      <c r="H104" s="629"/>
      <c r="I104" s="629"/>
      <c r="J104" s="630"/>
      <c r="K104" s="629"/>
      <c r="L104" s="630"/>
      <c r="M104" s="629"/>
      <c r="N104" s="629"/>
      <c r="O104" s="629"/>
      <c r="P104" s="63"/>
      <c r="Q104" s="161"/>
      <c r="AM104" s="1" t="e">
        <v>#REF!</v>
      </c>
      <c r="AN104" s="1" t="e">
        <v>#REF!</v>
      </c>
      <c r="AO104" s="1" t="e">
        <v>#REF!</v>
      </c>
      <c r="AP104" s="1" t="e">
        <v>#REF!</v>
      </c>
      <c r="AQ104" s="1" t="e">
        <v>#REF!</v>
      </c>
      <c r="AR104" s="1" t="e">
        <v>#REF!</v>
      </c>
      <c r="AS104" s="1" t="e">
        <v>#REF!</v>
      </c>
      <c r="AT104" s="2" t="e">
        <v>#REF!</v>
      </c>
      <c r="AU104" s="1" t="e">
        <v>#REF!</v>
      </c>
      <c r="AV104" s="2" t="e">
        <v>#REF!</v>
      </c>
      <c r="AW104" s="1" t="e">
        <v>#REF!</v>
      </c>
      <c r="AX104" s="1" t="e">
        <v>#REF!</v>
      </c>
      <c r="AY104" s="1" t="e">
        <v>#REF!</v>
      </c>
      <c r="AZ104" s="1" t="e">
        <v>#REF!</v>
      </c>
      <c r="BA104" s="1" t="e">
        <v>#REF!</v>
      </c>
      <c r="BB104" s="1" t="e">
        <v>#REF!</v>
      </c>
    </row>
    <row r="105" spans="2:54" ht="17.5">
      <c r="B105" s="629"/>
      <c r="C105" s="172"/>
      <c r="D105" s="629"/>
      <c r="E105" s="629"/>
      <c r="F105" s="629"/>
      <c r="G105" s="629"/>
      <c r="H105" s="629"/>
      <c r="I105" s="629"/>
      <c r="J105" s="630"/>
      <c r="K105" s="629"/>
      <c r="L105" s="630"/>
      <c r="M105" s="629"/>
      <c r="N105" s="629"/>
      <c r="O105" s="629"/>
      <c r="P105" s="63"/>
      <c r="Q105" s="161"/>
      <c r="AM105" s="1" t="e">
        <v>#REF!</v>
      </c>
      <c r="AN105" s="1" t="e">
        <v>#REF!</v>
      </c>
      <c r="AO105" s="1" t="e">
        <v>#REF!</v>
      </c>
      <c r="AP105" s="1" t="e">
        <v>#REF!</v>
      </c>
      <c r="AQ105" s="1" t="e">
        <v>#REF!</v>
      </c>
      <c r="AR105" s="1" t="e">
        <v>#REF!</v>
      </c>
      <c r="AS105" s="1" t="e">
        <v>#REF!</v>
      </c>
      <c r="AT105" s="2" t="e">
        <v>#REF!</v>
      </c>
      <c r="AU105" s="1" t="e">
        <v>#REF!</v>
      </c>
      <c r="AV105" s="2" t="e">
        <v>#REF!</v>
      </c>
      <c r="AW105" s="1" t="e">
        <v>#REF!</v>
      </c>
      <c r="AX105" s="1" t="e">
        <v>#REF!</v>
      </c>
      <c r="AY105" s="1" t="e">
        <v>#REF!</v>
      </c>
      <c r="AZ105" s="1" t="e">
        <v>#REF!</v>
      </c>
      <c r="BA105" s="1" t="e">
        <v>#REF!</v>
      </c>
      <c r="BB105" s="1" t="e">
        <v>#REF!</v>
      </c>
    </row>
    <row r="106" spans="2:54" ht="17.5">
      <c r="B106" s="629"/>
      <c r="C106" s="61"/>
      <c r="D106" s="629"/>
      <c r="E106" s="629"/>
      <c r="F106" s="629"/>
      <c r="G106" s="629"/>
      <c r="H106" s="629"/>
      <c r="I106" s="629"/>
      <c r="J106" s="630"/>
      <c r="K106" s="629"/>
      <c r="L106" s="630"/>
      <c r="M106" s="629"/>
      <c r="N106" s="629"/>
      <c r="O106" s="629"/>
      <c r="P106" s="63"/>
      <c r="Q106" s="161"/>
      <c r="AM106" s="1" t="e">
        <v>#REF!</v>
      </c>
      <c r="AN106" s="1" t="e">
        <v>#REF!</v>
      </c>
      <c r="AO106" s="1" t="e">
        <v>#REF!</v>
      </c>
      <c r="AP106" s="1" t="e">
        <v>#REF!</v>
      </c>
      <c r="AQ106" s="1" t="e">
        <v>#REF!</v>
      </c>
      <c r="AR106" s="1" t="e">
        <v>#REF!</v>
      </c>
      <c r="AS106" s="1" t="e">
        <v>#REF!</v>
      </c>
      <c r="AT106" s="2" t="e">
        <v>#REF!</v>
      </c>
      <c r="AU106" s="1" t="e">
        <v>#REF!</v>
      </c>
      <c r="AV106" s="2" t="e">
        <v>#REF!</v>
      </c>
      <c r="AW106" s="1" t="e">
        <v>#REF!</v>
      </c>
      <c r="AX106" s="1" t="e">
        <v>#REF!</v>
      </c>
      <c r="AY106" s="1" t="e">
        <v>#REF!</v>
      </c>
      <c r="AZ106" s="1" t="e">
        <v>#REF!</v>
      </c>
      <c r="BA106" s="1" t="e">
        <v>#REF!</v>
      </c>
      <c r="BB106" s="1" t="e">
        <v>#REF!</v>
      </c>
    </row>
    <row r="107" spans="2:54" ht="17.5">
      <c r="B107" s="629"/>
      <c r="C107" s="61"/>
      <c r="D107" s="629"/>
      <c r="E107" s="629"/>
      <c r="F107" s="629"/>
      <c r="G107" s="629"/>
      <c r="H107" s="629"/>
      <c r="I107" s="629"/>
      <c r="J107" s="630"/>
      <c r="K107" s="629"/>
      <c r="L107" s="630"/>
      <c r="M107" s="629"/>
      <c r="N107" s="629"/>
      <c r="O107" s="629"/>
      <c r="P107" s="63"/>
      <c r="Q107" s="161"/>
      <c r="AM107" s="1" t="e">
        <v>#REF!</v>
      </c>
      <c r="AN107" s="1" t="e">
        <v>#REF!</v>
      </c>
      <c r="AO107" s="1" t="e">
        <v>#REF!</v>
      </c>
      <c r="AP107" s="1" t="e">
        <v>#REF!</v>
      </c>
      <c r="AQ107" s="1" t="e">
        <v>#REF!</v>
      </c>
      <c r="AR107" s="1" t="e">
        <v>#REF!</v>
      </c>
      <c r="AS107" s="1" t="e">
        <v>#REF!</v>
      </c>
      <c r="AT107" s="2" t="e">
        <v>#REF!</v>
      </c>
      <c r="AU107" s="1" t="e">
        <v>#REF!</v>
      </c>
      <c r="AV107" s="2" t="e">
        <v>#REF!</v>
      </c>
      <c r="AW107" s="1" t="e">
        <v>#REF!</v>
      </c>
      <c r="AX107" s="1" t="e">
        <v>#REF!</v>
      </c>
      <c r="AY107" s="1" t="e">
        <v>#REF!</v>
      </c>
      <c r="AZ107" s="1" t="e">
        <v>#REF!</v>
      </c>
      <c r="BA107" s="1" t="e">
        <v>#REF!</v>
      </c>
      <c r="BB107" s="1" t="e">
        <v>#REF!</v>
      </c>
    </row>
    <row r="108" spans="2:54" ht="17.5">
      <c r="B108" s="629"/>
      <c r="C108" s="172"/>
      <c r="D108" s="131"/>
      <c r="E108" s="629"/>
      <c r="F108" s="629"/>
      <c r="G108" s="629"/>
      <c r="H108" s="629"/>
      <c r="I108" s="629"/>
      <c r="J108" s="630"/>
      <c r="K108" s="629"/>
      <c r="L108" s="630"/>
      <c r="M108" s="629"/>
      <c r="N108" s="629"/>
      <c r="O108" s="629"/>
      <c r="P108" s="63"/>
      <c r="Q108" s="161"/>
      <c r="AM108" s="1" t="e">
        <v>#REF!</v>
      </c>
      <c r="AN108" s="1" t="e">
        <v>#REF!</v>
      </c>
      <c r="AO108" s="1" t="e">
        <v>#REF!</v>
      </c>
      <c r="AP108" s="1" t="e">
        <v>#REF!</v>
      </c>
      <c r="AQ108" s="1" t="e">
        <v>#REF!</v>
      </c>
      <c r="AR108" s="1" t="e">
        <v>#REF!</v>
      </c>
      <c r="AS108" s="1" t="e">
        <v>#REF!</v>
      </c>
      <c r="AT108" s="2" t="e">
        <v>#REF!</v>
      </c>
      <c r="AU108" s="1" t="e">
        <v>#REF!</v>
      </c>
      <c r="AV108" s="2" t="e">
        <v>#REF!</v>
      </c>
      <c r="AW108" s="1" t="e">
        <v>#REF!</v>
      </c>
      <c r="AX108" s="1" t="e">
        <v>#REF!</v>
      </c>
      <c r="AY108" s="1" t="e">
        <v>#REF!</v>
      </c>
      <c r="AZ108" s="1" t="e">
        <v>#REF!</v>
      </c>
      <c r="BA108" s="1" t="e">
        <v>#REF!</v>
      </c>
      <c r="BB108" s="1" t="e">
        <v>#REF!</v>
      </c>
    </row>
    <row r="109" spans="2:54" ht="17.5">
      <c r="B109" s="629"/>
      <c r="C109" s="61"/>
      <c r="D109" s="629"/>
      <c r="E109" s="629"/>
      <c r="F109" s="629"/>
      <c r="G109" s="629"/>
      <c r="H109" s="629"/>
      <c r="I109" s="629"/>
      <c r="J109" s="630"/>
      <c r="K109" s="629"/>
      <c r="L109" s="630"/>
      <c r="M109" s="629"/>
      <c r="N109" s="629"/>
      <c r="O109" s="629"/>
      <c r="P109" s="63"/>
      <c r="Q109" s="161"/>
      <c r="AM109" s="1" t="e">
        <v>#REF!</v>
      </c>
      <c r="AN109" s="1" t="e">
        <v>#REF!</v>
      </c>
      <c r="AO109" s="1" t="e">
        <v>#REF!</v>
      </c>
      <c r="AP109" s="1" t="e">
        <v>#REF!</v>
      </c>
      <c r="AQ109" s="1" t="e">
        <v>#REF!</v>
      </c>
      <c r="AR109" s="1" t="e">
        <v>#REF!</v>
      </c>
      <c r="AS109" s="1" t="e">
        <v>#REF!</v>
      </c>
      <c r="AT109" s="2" t="e">
        <v>#REF!</v>
      </c>
      <c r="AU109" s="1" t="e">
        <v>#REF!</v>
      </c>
      <c r="AV109" s="2" t="e">
        <v>#REF!</v>
      </c>
      <c r="AW109" s="1" t="e">
        <v>#REF!</v>
      </c>
      <c r="AX109" s="1" t="e">
        <v>#REF!</v>
      </c>
      <c r="AY109" s="1" t="e">
        <v>#REF!</v>
      </c>
      <c r="AZ109" s="1" t="e">
        <v>#REF!</v>
      </c>
      <c r="BA109" s="1" t="e">
        <v>#REF!</v>
      </c>
      <c r="BB109" s="1" t="e">
        <v>#REF!</v>
      </c>
    </row>
    <row r="110" spans="2:54" ht="17.5">
      <c r="B110" s="629"/>
      <c r="C110" s="61"/>
      <c r="D110" s="629"/>
      <c r="E110" s="629"/>
      <c r="F110" s="629"/>
      <c r="G110" s="629"/>
      <c r="H110" s="629"/>
      <c r="I110" s="629"/>
      <c r="J110" s="630"/>
      <c r="K110" s="629"/>
      <c r="L110" s="630"/>
      <c r="M110" s="629"/>
      <c r="N110" s="629"/>
      <c r="O110" s="629"/>
      <c r="P110" s="63"/>
      <c r="Q110" s="161"/>
      <c r="AM110" s="1" t="e">
        <v>#REF!</v>
      </c>
      <c r="AN110" s="1" t="e">
        <v>#REF!</v>
      </c>
      <c r="AO110" s="1" t="e">
        <v>#REF!</v>
      </c>
      <c r="AP110" s="1" t="e">
        <v>#REF!</v>
      </c>
      <c r="AQ110" s="1" t="e">
        <v>#REF!</v>
      </c>
      <c r="AR110" s="1" t="e">
        <v>#REF!</v>
      </c>
      <c r="AS110" s="1" t="e">
        <v>#REF!</v>
      </c>
      <c r="AT110" s="2" t="e">
        <v>#REF!</v>
      </c>
      <c r="AU110" s="1" t="e">
        <v>#REF!</v>
      </c>
      <c r="AV110" s="2" t="e">
        <v>#REF!</v>
      </c>
      <c r="AW110" s="1" t="e">
        <v>#REF!</v>
      </c>
      <c r="AX110" s="1" t="e">
        <v>#REF!</v>
      </c>
      <c r="AY110" s="1" t="e">
        <v>#REF!</v>
      </c>
      <c r="AZ110" s="1" t="e">
        <v>#REF!</v>
      </c>
      <c r="BA110" s="1" t="e">
        <v>#REF!</v>
      </c>
      <c r="BB110" s="1" t="e">
        <v>#REF!</v>
      </c>
    </row>
    <row r="111" spans="2:54" ht="17.5">
      <c r="B111" s="629"/>
      <c r="C111" s="61"/>
      <c r="D111" s="629"/>
      <c r="E111" s="632"/>
      <c r="F111" s="632"/>
      <c r="G111" s="632"/>
      <c r="H111" s="632"/>
      <c r="I111" s="629"/>
      <c r="J111" s="630"/>
      <c r="K111" s="629"/>
      <c r="L111" s="630"/>
      <c r="M111" s="629"/>
      <c r="N111" s="629"/>
      <c r="O111" s="629"/>
      <c r="P111" s="63"/>
      <c r="Q111" s="161"/>
      <c r="AM111" s="1" t="e">
        <v>#REF!</v>
      </c>
      <c r="AN111" s="1" t="e">
        <v>#REF!</v>
      </c>
      <c r="AO111" s="1" t="e">
        <v>#REF!</v>
      </c>
      <c r="AP111" s="1" t="e">
        <v>#REF!</v>
      </c>
      <c r="AQ111" s="1" t="e">
        <v>#REF!</v>
      </c>
      <c r="AR111" s="1" t="e">
        <v>#REF!</v>
      </c>
      <c r="AS111" s="1" t="e">
        <v>#REF!</v>
      </c>
      <c r="AT111" s="2" t="e">
        <v>#REF!</v>
      </c>
      <c r="AU111" s="1" t="e">
        <v>#REF!</v>
      </c>
      <c r="AV111" s="2" t="e">
        <v>#REF!</v>
      </c>
      <c r="AW111" s="1" t="e">
        <v>#REF!</v>
      </c>
      <c r="AX111" s="1" t="e">
        <v>#REF!</v>
      </c>
      <c r="AY111" s="1" t="e">
        <v>#REF!</v>
      </c>
      <c r="AZ111" s="1" t="e">
        <v>#REF!</v>
      </c>
      <c r="BA111" s="1" t="e">
        <v>#REF!</v>
      </c>
      <c r="BB111" s="1" t="e">
        <v>#REF!</v>
      </c>
    </row>
    <row r="112" spans="2:54" ht="17.5">
      <c r="B112" s="629"/>
      <c r="C112" s="61"/>
      <c r="D112" s="629"/>
      <c r="E112" s="629"/>
      <c r="F112" s="629"/>
      <c r="G112" s="629"/>
      <c r="H112" s="629"/>
      <c r="I112" s="629"/>
      <c r="J112" s="630"/>
      <c r="K112" s="629"/>
      <c r="L112" s="630"/>
      <c r="M112" s="629"/>
      <c r="N112" s="629"/>
      <c r="O112" s="629"/>
      <c r="P112" s="63"/>
      <c r="Q112" s="161"/>
      <c r="AM112" s="1" t="e">
        <v>#REF!</v>
      </c>
      <c r="AN112" s="1" t="e">
        <v>#REF!</v>
      </c>
      <c r="AO112" s="1" t="e">
        <v>#REF!</v>
      </c>
      <c r="AP112" s="1" t="e">
        <v>#REF!</v>
      </c>
      <c r="AQ112" s="1" t="e">
        <v>#REF!</v>
      </c>
      <c r="AR112" s="1" t="e">
        <v>#REF!</v>
      </c>
      <c r="AS112" s="1" t="e">
        <v>#REF!</v>
      </c>
      <c r="AT112" s="2" t="e">
        <v>#REF!</v>
      </c>
      <c r="AU112" s="1" t="e">
        <v>#REF!</v>
      </c>
      <c r="AV112" s="2" t="e">
        <v>#REF!</v>
      </c>
      <c r="AW112" s="1" t="e">
        <v>#REF!</v>
      </c>
      <c r="AX112" s="1" t="e">
        <v>#REF!</v>
      </c>
      <c r="AY112" s="1" t="e">
        <v>#REF!</v>
      </c>
      <c r="AZ112" s="1" t="e">
        <v>#REF!</v>
      </c>
      <c r="BA112" s="1" t="e">
        <v>#REF!</v>
      </c>
      <c r="BB112" s="1" t="e">
        <v>#REF!</v>
      </c>
    </row>
    <row r="113" spans="2:54" ht="17.5">
      <c r="B113" s="629"/>
      <c r="C113" s="61"/>
      <c r="D113" s="629"/>
      <c r="E113" s="629"/>
      <c r="F113" s="629"/>
      <c r="G113" s="629"/>
      <c r="H113" s="629"/>
      <c r="I113" s="629"/>
      <c r="J113" s="630"/>
      <c r="K113" s="629"/>
      <c r="L113" s="634"/>
      <c r="M113" s="629"/>
      <c r="N113" s="629"/>
      <c r="O113" s="629"/>
      <c r="P113" s="63"/>
      <c r="Q113" s="161"/>
      <c r="AM113" s="1" t="e">
        <v>#REF!</v>
      </c>
      <c r="AN113" s="1" t="e">
        <v>#REF!</v>
      </c>
      <c r="AO113" s="1" t="e">
        <v>#REF!</v>
      </c>
      <c r="AP113" s="1" t="e">
        <v>#REF!</v>
      </c>
      <c r="AQ113" s="1" t="e">
        <v>#REF!</v>
      </c>
      <c r="AR113" s="1" t="e">
        <v>#REF!</v>
      </c>
      <c r="AS113" s="1" t="e">
        <v>#REF!</v>
      </c>
      <c r="AT113" s="2" t="e">
        <v>#REF!</v>
      </c>
      <c r="AU113" s="1" t="e">
        <v>#REF!</v>
      </c>
      <c r="AV113" s="2" t="e">
        <v>#REF!</v>
      </c>
      <c r="AW113" s="1" t="e">
        <v>#REF!</v>
      </c>
      <c r="AX113" s="1" t="e">
        <v>#REF!</v>
      </c>
      <c r="AY113" s="1" t="e">
        <v>#REF!</v>
      </c>
      <c r="AZ113" s="1" t="e">
        <v>#REF!</v>
      </c>
      <c r="BA113" s="1" t="e">
        <v>#REF!</v>
      </c>
      <c r="BB113" s="1" t="e">
        <v>#REF!</v>
      </c>
    </row>
    <row r="114" spans="2:54" ht="17.5">
      <c r="B114" s="629"/>
      <c r="C114" s="61"/>
      <c r="D114" s="629"/>
      <c r="E114" s="629"/>
      <c r="F114" s="629"/>
      <c r="G114" s="629"/>
      <c r="H114" s="629"/>
      <c r="I114" s="629"/>
      <c r="J114" s="630"/>
      <c r="K114" s="629"/>
      <c r="L114" s="630"/>
      <c r="M114" s="629"/>
      <c r="N114" s="629"/>
      <c r="O114" s="629"/>
      <c r="P114" s="63"/>
      <c r="Q114" s="161"/>
      <c r="AM114" s="1" t="e">
        <v>#REF!</v>
      </c>
      <c r="AN114" s="1" t="e">
        <v>#REF!</v>
      </c>
      <c r="AO114" s="1" t="e">
        <v>#REF!</v>
      </c>
      <c r="AP114" s="1" t="e">
        <v>#REF!</v>
      </c>
      <c r="AQ114" s="1" t="e">
        <v>#REF!</v>
      </c>
      <c r="AR114" s="1" t="e">
        <v>#REF!</v>
      </c>
      <c r="AS114" s="1" t="e">
        <v>#REF!</v>
      </c>
      <c r="AT114" s="2" t="e">
        <v>#REF!</v>
      </c>
      <c r="AU114" s="1" t="e">
        <v>#REF!</v>
      </c>
      <c r="AV114" s="2" t="e">
        <v>#REF!</v>
      </c>
      <c r="AW114" s="1" t="e">
        <v>#REF!</v>
      </c>
      <c r="AX114" s="1" t="e">
        <v>#REF!</v>
      </c>
      <c r="AY114" s="1" t="e">
        <v>#REF!</v>
      </c>
      <c r="AZ114" s="1" t="e">
        <v>#REF!</v>
      </c>
      <c r="BA114" s="1" t="e">
        <v>#REF!</v>
      </c>
      <c r="BB114" s="1" t="e">
        <v>#REF!</v>
      </c>
    </row>
    <row r="115" spans="2:54" ht="17.5">
      <c r="B115" s="629"/>
      <c r="C115" s="61"/>
      <c r="D115" s="629"/>
      <c r="E115" s="629"/>
      <c r="F115" s="629"/>
      <c r="G115" s="629"/>
      <c r="H115" s="629"/>
      <c r="I115" s="629"/>
      <c r="J115" s="630"/>
      <c r="K115" s="629"/>
      <c r="L115" s="630"/>
      <c r="M115" s="629"/>
      <c r="N115" s="629"/>
      <c r="O115" s="629"/>
      <c r="P115" s="63"/>
      <c r="Q115" s="161"/>
      <c r="AM115" s="1" t="e">
        <v>#REF!</v>
      </c>
      <c r="AN115" s="1" t="e">
        <v>#REF!</v>
      </c>
      <c r="AO115" s="1" t="e">
        <v>#REF!</v>
      </c>
      <c r="AP115" s="1" t="e">
        <v>#REF!</v>
      </c>
      <c r="AQ115" s="1" t="e">
        <v>#REF!</v>
      </c>
      <c r="AR115" s="1" t="e">
        <v>#REF!</v>
      </c>
      <c r="AS115" s="1" t="e">
        <v>#REF!</v>
      </c>
      <c r="AT115" s="2" t="e">
        <v>#REF!</v>
      </c>
      <c r="AU115" s="1" t="e">
        <v>#REF!</v>
      </c>
      <c r="AV115" s="2" t="e">
        <v>#REF!</v>
      </c>
      <c r="AW115" s="1" t="e">
        <v>#REF!</v>
      </c>
      <c r="AX115" s="1" t="e">
        <v>#REF!</v>
      </c>
      <c r="AY115" s="1" t="e">
        <v>#REF!</v>
      </c>
      <c r="AZ115" s="1" t="e">
        <v>#REF!</v>
      </c>
      <c r="BA115" s="1" t="e">
        <v>#REF!</v>
      </c>
      <c r="BB115" s="1" t="e">
        <v>#REF!</v>
      </c>
    </row>
    <row r="116" spans="2:54" ht="17.5">
      <c r="B116" s="629"/>
      <c r="C116" s="61"/>
      <c r="D116" s="629"/>
      <c r="E116" s="629"/>
      <c r="F116" s="629"/>
      <c r="G116" s="629"/>
      <c r="H116" s="629"/>
      <c r="I116" s="629"/>
      <c r="J116" s="630"/>
      <c r="K116" s="629"/>
      <c r="L116" s="630"/>
      <c r="M116" s="629"/>
      <c r="N116" s="629"/>
      <c r="O116" s="629"/>
      <c r="P116" s="63"/>
      <c r="Q116" s="161"/>
      <c r="AM116" s="1" t="e">
        <v>#REF!</v>
      </c>
      <c r="AN116" s="1" t="e">
        <v>#REF!</v>
      </c>
      <c r="AO116" s="1" t="e">
        <v>#REF!</v>
      </c>
      <c r="AP116" s="1" t="e">
        <v>#REF!</v>
      </c>
      <c r="AQ116" s="1" t="e">
        <v>#REF!</v>
      </c>
      <c r="AR116" s="1" t="e">
        <v>#REF!</v>
      </c>
      <c r="AS116" s="1" t="e">
        <v>#REF!</v>
      </c>
      <c r="AT116" s="2" t="e">
        <v>#REF!</v>
      </c>
      <c r="AU116" s="1" t="e">
        <v>#REF!</v>
      </c>
      <c r="AV116" s="2" t="e">
        <v>#REF!</v>
      </c>
      <c r="AW116" s="1" t="e">
        <v>#REF!</v>
      </c>
      <c r="AX116" s="1" t="e">
        <v>#REF!</v>
      </c>
      <c r="AY116" s="1" t="e">
        <v>#REF!</v>
      </c>
      <c r="AZ116" s="1" t="e">
        <v>#REF!</v>
      </c>
      <c r="BA116" s="1" t="e">
        <v>#REF!</v>
      </c>
      <c r="BB116" s="1" t="e">
        <v>#REF!</v>
      </c>
    </row>
    <row r="117" spans="2:54" ht="17.5">
      <c r="B117" s="629"/>
      <c r="C117" s="61"/>
      <c r="D117" s="629"/>
      <c r="E117" s="629"/>
      <c r="F117" s="629"/>
      <c r="G117" s="629"/>
      <c r="H117" s="629"/>
      <c r="I117" s="629"/>
      <c r="J117" s="630"/>
      <c r="K117" s="629"/>
      <c r="L117" s="630"/>
      <c r="M117" s="629"/>
      <c r="N117" s="629"/>
      <c r="O117" s="629"/>
      <c r="P117" s="63"/>
      <c r="Q117" s="161"/>
      <c r="AM117" s="1" t="e">
        <v>#REF!</v>
      </c>
      <c r="AN117" s="1" t="e">
        <v>#REF!</v>
      </c>
      <c r="AO117" s="1" t="e">
        <v>#REF!</v>
      </c>
      <c r="AP117" s="1" t="e">
        <v>#REF!</v>
      </c>
      <c r="AQ117" s="1" t="e">
        <v>#REF!</v>
      </c>
      <c r="AR117" s="1" t="e">
        <v>#REF!</v>
      </c>
      <c r="AS117" s="1" t="e">
        <v>#REF!</v>
      </c>
      <c r="AT117" s="2" t="e">
        <v>#REF!</v>
      </c>
      <c r="AU117" s="1" t="e">
        <v>#REF!</v>
      </c>
      <c r="AV117" s="2" t="e">
        <v>#REF!</v>
      </c>
      <c r="AW117" s="1" t="e">
        <v>#REF!</v>
      </c>
      <c r="AX117" s="1" t="e">
        <v>#REF!</v>
      </c>
      <c r="AY117" s="1" t="e">
        <v>#REF!</v>
      </c>
      <c r="AZ117" s="1" t="e">
        <v>#REF!</v>
      </c>
      <c r="BA117" s="1" t="e">
        <v>#REF!</v>
      </c>
      <c r="BB117" s="1" t="e">
        <v>#REF!</v>
      </c>
    </row>
    <row r="118" spans="2:54" ht="17.5">
      <c r="B118" s="629"/>
      <c r="C118" s="61"/>
      <c r="D118" s="629"/>
      <c r="E118" s="629"/>
      <c r="F118" s="629"/>
      <c r="G118" s="629"/>
      <c r="H118" s="629"/>
      <c r="I118" s="629"/>
      <c r="J118" s="630"/>
      <c r="K118" s="629"/>
      <c r="L118" s="630"/>
      <c r="M118" s="629"/>
      <c r="N118" s="629"/>
      <c r="O118" s="629"/>
      <c r="P118" s="63"/>
      <c r="Q118" s="161"/>
      <c r="AM118" s="1" t="e">
        <v>#REF!</v>
      </c>
      <c r="AN118" s="1" t="e">
        <v>#REF!</v>
      </c>
      <c r="AO118" s="1" t="e">
        <v>#REF!</v>
      </c>
      <c r="AP118" s="1" t="e">
        <v>#REF!</v>
      </c>
      <c r="AQ118" s="1" t="e">
        <v>#REF!</v>
      </c>
      <c r="AR118" s="1" t="e">
        <v>#REF!</v>
      </c>
      <c r="AS118" s="1" t="e">
        <v>#REF!</v>
      </c>
      <c r="AT118" s="2" t="e">
        <v>#REF!</v>
      </c>
      <c r="AU118" s="1" t="e">
        <v>#REF!</v>
      </c>
      <c r="AV118" s="2" t="e">
        <v>#REF!</v>
      </c>
      <c r="AW118" s="1" t="e">
        <v>#REF!</v>
      </c>
      <c r="AX118" s="1" t="e">
        <v>#REF!</v>
      </c>
      <c r="AY118" s="1" t="e">
        <v>#REF!</v>
      </c>
      <c r="AZ118" s="1" t="e">
        <v>#REF!</v>
      </c>
      <c r="BA118" s="1" t="e">
        <v>#REF!</v>
      </c>
      <c r="BB118" s="1" t="e">
        <v>#REF!</v>
      </c>
    </row>
    <row r="119" spans="2:54" ht="17.5">
      <c r="B119" s="629"/>
      <c r="C119" s="61"/>
      <c r="D119" s="629"/>
      <c r="E119" s="629"/>
      <c r="F119" s="629"/>
      <c r="G119" s="629"/>
      <c r="H119" s="629"/>
      <c r="I119" s="629"/>
      <c r="J119" s="630"/>
      <c r="K119" s="629"/>
      <c r="L119" s="630"/>
      <c r="M119" s="629"/>
      <c r="N119" s="629"/>
      <c r="O119" s="629"/>
      <c r="P119" s="63"/>
      <c r="Q119" s="161"/>
      <c r="AM119" s="1" t="e">
        <v>#REF!</v>
      </c>
      <c r="AN119" s="1" t="e">
        <v>#REF!</v>
      </c>
      <c r="AO119" s="1" t="e">
        <v>#REF!</v>
      </c>
      <c r="AP119" s="1" t="e">
        <v>#REF!</v>
      </c>
      <c r="AQ119" s="1" t="e">
        <v>#REF!</v>
      </c>
      <c r="AR119" s="1" t="e">
        <v>#REF!</v>
      </c>
      <c r="AS119" s="1" t="e">
        <v>#REF!</v>
      </c>
      <c r="AT119" s="2" t="e">
        <v>#REF!</v>
      </c>
      <c r="AU119" s="1" t="e">
        <v>#REF!</v>
      </c>
      <c r="AV119" s="2" t="e">
        <v>#REF!</v>
      </c>
      <c r="AW119" s="1" t="e">
        <v>#REF!</v>
      </c>
      <c r="AX119" s="1" t="e">
        <v>#REF!</v>
      </c>
      <c r="AY119" s="1" t="e">
        <v>#REF!</v>
      </c>
      <c r="AZ119" s="1" t="e">
        <v>#REF!</v>
      </c>
      <c r="BA119" s="1" t="e">
        <v>#REF!</v>
      </c>
      <c r="BB119" s="1" t="e">
        <v>#REF!</v>
      </c>
    </row>
    <row r="120" spans="2:54" ht="17.5">
      <c r="B120" s="629"/>
      <c r="C120" s="61"/>
      <c r="D120" s="629"/>
      <c r="E120" s="629"/>
      <c r="F120" s="629"/>
      <c r="G120" s="629"/>
      <c r="H120" s="629"/>
      <c r="I120" s="629"/>
      <c r="J120" s="630"/>
      <c r="K120" s="629"/>
      <c r="L120" s="630"/>
      <c r="M120" s="629"/>
      <c r="N120" s="629"/>
      <c r="O120" s="629"/>
      <c r="P120" s="63"/>
      <c r="Q120" s="161"/>
      <c r="AM120" s="1" t="e">
        <v>#REF!</v>
      </c>
      <c r="AN120" s="1" t="e">
        <v>#REF!</v>
      </c>
      <c r="AO120" s="1" t="e">
        <v>#REF!</v>
      </c>
      <c r="AP120" s="1" t="e">
        <v>#REF!</v>
      </c>
      <c r="AQ120" s="1" t="e">
        <v>#REF!</v>
      </c>
      <c r="AR120" s="1" t="e">
        <v>#REF!</v>
      </c>
      <c r="AS120" s="1" t="e">
        <v>#REF!</v>
      </c>
      <c r="AT120" s="2" t="e">
        <v>#REF!</v>
      </c>
      <c r="AU120" s="1" t="e">
        <v>#REF!</v>
      </c>
      <c r="AV120" s="2" t="e">
        <v>#REF!</v>
      </c>
      <c r="AW120" s="1" t="e">
        <v>#REF!</v>
      </c>
      <c r="AX120" s="1" t="e">
        <v>#REF!</v>
      </c>
      <c r="AY120" s="1" t="e">
        <v>#REF!</v>
      </c>
      <c r="AZ120" s="1" t="e">
        <v>#REF!</v>
      </c>
      <c r="BA120" s="1" t="e">
        <v>#REF!</v>
      </c>
      <c r="BB120" s="1" t="e">
        <v>#REF!</v>
      </c>
    </row>
    <row r="121" spans="2:54" ht="17.5">
      <c r="B121" s="629"/>
      <c r="C121" s="61"/>
      <c r="D121" s="629"/>
      <c r="E121" s="629"/>
      <c r="F121" s="629"/>
      <c r="G121" s="629"/>
      <c r="H121" s="629"/>
      <c r="I121" s="629"/>
      <c r="J121" s="630"/>
      <c r="K121" s="629"/>
      <c r="L121" s="630"/>
      <c r="M121" s="629"/>
      <c r="N121" s="629"/>
      <c r="O121" s="629"/>
      <c r="P121" s="63"/>
      <c r="Q121" s="161"/>
      <c r="AM121" s="1" t="e">
        <v>#REF!</v>
      </c>
      <c r="AN121" s="1" t="e">
        <v>#REF!</v>
      </c>
      <c r="AO121" s="1" t="e">
        <v>#REF!</v>
      </c>
      <c r="AP121" s="1" t="e">
        <v>#REF!</v>
      </c>
      <c r="AQ121" s="1" t="e">
        <v>#REF!</v>
      </c>
      <c r="AR121" s="1" t="e">
        <v>#REF!</v>
      </c>
      <c r="AS121" s="1" t="e">
        <v>#REF!</v>
      </c>
      <c r="AT121" s="2" t="e">
        <v>#REF!</v>
      </c>
      <c r="AU121" s="1" t="e">
        <v>#REF!</v>
      </c>
      <c r="AV121" s="2" t="e">
        <v>#REF!</v>
      </c>
      <c r="AW121" s="1" t="e">
        <v>#REF!</v>
      </c>
      <c r="AX121" s="1" t="e">
        <v>#REF!</v>
      </c>
      <c r="AY121" s="1" t="e">
        <v>#REF!</v>
      </c>
      <c r="AZ121" s="1" t="e">
        <v>#REF!</v>
      </c>
      <c r="BA121" s="1" t="e">
        <v>#REF!</v>
      </c>
      <c r="BB121" s="1" t="e">
        <v>#REF!</v>
      </c>
    </row>
    <row r="122" spans="2:54" ht="17.5">
      <c r="B122" s="629"/>
      <c r="C122" s="61"/>
      <c r="D122" s="629"/>
      <c r="E122" s="629"/>
      <c r="F122" s="629"/>
      <c r="G122" s="629"/>
      <c r="H122" s="629"/>
      <c r="I122" s="629"/>
      <c r="J122" s="630"/>
      <c r="K122" s="629"/>
      <c r="L122" s="630"/>
      <c r="M122" s="629"/>
      <c r="N122" s="629"/>
      <c r="O122" s="629"/>
      <c r="P122" s="63"/>
      <c r="Q122" s="161"/>
      <c r="AM122" s="1" t="e">
        <v>#REF!</v>
      </c>
      <c r="AN122" s="1" t="e">
        <v>#REF!</v>
      </c>
      <c r="AO122" s="1" t="e">
        <v>#REF!</v>
      </c>
      <c r="AP122" s="1" t="e">
        <v>#REF!</v>
      </c>
      <c r="AQ122" s="1" t="e">
        <v>#REF!</v>
      </c>
      <c r="AR122" s="1" t="e">
        <v>#REF!</v>
      </c>
      <c r="AS122" s="1" t="e">
        <v>#REF!</v>
      </c>
      <c r="AT122" s="2" t="e">
        <v>#REF!</v>
      </c>
      <c r="AU122" s="1" t="e">
        <v>#REF!</v>
      </c>
      <c r="AV122" s="2" t="e">
        <v>#REF!</v>
      </c>
      <c r="AW122" s="1" t="e">
        <v>#REF!</v>
      </c>
      <c r="AX122" s="1" t="e">
        <v>#REF!</v>
      </c>
      <c r="AY122" s="1" t="e">
        <v>#REF!</v>
      </c>
      <c r="AZ122" s="1" t="e">
        <v>#REF!</v>
      </c>
      <c r="BA122" s="1" t="e">
        <v>#REF!</v>
      </c>
      <c r="BB122" s="1" t="e">
        <v>#REF!</v>
      </c>
    </row>
    <row r="123" spans="2:54" ht="17.5">
      <c r="B123" s="629"/>
      <c r="C123" s="61"/>
      <c r="D123" s="629"/>
      <c r="E123" s="629"/>
      <c r="F123" s="629"/>
      <c r="G123" s="629"/>
      <c r="H123" s="629"/>
      <c r="I123" s="629"/>
      <c r="J123" s="630"/>
      <c r="K123" s="629"/>
      <c r="L123" s="630"/>
      <c r="M123" s="629"/>
      <c r="N123" s="629"/>
      <c r="O123" s="629"/>
      <c r="P123" s="63"/>
      <c r="Q123" s="161"/>
      <c r="AM123" s="1" t="e">
        <v>#REF!</v>
      </c>
      <c r="AN123" s="1" t="e">
        <v>#REF!</v>
      </c>
      <c r="AO123" s="1" t="e">
        <v>#REF!</v>
      </c>
      <c r="AP123" s="1" t="e">
        <v>#REF!</v>
      </c>
      <c r="AQ123" s="1" t="e">
        <v>#REF!</v>
      </c>
      <c r="AR123" s="1" t="e">
        <v>#REF!</v>
      </c>
      <c r="AS123" s="1" t="e">
        <v>#REF!</v>
      </c>
      <c r="AT123" s="2" t="e">
        <v>#REF!</v>
      </c>
      <c r="AU123" s="1" t="e">
        <v>#REF!</v>
      </c>
      <c r="AV123" s="2" t="e">
        <v>#REF!</v>
      </c>
      <c r="AW123" s="1" t="e">
        <v>#REF!</v>
      </c>
      <c r="AX123" s="1" t="e">
        <v>#REF!</v>
      </c>
      <c r="AY123" s="1" t="e">
        <v>#REF!</v>
      </c>
      <c r="AZ123" s="1" t="e">
        <v>#REF!</v>
      </c>
      <c r="BA123" s="1" t="e">
        <v>#REF!</v>
      </c>
      <c r="BB123" s="1" t="e">
        <v>#REF!</v>
      </c>
    </row>
    <row r="124" spans="2:54" ht="17.5">
      <c r="B124" s="629"/>
      <c r="C124" s="61"/>
      <c r="D124" s="629"/>
      <c r="E124" s="629"/>
      <c r="F124" s="629"/>
      <c r="G124" s="629"/>
      <c r="H124" s="629"/>
      <c r="I124" s="629"/>
      <c r="J124" s="630"/>
      <c r="K124" s="629"/>
      <c r="L124" s="630"/>
      <c r="M124" s="629"/>
      <c r="N124" s="629"/>
      <c r="O124" s="629"/>
      <c r="P124" s="63"/>
      <c r="Q124" s="161"/>
      <c r="AM124" s="1" t="e">
        <v>#REF!</v>
      </c>
      <c r="AN124" s="1" t="e">
        <v>#REF!</v>
      </c>
      <c r="AO124" s="1" t="e">
        <v>#REF!</v>
      </c>
      <c r="AP124" s="1" t="e">
        <v>#REF!</v>
      </c>
      <c r="AQ124" s="1" t="e">
        <v>#REF!</v>
      </c>
      <c r="AR124" s="1" t="e">
        <v>#REF!</v>
      </c>
      <c r="AS124" s="1" t="e">
        <v>#REF!</v>
      </c>
      <c r="AT124" s="2" t="e">
        <v>#REF!</v>
      </c>
      <c r="AU124" s="1" t="e">
        <v>#REF!</v>
      </c>
      <c r="AV124" s="2" t="e">
        <v>#REF!</v>
      </c>
      <c r="AW124" s="1" t="e">
        <v>#REF!</v>
      </c>
      <c r="AX124" s="1" t="e">
        <v>#REF!</v>
      </c>
      <c r="AY124" s="1" t="e">
        <v>#REF!</v>
      </c>
      <c r="AZ124" s="1" t="e">
        <v>#REF!</v>
      </c>
      <c r="BA124" s="1" t="e">
        <v>#REF!</v>
      </c>
      <c r="BB124" s="1" t="e">
        <v>#REF!</v>
      </c>
    </row>
    <row r="125" spans="2:54" ht="17.5">
      <c r="B125" s="629"/>
      <c r="C125" s="61"/>
      <c r="D125" s="629"/>
      <c r="E125" s="629"/>
      <c r="F125" s="629"/>
      <c r="G125" s="629"/>
      <c r="H125" s="629"/>
      <c r="I125" s="629"/>
      <c r="J125" s="630"/>
      <c r="K125" s="629"/>
      <c r="L125" s="630"/>
      <c r="M125" s="629"/>
      <c r="N125" s="629"/>
      <c r="O125" s="629"/>
      <c r="P125" s="63"/>
      <c r="Q125" s="161"/>
      <c r="AM125" s="1" t="e">
        <v>#REF!</v>
      </c>
      <c r="AN125" s="1" t="e">
        <v>#REF!</v>
      </c>
      <c r="AO125" s="1" t="e">
        <v>#REF!</v>
      </c>
      <c r="AP125" s="1" t="e">
        <v>#REF!</v>
      </c>
      <c r="AQ125" s="1" t="e">
        <v>#REF!</v>
      </c>
      <c r="AR125" s="1" t="e">
        <v>#REF!</v>
      </c>
      <c r="AS125" s="1" t="e">
        <v>#REF!</v>
      </c>
      <c r="AT125" s="2" t="e">
        <v>#REF!</v>
      </c>
      <c r="AU125" s="1" t="e">
        <v>#REF!</v>
      </c>
      <c r="AV125" s="2" t="e">
        <v>#REF!</v>
      </c>
      <c r="AW125" s="1" t="e">
        <v>#REF!</v>
      </c>
      <c r="AX125" s="1" t="e">
        <v>#REF!</v>
      </c>
      <c r="AY125" s="1" t="e">
        <v>#REF!</v>
      </c>
      <c r="AZ125" s="1" t="e">
        <v>#REF!</v>
      </c>
      <c r="BA125" s="1" t="e">
        <v>#REF!</v>
      </c>
      <c r="BB125" s="1" t="e">
        <v>#REF!</v>
      </c>
    </row>
    <row r="126" spans="2:54" ht="17.5">
      <c r="B126" s="629"/>
      <c r="C126" s="61"/>
      <c r="D126" s="629"/>
      <c r="E126" s="629"/>
      <c r="F126" s="629"/>
      <c r="G126" s="629"/>
      <c r="H126" s="629"/>
      <c r="I126" s="629"/>
      <c r="J126" s="630"/>
      <c r="K126" s="629"/>
      <c r="L126" s="630"/>
      <c r="M126" s="629"/>
      <c r="N126" s="629"/>
      <c r="O126" s="629"/>
      <c r="P126" s="63"/>
      <c r="Q126" s="161"/>
      <c r="AM126" s="1" t="e">
        <v>#REF!</v>
      </c>
      <c r="AN126" s="1" t="e">
        <v>#REF!</v>
      </c>
      <c r="AO126" s="1" t="e">
        <v>#REF!</v>
      </c>
      <c r="AP126" s="1" t="e">
        <v>#REF!</v>
      </c>
      <c r="AQ126" s="1" t="e">
        <v>#REF!</v>
      </c>
      <c r="AR126" s="1" t="e">
        <v>#REF!</v>
      </c>
      <c r="AS126" s="1" t="e">
        <v>#REF!</v>
      </c>
      <c r="AT126" s="2" t="e">
        <v>#REF!</v>
      </c>
      <c r="AU126" s="1" t="e">
        <v>#REF!</v>
      </c>
      <c r="AV126" s="2" t="e">
        <v>#REF!</v>
      </c>
      <c r="AW126" s="1" t="e">
        <v>#REF!</v>
      </c>
      <c r="AX126" s="1" t="e">
        <v>#REF!</v>
      </c>
      <c r="AY126" s="1" t="e">
        <v>#REF!</v>
      </c>
      <c r="AZ126" s="1" t="e">
        <v>#REF!</v>
      </c>
      <c r="BA126" s="1" t="e">
        <v>#REF!</v>
      </c>
      <c r="BB126" s="1" t="e">
        <v>#REF!</v>
      </c>
    </row>
    <row r="127" spans="2:54" ht="20">
      <c r="B127" s="629"/>
      <c r="C127" s="61"/>
      <c r="D127" s="629"/>
      <c r="E127" s="633"/>
      <c r="F127" s="629"/>
      <c r="G127" s="629"/>
      <c r="H127" s="629"/>
      <c r="I127" s="635"/>
      <c r="J127" s="630"/>
      <c r="K127" s="629"/>
      <c r="L127" s="630"/>
      <c r="M127" s="629"/>
      <c r="N127" s="629"/>
      <c r="O127" s="629"/>
      <c r="P127" s="63"/>
      <c r="Q127" s="161"/>
      <c r="AM127" s="1" t="e">
        <v>#REF!</v>
      </c>
      <c r="AN127" s="1" t="e">
        <v>#REF!</v>
      </c>
      <c r="AO127" s="1" t="e">
        <v>#REF!</v>
      </c>
      <c r="AP127" s="1" t="e">
        <v>#REF!</v>
      </c>
      <c r="AQ127" s="1" t="e">
        <v>#REF!</v>
      </c>
      <c r="AR127" s="1" t="e">
        <v>#REF!</v>
      </c>
      <c r="AS127" s="1" t="e">
        <v>#REF!</v>
      </c>
      <c r="AT127" s="2" t="e">
        <v>#REF!</v>
      </c>
      <c r="AU127" s="1" t="e">
        <v>#REF!</v>
      </c>
      <c r="AV127" s="2" t="e">
        <v>#REF!</v>
      </c>
      <c r="AW127" s="1" t="e">
        <v>#REF!</v>
      </c>
      <c r="AX127" s="1" t="e">
        <v>#REF!</v>
      </c>
      <c r="AY127" s="1" t="e">
        <v>#REF!</v>
      </c>
      <c r="AZ127" s="1" t="e">
        <v>#REF!</v>
      </c>
      <c r="BA127" s="1" t="e">
        <v>#REF!</v>
      </c>
      <c r="BB127" s="1" t="e">
        <v>#REF!</v>
      </c>
    </row>
    <row r="128" spans="2:54" ht="17.5">
      <c r="B128" s="629"/>
      <c r="C128" s="61"/>
      <c r="D128" s="629"/>
      <c r="E128" s="629"/>
      <c r="F128" s="629"/>
      <c r="G128" s="629"/>
      <c r="H128" s="629"/>
      <c r="I128" s="629"/>
      <c r="J128" s="630"/>
      <c r="K128" s="629"/>
      <c r="L128" s="630"/>
      <c r="M128" s="629"/>
      <c r="N128" s="629"/>
      <c r="O128" s="629"/>
      <c r="P128" s="63"/>
      <c r="Q128" s="161"/>
      <c r="AM128" s="1" t="e">
        <v>#REF!</v>
      </c>
      <c r="AN128" s="1" t="e">
        <v>#REF!</v>
      </c>
      <c r="AO128" s="1" t="e">
        <v>#REF!</v>
      </c>
      <c r="AP128" s="1" t="e">
        <v>#REF!</v>
      </c>
      <c r="AQ128" s="1" t="e">
        <v>#REF!</v>
      </c>
      <c r="AR128" s="1" t="e">
        <v>#REF!</v>
      </c>
      <c r="AS128" s="1" t="e">
        <v>#REF!</v>
      </c>
      <c r="AT128" s="2" t="e">
        <v>#REF!</v>
      </c>
      <c r="AU128" s="1" t="e">
        <v>#REF!</v>
      </c>
      <c r="AV128" s="2" t="e">
        <v>#REF!</v>
      </c>
      <c r="AW128" s="1" t="e">
        <v>#REF!</v>
      </c>
      <c r="AX128" s="1" t="e">
        <v>#REF!</v>
      </c>
      <c r="AY128" s="1" t="e">
        <v>#REF!</v>
      </c>
      <c r="AZ128" s="1" t="e">
        <v>#REF!</v>
      </c>
      <c r="BA128" s="1" t="e">
        <v>#REF!</v>
      </c>
      <c r="BB128" s="1" t="e">
        <v>#REF!</v>
      </c>
    </row>
    <row r="129" spans="2:54" ht="17.5">
      <c r="B129" s="629"/>
      <c r="C129" s="61"/>
      <c r="D129" s="629"/>
      <c r="E129" s="629"/>
      <c r="F129" s="629"/>
      <c r="G129" s="629"/>
      <c r="H129" s="629"/>
      <c r="I129" s="629"/>
      <c r="J129" s="630"/>
      <c r="K129" s="629"/>
      <c r="L129" s="630"/>
      <c r="M129" s="629"/>
      <c r="N129" s="629"/>
      <c r="O129" s="629"/>
      <c r="P129" s="63"/>
      <c r="Q129" s="161"/>
      <c r="AM129" s="1" t="e">
        <v>#REF!</v>
      </c>
      <c r="AN129" s="1" t="e">
        <v>#REF!</v>
      </c>
      <c r="AO129" s="1" t="e">
        <v>#REF!</v>
      </c>
      <c r="AP129" s="1" t="e">
        <v>#REF!</v>
      </c>
      <c r="AQ129" s="1" t="e">
        <v>#REF!</v>
      </c>
      <c r="AR129" s="1" t="e">
        <v>#REF!</v>
      </c>
      <c r="AS129" s="1" t="e">
        <v>#REF!</v>
      </c>
      <c r="AT129" s="2" t="e">
        <v>#REF!</v>
      </c>
      <c r="AU129" s="1" t="e">
        <v>#REF!</v>
      </c>
      <c r="AV129" s="2" t="e">
        <v>#REF!</v>
      </c>
      <c r="AW129" s="1" t="e">
        <v>#REF!</v>
      </c>
      <c r="AX129" s="1" t="e">
        <v>#REF!</v>
      </c>
      <c r="AY129" s="1" t="e">
        <v>#REF!</v>
      </c>
      <c r="AZ129" s="1" t="e">
        <v>#REF!</v>
      </c>
      <c r="BA129" s="1" t="e">
        <v>#REF!</v>
      </c>
      <c r="BB129" s="1" t="e">
        <v>#REF!</v>
      </c>
    </row>
    <row r="130" spans="2:54" ht="17.5">
      <c r="B130" s="629"/>
      <c r="C130" s="61"/>
      <c r="D130" s="629"/>
      <c r="E130" s="629"/>
      <c r="F130" s="629"/>
      <c r="G130" s="629"/>
      <c r="H130" s="629"/>
      <c r="I130" s="629"/>
      <c r="J130" s="630"/>
      <c r="K130" s="629"/>
      <c r="L130" s="630"/>
      <c r="M130" s="629"/>
      <c r="N130" s="629"/>
      <c r="O130" s="629"/>
      <c r="P130" s="63"/>
      <c r="Q130" s="161"/>
      <c r="AM130" s="1" t="e">
        <v>#REF!</v>
      </c>
      <c r="AN130" s="1" t="e">
        <v>#REF!</v>
      </c>
      <c r="AO130" s="1" t="e">
        <v>#REF!</v>
      </c>
      <c r="AP130" s="1" t="e">
        <v>#REF!</v>
      </c>
      <c r="AQ130" s="1" t="e">
        <v>#REF!</v>
      </c>
      <c r="AR130" s="1" t="e">
        <v>#REF!</v>
      </c>
      <c r="AS130" s="1" t="e">
        <v>#REF!</v>
      </c>
      <c r="AT130" s="2" t="e">
        <v>#REF!</v>
      </c>
      <c r="AU130" s="1" t="e">
        <v>#REF!</v>
      </c>
      <c r="AV130" s="2" t="e">
        <v>#REF!</v>
      </c>
      <c r="AW130" s="1" t="e">
        <v>#REF!</v>
      </c>
      <c r="AX130" s="1" t="e">
        <v>#REF!</v>
      </c>
      <c r="AY130" s="1" t="e">
        <v>#REF!</v>
      </c>
      <c r="AZ130" s="1" t="e">
        <v>#REF!</v>
      </c>
      <c r="BA130" s="1" t="e">
        <v>#REF!</v>
      </c>
      <c r="BB130" s="1" t="e">
        <v>#REF!</v>
      </c>
    </row>
    <row r="131" spans="2:54" ht="17.5">
      <c r="B131" s="629"/>
      <c r="C131" s="172"/>
      <c r="D131" s="629"/>
      <c r="E131" s="629"/>
      <c r="F131" s="629"/>
      <c r="G131" s="629"/>
      <c r="H131" s="629"/>
      <c r="I131" s="629"/>
      <c r="J131" s="630"/>
      <c r="K131" s="629"/>
      <c r="L131" s="630"/>
      <c r="M131" s="629"/>
      <c r="N131" s="629"/>
      <c r="O131" s="629"/>
      <c r="P131" s="63"/>
      <c r="Q131" s="161"/>
      <c r="AM131" s="1" t="e">
        <v>#REF!</v>
      </c>
      <c r="AN131" s="1" t="e">
        <v>#REF!</v>
      </c>
      <c r="AO131" s="1" t="e">
        <v>#REF!</v>
      </c>
      <c r="AP131" s="1" t="e">
        <v>#REF!</v>
      </c>
      <c r="AQ131" s="1" t="e">
        <v>#REF!</v>
      </c>
      <c r="AR131" s="1" t="e">
        <v>#REF!</v>
      </c>
      <c r="AS131" s="1" t="e">
        <v>#REF!</v>
      </c>
      <c r="AT131" s="2" t="e">
        <v>#REF!</v>
      </c>
      <c r="AU131" s="1" t="e">
        <v>#REF!</v>
      </c>
      <c r="AV131" s="2" t="e">
        <v>#REF!</v>
      </c>
      <c r="AW131" s="1" t="e">
        <v>#REF!</v>
      </c>
      <c r="AX131" s="1" t="e">
        <v>#REF!</v>
      </c>
      <c r="AY131" s="1" t="e">
        <v>#REF!</v>
      </c>
      <c r="AZ131" s="1" t="e">
        <v>#REF!</v>
      </c>
      <c r="BA131" s="1" t="e">
        <v>#REF!</v>
      </c>
      <c r="BB131" s="1" t="e">
        <v>#REF!</v>
      </c>
    </row>
    <row r="132" spans="2:54" ht="17.5">
      <c r="B132" s="629"/>
      <c r="C132" s="61"/>
      <c r="D132" s="629"/>
      <c r="E132" s="629"/>
      <c r="F132" s="629"/>
      <c r="G132" s="629"/>
      <c r="H132" s="629"/>
      <c r="I132" s="629"/>
      <c r="J132" s="630"/>
      <c r="K132" s="629"/>
      <c r="L132" s="630"/>
      <c r="M132" s="629"/>
      <c r="N132" s="629"/>
      <c r="O132" s="629"/>
      <c r="P132" s="63"/>
      <c r="Q132" s="161"/>
      <c r="AM132" s="1" t="e">
        <v>#REF!</v>
      </c>
      <c r="AN132" s="1" t="e">
        <v>#REF!</v>
      </c>
      <c r="AO132" s="1" t="e">
        <v>#REF!</v>
      </c>
      <c r="AP132" s="1" t="e">
        <v>#REF!</v>
      </c>
      <c r="AQ132" s="1" t="e">
        <v>#REF!</v>
      </c>
      <c r="AR132" s="1" t="e">
        <v>#REF!</v>
      </c>
      <c r="AS132" s="1" t="e">
        <v>#REF!</v>
      </c>
      <c r="AT132" s="2" t="e">
        <v>#REF!</v>
      </c>
      <c r="AU132" s="1" t="e">
        <v>#REF!</v>
      </c>
      <c r="AV132" s="2" t="e">
        <v>#REF!</v>
      </c>
      <c r="AW132" s="1" t="e">
        <v>#REF!</v>
      </c>
      <c r="AX132" s="1" t="e">
        <v>#REF!</v>
      </c>
      <c r="AY132" s="1" t="e">
        <v>#REF!</v>
      </c>
      <c r="AZ132" s="1" t="e">
        <v>#REF!</v>
      </c>
      <c r="BA132" s="1" t="e">
        <v>#REF!</v>
      </c>
      <c r="BB132" s="1" t="e">
        <v>#REF!</v>
      </c>
    </row>
    <row r="133" spans="2:54" ht="17.5">
      <c r="B133" s="629"/>
      <c r="C133" s="61"/>
      <c r="D133" s="629"/>
      <c r="E133" s="629"/>
      <c r="F133" s="629"/>
      <c r="G133" s="629"/>
      <c r="H133" s="629"/>
      <c r="I133" s="629"/>
      <c r="J133" s="630"/>
      <c r="K133" s="629"/>
      <c r="L133" s="630"/>
      <c r="M133" s="629"/>
      <c r="N133" s="629"/>
      <c r="O133" s="629"/>
      <c r="P133" s="63"/>
      <c r="Q133" s="161"/>
      <c r="AM133" s="1" t="e">
        <v>#REF!</v>
      </c>
      <c r="AN133" s="1" t="e">
        <v>#REF!</v>
      </c>
      <c r="AO133" s="1" t="e">
        <v>#REF!</v>
      </c>
      <c r="AP133" s="1" t="e">
        <v>#REF!</v>
      </c>
      <c r="AQ133" s="1" t="e">
        <v>#REF!</v>
      </c>
      <c r="AR133" s="1" t="e">
        <v>#REF!</v>
      </c>
      <c r="AS133" s="1" t="e">
        <v>#REF!</v>
      </c>
      <c r="AT133" s="2" t="e">
        <v>#REF!</v>
      </c>
      <c r="AU133" s="1" t="e">
        <v>#REF!</v>
      </c>
      <c r="AV133" s="2" t="e">
        <v>#REF!</v>
      </c>
      <c r="AW133" s="1" t="e">
        <v>#REF!</v>
      </c>
      <c r="AX133" s="1" t="e">
        <v>#REF!</v>
      </c>
      <c r="AY133" s="1" t="e">
        <v>#REF!</v>
      </c>
      <c r="AZ133" s="1" t="e">
        <v>#REF!</v>
      </c>
      <c r="BA133" s="1" t="e">
        <v>#REF!</v>
      </c>
      <c r="BB133" s="1" t="e">
        <v>#REF!</v>
      </c>
    </row>
    <row r="134" spans="2:54" ht="17.5">
      <c r="B134" s="629"/>
      <c r="C134" s="61"/>
      <c r="D134" s="629"/>
      <c r="E134" s="629"/>
      <c r="F134" s="629"/>
      <c r="G134" s="629"/>
      <c r="H134" s="629"/>
      <c r="I134" s="629"/>
      <c r="J134" s="630"/>
      <c r="K134" s="629"/>
      <c r="L134" s="630"/>
      <c r="M134" s="629"/>
      <c r="N134" s="629"/>
      <c r="O134" s="629"/>
      <c r="P134" s="63"/>
      <c r="Q134" s="161"/>
      <c r="AM134" s="1" t="e">
        <v>#REF!</v>
      </c>
      <c r="AN134" s="1" t="e">
        <v>#REF!</v>
      </c>
      <c r="AO134" s="1" t="e">
        <v>#REF!</v>
      </c>
      <c r="AP134" s="1" t="e">
        <v>#REF!</v>
      </c>
      <c r="AQ134" s="1" t="e">
        <v>#REF!</v>
      </c>
      <c r="AR134" s="1" t="e">
        <v>#REF!</v>
      </c>
      <c r="AS134" s="1" t="e">
        <v>#REF!</v>
      </c>
      <c r="AT134" s="2" t="e">
        <v>#REF!</v>
      </c>
      <c r="AU134" s="1" t="e">
        <v>#REF!</v>
      </c>
      <c r="AV134" s="2" t="e">
        <v>#REF!</v>
      </c>
      <c r="AW134" s="1" t="e">
        <v>#REF!</v>
      </c>
      <c r="AX134" s="1" t="e">
        <v>#REF!</v>
      </c>
      <c r="AY134" s="1" t="e">
        <v>#REF!</v>
      </c>
      <c r="AZ134" s="1" t="e">
        <v>#REF!</v>
      </c>
      <c r="BA134" s="1" t="e">
        <v>#REF!</v>
      </c>
      <c r="BB134" s="1" t="e">
        <v>#REF!</v>
      </c>
    </row>
    <row r="135" spans="2:54" ht="17.5">
      <c r="B135" s="629"/>
      <c r="C135" s="61"/>
      <c r="D135" s="629"/>
      <c r="E135" s="629"/>
      <c r="F135" s="629"/>
      <c r="G135" s="629"/>
      <c r="H135" s="629"/>
      <c r="I135" s="629"/>
      <c r="J135" s="630"/>
      <c r="K135" s="629"/>
      <c r="L135" s="630"/>
      <c r="M135" s="629"/>
      <c r="N135" s="629"/>
      <c r="O135" s="629"/>
      <c r="P135" s="63"/>
      <c r="Q135" s="161"/>
      <c r="AM135" s="1" t="e">
        <v>#REF!</v>
      </c>
      <c r="AN135" s="1" t="e">
        <v>#REF!</v>
      </c>
      <c r="AO135" s="1" t="e">
        <v>#REF!</v>
      </c>
      <c r="AP135" s="1" t="e">
        <v>#REF!</v>
      </c>
      <c r="AQ135" s="1" t="e">
        <v>#REF!</v>
      </c>
      <c r="AR135" s="1" t="e">
        <v>#REF!</v>
      </c>
      <c r="AS135" s="1" t="e">
        <v>#REF!</v>
      </c>
      <c r="AT135" s="2" t="e">
        <v>#REF!</v>
      </c>
      <c r="AU135" s="1" t="e">
        <v>#REF!</v>
      </c>
      <c r="AV135" s="2" t="e">
        <v>#REF!</v>
      </c>
      <c r="AW135" s="1" t="e">
        <v>#REF!</v>
      </c>
      <c r="AX135" s="1" t="e">
        <v>#REF!</v>
      </c>
      <c r="AY135" s="1" t="e">
        <v>#REF!</v>
      </c>
      <c r="AZ135" s="1" t="e">
        <v>#REF!</v>
      </c>
      <c r="BA135" s="1" t="e">
        <v>#REF!</v>
      </c>
      <c r="BB135" s="1" t="e">
        <v>#REF!</v>
      </c>
    </row>
    <row r="136" spans="2:54" ht="17.5">
      <c r="B136" s="629"/>
      <c r="C136" s="61"/>
      <c r="D136" s="629"/>
      <c r="E136" s="629"/>
      <c r="F136" s="629"/>
      <c r="G136" s="629"/>
      <c r="H136" s="629"/>
      <c r="I136" s="629"/>
      <c r="J136" s="630"/>
      <c r="K136" s="629"/>
      <c r="L136" s="630"/>
      <c r="M136" s="629"/>
      <c r="N136" s="629"/>
      <c r="O136" s="629"/>
      <c r="P136" s="63"/>
      <c r="Q136" s="161"/>
      <c r="AM136" s="1" t="e">
        <v>#REF!</v>
      </c>
      <c r="AN136" s="1" t="e">
        <v>#REF!</v>
      </c>
      <c r="AO136" s="1" t="e">
        <v>#REF!</v>
      </c>
      <c r="AP136" s="1" t="e">
        <v>#REF!</v>
      </c>
      <c r="AQ136" s="1" t="e">
        <v>#REF!</v>
      </c>
      <c r="AR136" s="1" t="e">
        <v>#REF!</v>
      </c>
      <c r="AS136" s="1" t="e">
        <v>#REF!</v>
      </c>
      <c r="AT136" s="2" t="e">
        <v>#REF!</v>
      </c>
      <c r="AU136" s="1" t="e">
        <v>#REF!</v>
      </c>
      <c r="AV136" s="2" t="e">
        <v>#REF!</v>
      </c>
      <c r="AW136" s="1" t="e">
        <v>#REF!</v>
      </c>
      <c r="AX136" s="1" t="e">
        <v>#REF!</v>
      </c>
      <c r="AY136" s="1" t="e">
        <v>#REF!</v>
      </c>
      <c r="AZ136" s="1" t="e">
        <v>#REF!</v>
      </c>
      <c r="BA136" s="1" t="e">
        <v>#REF!</v>
      </c>
      <c r="BB136" s="1" t="e">
        <v>#REF!</v>
      </c>
    </row>
    <row r="137" spans="2:54" ht="17.5">
      <c r="B137" s="629"/>
      <c r="C137" s="61"/>
      <c r="D137" s="629"/>
      <c r="E137" s="629"/>
      <c r="F137" s="629"/>
      <c r="G137" s="629"/>
      <c r="H137" s="629"/>
      <c r="I137" s="629"/>
      <c r="J137" s="630"/>
      <c r="K137" s="629"/>
      <c r="L137" s="630"/>
      <c r="M137" s="629"/>
      <c r="N137" s="629"/>
      <c r="O137" s="629"/>
      <c r="P137" s="63"/>
      <c r="Q137" s="161"/>
      <c r="AM137" s="1" t="e">
        <v>#REF!</v>
      </c>
      <c r="AN137" s="1" t="e">
        <v>#REF!</v>
      </c>
      <c r="AO137" s="1" t="e">
        <v>#REF!</v>
      </c>
      <c r="AP137" s="1" t="e">
        <v>#REF!</v>
      </c>
      <c r="AQ137" s="1" t="e">
        <v>#REF!</v>
      </c>
      <c r="AR137" s="1" t="e">
        <v>#REF!</v>
      </c>
      <c r="AS137" s="1" t="e">
        <v>#REF!</v>
      </c>
      <c r="AT137" s="2" t="e">
        <v>#REF!</v>
      </c>
      <c r="AU137" s="1" t="e">
        <v>#REF!</v>
      </c>
      <c r="AV137" s="2" t="e">
        <v>#REF!</v>
      </c>
      <c r="AW137" s="1" t="e">
        <v>#REF!</v>
      </c>
      <c r="AX137" s="1" t="e">
        <v>#REF!</v>
      </c>
      <c r="AY137" s="1" t="e">
        <v>#REF!</v>
      </c>
      <c r="AZ137" s="1" t="e">
        <v>#REF!</v>
      </c>
      <c r="BA137" s="1" t="e">
        <v>#REF!</v>
      </c>
      <c r="BB137" s="1" t="e">
        <v>#REF!</v>
      </c>
    </row>
    <row r="138" spans="2:54" ht="17.5">
      <c r="B138" s="629"/>
      <c r="C138" s="61"/>
      <c r="D138" s="629"/>
      <c r="E138" s="629"/>
      <c r="F138" s="629"/>
      <c r="G138" s="629"/>
      <c r="H138" s="629"/>
      <c r="I138" s="629"/>
      <c r="J138" s="630"/>
      <c r="K138" s="629"/>
      <c r="L138" s="630"/>
      <c r="M138" s="629"/>
      <c r="N138" s="629"/>
      <c r="O138" s="629"/>
      <c r="P138" s="63"/>
      <c r="Q138" s="161"/>
      <c r="AM138" s="1" t="e">
        <v>#REF!</v>
      </c>
      <c r="AN138" s="1" t="e">
        <v>#REF!</v>
      </c>
      <c r="AO138" s="1" t="e">
        <v>#REF!</v>
      </c>
      <c r="AP138" s="1" t="e">
        <v>#REF!</v>
      </c>
      <c r="AQ138" s="1" t="e">
        <v>#REF!</v>
      </c>
      <c r="AR138" s="1" t="e">
        <v>#REF!</v>
      </c>
      <c r="AS138" s="1" t="e">
        <v>#REF!</v>
      </c>
      <c r="AT138" s="2" t="e">
        <v>#REF!</v>
      </c>
      <c r="AU138" s="1" t="e">
        <v>#REF!</v>
      </c>
      <c r="AV138" s="2" t="e">
        <v>#REF!</v>
      </c>
      <c r="AW138" s="1" t="e">
        <v>#REF!</v>
      </c>
      <c r="AX138" s="1" t="e">
        <v>#REF!</v>
      </c>
      <c r="AY138" s="1" t="e">
        <v>#REF!</v>
      </c>
      <c r="AZ138" s="1" t="e">
        <v>#REF!</v>
      </c>
      <c r="BA138" s="1" t="e">
        <v>#REF!</v>
      </c>
      <c r="BB138" s="1" t="e">
        <v>#REF!</v>
      </c>
    </row>
    <row r="139" spans="2:54" ht="17.5">
      <c r="B139" s="629"/>
      <c r="C139" s="61"/>
      <c r="D139" s="629"/>
      <c r="E139" s="629"/>
      <c r="F139" s="629"/>
      <c r="G139" s="629"/>
      <c r="H139" s="629"/>
      <c r="I139" s="629"/>
      <c r="J139" s="630"/>
      <c r="K139" s="629"/>
      <c r="L139" s="630"/>
      <c r="M139" s="629"/>
      <c r="N139" s="629"/>
      <c r="O139" s="629"/>
      <c r="P139" s="63"/>
      <c r="Q139" s="161"/>
      <c r="AM139" s="1" t="e">
        <v>#REF!</v>
      </c>
      <c r="AN139" s="1" t="e">
        <v>#REF!</v>
      </c>
      <c r="AO139" s="1" t="e">
        <v>#REF!</v>
      </c>
      <c r="AP139" s="1" t="e">
        <v>#REF!</v>
      </c>
      <c r="AQ139" s="1" t="e">
        <v>#REF!</v>
      </c>
      <c r="AR139" s="1" t="e">
        <v>#REF!</v>
      </c>
      <c r="AS139" s="1" t="e">
        <v>#REF!</v>
      </c>
      <c r="AT139" s="2" t="e">
        <v>#REF!</v>
      </c>
      <c r="AU139" s="1" t="e">
        <v>#REF!</v>
      </c>
      <c r="AV139" s="2" t="e">
        <v>#REF!</v>
      </c>
      <c r="AW139" s="1" t="e">
        <v>#REF!</v>
      </c>
      <c r="AX139" s="1" t="e">
        <v>#REF!</v>
      </c>
      <c r="AY139" s="1" t="e">
        <v>#REF!</v>
      </c>
      <c r="AZ139" s="1" t="e">
        <v>#REF!</v>
      </c>
      <c r="BA139" s="1" t="e">
        <v>#REF!</v>
      </c>
      <c r="BB139" s="1" t="e">
        <v>#REF!</v>
      </c>
    </row>
    <row r="140" spans="2:54" ht="17.5">
      <c r="B140" s="629"/>
      <c r="C140" s="61"/>
      <c r="D140" s="629"/>
      <c r="E140" s="629"/>
      <c r="F140" s="629"/>
      <c r="G140" s="629"/>
      <c r="H140" s="629"/>
      <c r="I140" s="629"/>
      <c r="J140" s="630"/>
      <c r="K140" s="629"/>
      <c r="L140" s="630"/>
      <c r="M140" s="629"/>
      <c r="N140" s="629"/>
      <c r="O140" s="629"/>
      <c r="P140" s="63"/>
      <c r="Q140" s="161"/>
      <c r="AM140" s="1" t="e">
        <v>#REF!</v>
      </c>
      <c r="AN140" s="1" t="e">
        <v>#REF!</v>
      </c>
      <c r="AO140" s="1" t="e">
        <v>#REF!</v>
      </c>
      <c r="AP140" s="1" t="e">
        <v>#REF!</v>
      </c>
      <c r="AQ140" s="1" t="e">
        <v>#REF!</v>
      </c>
      <c r="AR140" s="1" t="e">
        <v>#REF!</v>
      </c>
      <c r="AS140" s="1" t="e">
        <v>#REF!</v>
      </c>
      <c r="AT140" s="2" t="e">
        <v>#REF!</v>
      </c>
      <c r="AU140" s="1" t="e">
        <v>#REF!</v>
      </c>
      <c r="AV140" s="2" t="e">
        <v>#REF!</v>
      </c>
      <c r="AW140" s="1" t="e">
        <v>#REF!</v>
      </c>
      <c r="AX140" s="1" t="e">
        <v>#REF!</v>
      </c>
      <c r="AY140" s="1" t="e">
        <v>#REF!</v>
      </c>
      <c r="AZ140" s="1" t="e">
        <v>#REF!</v>
      </c>
      <c r="BA140" s="1" t="e">
        <v>#REF!</v>
      </c>
      <c r="BB140" s="1" t="e">
        <v>#REF!</v>
      </c>
    </row>
    <row r="141" spans="2:54" ht="17.5">
      <c r="B141" s="629"/>
      <c r="C141" s="61"/>
      <c r="D141" s="629"/>
      <c r="E141" s="629"/>
      <c r="F141" s="629"/>
      <c r="G141" s="629"/>
      <c r="H141" s="629"/>
      <c r="I141" s="629"/>
      <c r="J141" s="630"/>
      <c r="K141" s="629"/>
      <c r="L141" s="630"/>
      <c r="M141" s="629"/>
      <c r="N141" s="629"/>
      <c r="O141" s="629"/>
      <c r="P141" s="63"/>
      <c r="Q141" s="161"/>
      <c r="AM141" s="1" t="e">
        <v>#REF!</v>
      </c>
      <c r="AN141" s="1" t="e">
        <v>#REF!</v>
      </c>
      <c r="AO141" s="1" t="e">
        <v>#REF!</v>
      </c>
      <c r="AP141" s="1" t="e">
        <v>#REF!</v>
      </c>
      <c r="AQ141" s="1" t="e">
        <v>#REF!</v>
      </c>
      <c r="AR141" s="1" t="e">
        <v>#REF!</v>
      </c>
      <c r="AS141" s="1" t="e">
        <v>#REF!</v>
      </c>
      <c r="AT141" s="2" t="e">
        <v>#REF!</v>
      </c>
      <c r="AU141" s="1" t="e">
        <v>#REF!</v>
      </c>
      <c r="AV141" s="2" t="e">
        <v>#REF!</v>
      </c>
      <c r="AW141" s="1" t="e">
        <v>#REF!</v>
      </c>
      <c r="AX141" s="1" t="e">
        <v>#REF!</v>
      </c>
      <c r="AY141" s="1" t="e">
        <v>#REF!</v>
      </c>
      <c r="AZ141" s="1" t="e">
        <v>#REF!</v>
      </c>
      <c r="BA141" s="1" t="e">
        <v>#REF!</v>
      </c>
      <c r="BB141" s="1" t="e">
        <v>#REF!</v>
      </c>
    </row>
    <row r="142" spans="2:54" ht="17.5">
      <c r="B142" s="629"/>
      <c r="C142" s="61"/>
      <c r="D142" s="629"/>
      <c r="E142" s="629"/>
      <c r="F142" s="629"/>
      <c r="G142" s="629"/>
      <c r="H142" s="629"/>
      <c r="I142" s="629"/>
      <c r="J142" s="630"/>
      <c r="K142" s="629"/>
      <c r="L142" s="630"/>
      <c r="M142" s="629"/>
      <c r="N142" s="629"/>
      <c r="O142" s="629"/>
      <c r="P142" s="63"/>
      <c r="Q142" s="161"/>
      <c r="AM142" s="1" t="e">
        <v>#REF!</v>
      </c>
      <c r="AN142" s="1" t="e">
        <v>#REF!</v>
      </c>
      <c r="AO142" s="1" t="e">
        <v>#REF!</v>
      </c>
      <c r="AP142" s="1" t="e">
        <v>#REF!</v>
      </c>
      <c r="AQ142" s="1" t="e">
        <v>#REF!</v>
      </c>
      <c r="AR142" s="1" t="e">
        <v>#REF!</v>
      </c>
      <c r="AS142" s="1" t="e">
        <v>#REF!</v>
      </c>
      <c r="AT142" s="2" t="e">
        <v>#REF!</v>
      </c>
      <c r="AU142" s="1" t="e">
        <v>#REF!</v>
      </c>
      <c r="AV142" s="2" t="e">
        <v>#REF!</v>
      </c>
      <c r="AW142" s="1" t="e">
        <v>#REF!</v>
      </c>
      <c r="AX142" s="1" t="e">
        <v>#REF!</v>
      </c>
      <c r="AY142" s="1" t="e">
        <v>#REF!</v>
      </c>
      <c r="AZ142" s="1" t="e">
        <v>#REF!</v>
      </c>
      <c r="BA142" s="1" t="e">
        <v>#REF!</v>
      </c>
      <c r="BB142" s="1" t="e">
        <v>#REF!</v>
      </c>
    </row>
    <row r="143" spans="2:54" ht="17.5">
      <c r="B143" s="629"/>
      <c r="C143" s="61"/>
      <c r="D143" s="629"/>
      <c r="E143" s="629"/>
      <c r="F143" s="629"/>
      <c r="G143" s="629"/>
      <c r="H143" s="629"/>
      <c r="I143" s="629"/>
      <c r="J143" s="630"/>
      <c r="K143" s="629"/>
      <c r="L143" s="630"/>
      <c r="M143" s="629"/>
      <c r="N143" s="629"/>
      <c r="O143" s="629"/>
      <c r="P143" s="63"/>
      <c r="Q143" s="161"/>
      <c r="AM143" s="1" t="e">
        <v>#REF!</v>
      </c>
      <c r="AN143" s="1" t="e">
        <v>#REF!</v>
      </c>
      <c r="AO143" s="1" t="e">
        <v>#REF!</v>
      </c>
      <c r="AP143" s="1" t="e">
        <v>#REF!</v>
      </c>
      <c r="AQ143" s="1" t="e">
        <v>#REF!</v>
      </c>
      <c r="AR143" s="1" t="e">
        <v>#REF!</v>
      </c>
      <c r="AS143" s="1" t="e">
        <v>#REF!</v>
      </c>
      <c r="AT143" s="2" t="e">
        <v>#REF!</v>
      </c>
      <c r="AU143" s="1" t="e">
        <v>#REF!</v>
      </c>
      <c r="AV143" s="2" t="e">
        <v>#REF!</v>
      </c>
      <c r="AW143" s="1" t="e">
        <v>#REF!</v>
      </c>
      <c r="AX143" s="1" t="e">
        <v>#REF!</v>
      </c>
      <c r="AY143" s="1" t="e">
        <v>#REF!</v>
      </c>
      <c r="AZ143" s="1" t="e">
        <v>#REF!</v>
      </c>
      <c r="BA143" s="1" t="e">
        <v>#REF!</v>
      </c>
      <c r="BB143" s="1" t="e">
        <v>#REF!</v>
      </c>
    </row>
    <row r="144" spans="2:54" ht="17.5">
      <c r="B144" s="629"/>
      <c r="C144" s="61"/>
      <c r="D144" s="629"/>
      <c r="E144" s="629"/>
      <c r="F144" s="629"/>
      <c r="G144" s="629"/>
      <c r="H144" s="629"/>
      <c r="I144" s="629"/>
      <c r="J144" s="630"/>
      <c r="K144" s="629"/>
      <c r="L144" s="630"/>
      <c r="M144" s="629"/>
      <c r="N144" s="629"/>
      <c r="O144" s="629"/>
      <c r="P144" s="63"/>
      <c r="Q144" s="161"/>
      <c r="AM144" s="1" t="e">
        <v>#REF!</v>
      </c>
      <c r="AN144" s="1" t="e">
        <v>#REF!</v>
      </c>
      <c r="AO144" s="1" t="e">
        <v>#REF!</v>
      </c>
      <c r="AP144" s="1" t="e">
        <v>#REF!</v>
      </c>
      <c r="AQ144" s="1" t="e">
        <v>#REF!</v>
      </c>
      <c r="AR144" s="1" t="e">
        <v>#REF!</v>
      </c>
      <c r="AS144" s="1" t="e">
        <v>#REF!</v>
      </c>
      <c r="AT144" s="2" t="e">
        <v>#REF!</v>
      </c>
      <c r="AU144" s="1" t="e">
        <v>#REF!</v>
      </c>
      <c r="AV144" s="2" t="e">
        <v>#REF!</v>
      </c>
      <c r="AW144" s="1" t="e">
        <v>#REF!</v>
      </c>
      <c r="AX144" s="1" t="e">
        <v>#REF!</v>
      </c>
      <c r="AY144" s="1" t="e">
        <v>#REF!</v>
      </c>
      <c r="AZ144" s="1" t="e">
        <v>#REF!</v>
      </c>
      <c r="BA144" s="1" t="e">
        <v>#REF!</v>
      </c>
      <c r="BB144" s="1" t="e">
        <v>#REF!</v>
      </c>
    </row>
    <row r="145" spans="2:54" ht="17.5">
      <c r="B145" s="629"/>
      <c r="C145" s="61"/>
      <c r="D145" s="629"/>
      <c r="E145" s="629"/>
      <c r="F145" s="629"/>
      <c r="G145" s="629"/>
      <c r="H145" s="629"/>
      <c r="I145" s="629"/>
      <c r="J145" s="630"/>
      <c r="K145" s="629"/>
      <c r="L145" s="630"/>
      <c r="M145" s="629"/>
      <c r="N145" s="629"/>
      <c r="O145" s="629"/>
      <c r="P145" s="63"/>
      <c r="Q145" s="161"/>
      <c r="AM145" s="1" t="e">
        <v>#REF!</v>
      </c>
      <c r="AN145" s="1" t="e">
        <v>#REF!</v>
      </c>
      <c r="AO145" s="1" t="e">
        <v>#REF!</v>
      </c>
      <c r="AP145" s="1" t="e">
        <v>#REF!</v>
      </c>
      <c r="AQ145" s="1" t="e">
        <v>#REF!</v>
      </c>
      <c r="AR145" s="1" t="e">
        <v>#REF!</v>
      </c>
      <c r="AS145" s="1" t="e">
        <v>#REF!</v>
      </c>
      <c r="AT145" s="2" t="e">
        <v>#REF!</v>
      </c>
      <c r="AU145" s="1" t="e">
        <v>#REF!</v>
      </c>
      <c r="AV145" s="2" t="e">
        <v>#REF!</v>
      </c>
      <c r="AW145" s="1" t="e">
        <v>#REF!</v>
      </c>
      <c r="AX145" s="1" t="e">
        <v>#REF!</v>
      </c>
      <c r="AY145" s="1" t="e">
        <v>#REF!</v>
      </c>
      <c r="AZ145" s="1" t="e">
        <v>#REF!</v>
      </c>
      <c r="BA145" s="1" t="e">
        <v>#REF!</v>
      </c>
      <c r="BB145" s="1" t="e">
        <v>#REF!</v>
      </c>
    </row>
    <row r="146" spans="2:54" ht="17.5">
      <c r="B146" s="629"/>
      <c r="C146" s="61"/>
      <c r="D146" s="629"/>
      <c r="E146" s="629"/>
      <c r="F146" s="629"/>
      <c r="G146" s="629"/>
      <c r="H146" s="629"/>
      <c r="I146" s="629"/>
      <c r="J146" s="630"/>
      <c r="K146" s="629"/>
      <c r="L146" s="630"/>
      <c r="M146" s="629"/>
      <c r="N146" s="629"/>
      <c r="O146" s="629"/>
      <c r="P146" s="63"/>
      <c r="Q146" s="161"/>
      <c r="AM146" s="1" t="e">
        <v>#REF!</v>
      </c>
      <c r="AN146" s="1" t="e">
        <v>#REF!</v>
      </c>
      <c r="AO146" s="1" t="e">
        <v>#REF!</v>
      </c>
      <c r="AP146" s="1" t="e">
        <v>#REF!</v>
      </c>
      <c r="AQ146" s="1" t="e">
        <v>#REF!</v>
      </c>
      <c r="AR146" s="1" t="e">
        <v>#REF!</v>
      </c>
      <c r="AS146" s="1" t="e">
        <v>#REF!</v>
      </c>
      <c r="AT146" s="2" t="e">
        <v>#REF!</v>
      </c>
      <c r="AU146" s="1" t="e">
        <v>#REF!</v>
      </c>
      <c r="AV146" s="2" t="e">
        <v>#REF!</v>
      </c>
      <c r="AW146" s="1" t="e">
        <v>#REF!</v>
      </c>
      <c r="AX146" s="1" t="e">
        <v>#REF!</v>
      </c>
      <c r="AY146" s="1" t="e">
        <v>#REF!</v>
      </c>
      <c r="AZ146" s="1" t="e">
        <v>#REF!</v>
      </c>
      <c r="BA146" s="1" t="e">
        <v>#REF!</v>
      </c>
      <c r="BB146" s="1" t="e">
        <v>#REF!</v>
      </c>
    </row>
    <row r="147" spans="2:54" ht="17.5">
      <c r="B147" s="629"/>
      <c r="C147" s="61"/>
      <c r="D147" s="629"/>
      <c r="E147" s="629"/>
      <c r="F147" s="629"/>
      <c r="G147" s="629"/>
      <c r="H147" s="629"/>
      <c r="I147" s="629"/>
      <c r="J147" s="630"/>
      <c r="K147" s="629"/>
      <c r="L147" s="630"/>
      <c r="M147" s="629"/>
      <c r="N147" s="629"/>
      <c r="O147" s="629"/>
      <c r="P147" s="63"/>
      <c r="Q147" s="161"/>
      <c r="AM147" s="1" t="e">
        <v>#REF!</v>
      </c>
      <c r="AN147" s="1" t="e">
        <v>#REF!</v>
      </c>
      <c r="AO147" s="1" t="e">
        <v>#REF!</v>
      </c>
      <c r="AP147" s="1" t="e">
        <v>#REF!</v>
      </c>
      <c r="AQ147" s="1" t="e">
        <v>#REF!</v>
      </c>
      <c r="AR147" s="1" t="e">
        <v>#REF!</v>
      </c>
      <c r="AS147" s="1" t="e">
        <v>#REF!</v>
      </c>
      <c r="AT147" s="2" t="e">
        <v>#REF!</v>
      </c>
      <c r="AU147" s="1" t="e">
        <v>#REF!</v>
      </c>
      <c r="AV147" s="2" t="e">
        <v>#REF!</v>
      </c>
      <c r="AW147" s="1" t="e">
        <v>#REF!</v>
      </c>
      <c r="AX147" s="1" t="e">
        <v>#REF!</v>
      </c>
      <c r="AY147" s="1" t="e">
        <v>#REF!</v>
      </c>
      <c r="AZ147" s="1" t="e">
        <v>#REF!</v>
      </c>
      <c r="BA147" s="1" t="e">
        <v>#REF!</v>
      </c>
      <c r="BB147" s="1" t="e">
        <v>#REF!</v>
      </c>
    </row>
    <row r="148" spans="2:54" ht="17.5">
      <c r="B148" s="629"/>
      <c r="C148" s="61"/>
      <c r="D148" s="629"/>
      <c r="E148" s="629"/>
      <c r="F148" s="629"/>
      <c r="G148" s="629"/>
      <c r="H148" s="629"/>
      <c r="I148" s="629"/>
      <c r="J148" s="630"/>
      <c r="K148" s="629"/>
      <c r="L148" s="630"/>
      <c r="M148" s="629"/>
      <c r="N148" s="629"/>
      <c r="O148" s="629"/>
      <c r="P148" s="63"/>
      <c r="Q148" s="161"/>
      <c r="AM148" s="1" t="e">
        <v>#REF!</v>
      </c>
      <c r="AN148" s="1" t="e">
        <v>#REF!</v>
      </c>
      <c r="AO148" s="1" t="e">
        <v>#REF!</v>
      </c>
      <c r="AP148" s="1" t="e">
        <v>#REF!</v>
      </c>
      <c r="AQ148" s="1" t="e">
        <v>#REF!</v>
      </c>
      <c r="AR148" s="1" t="e">
        <v>#REF!</v>
      </c>
      <c r="AS148" s="1" t="e">
        <v>#REF!</v>
      </c>
      <c r="AT148" s="2" t="e">
        <v>#REF!</v>
      </c>
      <c r="AU148" s="1" t="e">
        <v>#REF!</v>
      </c>
      <c r="AV148" s="2" t="e">
        <v>#REF!</v>
      </c>
      <c r="AW148" s="1" t="e">
        <v>#REF!</v>
      </c>
      <c r="AX148" s="1" t="e">
        <v>#REF!</v>
      </c>
      <c r="AY148" s="1" t="e">
        <v>#REF!</v>
      </c>
      <c r="AZ148" s="1" t="e">
        <v>#REF!</v>
      </c>
      <c r="BA148" s="1" t="e">
        <v>#REF!</v>
      </c>
      <c r="BB148" s="1" t="e">
        <v>#REF!</v>
      </c>
    </row>
    <row r="149" spans="2:54" ht="17.5">
      <c r="B149" s="629"/>
      <c r="C149" s="61"/>
      <c r="D149" s="629"/>
      <c r="E149" s="629"/>
      <c r="F149" s="629"/>
      <c r="G149" s="629"/>
      <c r="H149" s="629"/>
      <c r="I149" s="629"/>
      <c r="J149" s="630"/>
      <c r="K149" s="629"/>
      <c r="L149" s="630"/>
      <c r="M149" s="629"/>
      <c r="N149" s="629"/>
      <c r="O149" s="629"/>
      <c r="P149" s="63"/>
      <c r="Q149" s="161"/>
      <c r="AM149" s="1" t="e">
        <v>#REF!</v>
      </c>
      <c r="AN149" s="1" t="e">
        <v>#REF!</v>
      </c>
      <c r="AO149" s="1" t="e">
        <v>#REF!</v>
      </c>
      <c r="AP149" s="1" t="e">
        <v>#REF!</v>
      </c>
      <c r="AQ149" s="1" t="e">
        <v>#REF!</v>
      </c>
      <c r="AR149" s="1" t="e">
        <v>#REF!</v>
      </c>
      <c r="AS149" s="1" t="e">
        <v>#REF!</v>
      </c>
      <c r="AT149" s="2" t="e">
        <v>#REF!</v>
      </c>
      <c r="AU149" s="1" t="e">
        <v>#REF!</v>
      </c>
      <c r="AV149" s="2" t="e">
        <v>#REF!</v>
      </c>
      <c r="AW149" s="1" t="e">
        <v>#REF!</v>
      </c>
      <c r="AX149" s="1" t="e">
        <v>#REF!</v>
      </c>
      <c r="AY149" s="1" t="e">
        <v>#REF!</v>
      </c>
      <c r="AZ149" s="1" t="e">
        <v>#REF!</v>
      </c>
      <c r="BA149" s="1" t="e">
        <v>#REF!</v>
      </c>
      <c r="BB149" s="1" t="e">
        <v>#REF!</v>
      </c>
    </row>
    <row r="150" spans="2:54" ht="20">
      <c r="B150" s="629"/>
      <c r="C150" s="61"/>
      <c r="D150" s="629"/>
      <c r="E150" s="633"/>
      <c r="F150" s="629"/>
      <c r="G150" s="629"/>
      <c r="H150" s="629"/>
      <c r="I150" s="629"/>
      <c r="J150" s="630"/>
      <c r="K150" s="629"/>
      <c r="L150" s="630"/>
      <c r="M150" s="629"/>
      <c r="N150" s="629"/>
      <c r="O150" s="629"/>
      <c r="P150" s="63"/>
      <c r="Q150" s="161"/>
      <c r="AM150" s="1" t="e">
        <v>#REF!</v>
      </c>
      <c r="AN150" s="1" t="e">
        <v>#REF!</v>
      </c>
      <c r="AO150" s="1" t="e">
        <v>#REF!</v>
      </c>
      <c r="AP150" s="1" t="e">
        <v>#REF!</v>
      </c>
      <c r="AQ150" s="1" t="e">
        <v>#REF!</v>
      </c>
      <c r="AR150" s="1" t="e">
        <v>#REF!</v>
      </c>
      <c r="AS150" s="1" t="e">
        <v>#REF!</v>
      </c>
      <c r="AT150" s="2" t="e">
        <v>#REF!</v>
      </c>
      <c r="AU150" s="1" t="e">
        <v>#REF!</v>
      </c>
      <c r="AV150" s="2" t="e">
        <v>#REF!</v>
      </c>
      <c r="AW150" s="1" t="e">
        <v>#REF!</v>
      </c>
      <c r="AX150" s="1" t="e">
        <v>#REF!</v>
      </c>
      <c r="AY150" s="1" t="e">
        <v>#REF!</v>
      </c>
      <c r="AZ150" s="1" t="e">
        <v>#REF!</v>
      </c>
      <c r="BA150" s="1" t="e">
        <v>#REF!</v>
      </c>
      <c r="BB150" s="1" t="e">
        <v>#REF!</v>
      </c>
    </row>
    <row r="151" spans="2:54" ht="17.5">
      <c r="B151" s="629"/>
      <c r="C151" s="172"/>
      <c r="D151" s="131"/>
      <c r="E151" s="629"/>
      <c r="F151" s="629"/>
      <c r="G151" s="629"/>
      <c r="H151" s="629"/>
      <c r="I151" s="629"/>
      <c r="J151" s="630"/>
      <c r="K151" s="629"/>
      <c r="L151" s="630"/>
      <c r="M151" s="629"/>
      <c r="N151" s="629"/>
      <c r="O151" s="629"/>
      <c r="P151" s="63"/>
      <c r="Q151" s="161"/>
      <c r="AM151" s="1" t="e">
        <v>#REF!</v>
      </c>
      <c r="AN151" s="1" t="e">
        <v>#REF!</v>
      </c>
      <c r="AO151" s="1" t="e">
        <v>#REF!</v>
      </c>
      <c r="AP151" s="1" t="e">
        <v>#REF!</v>
      </c>
      <c r="AQ151" s="1" t="e">
        <v>#REF!</v>
      </c>
      <c r="AR151" s="1" t="e">
        <v>#REF!</v>
      </c>
      <c r="AS151" s="1" t="e">
        <v>#REF!</v>
      </c>
      <c r="AT151" s="2" t="e">
        <v>#REF!</v>
      </c>
      <c r="AU151" s="1" t="e">
        <v>#REF!</v>
      </c>
      <c r="AV151" s="2" t="e">
        <v>#REF!</v>
      </c>
      <c r="AW151" s="1" t="e">
        <v>#REF!</v>
      </c>
      <c r="AX151" s="1" t="e">
        <v>#REF!</v>
      </c>
      <c r="AY151" s="1" t="e">
        <v>#REF!</v>
      </c>
      <c r="AZ151" s="1" t="e">
        <v>#REF!</v>
      </c>
      <c r="BA151" s="1" t="e">
        <v>#REF!</v>
      </c>
      <c r="BB151" s="1" t="e">
        <v>#REF!</v>
      </c>
    </row>
    <row r="152" spans="2:54" ht="17.5">
      <c r="B152" s="629"/>
      <c r="C152" s="61"/>
      <c r="D152" s="629"/>
      <c r="E152" s="629"/>
      <c r="F152" s="629"/>
      <c r="G152" s="629"/>
      <c r="H152" s="629"/>
      <c r="I152" s="629"/>
      <c r="J152" s="630"/>
      <c r="K152" s="629"/>
      <c r="L152" s="630"/>
      <c r="M152" s="629"/>
      <c r="N152" s="629"/>
      <c r="O152" s="629"/>
      <c r="P152" s="63"/>
      <c r="Q152" s="161"/>
      <c r="AM152" s="1" t="e">
        <v>#REF!</v>
      </c>
      <c r="AN152" s="1" t="e">
        <v>#REF!</v>
      </c>
      <c r="AO152" s="1" t="e">
        <v>#REF!</v>
      </c>
      <c r="AP152" s="1" t="e">
        <v>#REF!</v>
      </c>
      <c r="AQ152" s="1" t="e">
        <v>#REF!</v>
      </c>
      <c r="AR152" s="1" t="e">
        <v>#REF!</v>
      </c>
      <c r="AS152" s="1" t="e">
        <v>#REF!</v>
      </c>
      <c r="AT152" s="2" t="e">
        <v>#REF!</v>
      </c>
      <c r="AU152" s="1" t="e">
        <v>#REF!</v>
      </c>
      <c r="AV152" s="2" t="e">
        <v>#REF!</v>
      </c>
      <c r="AW152" s="1" t="e">
        <v>#REF!</v>
      </c>
      <c r="AX152" s="1" t="e">
        <v>#REF!</v>
      </c>
      <c r="AY152" s="1" t="e">
        <v>#REF!</v>
      </c>
      <c r="AZ152" s="1" t="e">
        <v>#REF!</v>
      </c>
      <c r="BA152" s="1" t="e">
        <v>#REF!</v>
      </c>
      <c r="BB152" s="1" t="e">
        <v>#REF!</v>
      </c>
    </row>
    <row r="153" spans="2:54" ht="17.5">
      <c r="B153" s="629"/>
      <c r="C153" s="61"/>
      <c r="D153" s="629"/>
      <c r="E153" s="629"/>
      <c r="F153" s="629"/>
      <c r="G153" s="629"/>
      <c r="H153" s="629"/>
      <c r="I153" s="629"/>
      <c r="J153" s="630"/>
      <c r="K153" s="629"/>
      <c r="L153" s="630"/>
      <c r="M153" s="629"/>
      <c r="N153" s="629"/>
      <c r="O153" s="629"/>
      <c r="P153" s="63"/>
      <c r="Q153" s="161"/>
      <c r="AM153" s="1" t="e">
        <v>#REF!</v>
      </c>
      <c r="AN153" s="1" t="e">
        <v>#REF!</v>
      </c>
      <c r="AO153" s="1" t="e">
        <v>#REF!</v>
      </c>
      <c r="AP153" s="1" t="e">
        <v>#REF!</v>
      </c>
      <c r="AQ153" s="1" t="e">
        <v>#REF!</v>
      </c>
      <c r="AR153" s="1" t="e">
        <v>#REF!</v>
      </c>
      <c r="AS153" s="1" t="e">
        <v>#REF!</v>
      </c>
      <c r="AT153" s="2" t="e">
        <v>#REF!</v>
      </c>
      <c r="AU153" s="1" t="e">
        <v>#REF!</v>
      </c>
      <c r="AV153" s="2" t="e">
        <v>#REF!</v>
      </c>
      <c r="AW153" s="1" t="e">
        <v>#REF!</v>
      </c>
      <c r="AX153" s="1" t="e">
        <v>#REF!</v>
      </c>
      <c r="AY153" s="1" t="e">
        <v>#REF!</v>
      </c>
      <c r="AZ153" s="1" t="e">
        <v>#REF!</v>
      </c>
      <c r="BA153" s="1" t="e">
        <v>#REF!</v>
      </c>
      <c r="BB153" s="1" t="e">
        <v>#REF!</v>
      </c>
    </row>
    <row r="154" spans="2:54" ht="17.5">
      <c r="B154" s="629"/>
      <c r="C154" s="61"/>
      <c r="D154" s="629"/>
      <c r="E154" s="629"/>
      <c r="F154" s="629"/>
      <c r="G154" s="629"/>
      <c r="H154" s="629"/>
      <c r="I154" s="629"/>
      <c r="J154" s="630"/>
      <c r="K154" s="629"/>
      <c r="L154" s="630"/>
      <c r="M154" s="629"/>
      <c r="N154" s="629"/>
      <c r="O154" s="629"/>
      <c r="P154" s="63"/>
      <c r="Q154" s="161"/>
      <c r="AM154" s="1" t="e">
        <v>#REF!</v>
      </c>
      <c r="AN154" s="1" t="e">
        <v>#REF!</v>
      </c>
      <c r="AO154" s="1" t="e">
        <v>#REF!</v>
      </c>
      <c r="AP154" s="1" t="e">
        <v>#REF!</v>
      </c>
      <c r="AQ154" s="1" t="e">
        <v>#REF!</v>
      </c>
      <c r="AR154" s="1" t="e">
        <v>#REF!</v>
      </c>
      <c r="AS154" s="1" t="e">
        <v>#REF!</v>
      </c>
      <c r="AT154" s="2" t="e">
        <v>#REF!</v>
      </c>
      <c r="AU154" s="1" t="e">
        <v>#REF!</v>
      </c>
      <c r="AV154" s="2" t="e">
        <v>#REF!</v>
      </c>
      <c r="AW154" s="1" t="e">
        <v>#REF!</v>
      </c>
      <c r="AX154" s="1" t="e">
        <v>#REF!</v>
      </c>
      <c r="AY154" s="1" t="e">
        <v>#REF!</v>
      </c>
      <c r="AZ154" s="1" t="e">
        <v>#REF!</v>
      </c>
      <c r="BA154" s="1" t="e">
        <v>#REF!</v>
      </c>
      <c r="BB154" s="1" t="e">
        <v>#REF!</v>
      </c>
    </row>
    <row r="155" spans="2:54" ht="17.5">
      <c r="B155" s="629"/>
      <c r="C155" s="61"/>
      <c r="D155" s="629"/>
      <c r="E155" s="629"/>
      <c r="F155" s="629"/>
      <c r="G155" s="629"/>
      <c r="H155" s="629"/>
      <c r="I155" s="629"/>
      <c r="J155" s="630"/>
      <c r="K155" s="629"/>
      <c r="L155" s="630"/>
      <c r="M155" s="629"/>
      <c r="N155" s="629"/>
      <c r="O155" s="629"/>
      <c r="P155" s="63"/>
      <c r="Q155" s="161"/>
      <c r="AM155" s="1" t="e">
        <v>#REF!</v>
      </c>
      <c r="AN155" s="1" t="e">
        <v>#REF!</v>
      </c>
      <c r="AO155" s="1" t="e">
        <v>#REF!</v>
      </c>
      <c r="AP155" s="1" t="e">
        <v>#REF!</v>
      </c>
      <c r="AQ155" s="1" t="e">
        <v>#REF!</v>
      </c>
      <c r="AR155" s="1" t="e">
        <v>#REF!</v>
      </c>
      <c r="AS155" s="1" t="e">
        <v>#REF!</v>
      </c>
      <c r="AT155" s="2" t="e">
        <v>#REF!</v>
      </c>
      <c r="AU155" s="1" t="e">
        <v>#REF!</v>
      </c>
      <c r="AV155" s="2" t="e">
        <v>#REF!</v>
      </c>
      <c r="AW155" s="1" t="e">
        <v>#REF!</v>
      </c>
      <c r="AX155" s="1" t="e">
        <v>#REF!</v>
      </c>
      <c r="AY155" s="1" t="e">
        <v>#REF!</v>
      </c>
      <c r="AZ155" s="1" t="e">
        <v>#REF!</v>
      </c>
      <c r="BA155" s="1" t="e">
        <v>#REF!</v>
      </c>
      <c r="BB155" s="1" t="e">
        <v>#REF!</v>
      </c>
    </row>
    <row r="156" spans="2:54" ht="17.5">
      <c r="B156" s="629"/>
      <c r="C156" s="61"/>
      <c r="D156" s="629"/>
      <c r="E156" s="629"/>
      <c r="F156" s="629"/>
      <c r="G156" s="629"/>
      <c r="H156" s="629"/>
      <c r="I156" s="629"/>
      <c r="J156" s="630"/>
      <c r="K156" s="629"/>
      <c r="L156" s="630"/>
      <c r="M156" s="629"/>
      <c r="N156" s="629"/>
      <c r="O156" s="629"/>
      <c r="P156" s="63"/>
      <c r="Q156" s="161"/>
      <c r="AM156" s="1" t="e">
        <v>#REF!</v>
      </c>
      <c r="AN156" s="1" t="e">
        <v>#REF!</v>
      </c>
      <c r="AO156" s="1" t="e">
        <v>#REF!</v>
      </c>
      <c r="AP156" s="1" t="e">
        <v>#REF!</v>
      </c>
      <c r="AQ156" s="1" t="e">
        <v>#REF!</v>
      </c>
      <c r="AR156" s="1" t="e">
        <v>#REF!</v>
      </c>
      <c r="AS156" s="1" t="e">
        <v>#REF!</v>
      </c>
      <c r="AT156" s="2" t="e">
        <v>#REF!</v>
      </c>
      <c r="AU156" s="1" t="e">
        <v>#REF!</v>
      </c>
      <c r="AV156" s="2" t="e">
        <v>#REF!</v>
      </c>
      <c r="AW156" s="1" t="e">
        <v>#REF!</v>
      </c>
      <c r="AX156" s="1" t="e">
        <v>#REF!</v>
      </c>
      <c r="AY156" s="1" t="e">
        <v>#REF!</v>
      </c>
      <c r="AZ156" s="1" t="e">
        <v>#REF!</v>
      </c>
      <c r="BA156" s="1" t="e">
        <v>#REF!</v>
      </c>
      <c r="BB156" s="1" t="e">
        <v>#REF!</v>
      </c>
    </row>
    <row r="157" spans="2:54" ht="17.5">
      <c r="B157" s="629"/>
      <c r="C157" s="61"/>
      <c r="D157" s="629"/>
      <c r="E157" s="629"/>
      <c r="F157" s="629"/>
      <c r="G157" s="629"/>
      <c r="H157" s="629"/>
      <c r="I157" s="629"/>
      <c r="J157" s="630"/>
      <c r="K157" s="629"/>
      <c r="L157" s="630"/>
      <c r="M157" s="629"/>
      <c r="N157" s="629"/>
      <c r="O157" s="629"/>
      <c r="P157" s="63"/>
      <c r="Q157" s="161"/>
      <c r="AM157" s="1" t="e">
        <v>#REF!</v>
      </c>
      <c r="AN157" s="1" t="e">
        <v>#REF!</v>
      </c>
      <c r="AO157" s="1" t="e">
        <v>#REF!</v>
      </c>
      <c r="AP157" s="1" t="e">
        <v>#REF!</v>
      </c>
      <c r="AQ157" s="1" t="e">
        <v>#REF!</v>
      </c>
      <c r="AR157" s="1" t="e">
        <v>#REF!</v>
      </c>
      <c r="AS157" s="1" t="e">
        <v>#REF!</v>
      </c>
      <c r="AT157" s="2" t="e">
        <v>#REF!</v>
      </c>
      <c r="AU157" s="1" t="e">
        <v>#REF!</v>
      </c>
      <c r="AV157" s="2" t="e">
        <v>#REF!</v>
      </c>
      <c r="AW157" s="1" t="e">
        <v>#REF!</v>
      </c>
      <c r="AX157" s="1" t="e">
        <v>#REF!</v>
      </c>
      <c r="AY157" s="1" t="e">
        <v>#REF!</v>
      </c>
      <c r="AZ157" s="1" t="e">
        <v>#REF!</v>
      </c>
      <c r="BA157" s="1" t="e">
        <v>#REF!</v>
      </c>
      <c r="BB157" s="1" t="e">
        <v>#REF!</v>
      </c>
    </row>
    <row r="158" spans="2:54" ht="17.5">
      <c r="B158" s="629"/>
      <c r="C158" s="61"/>
      <c r="D158" s="629"/>
      <c r="E158" s="629"/>
      <c r="F158" s="629"/>
      <c r="G158" s="629"/>
      <c r="H158" s="629"/>
      <c r="I158" s="629"/>
      <c r="J158" s="630"/>
      <c r="K158" s="629"/>
      <c r="L158" s="630"/>
      <c r="M158" s="629"/>
      <c r="N158" s="629"/>
      <c r="O158" s="629"/>
      <c r="P158" s="63"/>
      <c r="Q158" s="161"/>
      <c r="AM158" s="1" t="e">
        <v>#REF!</v>
      </c>
      <c r="AN158" s="1" t="e">
        <v>#REF!</v>
      </c>
      <c r="AO158" s="1" t="e">
        <v>#REF!</v>
      </c>
      <c r="AP158" s="1" t="e">
        <v>#REF!</v>
      </c>
      <c r="AQ158" s="1" t="e">
        <v>#REF!</v>
      </c>
      <c r="AR158" s="1" t="e">
        <v>#REF!</v>
      </c>
      <c r="AS158" s="1" t="e">
        <v>#REF!</v>
      </c>
      <c r="AT158" s="2" t="e">
        <v>#REF!</v>
      </c>
      <c r="AU158" s="1" t="e">
        <v>#REF!</v>
      </c>
      <c r="AV158" s="2" t="e">
        <v>#REF!</v>
      </c>
      <c r="AW158" s="1" t="e">
        <v>#REF!</v>
      </c>
      <c r="AX158" s="1" t="e">
        <v>#REF!</v>
      </c>
      <c r="AY158" s="1" t="e">
        <v>#REF!</v>
      </c>
      <c r="AZ158" s="1" t="e">
        <v>#REF!</v>
      </c>
      <c r="BA158" s="1" t="e">
        <v>#REF!</v>
      </c>
      <c r="BB158" s="1" t="e">
        <v>#REF!</v>
      </c>
    </row>
    <row r="159" spans="2:54" ht="17.5">
      <c r="B159" s="629"/>
      <c r="C159" s="61"/>
      <c r="D159" s="629"/>
      <c r="E159" s="629"/>
      <c r="F159" s="629"/>
      <c r="G159" s="629"/>
      <c r="H159" s="629"/>
      <c r="I159" s="629"/>
      <c r="J159" s="630"/>
      <c r="K159" s="629"/>
      <c r="L159" s="630"/>
      <c r="M159" s="629"/>
      <c r="N159" s="629"/>
      <c r="O159" s="629"/>
      <c r="P159" s="63"/>
      <c r="Q159" s="161"/>
      <c r="AM159" s="1" t="e">
        <v>#REF!</v>
      </c>
      <c r="AN159" s="1" t="e">
        <v>#REF!</v>
      </c>
      <c r="AO159" s="1" t="e">
        <v>#REF!</v>
      </c>
      <c r="AP159" s="1" t="e">
        <v>#REF!</v>
      </c>
      <c r="AQ159" s="1" t="e">
        <v>#REF!</v>
      </c>
      <c r="AR159" s="1" t="e">
        <v>#REF!</v>
      </c>
      <c r="AS159" s="1" t="e">
        <v>#REF!</v>
      </c>
      <c r="AT159" s="2" t="e">
        <v>#REF!</v>
      </c>
      <c r="AU159" s="1" t="e">
        <v>#REF!</v>
      </c>
      <c r="AV159" s="2" t="e">
        <v>#REF!</v>
      </c>
      <c r="AW159" s="1" t="e">
        <v>#REF!</v>
      </c>
      <c r="AX159" s="1" t="e">
        <v>#REF!</v>
      </c>
      <c r="AY159" s="1" t="e">
        <v>#REF!</v>
      </c>
      <c r="AZ159" s="1" t="e">
        <v>#REF!</v>
      </c>
      <c r="BA159" s="1" t="e">
        <v>#REF!</v>
      </c>
      <c r="BB159" s="1" t="e">
        <v>#REF!</v>
      </c>
    </row>
    <row r="160" spans="2:54" ht="17.5">
      <c r="B160" s="629"/>
      <c r="C160" s="61"/>
      <c r="D160" s="629"/>
      <c r="E160" s="629"/>
      <c r="F160" s="629"/>
      <c r="G160" s="629"/>
      <c r="H160" s="629"/>
      <c r="I160" s="629"/>
      <c r="J160" s="630"/>
      <c r="K160" s="629"/>
      <c r="L160" s="630"/>
      <c r="M160" s="629"/>
      <c r="N160" s="629"/>
      <c r="O160" s="629"/>
      <c r="P160" s="63"/>
      <c r="Q160" s="161"/>
      <c r="AM160" s="1" t="e">
        <v>#REF!</v>
      </c>
      <c r="AN160" s="1" t="e">
        <v>#REF!</v>
      </c>
      <c r="AO160" s="1" t="e">
        <v>#REF!</v>
      </c>
      <c r="AP160" s="1" t="e">
        <v>#REF!</v>
      </c>
      <c r="AQ160" s="1" t="e">
        <v>#REF!</v>
      </c>
      <c r="AR160" s="1" t="e">
        <v>#REF!</v>
      </c>
      <c r="AS160" s="1" t="e">
        <v>#REF!</v>
      </c>
      <c r="AT160" s="2" t="e">
        <v>#REF!</v>
      </c>
      <c r="AU160" s="1" t="e">
        <v>#REF!</v>
      </c>
      <c r="AV160" s="2" t="e">
        <v>#REF!</v>
      </c>
      <c r="AW160" s="1" t="e">
        <v>#REF!</v>
      </c>
      <c r="AX160" s="1" t="e">
        <v>#REF!</v>
      </c>
      <c r="AY160" s="1" t="e">
        <v>#REF!</v>
      </c>
      <c r="AZ160" s="1" t="e">
        <v>#REF!</v>
      </c>
      <c r="BA160" s="1" t="e">
        <v>#REF!</v>
      </c>
      <c r="BB160" s="1" t="e">
        <v>#REF!</v>
      </c>
    </row>
    <row r="161" spans="2:54" ht="17.5">
      <c r="B161" s="629"/>
      <c r="C161" s="61"/>
      <c r="D161" s="629"/>
      <c r="E161" s="629"/>
      <c r="F161" s="629"/>
      <c r="G161" s="629"/>
      <c r="H161" s="629"/>
      <c r="I161" s="629"/>
      <c r="J161" s="630"/>
      <c r="K161" s="629"/>
      <c r="L161" s="630"/>
      <c r="M161" s="629"/>
      <c r="N161" s="629"/>
      <c r="O161" s="629"/>
      <c r="P161" s="63"/>
      <c r="Q161" s="161"/>
      <c r="AM161" s="1" t="e">
        <v>#REF!</v>
      </c>
      <c r="AN161" s="1" t="e">
        <v>#REF!</v>
      </c>
      <c r="AO161" s="1" t="e">
        <v>#REF!</v>
      </c>
      <c r="AP161" s="1" t="e">
        <v>#REF!</v>
      </c>
      <c r="AQ161" s="1" t="e">
        <v>#REF!</v>
      </c>
      <c r="AR161" s="1" t="e">
        <v>#REF!</v>
      </c>
      <c r="AS161" s="1" t="e">
        <v>#REF!</v>
      </c>
      <c r="AT161" s="2" t="e">
        <v>#REF!</v>
      </c>
      <c r="AU161" s="1" t="e">
        <v>#REF!</v>
      </c>
      <c r="AV161" s="2" t="e">
        <v>#REF!</v>
      </c>
      <c r="AW161" s="1" t="e">
        <v>#REF!</v>
      </c>
      <c r="AX161" s="1" t="e">
        <v>#REF!</v>
      </c>
      <c r="AY161" s="1" t="e">
        <v>#REF!</v>
      </c>
      <c r="AZ161" s="1" t="e">
        <v>#REF!</v>
      </c>
      <c r="BA161" s="1" t="e">
        <v>#REF!</v>
      </c>
      <c r="BB161" s="1" t="e">
        <v>#REF!</v>
      </c>
    </row>
    <row r="162" spans="2:54" ht="17.5">
      <c r="B162" s="629"/>
      <c r="C162" s="61"/>
      <c r="D162" s="629"/>
      <c r="E162" s="629"/>
      <c r="F162" s="629"/>
      <c r="G162" s="629"/>
      <c r="H162" s="629"/>
      <c r="I162" s="629"/>
      <c r="J162" s="630"/>
      <c r="K162" s="629"/>
      <c r="L162" s="630"/>
      <c r="M162" s="629"/>
      <c r="N162" s="629"/>
      <c r="O162" s="629"/>
      <c r="P162" s="63"/>
      <c r="Q162" s="161"/>
      <c r="AM162" s="1" t="e">
        <v>#REF!</v>
      </c>
      <c r="AN162" s="1" t="e">
        <v>#REF!</v>
      </c>
      <c r="AO162" s="1" t="e">
        <v>#REF!</v>
      </c>
      <c r="AP162" s="1" t="e">
        <v>#REF!</v>
      </c>
      <c r="AQ162" s="1" t="e">
        <v>#REF!</v>
      </c>
      <c r="AR162" s="1" t="e">
        <v>#REF!</v>
      </c>
      <c r="AS162" s="1" t="e">
        <v>#REF!</v>
      </c>
      <c r="AT162" s="2" t="e">
        <v>#REF!</v>
      </c>
      <c r="AU162" s="1" t="e">
        <v>#REF!</v>
      </c>
      <c r="AV162" s="2" t="e">
        <v>#REF!</v>
      </c>
      <c r="AW162" s="1" t="e">
        <v>#REF!</v>
      </c>
      <c r="AX162" s="1" t="e">
        <v>#REF!</v>
      </c>
      <c r="AY162" s="1" t="e">
        <v>#REF!</v>
      </c>
      <c r="AZ162" s="1" t="e">
        <v>#REF!</v>
      </c>
      <c r="BA162" s="1" t="e">
        <v>#REF!</v>
      </c>
      <c r="BB162" s="1" t="e">
        <v>#REF!</v>
      </c>
    </row>
    <row r="163" spans="2:54" ht="17.5">
      <c r="B163" s="629"/>
      <c r="C163" s="61"/>
      <c r="D163" s="629"/>
      <c r="E163" s="629"/>
      <c r="F163" s="629"/>
      <c r="G163" s="629"/>
      <c r="H163" s="629"/>
      <c r="I163" s="629"/>
      <c r="J163" s="630"/>
      <c r="K163" s="629"/>
      <c r="L163" s="630"/>
      <c r="M163" s="629"/>
      <c r="N163" s="629"/>
      <c r="O163" s="629"/>
      <c r="P163" s="63"/>
      <c r="Q163" s="161"/>
      <c r="AM163" s="1" t="e">
        <v>#REF!</v>
      </c>
      <c r="AN163" s="1" t="e">
        <v>#REF!</v>
      </c>
      <c r="AO163" s="1" t="e">
        <v>#REF!</v>
      </c>
      <c r="AP163" s="1" t="e">
        <v>#REF!</v>
      </c>
      <c r="AQ163" s="1" t="e">
        <v>#REF!</v>
      </c>
      <c r="AR163" s="1" t="e">
        <v>#REF!</v>
      </c>
      <c r="AS163" s="1" t="e">
        <v>#REF!</v>
      </c>
      <c r="AT163" s="2" t="e">
        <v>#REF!</v>
      </c>
      <c r="AU163" s="1" t="e">
        <v>#REF!</v>
      </c>
      <c r="AV163" s="2" t="e">
        <v>#REF!</v>
      </c>
      <c r="AW163" s="1" t="e">
        <v>#REF!</v>
      </c>
      <c r="AX163" s="1" t="e">
        <v>#REF!</v>
      </c>
      <c r="AY163" s="1" t="e">
        <v>#REF!</v>
      </c>
      <c r="AZ163" s="1" t="e">
        <v>#REF!</v>
      </c>
      <c r="BA163" s="1" t="e">
        <v>#REF!</v>
      </c>
      <c r="BB163" s="1" t="e">
        <v>#REF!</v>
      </c>
    </row>
    <row r="164" spans="2:54" ht="17.5">
      <c r="B164" s="629"/>
      <c r="C164" s="61"/>
      <c r="D164" s="629"/>
      <c r="E164" s="629"/>
      <c r="F164" s="629"/>
      <c r="G164" s="629"/>
      <c r="H164" s="629"/>
      <c r="I164" s="629"/>
      <c r="J164" s="630"/>
      <c r="K164" s="629"/>
      <c r="L164" s="630"/>
      <c r="M164" s="629"/>
      <c r="N164" s="629"/>
      <c r="O164" s="629"/>
      <c r="P164" s="63"/>
      <c r="Q164" s="161"/>
      <c r="AM164" s="1" t="e">
        <v>#REF!</v>
      </c>
      <c r="AN164" s="1" t="e">
        <v>#REF!</v>
      </c>
      <c r="AO164" s="1" t="e">
        <v>#REF!</v>
      </c>
      <c r="AP164" s="1" t="e">
        <v>#REF!</v>
      </c>
      <c r="AQ164" s="1" t="e">
        <v>#REF!</v>
      </c>
      <c r="AR164" s="1" t="e">
        <v>#REF!</v>
      </c>
      <c r="AS164" s="1" t="e">
        <v>#REF!</v>
      </c>
      <c r="AT164" s="2" t="e">
        <v>#REF!</v>
      </c>
      <c r="AU164" s="1" t="e">
        <v>#REF!</v>
      </c>
      <c r="AV164" s="2" t="e">
        <v>#REF!</v>
      </c>
      <c r="AW164" s="1" t="e">
        <v>#REF!</v>
      </c>
      <c r="AX164" s="1" t="e">
        <v>#REF!</v>
      </c>
      <c r="AY164" s="1" t="e">
        <v>#REF!</v>
      </c>
      <c r="AZ164" s="1" t="e">
        <v>#REF!</v>
      </c>
      <c r="BA164" s="1" t="e">
        <v>#REF!</v>
      </c>
      <c r="BB164" s="1" t="e">
        <v>#REF!</v>
      </c>
    </row>
    <row r="165" spans="2:54" ht="17.5">
      <c r="B165" s="629"/>
      <c r="C165" s="61"/>
      <c r="D165" s="629"/>
      <c r="E165" s="629"/>
      <c r="F165" s="629"/>
      <c r="G165" s="629"/>
      <c r="H165" s="629"/>
      <c r="I165" s="629"/>
      <c r="J165" s="630"/>
      <c r="K165" s="629"/>
      <c r="L165" s="630"/>
      <c r="M165" s="629"/>
      <c r="N165" s="629"/>
      <c r="O165" s="629"/>
      <c r="P165" s="63"/>
      <c r="Q165" s="161"/>
      <c r="AM165" s="1" t="e">
        <v>#REF!</v>
      </c>
      <c r="AN165" s="1" t="e">
        <v>#REF!</v>
      </c>
      <c r="AO165" s="1" t="e">
        <v>#REF!</v>
      </c>
      <c r="AP165" s="1" t="e">
        <v>#REF!</v>
      </c>
      <c r="AQ165" s="1" t="e">
        <v>#REF!</v>
      </c>
      <c r="AR165" s="1" t="e">
        <v>#REF!</v>
      </c>
      <c r="AS165" s="1" t="e">
        <v>#REF!</v>
      </c>
      <c r="AT165" s="2" t="e">
        <v>#REF!</v>
      </c>
      <c r="AU165" s="1" t="e">
        <v>#REF!</v>
      </c>
      <c r="AV165" s="2" t="e">
        <v>#REF!</v>
      </c>
      <c r="AW165" s="1" t="e">
        <v>#REF!</v>
      </c>
      <c r="AX165" s="1" t="e">
        <v>#REF!</v>
      </c>
      <c r="AY165" s="1" t="e">
        <v>#REF!</v>
      </c>
      <c r="AZ165" s="1" t="e">
        <v>#REF!</v>
      </c>
      <c r="BA165" s="1" t="e">
        <v>#REF!</v>
      </c>
      <c r="BB165" s="1" t="e">
        <v>#REF!</v>
      </c>
    </row>
    <row r="166" spans="2:54" ht="17.5">
      <c r="B166" s="629"/>
      <c r="C166" s="61"/>
      <c r="D166" s="629"/>
      <c r="E166" s="629"/>
      <c r="F166" s="629"/>
      <c r="G166" s="629"/>
      <c r="H166" s="629"/>
      <c r="I166" s="629"/>
      <c r="J166" s="630"/>
      <c r="K166" s="629"/>
      <c r="L166" s="630"/>
      <c r="M166" s="629"/>
      <c r="N166" s="629"/>
      <c r="O166" s="629"/>
      <c r="P166" s="63"/>
      <c r="Q166" s="161"/>
      <c r="AM166" s="1" t="e">
        <v>#REF!</v>
      </c>
      <c r="AN166" s="1" t="e">
        <v>#REF!</v>
      </c>
      <c r="AO166" s="1" t="e">
        <v>#REF!</v>
      </c>
      <c r="AP166" s="1" t="e">
        <v>#REF!</v>
      </c>
      <c r="AQ166" s="1" t="e">
        <v>#REF!</v>
      </c>
      <c r="AR166" s="1" t="e">
        <v>#REF!</v>
      </c>
      <c r="AS166" s="1" t="e">
        <v>#REF!</v>
      </c>
      <c r="AT166" s="2" t="e">
        <v>#REF!</v>
      </c>
      <c r="AU166" s="1" t="e">
        <v>#REF!</v>
      </c>
      <c r="AV166" s="2" t="e">
        <v>#REF!</v>
      </c>
      <c r="AW166" s="1" t="e">
        <v>#REF!</v>
      </c>
      <c r="AX166" s="1" t="e">
        <v>#REF!</v>
      </c>
      <c r="AY166" s="1" t="e">
        <v>#REF!</v>
      </c>
      <c r="AZ166" s="1" t="e">
        <v>#REF!</v>
      </c>
      <c r="BA166" s="1" t="e">
        <v>#REF!</v>
      </c>
      <c r="BB166" s="1" t="e">
        <v>#REF!</v>
      </c>
    </row>
    <row r="167" spans="2:54" ht="17.5">
      <c r="B167" s="629"/>
      <c r="C167" s="61"/>
      <c r="D167" s="629"/>
      <c r="E167" s="629"/>
      <c r="F167" s="629"/>
      <c r="G167" s="629"/>
      <c r="H167" s="629"/>
      <c r="I167" s="629"/>
      <c r="J167" s="630"/>
      <c r="K167" s="629"/>
      <c r="L167" s="630"/>
      <c r="M167" s="629"/>
      <c r="N167" s="629"/>
      <c r="O167" s="629"/>
      <c r="P167" s="63"/>
      <c r="Q167" s="161"/>
      <c r="AM167" s="1" t="e">
        <v>#REF!</v>
      </c>
      <c r="AN167" s="1" t="e">
        <v>#REF!</v>
      </c>
      <c r="AO167" s="1" t="e">
        <v>#REF!</v>
      </c>
      <c r="AP167" s="1" t="e">
        <v>#REF!</v>
      </c>
      <c r="AQ167" s="1" t="e">
        <v>#REF!</v>
      </c>
      <c r="AR167" s="1" t="e">
        <v>#REF!</v>
      </c>
      <c r="AS167" s="1" t="e">
        <v>#REF!</v>
      </c>
      <c r="AT167" s="2" t="e">
        <v>#REF!</v>
      </c>
      <c r="AU167" s="1" t="e">
        <v>#REF!</v>
      </c>
      <c r="AV167" s="2" t="e">
        <v>#REF!</v>
      </c>
      <c r="AW167" s="1" t="e">
        <v>#REF!</v>
      </c>
      <c r="AX167" s="1" t="e">
        <v>#REF!</v>
      </c>
      <c r="AY167" s="1" t="e">
        <v>#REF!</v>
      </c>
      <c r="AZ167" s="1" t="e">
        <v>#REF!</v>
      </c>
      <c r="BA167" s="1" t="e">
        <v>#REF!</v>
      </c>
      <c r="BB167" s="1" t="e">
        <v>#REF!</v>
      </c>
    </row>
    <row r="168" spans="2:54" ht="17.5">
      <c r="B168" s="629"/>
      <c r="C168" s="61"/>
      <c r="D168" s="629"/>
      <c r="E168" s="629"/>
      <c r="F168" s="629"/>
      <c r="G168" s="629"/>
      <c r="H168" s="629"/>
      <c r="I168" s="629"/>
      <c r="J168" s="630"/>
      <c r="K168" s="629"/>
      <c r="L168" s="630"/>
      <c r="M168" s="629"/>
      <c r="N168" s="629"/>
      <c r="O168" s="629"/>
      <c r="P168" s="63"/>
      <c r="Q168" s="161"/>
      <c r="AM168" s="1" t="e">
        <v>#REF!</v>
      </c>
      <c r="AN168" s="1" t="e">
        <v>#REF!</v>
      </c>
      <c r="AO168" s="1" t="e">
        <v>#REF!</v>
      </c>
      <c r="AP168" s="1" t="e">
        <v>#REF!</v>
      </c>
      <c r="AQ168" s="1" t="e">
        <v>#REF!</v>
      </c>
      <c r="AR168" s="1" t="e">
        <v>#REF!</v>
      </c>
      <c r="AS168" s="1" t="e">
        <v>#REF!</v>
      </c>
      <c r="AT168" s="2" t="e">
        <v>#REF!</v>
      </c>
      <c r="AU168" s="1" t="e">
        <v>#REF!</v>
      </c>
      <c r="AV168" s="2" t="e">
        <v>#REF!</v>
      </c>
      <c r="AW168" s="1" t="e">
        <v>#REF!</v>
      </c>
      <c r="AX168" s="1" t="e">
        <v>#REF!</v>
      </c>
      <c r="AY168" s="1" t="e">
        <v>#REF!</v>
      </c>
      <c r="AZ168" s="1" t="e">
        <v>#REF!</v>
      </c>
      <c r="BA168" s="1" t="e">
        <v>#REF!</v>
      </c>
      <c r="BB168" s="1" t="e">
        <v>#REF!</v>
      </c>
    </row>
    <row r="169" spans="2:54" ht="17.5">
      <c r="B169" s="629"/>
      <c r="C169" s="61"/>
      <c r="D169" s="629"/>
      <c r="E169" s="629"/>
      <c r="F169" s="629"/>
      <c r="G169" s="629"/>
      <c r="H169" s="629"/>
      <c r="I169" s="629"/>
      <c r="J169" s="630"/>
      <c r="K169" s="629"/>
      <c r="L169" s="630"/>
      <c r="M169" s="629"/>
      <c r="N169" s="629"/>
      <c r="O169" s="629"/>
      <c r="P169" s="63"/>
      <c r="Q169" s="161"/>
      <c r="AM169" s="1" t="e">
        <v>#REF!</v>
      </c>
      <c r="AN169" s="1" t="e">
        <v>#REF!</v>
      </c>
      <c r="AO169" s="1" t="e">
        <v>#REF!</v>
      </c>
      <c r="AP169" s="1" t="e">
        <v>#REF!</v>
      </c>
      <c r="AQ169" s="1" t="e">
        <v>#REF!</v>
      </c>
      <c r="AR169" s="1" t="e">
        <v>#REF!</v>
      </c>
      <c r="AS169" s="1" t="e">
        <v>#REF!</v>
      </c>
      <c r="AT169" s="2" t="e">
        <v>#REF!</v>
      </c>
      <c r="AU169" s="1" t="e">
        <v>#REF!</v>
      </c>
      <c r="AV169" s="2" t="e">
        <v>#REF!</v>
      </c>
      <c r="AW169" s="1" t="e">
        <v>#REF!</v>
      </c>
      <c r="AX169" s="1" t="e">
        <v>#REF!</v>
      </c>
      <c r="AY169" s="1" t="e">
        <v>#REF!</v>
      </c>
      <c r="AZ169" s="1" t="e">
        <v>#REF!</v>
      </c>
      <c r="BA169" s="1" t="e">
        <v>#REF!</v>
      </c>
      <c r="BB169" s="1" t="e">
        <v>#REF!</v>
      </c>
    </row>
    <row r="170" spans="2:54" ht="17.5">
      <c r="B170" s="629"/>
      <c r="C170" s="61"/>
      <c r="D170" s="629"/>
      <c r="E170" s="629"/>
      <c r="F170" s="629"/>
      <c r="G170" s="629"/>
      <c r="H170" s="629"/>
      <c r="I170" s="629"/>
      <c r="J170" s="630"/>
      <c r="K170" s="629"/>
      <c r="L170" s="630"/>
      <c r="M170" s="629"/>
      <c r="N170" s="629"/>
      <c r="O170" s="629"/>
      <c r="P170" s="63"/>
      <c r="Q170" s="161"/>
      <c r="AM170" s="1" t="e">
        <v>#REF!</v>
      </c>
      <c r="AN170" s="1" t="e">
        <v>#REF!</v>
      </c>
      <c r="AO170" s="1" t="e">
        <v>#REF!</v>
      </c>
      <c r="AP170" s="1" t="e">
        <v>#REF!</v>
      </c>
      <c r="AQ170" s="1" t="e">
        <v>#REF!</v>
      </c>
      <c r="AR170" s="1" t="e">
        <v>#REF!</v>
      </c>
      <c r="AS170" s="1" t="e">
        <v>#REF!</v>
      </c>
      <c r="AT170" s="2" t="e">
        <v>#REF!</v>
      </c>
      <c r="AU170" s="1" t="e">
        <v>#REF!</v>
      </c>
      <c r="AV170" s="2" t="e">
        <v>#REF!</v>
      </c>
      <c r="AW170" s="1" t="e">
        <v>#REF!</v>
      </c>
      <c r="AX170" s="1" t="e">
        <v>#REF!</v>
      </c>
      <c r="AY170" s="1" t="e">
        <v>#REF!</v>
      </c>
      <c r="AZ170" s="1" t="e">
        <v>#REF!</v>
      </c>
      <c r="BA170" s="1" t="e">
        <v>#REF!</v>
      </c>
      <c r="BB170" s="1" t="e">
        <v>#REF!</v>
      </c>
    </row>
    <row r="171" spans="2:54" ht="17.5">
      <c r="B171" s="629"/>
      <c r="C171" s="61"/>
      <c r="D171" s="629"/>
      <c r="E171" s="629"/>
      <c r="F171" s="629"/>
      <c r="G171" s="629"/>
      <c r="H171" s="629"/>
      <c r="I171" s="629"/>
      <c r="J171" s="630"/>
      <c r="K171" s="629"/>
      <c r="L171" s="630"/>
      <c r="M171" s="629"/>
      <c r="N171" s="629"/>
      <c r="O171" s="629"/>
      <c r="P171" s="63"/>
      <c r="Q171" s="161"/>
      <c r="AM171" s="1" t="e">
        <v>#REF!</v>
      </c>
      <c r="AN171" s="1" t="e">
        <v>#REF!</v>
      </c>
      <c r="AO171" s="1" t="e">
        <v>#REF!</v>
      </c>
      <c r="AP171" s="1" t="e">
        <v>#REF!</v>
      </c>
      <c r="AQ171" s="1" t="e">
        <v>#REF!</v>
      </c>
      <c r="AR171" s="1" t="e">
        <v>#REF!</v>
      </c>
      <c r="AS171" s="1" t="e">
        <v>#REF!</v>
      </c>
      <c r="AT171" s="2" t="e">
        <v>#REF!</v>
      </c>
      <c r="AU171" s="1" t="e">
        <v>#REF!</v>
      </c>
      <c r="AV171" s="2" t="e">
        <v>#REF!</v>
      </c>
      <c r="AW171" s="1" t="e">
        <v>#REF!</v>
      </c>
      <c r="AX171" s="1" t="e">
        <v>#REF!</v>
      </c>
      <c r="AY171" s="1" t="e">
        <v>#REF!</v>
      </c>
      <c r="AZ171" s="1" t="e">
        <v>#REF!</v>
      </c>
      <c r="BA171" s="1" t="e">
        <v>#REF!</v>
      </c>
      <c r="BB171" s="1" t="e">
        <v>#REF!</v>
      </c>
    </row>
    <row r="172" spans="2:54" ht="17.5">
      <c r="B172" s="629"/>
      <c r="C172" s="61"/>
      <c r="D172" s="629"/>
      <c r="E172" s="629"/>
      <c r="F172" s="629"/>
      <c r="G172" s="629"/>
      <c r="H172" s="629"/>
      <c r="I172" s="629"/>
      <c r="J172" s="630"/>
      <c r="K172" s="629"/>
      <c r="L172" s="630"/>
      <c r="M172" s="629"/>
      <c r="N172" s="629"/>
      <c r="O172" s="629"/>
      <c r="P172" s="63"/>
      <c r="Q172" s="161"/>
      <c r="AM172" s="1" t="e">
        <v>#REF!</v>
      </c>
      <c r="AN172" s="1" t="e">
        <v>#REF!</v>
      </c>
      <c r="AO172" s="1" t="e">
        <v>#REF!</v>
      </c>
      <c r="AP172" s="1" t="e">
        <v>#REF!</v>
      </c>
      <c r="AQ172" s="1" t="e">
        <v>#REF!</v>
      </c>
      <c r="AR172" s="1" t="e">
        <v>#REF!</v>
      </c>
      <c r="AS172" s="1" t="e">
        <v>#REF!</v>
      </c>
      <c r="AT172" s="2" t="e">
        <v>#REF!</v>
      </c>
      <c r="AU172" s="1" t="e">
        <v>#REF!</v>
      </c>
      <c r="AV172" s="2" t="e">
        <v>#REF!</v>
      </c>
      <c r="AW172" s="1" t="e">
        <v>#REF!</v>
      </c>
      <c r="AX172" s="1" t="e">
        <v>#REF!</v>
      </c>
      <c r="AY172" s="1" t="e">
        <v>#REF!</v>
      </c>
      <c r="AZ172" s="1" t="e">
        <v>#REF!</v>
      </c>
      <c r="BA172" s="1" t="e">
        <v>#REF!</v>
      </c>
      <c r="BB172" s="1" t="e">
        <v>#REF!</v>
      </c>
    </row>
    <row r="173" spans="2:54" ht="17.5">
      <c r="B173" s="629"/>
      <c r="C173" s="61"/>
      <c r="D173" s="629"/>
      <c r="E173" s="629"/>
      <c r="F173" s="629"/>
      <c r="G173" s="629"/>
      <c r="H173" s="629"/>
      <c r="I173" s="629"/>
      <c r="J173" s="630"/>
      <c r="K173" s="629"/>
      <c r="L173" s="630"/>
      <c r="M173" s="629"/>
      <c r="N173" s="629"/>
      <c r="O173" s="629"/>
      <c r="P173" s="63"/>
      <c r="Q173" s="161"/>
      <c r="AM173" s="1" t="e">
        <v>#REF!</v>
      </c>
      <c r="AN173" s="1" t="e">
        <v>#REF!</v>
      </c>
      <c r="AO173" s="1" t="e">
        <v>#REF!</v>
      </c>
      <c r="AP173" s="1" t="e">
        <v>#REF!</v>
      </c>
      <c r="AQ173" s="1" t="e">
        <v>#REF!</v>
      </c>
      <c r="AR173" s="1" t="e">
        <v>#REF!</v>
      </c>
      <c r="AS173" s="1" t="e">
        <v>#REF!</v>
      </c>
      <c r="AT173" s="2" t="e">
        <v>#REF!</v>
      </c>
      <c r="AU173" s="1" t="e">
        <v>#REF!</v>
      </c>
      <c r="AV173" s="2" t="e">
        <v>#REF!</v>
      </c>
      <c r="AW173" s="1" t="e">
        <v>#REF!</v>
      </c>
      <c r="AX173" s="1" t="e">
        <v>#REF!</v>
      </c>
      <c r="AY173" s="1" t="e">
        <v>#REF!</v>
      </c>
      <c r="AZ173" s="1" t="e">
        <v>#REF!</v>
      </c>
      <c r="BA173" s="1" t="e">
        <v>#REF!</v>
      </c>
      <c r="BB173" s="1" t="e">
        <v>#REF!</v>
      </c>
    </row>
    <row r="174" spans="2:54" ht="17.5">
      <c r="B174" s="629"/>
      <c r="C174" s="61"/>
      <c r="D174" s="629"/>
      <c r="E174" s="629"/>
      <c r="F174" s="629"/>
      <c r="G174" s="629"/>
      <c r="H174" s="629"/>
      <c r="I174" s="629"/>
      <c r="J174" s="630"/>
      <c r="K174" s="629"/>
      <c r="L174" s="630"/>
      <c r="M174" s="629"/>
      <c r="N174" s="629"/>
      <c r="O174" s="629"/>
      <c r="P174" s="63"/>
      <c r="Q174" s="161"/>
      <c r="AM174" s="1" t="e">
        <v>#REF!</v>
      </c>
      <c r="AN174" s="1" t="e">
        <v>#REF!</v>
      </c>
      <c r="AO174" s="1" t="e">
        <v>#REF!</v>
      </c>
      <c r="AP174" s="1" t="e">
        <v>#REF!</v>
      </c>
      <c r="AQ174" s="1" t="e">
        <v>#REF!</v>
      </c>
      <c r="AR174" s="1" t="e">
        <v>#REF!</v>
      </c>
      <c r="AS174" s="1" t="e">
        <v>#REF!</v>
      </c>
      <c r="AT174" s="2" t="e">
        <v>#REF!</v>
      </c>
      <c r="AU174" s="1" t="e">
        <v>#REF!</v>
      </c>
      <c r="AV174" s="2" t="e">
        <v>#REF!</v>
      </c>
      <c r="AW174" s="1" t="e">
        <v>#REF!</v>
      </c>
      <c r="AX174" s="1" t="e">
        <v>#REF!</v>
      </c>
      <c r="AY174" s="1" t="e">
        <v>#REF!</v>
      </c>
      <c r="AZ174" s="1" t="e">
        <v>#REF!</v>
      </c>
      <c r="BA174" s="1" t="e">
        <v>#REF!</v>
      </c>
      <c r="BB174" s="1" t="e">
        <v>#REF!</v>
      </c>
    </row>
    <row r="175" spans="2:54" ht="17.5">
      <c r="B175" s="629"/>
      <c r="C175" s="61"/>
      <c r="D175" s="629"/>
      <c r="E175" s="629"/>
      <c r="F175" s="629"/>
      <c r="G175" s="629"/>
      <c r="H175" s="629"/>
      <c r="I175" s="629"/>
      <c r="J175" s="630"/>
      <c r="K175" s="629"/>
      <c r="L175" s="630"/>
      <c r="M175" s="629"/>
      <c r="N175" s="629"/>
      <c r="O175" s="629"/>
      <c r="P175" s="63"/>
      <c r="Q175" s="161"/>
      <c r="AM175" s="1" t="e">
        <v>#REF!</v>
      </c>
      <c r="AN175" s="1" t="e">
        <v>#REF!</v>
      </c>
      <c r="AO175" s="1" t="e">
        <v>#REF!</v>
      </c>
      <c r="AP175" s="1" t="e">
        <v>#REF!</v>
      </c>
      <c r="AQ175" s="1" t="e">
        <v>#REF!</v>
      </c>
      <c r="AR175" s="1" t="e">
        <v>#REF!</v>
      </c>
      <c r="AS175" s="1" t="e">
        <v>#REF!</v>
      </c>
      <c r="AT175" s="2" t="e">
        <v>#REF!</v>
      </c>
      <c r="AU175" s="1" t="e">
        <v>#REF!</v>
      </c>
      <c r="AV175" s="2" t="e">
        <v>#REF!</v>
      </c>
      <c r="AW175" s="1" t="e">
        <v>#REF!</v>
      </c>
      <c r="AX175" s="1" t="e">
        <v>#REF!</v>
      </c>
      <c r="AY175" s="1" t="e">
        <v>#REF!</v>
      </c>
      <c r="AZ175" s="1" t="e">
        <v>#REF!</v>
      </c>
      <c r="BA175" s="1" t="e">
        <v>#REF!</v>
      </c>
      <c r="BB175" s="1" t="e">
        <v>#REF!</v>
      </c>
    </row>
    <row r="176" spans="2:54" ht="17.5">
      <c r="B176" s="629"/>
      <c r="C176" s="61"/>
      <c r="D176" s="629"/>
      <c r="E176" s="629"/>
      <c r="F176" s="629"/>
      <c r="G176" s="629"/>
      <c r="H176" s="629"/>
      <c r="I176" s="629"/>
      <c r="J176" s="630"/>
      <c r="K176" s="629"/>
      <c r="L176" s="630"/>
      <c r="M176" s="629"/>
      <c r="N176" s="629"/>
      <c r="O176" s="629"/>
      <c r="P176" s="63"/>
      <c r="Q176" s="161"/>
      <c r="AM176" s="1" t="e">
        <v>#REF!</v>
      </c>
      <c r="AN176" s="1" t="e">
        <v>#REF!</v>
      </c>
      <c r="AO176" s="1" t="e">
        <v>#REF!</v>
      </c>
      <c r="AP176" s="1" t="e">
        <v>#REF!</v>
      </c>
      <c r="AQ176" s="1" t="e">
        <v>#REF!</v>
      </c>
      <c r="AR176" s="1" t="e">
        <v>#REF!</v>
      </c>
      <c r="AS176" s="1" t="e">
        <v>#REF!</v>
      </c>
      <c r="AT176" s="2" t="e">
        <v>#REF!</v>
      </c>
      <c r="AU176" s="1" t="e">
        <v>#REF!</v>
      </c>
      <c r="AV176" s="2" t="e">
        <v>#REF!</v>
      </c>
      <c r="AW176" s="1" t="e">
        <v>#REF!</v>
      </c>
      <c r="AX176" s="1" t="e">
        <v>#REF!</v>
      </c>
      <c r="AY176" s="1" t="e">
        <v>#REF!</v>
      </c>
      <c r="AZ176" s="1" t="e">
        <v>#REF!</v>
      </c>
      <c r="BA176" s="1" t="e">
        <v>#REF!</v>
      </c>
      <c r="BB176" s="1" t="e">
        <v>#REF!</v>
      </c>
    </row>
    <row r="177" spans="2:54" ht="20">
      <c r="B177" s="629"/>
      <c r="C177" s="61"/>
      <c r="D177" s="629"/>
      <c r="E177" s="165"/>
      <c r="F177" s="629"/>
      <c r="G177" s="629"/>
      <c r="H177" s="629"/>
      <c r="I177" s="629"/>
      <c r="J177" s="630"/>
      <c r="K177" s="629"/>
      <c r="L177" s="630"/>
      <c r="M177" s="629"/>
      <c r="N177" s="629"/>
      <c r="O177" s="629"/>
      <c r="P177" s="63"/>
      <c r="Q177" s="161"/>
      <c r="AM177" s="1" t="e">
        <v>#REF!</v>
      </c>
      <c r="AN177" s="1" t="e">
        <v>#REF!</v>
      </c>
      <c r="AO177" s="1" t="e">
        <v>#REF!</v>
      </c>
      <c r="AP177" s="1" t="e">
        <v>#REF!</v>
      </c>
      <c r="AQ177" s="1" t="e">
        <v>#REF!</v>
      </c>
      <c r="AR177" s="1" t="e">
        <v>#REF!</v>
      </c>
      <c r="AS177" s="1" t="e">
        <v>#REF!</v>
      </c>
      <c r="AT177" s="2" t="e">
        <v>#REF!</v>
      </c>
      <c r="AU177" s="1" t="e">
        <v>#REF!</v>
      </c>
      <c r="AV177" s="2" t="e">
        <v>#REF!</v>
      </c>
      <c r="AW177" s="1" t="e">
        <v>#REF!</v>
      </c>
      <c r="AX177" s="1" t="e">
        <v>#REF!</v>
      </c>
      <c r="AY177" s="1" t="e">
        <v>#REF!</v>
      </c>
      <c r="AZ177" s="1" t="e">
        <v>#REF!</v>
      </c>
      <c r="BA177" s="1" t="e">
        <v>#REF!</v>
      </c>
      <c r="BB177" s="1" t="e">
        <v>#REF!</v>
      </c>
    </row>
    <row r="178" spans="2:54" ht="17.5">
      <c r="B178" s="629"/>
      <c r="C178" s="61"/>
      <c r="D178" s="629"/>
      <c r="E178" s="629"/>
      <c r="F178" s="629"/>
      <c r="G178" s="629"/>
      <c r="H178" s="629"/>
      <c r="I178" s="629"/>
      <c r="J178" s="630"/>
      <c r="K178" s="629"/>
      <c r="L178" s="630"/>
      <c r="M178" s="629"/>
      <c r="N178" s="629"/>
      <c r="O178" s="629"/>
      <c r="P178" s="63"/>
      <c r="Q178" s="161"/>
      <c r="AM178" s="1" t="e">
        <v>#REF!</v>
      </c>
      <c r="AN178" s="1" t="e">
        <v>#REF!</v>
      </c>
      <c r="AO178" s="1" t="e">
        <v>#REF!</v>
      </c>
      <c r="AP178" s="1" t="e">
        <v>#REF!</v>
      </c>
      <c r="AQ178" s="1" t="e">
        <v>#REF!</v>
      </c>
      <c r="AR178" s="1" t="e">
        <v>#REF!</v>
      </c>
      <c r="AS178" s="1" t="e">
        <v>#REF!</v>
      </c>
      <c r="AT178" s="2" t="e">
        <v>#REF!</v>
      </c>
      <c r="AU178" s="1" t="e">
        <v>#REF!</v>
      </c>
      <c r="AV178" s="2" t="e">
        <v>#REF!</v>
      </c>
      <c r="AW178" s="1" t="e">
        <v>#REF!</v>
      </c>
      <c r="AX178" s="1" t="e">
        <v>#REF!</v>
      </c>
      <c r="AY178" s="1" t="e">
        <v>#REF!</v>
      </c>
      <c r="AZ178" s="1" t="e">
        <v>#REF!</v>
      </c>
      <c r="BA178" s="1" t="e">
        <v>#REF!</v>
      </c>
      <c r="BB178" s="1" t="e">
        <v>#REF!</v>
      </c>
    </row>
    <row r="179" spans="2:54" ht="17.5">
      <c r="B179" s="629"/>
      <c r="C179" s="61"/>
      <c r="D179" s="629"/>
      <c r="E179" s="629"/>
      <c r="F179" s="629"/>
      <c r="G179" s="629"/>
      <c r="H179" s="629"/>
      <c r="I179" s="629"/>
      <c r="J179" s="630"/>
      <c r="K179" s="629"/>
      <c r="L179" s="630"/>
      <c r="M179" s="629"/>
      <c r="N179" s="629"/>
      <c r="O179" s="629"/>
      <c r="P179" s="63"/>
      <c r="Q179" s="161"/>
      <c r="AM179" s="1" t="e">
        <v>#REF!</v>
      </c>
      <c r="AN179" s="1" t="e">
        <v>#REF!</v>
      </c>
      <c r="AO179" s="1" t="e">
        <v>#REF!</v>
      </c>
      <c r="AP179" s="1" t="e">
        <v>#REF!</v>
      </c>
      <c r="AQ179" s="1" t="e">
        <v>#REF!</v>
      </c>
      <c r="AR179" s="1" t="e">
        <v>#REF!</v>
      </c>
      <c r="AS179" s="1" t="e">
        <v>#REF!</v>
      </c>
      <c r="AT179" s="2" t="e">
        <v>#REF!</v>
      </c>
      <c r="AU179" s="1" t="e">
        <v>#REF!</v>
      </c>
      <c r="AV179" s="2" t="e">
        <v>#REF!</v>
      </c>
      <c r="AW179" s="1" t="e">
        <v>#REF!</v>
      </c>
      <c r="AX179" s="1" t="e">
        <v>#REF!</v>
      </c>
      <c r="AY179" s="1" t="e">
        <v>#REF!</v>
      </c>
      <c r="AZ179" s="1" t="e">
        <v>#REF!</v>
      </c>
      <c r="BA179" s="1" t="e">
        <v>#REF!</v>
      </c>
      <c r="BB179" s="1" t="e">
        <v>#REF!</v>
      </c>
    </row>
    <row r="180" spans="2:54" ht="17.5">
      <c r="B180" s="629"/>
      <c r="C180" s="61"/>
      <c r="D180" s="629"/>
      <c r="E180" s="629"/>
      <c r="F180" s="629"/>
      <c r="G180" s="629"/>
      <c r="H180" s="629"/>
      <c r="I180" s="629"/>
      <c r="J180" s="630"/>
      <c r="K180" s="629"/>
      <c r="L180" s="630"/>
      <c r="M180" s="629"/>
      <c r="N180" s="629"/>
      <c r="O180" s="629"/>
      <c r="P180" s="63"/>
      <c r="Q180" s="161"/>
      <c r="AM180" s="1" t="e">
        <v>#REF!</v>
      </c>
      <c r="AN180" s="1" t="e">
        <v>#REF!</v>
      </c>
      <c r="AO180" s="1" t="e">
        <v>#REF!</v>
      </c>
      <c r="AP180" s="1" t="e">
        <v>#REF!</v>
      </c>
      <c r="AQ180" s="1" t="e">
        <v>#REF!</v>
      </c>
      <c r="AR180" s="1" t="e">
        <v>#REF!</v>
      </c>
      <c r="AS180" s="1" t="e">
        <v>#REF!</v>
      </c>
      <c r="AT180" s="2" t="e">
        <v>#REF!</v>
      </c>
      <c r="AU180" s="1" t="e">
        <v>#REF!</v>
      </c>
      <c r="AV180" s="2" t="e">
        <v>#REF!</v>
      </c>
      <c r="AW180" s="1" t="e">
        <v>#REF!</v>
      </c>
      <c r="AX180" s="1" t="e">
        <v>#REF!</v>
      </c>
      <c r="AY180" s="1" t="e">
        <v>#REF!</v>
      </c>
      <c r="AZ180" s="1" t="e">
        <v>#REF!</v>
      </c>
      <c r="BA180" s="1" t="e">
        <v>#REF!</v>
      </c>
      <c r="BB180" s="1" t="e">
        <v>#REF!</v>
      </c>
    </row>
    <row r="181" spans="2:54" ht="17.5">
      <c r="B181" s="629"/>
      <c r="C181" s="61"/>
      <c r="D181" s="629"/>
      <c r="E181" s="629"/>
      <c r="F181" s="629"/>
      <c r="G181" s="629"/>
      <c r="H181" s="629"/>
      <c r="I181" s="629"/>
      <c r="J181" s="630"/>
      <c r="K181" s="629"/>
      <c r="L181" s="630"/>
      <c r="M181" s="629"/>
      <c r="N181" s="629"/>
      <c r="O181" s="629"/>
      <c r="P181" s="63"/>
      <c r="Q181" s="161"/>
      <c r="AM181" s="1" t="e">
        <v>#REF!</v>
      </c>
      <c r="AN181" s="1" t="e">
        <v>#REF!</v>
      </c>
      <c r="AO181" s="1" t="e">
        <v>#REF!</v>
      </c>
      <c r="AP181" s="1" t="e">
        <v>#REF!</v>
      </c>
      <c r="AQ181" s="1" t="e">
        <v>#REF!</v>
      </c>
      <c r="AR181" s="1" t="e">
        <v>#REF!</v>
      </c>
      <c r="AS181" s="1" t="e">
        <v>#REF!</v>
      </c>
      <c r="AT181" s="2" t="e">
        <v>#REF!</v>
      </c>
      <c r="AU181" s="1" t="e">
        <v>#REF!</v>
      </c>
      <c r="AV181" s="2" t="e">
        <v>#REF!</v>
      </c>
      <c r="AW181" s="1" t="e">
        <v>#REF!</v>
      </c>
      <c r="AX181" s="1" t="e">
        <v>#REF!</v>
      </c>
      <c r="AY181" s="1" t="e">
        <v>#REF!</v>
      </c>
      <c r="AZ181" s="1" t="e">
        <v>#REF!</v>
      </c>
      <c r="BA181" s="1" t="e">
        <v>#REF!</v>
      </c>
      <c r="BB181" s="1" t="e">
        <v>#REF!</v>
      </c>
    </row>
    <row r="182" spans="2:54" ht="17.5">
      <c r="B182" s="629"/>
      <c r="C182" s="61"/>
      <c r="D182" s="629"/>
      <c r="E182" s="629"/>
      <c r="F182" s="629"/>
      <c r="G182" s="629"/>
      <c r="H182" s="629"/>
      <c r="I182" s="629"/>
      <c r="J182" s="630"/>
      <c r="K182" s="629"/>
      <c r="L182" s="630"/>
      <c r="M182" s="629"/>
      <c r="N182" s="629"/>
      <c r="O182" s="629"/>
      <c r="P182" s="63"/>
      <c r="Q182" s="161"/>
      <c r="AM182" s="1" t="e">
        <v>#REF!</v>
      </c>
      <c r="AN182" s="1" t="e">
        <v>#REF!</v>
      </c>
      <c r="AO182" s="1" t="e">
        <v>#REF!</v>
      </c>
      <c r="AP182" s="1" t="e">
        <v>#REF!</v>
      </c>
      <c r="AQ182" s="1" t="e">
        <v>#REF!</v>
      </c>
      <c r="AR182" s="1" t="e">
        <v>#REF!</v>
      </c>
      <c r="AS182" s="1" t="e">
        <v>#REF!</v>
      </c>
      <c r="AT182" s="2" t="e">
        <v>#REF!</v>
      </c>
      <c r="AU182" s="1" t="e">
        <v>#REF!</v>
      </c>
      <c r="AV182" s="2" t="e">
        <v>#REF!</v>
      </c>
      <c r="AW182" s="1" t="e">
        <v>#REF!</v>
      </c>
      <c r="AX182" s="1" t="e">
        <v>#REF!</v>
      </c>
      <c r="AY182" s="1" t="e">
        <v>#REF!</v>
      </c>
      <c r="AZ182" s="1" t="e">
        <v>#REF!</v>
      </c>
      <c r="BA182" s="1" t="e">
        <v>#REF!</v>
      </c>
      <c r="BB182" s="1" t="e">
        <v>#REF!</v>
      </c>
    </row>
    <row r="183" spans="2:54" ht="17.5">
      <c r="B183" s="629"/>
      <c r="C183" s="61"/>
      <c r="D183" s="629"/>
      <c r="E183" s="629"/>
      <c r="F183" s="629"/>
      <c r="G183" s="629"/>
      <c r="H183" s="629"/>
      <c r="I183" s="629"/>
      <c r="J183" s="630"/>
      <c r="K183" s="629"/>
      <c r="L183" s="630"/>
      <c r="M183" s="629"/>
      <c r="N183" s="629"/>
      <c r="O183" s="629"/>
      <c r="P183" s="63"/>
      <c r="Q183" s="161"/>
      <c r="AM183" s="1" t="e">
        <v>#REF!</v>
      </c>
      <c r="AN183" s="1" t="e">
        <v>#REF!</v>
      </c>
      <c r="AO183" s="1" t="e">
        <v>#REF!</v>
      </c>
      <c r="AP183" s="1" t="e">
        <v>#REF!</v>
      </c>
      <c r="AQ183" s="1" t="e">
        <v>#REF!</v>
      </c>
      <c r="AR183" s="1" t="e">
        <v>#REF!</v>
      </c>
      <c r="AS183" s="1" t="e">
        <v>#REF!</v>
      </c>
      <c r="AT183" s="2" t="e">
        <v>#REF!</v>
      </c>
      <c r="AU183" s="1" t="e">
        <v>#REF!</v>
      </c>
      <c r="AV183" s="2" t="e">
        <v>#REF!</v>
      </c>
      <c r="AW183" s="1" t="e">
        <v>#REF!</v>
      </c>
      <c r="AX183" s="1" t="e">
        <v>#REF!</v>
      </c>
      <c r="AY183" s="1" t="e">
        <v>#REF!</v>
      </c>
      <c r="AZ183" s="1" t="e">
        <v>#REF!</v>
      </c>
      <c r="BA183" s="1" t="e">
        <v>#REF!</v>
      </c>
      <c r="BB183" s="1" t="e">
        <v>#REF!</v>
      </c>
    </row>
    <row r="184" spans="2:54" ht="17.5">
      <c r="B184" s="629"/>
      <c r="C184" s="61"/>
      <c r="D184" s="629"/>
      <c r="E184" s="629"/>
      <c r="F184" s="629"/>
      <c r="G184" s="629"/>
      <c r="H184" s="629"/>
      <c r="I184" s="629"/>
      <c r="J184" s="630"/>
      <c r="K184" s="629"/>
      <c r="L184" s="630"/>
      <c r="M184" s="629"/>
      <c r="N184" s="629"/>
      <c r="O184" s="629"/>
      <c r="P184" s="63"/>
      <c r="Q184" s="161"/>
      <c r="AM184" s="1" t="e">
        <v>#REF!</v>
      </c>
      <c r="AN184" s="1" t="e">
        <v>#REF!</v>
      </c>
      <c r="AO184" s="1" t="e">
        <v>#REF!</v>
      </c>
      <c r="AP184" s="1" t="e">
        <v>#REF!</v>
      </c>
      <c r="AQ184" s="1" t="e">
        <v>#REF!</v>
      </c>
      <c r="AR184" s="1" t="e">
        <v>#REF!</v>
      </c>
      <c r="AS184" s="1" t="e">
        <v>#REF!</v>
      </c>
      <c r="AT184" s="2" t="e">
        <v>#REF!</v>
      </c>
      <c r="AU184" s="1" t="e">
        <v>#REF!</v>
      </c>
      <c r="AV184" s="2" t="e">
        <v>#REF!</v>
      </c>
      <c r="AW184" s="1" t="e">
        <v>#REF!</v>
      </c>
      <c r="AX184" s="1" t="e">
        <v>#REF!</v>
      </c>
      <c r="AY184" s="1" t="e">
        <v>#REF!</v>
      </c>
      <c r="AZ184" s="1" t="e">
        <v>#REF!</v>
      </c>
      <c r="BA184" s="1" t="e">
        <v>#REF!</v>
      </c>
      <c r="BB184" s="1" t="e">
        <v>#REF!</v>
      </c>
    </row>
    <row r="185" spans="2:54" ht="17.5">
      <c r="B185" s="629"/>
      <c r="C185" s="61"/>
      <c r="D185" s="629"/>
      <c r="E185" s="629"/>
      <c r="F185" s="629"/>
      <c r="G185" s="629"/>
      <c r="H185" s="629"/>
      <c r="I185" s="629"/>
      <c r="J185" s="630"/>
      <c r="K185" s="629"/>
      <c r="L185" s="630"/>
      <c r="M185" s="629"/>
      <c r="N185" s="629"/>
      <c r="O185" s="629"/>
      <c r="P185" s="63"/>
      <c r="Q185" s="161"/>
      <c r="AM185" s="1" t="e">
        <v>#REF!</v>
      </c>
      <c r="AN185" s="1" t="e">
        <v>#REF!</v>
      </c>
      <c r="AO185" s="1" t="e">
        <v>#REF!</v>
      </c>
      <c r="AP185" s="1" t="e">
        <v>#REF!</v>
      </c>
      <c r="AQ185" s="1" t="e">
        <v>#REF!</v>
      </c>
      <c r="AR185" s="1" t="e">
        <v>#REF!</v>
      </c>
      <c r="AS185" s="1" t="e">
        <v>#REF!</v>
      </c>
      <c r="AT185" s="2" t="e">
        <v>#REF!</v>
      </c>
      <c r="AU185" s="1" t="e">
        <v>#REF!</v>
      </c>
      <c r="AV185" s="2" t="e">
        <v>#REF!</v>
      </c>
      <c r="AW185" s="1" t="e">
        <v>#REF!</v>
      </c>
      <c r="AX185" s="1" t="e">
        <v>#REF!</v>
      </c>
      <c r="AY185" s="1" t="e">
        <v>#REF!</v>
      </c>
      <c r="AZ185" s="1" t="e">
        <v>#REF!</v>
      </c>
      <c r="BA185" s="1" t="e">
        <v>#REF!</v>
      </c>
      <c r="BB185" s="1" t="e">
        <v>#REF!</v>
      </c>
    </row>
    <row r="186" spans="2:54" ht="17.5">
      <c r="B186" s="629"/>
      <c r="C186" s="61"/>
      <c r="D186" s="629"/>
      <c r="E186" s="629"/>
      <c r="F186" s="629"/>
      <c r="G186" s="629"/>
      <c r="H186" s="629"/>
      <c r="I186" s="629"/>
      <c r="J186" s="630"/>
      <c r="K186" s="629"/>
      <c r="L186" s="630"/>
      <c r="M186" s="629"/>
      <c r="N186" s="629"/>
      <c r="O186" s="629"/>
      <c r="P186" s="63"/>
      <c r="Q186" s="161"/>
      <c r="AM186" s="1" t="e">
        <v>#REF!</v>
      </c>
      <c r="AN186" s="1" t="e">
        <v>#REF!</v>
      </c>
      <c r="AO186" s="1" t="e">
        <v>#REF!</v>
      </c>
      <c r="AP186" s="1" t="e">
        <v>#REF!</v>
      </c>
      <c r="AQ186" s="1" t="e">
        <v>#REF!</v>
      </c>
      <c r="AR186" s="1" t="e">
        <v>#REF!</v>
      </c>
      <c r="AS186" s="1" t="e">
        <v>#REF!</v>
      </c>
      <c r="AT186" s="2" t="e">
        <v>#REF!</v>
      </c>
      <c r="AU186" s="1" t="e">
        <v>#REF!</v>
      </c>
      <c r="AV186" s="2" t="e">
        <v>#REF!</v>
      </c>
      <c r="AW186" s="1" t="e">
        <v>#REF!</v>
      </c>
      <c r="AX186" s="1" t="e">
        <v>#REF!</v>
      </c>
      <c r="AY186" s="1" t="e">
        <v>#REF!</v>
      </c>
      <c r="AZ186" s="1" t="e">
        <v>#REF!</v>
      </c>
      <c r="BA186" s="1" t="e">
        <v>#REF!</v>
      </c>
      <c r="BB186" s="1" t="e">
        <v>#REF!</v>
      </c>
    </row>
    <row r="187" spans="2:54" ht="17.5">
      <c r="B187" s="629"/>
      <c r="C187" s="61"/>
      <c r="D187" s="629"/>
      <c r="E187" s="629"/>
      <c r="F187" s="629"/>
      <c r="G187" s="629"/>
      <c r="H187" s="629"/>
      <c r="I187" s="629"/>
      <c r="J187" s="630"/>
      <c r="K187" s="629"/>
      <c r="L187" s="630"/>
      <c r="M187" s="629"/>
      <c r="N187" s="629"/>
      <c r="O187" s="629"/>
      <c r="P187" s="63"/>
      <c r="Q187" s="161"/>
      <c r="AM187" s="1" t="e">
        <v>#REF!</v>
      </c>
      <c r="AN187" s="1" t="e">
        <v>#REF!</v>
      </c>
      <c r="AO187" s="1" t="e">
        <v>#REF!</v>
      </c>
      <c r="AP187" s="1" t="e">
        <v>#REF!</v>
      </c>
      <c r="AQ187" s="1" t="e">
        <v>#REF!</v>
      </c>
      <c r="AR187" s="1" t="e">
        <v>#REF!</v>
      </c>
      <c r="AS187" s="1" t="e">
        <v>#REF!</v>
      </c>
      <c r="AT187" s="2" t="e">
        <v>#REF!</v>
      </c>
      <c r="AU187" s="1" t="e">
        <v>#REF!</v>
      </c>
      <c r="AV187" s="2" t="e">
        <v>#REF!</v>
      </c>
      <c r="AW187" s="1" t="e">
        <v>#REF!</v>
      </c>
      <c r="AX187" s="1" t="e">
        <v>#REF!</v>
      </c>
      <c r="AY187" s="1" t="e">
        <v>#REF!</v>
      </c>
      <c r="AZ187" s="1" t="e">
        <v>#REF!</v>
      </c>
      <c r="BA187" s="1" t="e">
        <v>#REF!</v>
      </c>
      <c r="BB187" s="1" t="e">
        <v>#REF!</v>
      </c>
    </row>
    <row r="188" spans="2:54" ht="17.5">
      <c r="B188" s="629"/>
      <c r="C188" s="61"/>
      <c r="D188" s="629"/>
      <c r="E188" s="629"/>
      <c r="F188" s="629"/>
      <c r="G188" s="629"/>
      <c r="H188" s="629"/>
      <c r="I188" s="629"/>
      <c r="J188" s="630"/>
      <c r="K188" s="629"/>
      <c r="L188" s="630"/>
      <c r="M188" s="629"/>
      <c r="N188" s="629"/>
      <c r="O188" s="629"/>
      <c r="P188" s="63"/>
      <c r="Q188" s="161"/>
      <c r="AM188" s="1" t="e">
        <v>#REF!</v>
      </c>
      <c r="AN188" s="1" t="e">
        <v>#REF!</v>
      </c>
      <c r="AO188" s="1" t="e">
        <v>#REF!</v>
      </c>
      <c r="AP188" s="1" t="e">
        <v>#REF!</v>
      </c>
      <c r="AQ188" s="1" t="e">
        <v>#REF!</v>
      </c>
      <c r="AR188" s="1" t="e">
        <v>#REF!</v>
      </c>
      <c r="AS188" s="1" t="e">
        <v>#REF!</v>
      </c>
      <c r="AT188" s="2" t="e">
        <v>#REF!</v>
      </c>
      <c r="AU188" s="1" t="e">
        <v>#REF!</v>
      </c>
      <c r="AV188" s="2" t="e">
        <v>#REF!</v>
      </c>
      <c r="AW188" s="1" t="e">
        <v>#REF!</v>
      </c>
      <c r="AX188" s="1" t="e">
        <v>#REF!</v>
      </c>
      <c r="AY188" s="1" t="e">
        <v>#REF!</v>
      </c>
      <c r="AZ188" s="1" t="e">
        <v>#REF!</v>
      </c>
      <c r="BA188" s="1" t="e">
        <v>#REF!</v>
      </c>
      <c r="BB188" s="1" t="e">
        <v>#REF!</v>
      </c>
    </row>
    <row r="189" spans="2:54" ht="17.5">
      <c r="B189" s="629"/>
      <c r="C189" s="61"/>
      <c r="D189" s="629"/>
      <c r="E189" s="629"/>
      <c r="F189" s="629"/>
      <c r="G189" s="629"/>
      <c r="H189" s="629"/>
      <c r="I189" s="629"/>
      <c r="J189" s="630"/>
      <c r="K189" s="629"/>
      <c r="L189" s="630"/>
      <c r="M189" s="629"/>
      <c r="N189" s="629"/>
      <c r="O189" s="629"/>
      <c r="P189" s="63"/>
      <c r="Q189" s="161"/>
      <c r="AM189" s="1" t="e">
        <v>#REF!</v>
      </c>
      <c r="AN189" s="1" t="e">
        <v>#REF!</v>
      </c>
      <c r="AO189" s="1" t="e">
        <v>#REF!</v>
      </c>
      <c r="AP189" s="1" t="e">
        <v>#REF!</v>
      </c>
      <c r="AQ189" s="1" t="e">
        <v>#REF!</v>
      </c>
      <c r="AR189" s="1" t="e">
        <v>#REF!</v>
      </c>
      <c r="AS189" s="1" t="e">
        <v>#REF!</v>
      </c>
      <c r="AT189" s="2" t="e">
        <v>#REF!</v>
      </c>
      <c r="AU189" s="1" t="e">
        <v>#REF!</v>
      </c>
      <c r="AV189" s="2" t="e">
        <v>#REF!</v>
      </c>
      <c r="AW189" s="1" t="e">
        <v>#REF!</v>
      </c>
      <c r="AX189" s="1" t="e">
        <v>#REF!</v>
      </c>
      <c r="AY189" s="1" t="e">
        <v>#REF!</v>
      </c>
      <c r="AZ189" s="1" t="e">
        <v>#REF!</v>
      </c>
      <c r="BA189" s="1" t="e">
        <v>#REF!</v>
      </c>
      <c r="BB189" s="1" t="e">
        <v>#REF!</v>
      </c>
    </row>
    <row r="190" spans="2:54" ht="17.5">
      <c r="B190" s="629"/>
      <c r="C190" s="61"/>
      <c r="D190" s="629"/>
      <c r="E190" s="629"/>
      <c r="F190" s="629"/>
      <c r="G190" s="629"/>
      <c r="H190" s="629"/>
      <c r="I190" s="629"/>
      <c r="J190" s="630"/>
      <c r="K190" s="629"/>
      <c r="L190" s="630"/>
      <c r="M190" s="629"/>
      <c r="N190" s="629"/>
      <c r="O190" s="629"/>
      <c r="P190" s="63"/>
      <c r="Q190" s="161"/>
      <c r="AM190" s="1" t="e">
        <v>#REF!</v>
      </c>
      <c r="AN190" s="1" t="e">
        <v>#REF!</v>
      </c>
      <c r="AO190" s="1" t="e">
        <v>#REF!</v>
      </c>
      <c r="AP190" s="1" t="e">
        <v>#REF!</v>
      </c>
      <c r="AQ190" s="1" t="e">
        <v>#REF!</v>
      </c>
      <c r="AR190" s="1" t="e">
        <v>#REF!</v>
      </c>
      <c r="AS190" s="1" t="e">
        <v>#REF!</v>
      </c>
      <c r="AT190" s="2" t="e">
        <v>#REF!</v>
      </c>
      <c r="AU190" s="1" t="e">
        <v>#REF!</v>
      </c>
      <c r="AV190" s="2" t="e">
        <v>#REF!</v>
      </c>
      <c r="AW190" s="1" t="e">
        <v>#REF!</v>
      </c>
      <c r="AX190" s="1" t="e">
        <v>#REF!</v>
      </c>
      <c r="AY190" s="1" t="e">
        <v>#REF!</v>
      </c>
      <c r="AZ190" s="1" t="e">
        <v>#REF!</v>
      </c>
      <c r="BA190" s="1" t="e">
        <v>#REF!</v>
      </c>
      <c r="BB190" s="1" t="e">
        <v>#REF!</v>
      </c>
    </row>
    <row r="191" spans="2:54" ht="17.5">
      <c r="B191" s="629"/>
      <c r="C191" s="61"/>
      <c r="D191" s="629"/>
      <c r="E191" s="629"/>
      <c r="F191" s="629"/>
      <c r="G191" s="629"/>
      <c r="H191" s="629"/>
      <c r="I191" s="629"/>
      <c r="J191" s="630"/>
      <c r="K191" s="629"/>
      <c r="L191" s="630"/>
      <c r="M191" s="629"/>
      <c r="N191" s="629"/>
      <c r="O191" s="629"/>
      <c r="P191" s="63"/>
      <c r="Q191" s="161"/>
      <c r="AM191" s="1" t="e">
        <v>#REF!</v>
      </c>
      <c r="AN191" s="1" t="e">
        <v>#REF!</v>
      </c>
      <c r="AO191" s="1" t="e">
        <v>#REF!</v>
      </c>
      <c r="AP191" s="1" t="e">
        <v>#REF!</v>
      </c>
      <c r="AQ191" s="1" t="e">
        <v>#REF!</v>
      </c>
      <c r="AR191" s="1" t="e">
        <v>#REF!</v>
      </c>
      <c r="AS191" s="1" t="e">
        <v>#REF!</v>
      </c>
      <c r="AT191" s="2" t="e">
        <v>#REF!</v>
      </c>
      <c r="AU191" s="1" t="e">
        <v>#REF!</v>
      </c>
      <c r="AV191" s="2" t="e">
        <v>#REF!</v>
      </c>
      <c r="AW191" s="1" t="e">
        <v>#REF!</v>
      </c>
      <c r="AX191" s="1" t="e">
        <v>#REF!</v>
      </c>
      <c r="AY191" s="1" t="e">
        <v>#REF!</v>
      </c>
      <c r="AZ191" s="1" t="e">
        <v>#REF!</v>
      </c>
      <c r="BA191" s="1" t="e">
        <v>#REF!</v>
      </c>
      <c r="BB191" s="1" t="e">
        <v>#REF!</v>
      </c>
    </row>
    <row r="192" spans="2:54" ht="17.5">
      <c r="B192" s="629"/>
      <c r="C192" s="61"/>
      <c r="D192" s="629"/>
      <c r="E192" s="161"/>
      <c r="F192" s="629"/>
      <c r="G192" s="629"/>
      <c r="H192" s="629"/>
      <c r="I192" s="629"/>
      <c r="J192" s="630"/>
      <c r="K192" s="629"/>
      <c r="L192" s="630"/>
      <c r="M192" s="629"/>
      <c r="N192" s="629"/>
      <c r="O192" s="629"/>
      <c r="P192" s="63"/>
      <c r="Q192" s="161"/>
      <c r="AM192" s="1" t="e">
        <v>#REF!</v>
      </c>
      <c r="AN192" s="1" t="e">
        <v>#REF!</v>
      </c>
      <c r="AO192" s="1" t="e">
        <v>#REF!</v>
      </c>
      <c r="AP192" s="1" t="e">
        <v>#REF!</v>
      </c>
      <c r="AQ192" s="1" t="e">
        <v>#REF!</v>
      </c>
      <c r="AR192" s="1" t="e">
        <v>#REF!</v>
      </c>
      <c r="AS192" s="1" t="e">
        <v>#REF!</v>
      </c>
      <c r="AT192" s="2" t="e">
        <v>#REF!</v>
      </c>
      <c r="AU192" s="1" t="e">
        <v>#REF!</v>
      </c>
      <c r="AV192" s="2" t="e">
        <v>#REF!</v>
      </c>
      <c r="AW192" s="1" t="e">
        <v>#REF!</v>
      </c>
      <c r="AX192" s="1" t="e">
        <v>#REF!</v>
      </c>
      <c r="AY192" s="1" t="e">
        <v>#REF!</v>
      </c>
      <c r="AZ192" s="1" t="e">
        <v>#REF!</v>
      </c>
      <c r="BA192" s="1" t="e">
        <v>#REF!</v>
      </c>
      <c r="BB192" s="1" t="e">
        <v>#REF!</v>
      </c>
    </row>
    <row r="193" spans="2:54" ht="17.5">
      <c r="B193" s="629"/>
      <c r="C193" s="61"/>
      <c r="D193" s="629"/>
      <c r="E193" s="629"/>
      <c r="F193" s="629"/>
      <c r="G193" s="629"/>
      <c r="H193" s="629"/>
      <c r="I193" s="629"/>
      <c r="J193" s="630"/>
      <c r="K193" s="629"/>
      <c r="L193" s="630"/>
      <c r="M193" s="629"/>
      <c r="N193" s="629"/>
      <c r="O193" s="629"/>
      <c r="P193" s="63"/>
      <c r="Q193" s="161"/>
      <c r="AM193" s="1" t="e">
        <v>#REF!</v>
      </c>
      <c r="AN193" s="1" t="e">
        <v>#REF!</v>
      </c>
      <c r="AO193" s="1" t="e">
        <v>#REF!</v>
      </c>
      <c r="AP193" s="1" t="e">
        <v>#REF!</v>
      </c>
      <c r="AQ193" s="1" t="e">
        <v>#REF!</v>
      </c>
      <c r="AR193" s="1" t="e">
        <v>#REF!</v>
      </c>
      <c r="AS193" s="1" t="e">
        <v>#REF!</v>
      </c>
      <c r="AT193" s="2" t="e">
        <v>#REF!</v>
      </c>
      <c r="AU193" s="1" t="e">
        <v>#REF!</v>
      </c>
      <c r="AV193" s="2" t="e">
        <v>#REF!</v>
      </c>
      <c r="AW193" s="1" t="e">
        <v>#REF!</v>
      </c>
      <c r="AX193" s="1" t="e">
        <v>#REF!</v>
      </c>
      <c r="AY193" s="1" t="e">
        <v>#REF!</v>
      </c>
      <c r="AZ193" s="1" t="e">
        <v>#REF!</v>
      </c>
      <c r="BA193" s="1" t="e">
        <v>#REF!</v>
      </c>
      <c r="BB193" s="1" t="e">
        <v>#REF!</v>
      </c>
    </row>
    <row r="194" spans="2:54" ht="20">
      <c r="B194" s="629"/>
      <c r="C194" s="61"/>
      <c r="D194" s="629"/>
      <c r="E194" s="633"/>
      <c r="F194" s="629"/>
      <c r="G194" s="629"/>
      <c r="H194" s="629"/>
      <c r="I194" s="629"/>
      <c r="J194" s="630"/>
      <c r="K194" s="629"/>
      <c r="L194" s="630"/>
      <c r="M194" s="629"/>
      <c r="N194" s="629"/>
      <c r="O194" s="629"/>
      <c r="P194" s="63"/>
      <c r="Q194" s="161"/>
      <c r="AM194" s="1" t="e">
        <v>#REF!</v>
      </c>
      <c r="AN194" s="1" t="e">
        <v>#REF!</v>
      </c>
      <c r="AO194" s="1" t="e">
        <v>#REF!</v>
      </c>
      <c r="AP194" s="1" t="e">
        <v>#REF!</v>
      </c>
      <c r="AQ194" s="1" t="e">
        <v>#REF!</v>
      </c>
      <c r="AR194" s="1" t="e">
        <v>#REF!</v>
      </c>
      <c r="AS194" s="1" t="e">
        <v>#REF!</v>
      </c>
      <c r="AT194" s="2" t="e">
        <v>#REF!</v>
      </c>
      <c r="AU194" s="1" t="e">
        <v>#REF!</v>
      </c>
      <c r="AV194" s="2" t="e">
        <v>#REF!</v>
      </c>
      <c r="AW194" s="1" t="e">
        <v>#REF!</v>
      </c>
      <c r="AX194" s="1" t="e">
        <v>#REF!</v>
      </c>
      <c r="AY194" s="1" t="e">
        <v>#REF!</v>
      </c>
      <c r="AZ194" s="1" t="e">
        <v>#REF!</v>
      </c>
      <c r="BA194" s="1" t="e">
        <v>#REF!</v>
      </c>
      <c r="BB194" s="1" t="e">
        <v>#REF!</v>
      </c>
    </row>
    <row r="195" spans="2:54" ht="17.5">
      <c r="B195" s="629"/>
      <c r="C195" s="61"/>
      <c r="D195" s="629"/>
      <c r="E195" s="629"/>
      <c r="F195" s="629"/>
      <c r="G195" s="629"/>
      <c r="H195" s="629"/>
      <c r="I195" s="629"/>
      <c r="J195" s="630"/>
      <c r="K195" s="629"/>
      <c r="L195" s="630"/>
      <c r="M195" s="629"/>
      <c r="N195" s="629"/>
      <c r="O195" s="629"/>
      <c r="P195" s="63"/>
      <c r="Q195" s="161"/>
      <c r="AM195" s="1" t="e">
        <v>#REF!</v>
      </c>
      <c r="AN195" s="1" t="e">
        <v>#REF!</v>
      </c>
      <c r="AO195" s="1" t="e">
        <v>#REF!</v>
      </c>
      <c r="AP195" s="1" t="e">
        <v>#REF!</v>
      </c>
      <c r="AQ195" s="1" t="e">
        <v>#REF!</v>
      </c>
      <c r="AR195" s="1" t="e">
        <v>#REF!</v>
      </c>
      <c r="AS195" s="1" t="e">
        <v>#REF!</v>
      </c>
      <c r="AT195" s="2" t="e">
        <v>#REF!</v>
      </c>
      <c r="AU195" s="1" t="e">
        <v>#REF!</v>
      </c>
      <c r="AV195" s="2" t="e">
        <v>#REF!</v>
      </c>
      <c r="AW195" s="1" t="e">
        <v>#REF!</v>
      </c>
      <c r="AX195" s="1" t="e">
        <v>#REF!</v>
      </c>
      <c r="AY195" s="1" t="e">
        <v>#REF!</v>
      </c>
      <c r="AZ195" s="1" t="e">
        <v>#REF!</v>
      </c>
      <c r="BA195" s="1" t="e">
        <v>#REF!</v>
      </c>
      <c r="BB195" s="1" t="e">
        <v>#REF!</v>
      </c>
    </row>
    <row r="196" spans="2:54" ht="17.5">
      <c r="B196" s="629"/>
      <c r="C196" s="61"/>
      <c r="D196" s="629"/>
      <c r="E196" s="629"/>
      <c r="F196" s="629"/>
      <c r="G196" s="629"/>
      <c r="H196" s="629"/>
      <c r="I196" s="629"/>
      <c r="J196" s="630"/>
      <c r="K196" s="629"/>
      <c r="L196" s="630"/>
      <c r="M196" s="629"/>
      <c r="N196" s="629"/>
      <c r="O196" s="629"/>
      <c r="P196" s="63"/>
      <c r="Q196" s="161"/>
      <c r="AM196" s="1" t="e">
        <v>#REF!</v>
      </c>
      <c r="AN196" s="1" t="e">
        <v>#REF!</v>
      </c>
      <c r="AO196" s="1" t="e">
        <v>#REF!</v>
      </c>
      <c r="AP196" s="1" t="e">
        <v>#REF!</v>
      </c>
      <c r="AQ196" s="1" t="e">
        <v>#REF!</v>
      </c>
      <c r="AR196" s="1" t="e">
        <v>#REF!</v>
      </c>
      <c r="AS196" s="1" t="e">
        <v>#REF!</v>
      </c>
      <c r="AT196" s="2" t="e">
        <v>#REF!</v>
      </c>
      <c r="AU196" s="1" t="e">
        <v>#REF!</v>
      </c>
      <c r="AV196" s="2" t="e">
        <v>#REF!</v>
      </c>
      <c r="AW196" s="1" t="e">
        <v>#REF!</v>
      </c>
      <c r="AX196" s="1" t="e">
        <v>#REF!</v>
      </c>
      <c r="AY196" s="1" t="e">
        <v>#REF!</v>
      </c>
      <c r="AZ196" s="1" t="e">
        <v>#REF!</v>
      </c>
      <c r="BA196" s="1" t="e">
        <v>#REF!</v>
      </c>
      <c r="BB196" s="1" t="e">
        <v>#REF!</v>
      </c>
    </row>
    <row r="197" spans="2:54" ht="17.5">
      <c r="B197" s="629"/>
      <c r="C197" s="61"/>
      <c r="D197" s="629"/>
      <c r="E197" s="629"/>
      <c r="F197" s="629"/>
      <c r="G197" s="629"/>
      <c r="H197" s="629"/>
      <c r="I197" s="629"/>
      <c r="J197" s="630"/>
      <c r="K197" s="629"/>
      <c r="L197" s="630"/>
      <c r="M197" s="629"/>
      <c r="N197" s="629"/>
      <c r="O197" s="629"/>
      <c r="P197" s="63"/>
      <c r="Q197" s="161"/>
      <c r="AM197" s="1" t="e">
        <v>#REF!</v>
      </c>
      <c r="AN197" s="1" t="e">
        <v>#REF!</v>
      </c>
      <c r="AO197" s="1" t="e">
        <v>#REF!</v>
      </c>
      <c r="AP197" s="1" t="e">
        <v>#REF!</v>
      </c>
      <c r="AQ197" s="1" t="e">
        <v>#REF!</v>
      </c>
      <c r="AR197" s="1" t="e">
        <v>#REF!</v>
      </c>
      <c r="AS197" s="1" t="e">
        <v>#REF!</v>
      </c>
      <c r="AT197" s="2" t="e">
        <v>#REF!</v>
      </c>
      <c r="AU197" s="1" t="e">
        <v>#REF!</v>
      </c>
      <c r="AV197" s="2" t="e">
        <v>#REF!</v>
      </c>
      <c r="AW197" s="1" t="e">
        <v>#REF!</v>
      </c>
      <c r="AX197" s="1" t="e">
        <v>#REF!</v>
      </c>
      <c r="AY197" s="1" t="e">
        <v>#REF!</v>
      </c>
      <c r="AZ197" s="1" t="e">
        <v>#REF!</v>
      </c>
      <c r="BA197" s="1" t="e">
        <v>#REF!</v>
      </c>
      <c r="BB197" s="1" t="e">
        <v>#REF!</v>
      </c>
    </row>
    <row r="198" spans="2:54" ht="17.5">
      <c r="B198" s="629"/>
      <c r="C198" s="61"/>
      <c r="D198" s="629"/>
      <c r="E198" s="629"/>
      <c r="F198" s="629"/>
      <c r="G198" s="629"/>
      <c r="H198" s="629"/>
      <c r="I198" s="629"/>
      <c r="J198" s="630"/>
      <c r="K198" s="629"/>
      <c r="L198" s="630"/>
      <c r="M198" s="629"/>
      <c r="N198" s="629"/>
      <c r="O198" s="629"/>
      <c r="P198" s="63"/>
      <c r="Q198" s="161"/>
      <c r="AM198" s="1" t="e">
        <v>#REF!</v>
      </c>
      <c r="AN198" s="1" t="e">
        <v>#REF!</v>
      </c>
      <c r="AO198" s="1" t="e">
        <v>#REF!</v>
      </c>
      <c r="AP198" s="1" t="e">
        <v>#REF!</v>
      </c>
      <c r="AQ198" s="1" t="e">
        <v>#REF!</v>
      </c>
      <c r="AR198" s="1" t="e">
        <v>#REF!</v>
      </c>
      <c r="AS198" s="1" t="e">
        <v>#REF!</v>
      </c>
      <c r="AT198" s="2" t="e">
        <v>#REF!</v>
      </c>
      <c r="AU198" s="1" t="e">
        <v>#REF!</v>
      </c>
      <c r="AV198" s="2" t="e">
        <v>#REF!</v>
      </c>
      <c r="AW198" s="1" t="e">
        <v>#REF!</v>
      </c>
      <c r="AX198" s="1" t="e">
        <v>#REF!</v>
      </c>
      <c r="AY198" s="1" t="e">
        <v>#REF!</v>
      </c>
      <c r="AZ198" s="1" t="e">
        <v>#REF!</v>
      </c>
      <c r="BA198" s="1" t="e">
        <v>#REF!</v>
      </c>
      <c r="BB198" s="1" t="e">
        <v>#REF!</v>
      </c>
    </row>
    <row r="199" spans="2:54" ht="17.5">
      <c r="B199" s="629"/>
      <c r="C199" s="61"/>
      <c r="D199" s="629"/>
      <c r="E199" s="629"/>
      <c r="F199" s="629"/>
      <c r="G199" s="629"/>
      <c r="H199" s="629"/>
      <c r="I199" s="629"/>
      <c r="J199" s="630"/>
      <c r="K199" s="629"/>
      <c r="L199" s="630"/>
      <c r="M199" s="629"/>
      <c r="N199" s="629"/>
      <c r="O199" s="629"/>
      <c r="P199" s="63"/>
      <c r="Q199" s="161"/>
      <c r="AM199" s="1" t="e">
        <v>#REF!</v>
      </c>
      <c r="AN199" s="1" t="e">
        <v>#REF!</v>
      </c>
      <c r="AO199" s="1" t="e">
        <v>#REF!</v>
      </c>
      <c r="AP199" s="1" t="e">
        <v>#REF!</v>
      </c>
      <c r="AQ199" s="1" t="e">
        <v>#REF!</v>
      </c>
      <c r="AR199" s="1" t="e">
        <v>#REF!</v>
      </c>
      <c r="AS199" s="1" t="e">
        <v>#REF!</v>
      </c>
      <c r="AT199" s="2" t="e">
        <v>#REF!</v>
      </c>
      <c r="AU199" s="1" t="e">
        <v>#REF!</v>
      </c>
      <c r="AV199" s="2" t="e">
        <v>#REF!</v>
      </c>
      <c r="AW199" s="1" t="e">
        <v>#REF!</v>
      </c>
      <c r="AX199" s="1" t="e">
        <v>#REF!</v>
      </c>
      <c r="AY199" s="1" t="e">
        <v>#REF!</v>
      </c>
      <c r="AZ199" s="1" t="e">
        <v>#REF!</v>
      </c>
      <c r="BA199" s="1" t="e">
        <v>#REF!</v>
      </c>
      <c r="BB199" s="1" t="e">
        <v>#REF!</v>
      </c>
    </row>
    <row r="200" spans="2:54" ht="17.5">
      <c r="B200" s="629"/>
      <c r="C200" s="61"/>
      <c r="D200" s="629"/>
      <c r="E200" s="629"/>
      <c r="F200" s="629"/>
      <c r="G200" s="629"/>
      <c r="H200" s="629"/>
      <c r="I200" s="629"/>
      <c r="J200" s="630"/>
      <c r="K200" s="629"/>
      <c r="L200" s="630"/>
      <c r="M200" s="629"/>
      <c r="N200" s="629"/>
      <c r="O200" s="629"/>
      <c r="P200" s="63"/>
      <c r="Q200" s="161"/>
      <c r="AM200" s="1" t="e">
        <v>#REF!</v>
      </c>
      <c r="AN200" s="1" t="e">
        <v>#REF!</v>
      </c>
      <c r="AO200" s="1" t="e">
        <v>#REF!</v>
      </c>
      <c r="AP200" s="1" t="e">
        <v>#REF!</v>
      </c>
      <c r="AQ200" s="1" t="e">
        <v>#REF!</v>
      </c>
      <c r="AR200" s="1" t="e">
        <v>#REF!</v>
      </c>
      <c r="AS200" s="1" t="e">
        <v>#REF!</v>
      </c>
      <c r="AT200" s="2" t="e">
        <v>#REF!</v>
      </c>
      <c r="AU200" s="1" t="e">
        <v>#REF!</v>
      </c>
      <c r="AV200" s="2" t="e">
        <v>#REF!</v>
      </c>
      <c r="AW200" s="1" t="e">
        <v>#REF!</v>
      </c>
      <c r="AX200" s="1" t="e">
        <v>#REF!</v>
      </c>
      <c r="AY200" s="1" t="e">
        <v>#REF!</v>
      </c>
      <c r="AZ200" s="1" t="e">
        <v>#REF!</v>
      </c>
      <c r="BA200" s="1" t="e">
        <v>#REF!</v>
      </c>
      <c r="BB200" s="1" t="e">
        <v>#REF!</v>
      </c>
    </row>
    <row r="201" spans="2:54" ht="17.5">
      <c r="B201" s="629"/>
      <c r="C201" s="61"/>
      <c r="D201" s="629"/>
      <c r="E201" s="131"/>
      <c r="F201" s="131"/>
      <c r="G201" s="131"/>
      <c r="H201" s="131"/>
      <c r="I201" s="131"/>
      <c r="J201" s="132"/>
      <c r="K201" s="629"/>
      <c r="L201" s="132"/>
      <c r="M201" s="629"/>
      <c r="N201" s="629"/>
      <c r="O201" s="131"/>
      <c r="P201" s="133"/>
      <c r="Q201" s="161"/>
      <c r="AM201" s="1" t="e">
        <v>#REF!</v>
      </c>
      <c r="AN201" s="1" t="e">
        <v>#REF!</v>
      </c>
      <c r="AO201" s="1" t="e">
        <v>#REF!</v>
      </c>
      <c r="AP201" s="1" t="e">
        <v>#REF!</v>
      </c>
      <c r="AQ201" s="1" t="e">
        <v>#REF!</v>
      </c>
      <c r="AR201" s="1" t="e">
        <v>#REF!</v>
      </c>
      <c r="AS201" s="1" t="e">
        <v>#REF!</v>
      </c>
      <c r="AT201" s="2" t="e">
        <v>#REF!</v>
      </c>
      <c r="AU201" s="1" t="e">
        <v>#REF!</v>
      </c>
      <c r="AV201" s="2" t="e">
        <v>#REF!</v>
      </c>
      <c r="AW201" s="1" t="e">
        <v>#REF!</v>
      </c>
      <c r="AX201" s="1" t="e">
        <v>#REF!</v>
      </c>
      <c r="AY201" s="1" t="e">
        <v>#REF!</v>
      </c>
      <c r="AZ201" s="1" t="e">
        <v>#REF!</v>
      </c>
      <c r="BA201" s="1" t="e">
        <v>#REF!</v>
      </c>
      <c r="BB201" s="1" t="e">
        <v>#REF!</v>
      </c>
    </row>
    <row r="202" spans="2:54" ht="17.5">
      <c r="B202" s="629"/>
      <c r="C202" s="61"/>
      <c r="D202" s="629"/>
      <c r="E202" s="131"/>
      <c r="F202" s="61"/>
      <c r="G202" s="61"/>
      <c r="H202" s="61"/>
      <c r="I202" s="61"/>
      <c r="J202" s="636"/>
      <c r="K202" s="61"/>
      <c r="L202" s="132"/>
      <c r="M202" s="629"/>
      <c r="N202" s="629"/>
      <c r="O202" s="61"/>
      <c r="P202" s="61"/>
      <c r="Q202" s="161"/>
      <c r="AM202" s="1" t="e">
        <v>#REF!</v>
      </c>
      <c r="AN202" s="1" t="e">
        <v>#REF!</v>
      </c>
      <c r="AO202" s="1" t="e">
        <v>#REF!</v>
      </c>
      <c r="AP202" s="1" t="e">
        <v>#REF!</v>
      </c>
      <c r="AQ202" s="1" t="e">
        <v>#REF!</v>
      </c>
      <c r="AR202" s="1" t="e">
        <v>#REF!</v>
      </c>
      <c r="AS202" s="1" t="e">
        <v>#REF!</v>
      </c>
      <c r="AT202" s="2" t="e">
        <v>#REF!</v>
      </c>
      <c r="AU202" s="1" t="e">
        <v>#REF!</v>
      </c>
      <c r="AV202" s="2" t="e">
        <v>#REF!</v>
      </c>
      <c r="AW202" s="1" t="e">
        <v>#REF!</v>
      </c>
      <c r="AX202" s="1" t="e">
        <v>#REF!</v>
      </c>
      <c r="AY202" s="1" t="e">
        <v>#REF!</v>
      </c>
      <c r="AZ202" s="1" t="e">
        <v>#REF!</v>
      </c>
      <c r="BA202" s="1" t="e">
        <v>#REF!</v>
      </c>
      <c r="BB202" s="1" t="e">
        <v>#REF!</v>
      </c>
    </row>
    <row r="203" spans="2:54" ht="17.5">
      <c r="B203" s="629"/>
      <c r="C203" s="61"/>
      <c r="D203" s="131"/>
      <c r="E203" s="131"/>
      <c r="F203" s="131"/>
      <c r="G203" s="131"/>
      <c r="H203" s="131"/>
      <c r="I203" s="61"/>
      <c r="J203" s="132"/>
      <c r="K203" s="61"/>
      <c r="L203" s="132"/>
      <c r="M203" s="629"/>
      <c r="N203" s="629"/>
      <c r="O203" s="131"/>
      <c r="P203" s="147"/>
      <c r="Q203" s="161"/>
      <c r="AM203" s="1" t="e">
        <v>#REF!</v>
      </c>
      <c r="AN203" s="1" t="e">
        <v>#REF!</v>
      </c>
      <c r="AO203" s="1" t="e">
        <v>#REF!</v>
      </c>
      <c r="AP203" s="1" t="e">
        <v>#REF!</v>
      </c>
      <c r="AQ203" s="1" t="e">
        <v>#REF!</v>
      </c>
      <c r="AR203" s="1" t="e">
        <v>#REF!</v>
      </c>
      <c r="AS203" s="1" t="e">
        <v>#REF!</v>
      </c>
      <c r="AT203" s="2" t="e">
        <v>#REF!</v>
      </c>
      <c r="AU203" s="1" t="e">
        <v>#REF!</v>
      </c>
      <c r="AV203" s="2" t="e">
        <v>#REF!</v>
      </c>
      <c r="AW203" s="1" t="e">
        <v>#REF!</v>
      </c>
      <c r="AX203" s="1" t="e">
        <v>#REF!</v>
      </c>
      <c r="AY203" s="1" t="e">
        <v>#REF!</v>
      </c>
      <c r="AZ203" s="1" t="e">
        <v>#REF!</v>
      </c>
      <c r="BA203" s="1" t="e">
        <v>#REF!</v>
      </c>
      <c r="BB203" s="1" t="e">
        <v>#REF!</v>
      </c>
    </row>
    <row r="204" spans="2:54" ht="17.5">
      <c r="B204" s="629"/>
      <c r="C204" s="61"/>
      <c r="D204" s="131"/>
      <c r="E204" s="629"/>
      <c r="F204" s="629"/>
      <c r="G204" s="629"/>
      <c r="H204" s="629"/>
      <c r="I204" s="61"/>
      <c r="J204" s="132"/>
      <c r="K204" s="61"/>
      <c r="L204" s="630"/>
      <c r="M204" s="629"/>
      <c r="N204" s="629"/>
      <c r="O204" s="629"/>
      <c r="P204" s="63"/>
      <c r="Q204" s="161"/>
      <c r="AM204" s="1" t="e">
        <v>#REF!</v>
      </c>
      <c r="AN204" s="1" t="e">
        <v>#REF!</v>
      </c>
      <c r="AO204" s="1" t="e">
        <v>#REF!</v>
      </c>
      <c r="AP204" s="1" t="e">
        <v>#REF!</v>
      </c>
      <c r="AQ204" s="1" t="e">
        <v>#REF!</v>
      </c>
      <c r="AR204" s="1" t="e">
        <v>#REF!</v>
      </c>
      <c r="AS204" s="1" t="e">
        <v>#REF!</v>
      </c>
      <c r="AT204" s="2" t="e">
        <v>#REF!</v>
      </c>
      <c r="AU204" s="1" t="e">
        <v>#REF!</v>
      </c>
      <c r="AV204" s="2" t="e">
        <v>#REF!</v>
      </c>
      <c r="AW204" s="1" t="e">
        <v>#REF!</v>
      </c>
      <c r="AX204" s="1" t="e">
        <v>#REF!</v>
      </c>
      <c r="AY204" s="1" t="e">
        <v>#REF!</v>
      </c>
      <c r="AZ204" s="1" t="e">
        <v>#REF!</v>
      </c>
      <c r="BA204" s="1" t="e">
        <v>#REF!</v>
      </c>
      <c r="BB204" s="1" t="e">
        <v>#REF!</v>
      </c>
    </row>
    <row r="205" spans="2:54" ht="17.5">
      <c r="B205" s="629"/>
      <c r="C205" s="61"/>
      <c r="D205" s="629"/>
      <c r="E205" s="629"/>
      <c r="F205" s="629"/>
      <c r="G205" s="629"/>
      <c r="H205" s="629"/>
      <c r="I205" s="629"/>
      <c r="J205" s="630"/>
      <c r="K205" s="61"/>
      <c r="L205" s="630"/>
      <c r="M205" s="629"/>
      <c r="N205" s="629"/>
      <c r="O205" s="629"/>
      <c r="P205" s="63"/>
      <c r="Q205" s="161"/>
      <c r="AM205" s="1" t="e">
        <v>#REF!</v>
      </c>
      <c r="AN205" s="1" t="e">
        <v>#REF!</v>
      </c>
      <c r="AO205" s="1" t="e">
        <v>#REF!</v>
      </c>
      <c r="AP205" s="1" t="e">
        <v>#REF!</v>
      </c>
      <c r="AQ205" s="1" t="e">
        <v>#REF!</v>
      </c>
      <c r="AR205" s="1" t="e">
        <v>#REF!</v>
      </c>
      <c r="AS205" s="1" t="e">
        <v>#REF!</v>
      </c>
      <c r="AT205" s="2" t="e">
        <v>#REF!</v>
      </c>
      <c r="AU205" s="1" t="e">
        <v>#REF!</v>
      </c>
      <c r="AV205" s="2" t="e">
        <v>#REF!</v>
      </c>
      <c r="AW205" s="1" t="e">
        <v>#REF!</v>
      </c>
      <c r="AX205" s="1" t="e">
        <v>#REF!</v>
      </c>
      <c r="AY205" s="1" t="e">
        <v>#REF!</v>
      </c>
      <c r="AZ205" s="1" t="e">
        <v>#REF!</v>
      </c>
      <c r="BA205" s="1" t="e">
        <v>#REF!</v>
      </c>
      <c r="BB205" s="1" t="e">
        <v>#REF!</v>
      </c>
    </row>
    <row r="206" spans="2:54" ht="17.5">
      <c r="B206" s="629"/>
      <c r="C206" s="61"/>
      <c r="D206" s="629"/>
      <c r="E206" s="629"/>
      <c r="F206" s="629"/>
      <c r="G206" s="629"/>
      <c r="H206" s="629"/>
      <c r="I206" s="629"/>
      <c r="J206" s="630"/>
      <c r="K206" s="61"/>
      <c r="L206" s="630"/>
      <c r="M206" s="629"/>
      <c r="N206" s="629"/>
      <c r="O206" s="629"/>
      <c r="P206" s="63"/>
      <c r="Q206" s="161"/>
      <c r="AM206" s="1" t="e">
        <v>#REF!</v>
      </c>
      <c r="AN206" s="1" t="e">
        <v>#REF!</v>
      </c>
      <c r="AO206" s="1" t="e">
        <v>#REF!</v>
      </c>
      <c r="AP206" s="1" t="e">
        <v>#REF!</v>
      </c>
      <c r="AQ206" s="1" t="e">
        <v>#REF!</v>
      </c>
      <c r="AR206" s="1" t="e">
        <v>#REF!</v>
      </c>
      <c r="AS206" s="1" t="e">
        <v>#REF!</v>
      </c>
      <c r="AT206" s="2" t="e">
        <v>#REF!</v>
      </c>
      <c r="AU206" s="1" t="e">
        <v>#REF!</v>
      </c>
      <c r="AV206" s="2" t="e">
        <v>#REF!</v>
      </c>
      <c r="AW206" s="1" t="e">
        <v>#REF!</v>
      </c>
      <c r="AX206" s="1" t="e">
        <v>#REF!</v>
      </c>
      <c r="AY206" s="1" t="e">
        <v>#REF!</v>
      </c>
      <c r="AZ206" s="1" t="e">
        <v>#REF!</v>
      </c>
      <c r="BA206" s="1" t="e">
        <v>#REF!</v>
      </c>
      <c r="BB206" s="1" t="e">
        <v>#REF!</v>
      </c>
    </row>
    <row r="207" spans="2:54" ht="17.5">
      <c r="B207" s="629"/>
      <c r="C207" s="61"/>
      <c r="D207" s="629"/>
      <c r="E207" s="629"/>
      <c r="F207" s="629"/>
      <c r="G207" s="629"/>
      <c r="H207" s="629"/>
      <c r="I207" s="629"/>
      <c r="J207" s="630"/>
      <c r="K207" s="61"/>
      <c r="L207" s="630"/>
      <c r="M207" s="629"/>
      <c r="N207" s="629"/>
      <c r="O207" s="629"/>
      <c r="P207" s="63"/>
      <c r="Q207" s="161"/>
      <c r="AM207" s="1" t="e">
        <v>#REF!</v>
      </c>
      <c r="AN207" s="1" t="e">
        <v>#REF!</v>
      </c>
      <c r="AO207" s="1" t="e">
        <v>#REF!</v>
      </c>
      <c r="AP207" s="1" t="e">
        <v>#REF!</v>
      </c>
      <c r="AQ207" s="1" t="e">
        <v>#REF!</v>
      </c>
      <c r="AR207" s="1" t="e">
        <v>#REF!</v>
      </c>
      <c r="AS207" s="1" t="e">
        <v>#REF!</v>
      </c>
      <c r="AT207" s="2" t="e">
        <v>#REF!</v>
      </c>
      <c r="AU207" s="1" t="e">
        <v>#REF!</v>
      </c>
      <c r="AV207" s="2" t="e">
        <v>#REF!</v>
      </c>
      <c r="AW207" s="1" t="e">
        <v>#REF!</v>
      </c>
      <c r="AX207" s="1" t="e">
        <v>#REF!</v>
      </c>
      <c r="AY207" s="1" t="e">
        <v>#REF!</v>
      </c>
      <c r="AZ207" s="1" t="e">
        <v>#REF!</v>
      </c>
      <c r="BA207" s="1" t="e">
        <v>#REF!</v>
      </c>
      <c r="BB207" s="1" t="e">
        <v>#REF!</v>
      </c>
    </row>
    <row r="208" spans="2:54" ht="17.5">
      <c r="B208" s="629"/>
      <c r="C208" s="61"/>
      <c r="D208" s="629"/>
      <c r="E208" s="629"/>
      <c r="F208" s="629"/>
      <c r="G208" s="629"/>
      <c r="H208" s="629"/>
      <c r="I208" s="629"/>
      <c r="J208" s="630"/>
      <c r="K208" s="61"/>
      <c r="L208" s="630"/>
      <c r="M208" s="629"/>
      <c r="N208" s="629"/>
      <c r="O208" s="629"/>
      <c r="P208" s="63"/>
      <c r="Q208" s="161"/>
      <c r="AM208" s="1" t="e">
        <v>#REF!</v>
      </c>
      <c r="AN208" s="1" t="e">
        <v>#REF!</v>
      </c>
      <c r="AO208" s="1" t="e">
        <v>#REF!</v>
      </c>
      <c r="AP208" s="1" t="e">
        <v>#REF!</v>
      </c>
      <c r="AQ208" s="1" t="e">
        <v>#REF!</v>
      </c>
      <c r="AR208" s="1" t="e">
        <v>#REF!</v>
      </c>
      <c r="AS208" s="1" t="e">
        <v>#REF!</v>
      </c>
      <c r="AT208" s="2" t="e">
        <v>#REF!</v>
      </c>
      <c r="AU208" s="1" t="e">
        <v>#REF!</v>
      </c>
      <c r="AV208" s="2" t="e">
        <v>#REF!</v>
      </c>
      <c r="AW208" s="1" t="e">
        <v>#REF!</v>
      </c>
      <c r="AX208" s="1" t="e">
        <v>#REF!</v>
      </c>
      <c r="AY208" s="1" t="e">
        <v>#REF!</v>
      </c>
      <c r="AZ208" s="1" t="e">
        <v>#REF!</v>
      </c>
      <c r="BA208" s="1" t="e">
        <v>#REF!</v>
      </c>
      <c r="BB208" s="1" t="e">
        <v>#REF!</v>
      </c>
    </row>
    <row r="209" spans="2:54" ht="17.5">
      <c r="B209" s="629"/>
      <c r="C209" s="61"/>
      <c r="D209" s="629"/>
      <c r="E209" s="629"/>
      <c r="F209" s="629"/>
      <c r="G209" s="629"/>
      <c r="H209" s="629"/>
      <c r="I209" s="629"/>
      <c r="J209" s="630"/>
      <c r="K209" s="61"/>
      <c r="L209" s="630"/>
      <c r="M209" s="629"/>
      <c r="N209" s="629"/>
      <c r="O209" s="632"/>
      <c r="P209" s="63"/>
      <c r="Q209" s="161"/>
      <c r="AM209" s="1" t="e">
        <v>#REF!</v>
      </c>
      <c r="AN209" s="1" t="e">
        <v>#REF!</v>
      </c>
      <c r="AO209" s="1" t="e">
        <v>#REF!</v>
      </c>
      <c r="AP209" s="1" t="e">
        <v>#REF!</v>
      </c>
      <c r="AQ209" s="1" t="e">
        <v>#REF!</v>
      </c>
      <c r="AR209" s="1" t="e">
        <v>#REF!</v>
      </c>
      <c r="AS209" s="1" t="e">
        <v>#REF!</v>
      </c>
      <c r="AT209" s="2" t="e">
        <v>#REF!</v>
      </c>
      <c r="AU209" s="1" t="e">
        <v>#REF!</v>
      </c>
      <c r="AV209" s="2" t="e">
        <v>#REF!</v>
      </c>
      <c r="AW209" s="1" t="e">
        <v>#REF!</v>
      </c>
      <c r="AX209" s="1" t="e">
        <v>#REF!</v>
      </c>
      <c r="AY209" s="1" t="e">
        <v>#REF!</v>
      </c>
      <c r="AZ209" s="1" t="e">
        <v>#REF!</v>
      </c>
      <c r="BA209" s="1" t="e">
        <v>#REF!</v>
      </c>
      <c r="BB209" s="1" t="e">
        <v>#REF!</v>
      </c>
    </row>
    <row r="210" spans="2:54" ht="17.5">
      <c r="B210" s="629"/>
      <c r="C210" s="61"/>
      <c r="D210" s="629"/>
      <c r="E210" s="629"/>
      <c r="F210" s="629"/>
      <c r="G210" s="629"/>
      <c r="H210" s="629"/>
      <c r="I210" s="629"/>
      <c r="J210" s="630"/>
      <c r="K210" s="61"/>
      <c r="L210" s="630"/>
      <c r="M210" s="629"/>
      <c r="N210" s="629"/>
      <c r="O210" s="629"/>
      <c r="P210" s="63"/>
      <c r="Q210" s="161"/>
      <c r="AM210" s="1" t="e">
        <v>#REF!</v>
      </c>
      <c r="AN210" s="1" t="e">
        <v>#REF!</v>
      </c>
      <c r="AO210" s="1" t="e">
        <v>#REF!</v>
      </c>
      <c r="AP210" s="1" t="e">
        <v>#REF!</v>
      </c>
      <c r="AQ210" s="1" t="e">
        <v>#REF!</v>
      </c>
      <c r="AR210" s="1" t="e">
        <v>#REF!</v>
      </c>
      <c r="AS210" s="1" t="e">
        <v>#REF!</v>
      </c>
      <c r="AT210" s="2" t="e">
        <v>#REF!</v>
      </c>
      <c r="AU210" s="1" t="e">
        <v>#REF!</v>
      </c>
      <c r="AV210" s="2" t="e">
        <v>#REF!</v>
      </c>
      <c r="AW210" s="1" t="e">
        <v>#REF!</v>
      </c>
      <c r="AX210" s="1" t="e">
        <v>#REF!</v>
      </c>
      <c r="AY210" s="1" t="e">
        <v>#REF!</v>
      </c>
      <c r="AZ210" s="1" t="e">
        <v>#REF!</v>
      </c>
      <c r="BA210" s="1" t="e">
        <v>#REF!</v>
      </c>
      <c r="BB210" s="1" t="e">
        <v>#REF!</v>
      </c>
    </row>
    <row r="211" spans="2:54" ht="17.5">
      <c r="B211" s="629"/>
      <c r="C211" s="61"/>
      <c r="D211" s="629"/>
      <c r="E211" s="629"/>
      <c r="F211" s="629"/>
      <c r="G211" s="629"/>
      <c r="H211" s="629"/>
      <c r="I211" s="629"/>
      <c r="J211" s="630"/>
      <c r="K211" s="61"/>
      <c r="L211" s="630"/>
      <c r="M211" s="629"/>
      <c r="N211" s="629"/>
      <c r="O211" s="629"/>
      <c r="P211" s="63"/>
      <c r="Q211" s="161"/>
      <c r="AM211" s="1" t="e">
        <v>#REF!</v>
      </c>
      <c r="AN211" s="1" t="e">
        <v>#REF!</v>
      </c>
      <c r="AO211" s="1" t="e">
        <v>#REF!</v>
      </c>
      <c r="AP211" s="1" t="e">
        <v>#REF!</v>
      </c>
      <c r="AQ211" s="1" t="e">
        <v>#REF!</v>
      </c>
      <c r="AR211" s="1" t="e">
        <v>#REF!</v>
      </c>
      <c r="AS211" s="1" t="e">
        <v>#REF!</v>
      </c>
      <c r="AT211" s="2" t="e">
        <v>#REF!</v>
      </c>
      <c r="AU211" s="1" t="e">
        <v>#REF!</v>
      </c>
      <c r="AV211" s="2" t="e">
        <v>#REF!</v>
      </c>
      <c r="AW211" s="1" t="e">
        <v>#REF!</v>
      </c>
      <c r="AX211" s="1" t="e">
        <v>#REF!</v>
      </c>
      <c r="AY211" s="1" t="e">
        <v>#REF!</v>
      </c>
      <c r="AZ211" s="1" t="e">
        <v>#REF!</v>
      </c>
      <c r="BA211" s="1" t="e">
        <v>#REF!</v>
      </c>
      <c r="BB211" s="1" t="e">
        <v>#REF!</v>
      </c>
    </row>
    <row r="212" spans="2:54" ht="17.5">
      <c r="B212" s="629"/>
      <c r="C212" s="61"/>
      <c r="D212" s="629"/>
      <c r="E212" s="637"/>
      <c r="F212" s="629"/>
      <c r="G212" s="629"/>
      <c r="H212" s="629"/>
      <c r="I212" s="629"/>
      <c r="J212" s="630"/>
      <c r="K212" s="61"/>
      <c r="L212" s="630"/>
      <c r="M212" s="629"/>
      <c r="N212" s="629"/>
      <c r="O212" s="629"/>
      <c r="P212" s="63"/>
      <c r="Q212" s="161"/>
      <c r="AM212" s="1" t="e">
        <v>#REF!</v>
      </c>
      <c r="AN212" s="1" t="e">
        <v>#REF!</v>
      </c>
      <c r="AO212" s="1" t="e">
        <v>#REF!</v>
      </c>
      <c r="AP212" s="1" t="e">
        <v>#REF!</v>
      </c>
      <c r="AQ212" s="1" t="e">
        <v>#REF!</v>
      </c>
      <c r="AR212" s="1" t="e">
        <v>#REF!</v>
      </c>
      <c r="AS212" s="1" t="e">
        <v>#REF!</v>
      </c>
      <c r="AT212" s="2" t="e">
        <v>#REF!</v>
      </c>
      <c r="AU212" s="1" t="e">
        <v>#REF!</v>
      </c>
      <c r="AV212" s="2" t="e">
        <v>#REF!</v>
      </c>
      <c r="AW212" s="1" t="e">
        <v>#REF!</v>
      </c>
      <c r="AX212" s="1" t="e">
        <v>#REF!</v>
      </c>
      <c r="AY212" s="1" t="e">
        <v>#REF!</v>
      </c>
      <c r="AZ212" s="1" t="e">
        <v>#REF!</v>
      </c>
      <c r="BA212" s="1" t="e">
        <v>#REF!</v>
      </c>
      <c r="BB212" s="1" t="e">
        <v>#REF!</v>
      </c>
    </row>
    <row r="213" spans="2:54" ht="17.5">
      <c r="B213" s="629"/>
      <c r="C213" s="61"/>
      <c r="D213" s="629"/>
      <c r="E213" s="629"/>
      <c r="F213" s="629"/>
      <c r="G213" s="629"/>
      <c r="H213" s="629"/>
      <c r="I213" s="629"/>
      <c r="J213" s="630"/>
      <c r="K213" s="61"/>
      <c r="L213" s="630"/>
      <c r="M213" s="629"/>
      <c r="N213" s="629"/>
      <c r="O213" s="629"/>
      <c r="P213" s="63"/>
      <c r="Q213" s="161"/>
      <c r="AM213" s="1" t="e">
        <v>#REF!</v>
      </c>
      <c r="AN213" s="1" t="e">
        <v>#REF!</v>
      </c>
      <c r="AO213" s="1" t="e">
        <v>#REF!</v>
      </c>
      <c r="AP213" s="1" t="e">
        <v>#REF!</v>
      </c>
      <c r="AQ213" s="1" t="e">
        <v>#REF!</v>
      </c>
      <c r="AR213" s="1" t="e">
        <v>#REF!</v>
      </c>
      <c r="AS213" s="1" t="e">
        <v>#REF!</v>
      </c>
      <c r="AT213" s="2" t="e">
        <v>#REF!</v>
      </c>
      <c r="AU213" s="1" t="e">
        <v>#REF!</v>
      </c>
      <c r="AV213" s="2" t="e">
        <v>#REF!</v>
      </c>
      <c r="AW213" s="1" t="e">
        <v>#REF!</v>
      </c>
      <c r="AX213" s="1" t="e">
        <v>#REF!</v>
      </c>
      <c r="AY213" s="1" t="e">
        <v>#REF!</v>
      </c>
      <c r="AZ213" s="1" t="e">
        <v>#REF!</v>
      </c>
      <c r="BA213" s="1" t="e">
        <v>#REF!</v>
      </c>
      <c r="BB213" s="1" t="e">
        <v>#REF!</v>
      </c>
    </row>
    <row r="214" spans="2:54" ht="17.5">
      <c r="B214" s="629"/>
      <c r="C214" s="432"/>
      <c r="D214" s="629"/>
      <c r="E214" s="629"/>
      <c r="F214" s="629"/>
      <c r="G214" s="629"/>
      <c r="H214" s="629"/>
      <c r="I214" s="629"/>
      <c r="J214" s="630"/>
      <c r="K214" s="61"/>
      <c r="L214" s="630"/>
      <c r="M214" s="629"/>
      <c r="N214" s="629"/>
      <c r="O214" s="629"/>
      <c r="P214" s="63"/>
      <c r="Q214" s="161"/>
      <c r="AM214" s="1" t="e">
        <v>#REF!</v>
      </c>
      <c r="AN214" s="1" t="e">
        <v>#REF!</v>
      </c>
      <c r="AO214" s="1" t="e">
        <v>#REF!</v>
      </c>
      <c r="AP214" s="1" t="e">
        <v>#REF!</v>
      </c>
      <c r="AQ214" s="1" t="e">
        <v>#REF!</v>
      </c>
      <c r="AR214" s="1" t="e">
        <v>#REF!</v>
      </c>
      <c r="AS214" s="1" t="e">
        <v>#REF!</v>
      </c>
      <c r="AT214" s="2" t="e">
        <v>#REF!</v>
      </c>
      <c r="AU214" s="1" t="e">
        <v>#REF!</v>
      </c>
      <c r="AV214" s="2" t="e">
        <v>#REF!</v>
      </c>
      <c r="AW214" s="1" t="e">
        <v>#REF!</v>
      </c>
      <c r="AX214" s="1" t="e">
        <v>#REF!</v>
      </c>
      <c r="AY214" s="1" t="e">
        <v>#REF!</v>
      </c>
      <c r="AZ214" s="1" t="e">
        <v>#REF!</v>
      </c>
      <c r="BA214" s="1" t="e">
        <v>#REF!</v>
      </c>
      <c r="BB214" s="1" t="e">
        <v>#REF!</v>
      </c>
    </row>
    <row r="215" spans="2:54" ht="17.5">
      <c r="B215" s="629"/>
      <c r="C215" s="61"/>
      <c r="D215" s="629"/>
      <c r="E215" s="629"/>
      <c r="F215" s="629"/>
      <c r="G215" s="638"/>
      <c r="H215" s="639"/>
      <c r="I215" s="629"/>
      <c r="J215" s="630"/>
      <c r="K215" s="61"/>
      <c r="L215" s="630"/>
      <c r="M215" s="629"/>
      <c r="N215" s="629"/>
      <c r="O215" s="629"/>
      <c r="P215" s="63"/>
      <c r="Q215" s="161"/>
      <c r="AM215" s="1" t="e">
        <v>#REF!</v>
      </c>
      <c r="AN215" s="1" t="e">
        <v>#REF!</v>
      </c>
      <c r="AO215" s="1" t="e">
        <v>#REF!</v>
      </c>
      <c r="AP215" s="1" t="e">
        <v>#REF!</v>
      </c>
      <c r="AQ215" s="1" t="e">
        <v>#REF!</v>
      </c>
      <c r="AR215" s="1" t="e">
        <v>#REF!</v>
      </c>
      <c r="AS215" s="1" t="e">
        <v>#REF!</v>
      </c>
      <c r="AT215" s="2" t="e">
        <v>#REF!</v>
      </c>
      <c r="AU215" s="1" t="e">
        <v>#REF!</v>
      </c>
      <c r="AV215" s="2" t="e">
        <v>#REF!</v>
      </c>
      <c r="AW215" s="1" t="e">
        <v>#REF!</v>
      </c>
      <c r="AX215" s="1" t="e">
        <v>#REF!</v>
      </c>
      <c r="AY215" s="1" t="e">
        <v>#REF!</v>
      </c>
      <c r="AZ215" s="1" t="e">
        <v>#REF!</v>
      </c>
      <c r="BA215" s="1" t="e">
        <v>#REF!</v>
      </c>
      <c r="BB215" s="1" t="e">
        <v>#REF!</v>
      </c>
    </row>
    <row r="216" spans="2:54" ht="17.5">
      <c r="B216" s="629"/>
      <c r="C216" s="61"/>
      <c r="D216" s="629"/>
      <c r="E216" s="629"/>
      <c r="F216" s="629"/>
      <c r="G216" s="629"/>
      <c r="H216" s="629"/>
      <c r="I216" s="629"/>
      <c r="J216" s="630"/>
      <c r="K216" s="61"/>
      <c r="L216" s="630"/>
      <c r="M216" s="629"/>
      <c r="N216" s="629"/>
      <c r="O216" s="629"/>
      <c r="P216" s="63"/>
      <c r="Q216" s="161"/>
      <c r="AM216" s="1" t="e">
        <v>#REF!</v>
      </c>
      <c r="AN216" s="1" t="e">
        <v>#REF!</v>
      </c>
      <c r="AO216" s="1" t="e">
        <v>#REF!</v>
      </c>
      <c r="AP216" s="1" t="e">
        <v>#REF!</v>
      </c>
      <c r="AQ216" s="1" t="e">
        <v>#REF!</v>
      </c>
      <c r="AR216" s="1" t="e">
        <v>#REF!</v>
      </c>
      <c r="AS216" s="1" t="e">
        <v>#REF!</v>
      </c>
      <c r="AT216" s="2" t="e">
        <v>#REF!</v>
      </c>
      <c r="AU216" s="1" t="e">
        <v>#REF!</v>
      </c>
      <c r="AV216" s="2" t="e">
        <v>#REF!</v>
      </c>
      <c r="AW216" s="1" t="e">
        <v>#REF!</v>
      </c>
      <c r="AX216" s="1" t="e">
        <v>#REF!</v>
      </c>
      <c r="AY216" s="1" t="e">
        <v>#REF!</v>
      </c>
      <c r="AZ216" s="1" t="e">
        <v>#REF!</v>
      </c>
      <c r="BA216" s="1" t="e">
        <v>#REF!</v>
      </c>
      <c r="BB216" s="1" t="e">
        <v>#REF!</v>
      </c>
    </row>
    <row r="217" spans="2:54" ht="17.5">
      <c r="B217" s="629"/>
      <c r="C217" s="61"/>
      <c r="D217" s="629"/>
      <c r="E217" s="629"/>
      <c r="F217" s="629"/>
      <c r="G217" s="629"/>
      <c r="H217" s="639"/>
      <c r="I217" s="629"/>
      <c r="J217" s="630"/>
      <c r="K217" s="629"/>
      <c r="L217" s="630"/>
      <c r="M217" s="629"/>
      <c r="N217" s="629"/>
      <c r="O217" s="629"/>
      <c r="P217" s="63"/>
      <c r="Q217" s="161"/>
      <c r="AM217" s="1" t="e">
        <v>#REF!</v>
      </c>
      <c r="AN217" s="1" t="e">
        <v>#REF!</v>
      </c>
      <c r="AO217" s="1" t="e">
        <v>#REF!</v>
      </c>
      <c r="AP217" s="1" t="e">
        <v>#REF!</v>
      </c>
      <c r="AQ217" s="1" t="e">
        <v>#REF!</v>
      </c>
      <c r="AR217" s="1" t="e">
        <v>#REF!</v>
      </c>
      <c r="AS217" s="1" t="e">
        <v>#REF!</v>
      </c>
      <c r="AT217" s="2" t="e">
        <v>#REF!</v>
      </c>
      <c r="AU217" s="1" t="e">
        <v>#REF!</v>
      </c>
      <c r="AV217" s="2" t="e">
        <v>#REF!</v>
      </c>
      <c r="AW217" s="1" t="e">
        <v>#REF!</v>
      </c>
      <c r="AX217" s="1" t="e">
        <v>#REF!</v>
      </c>
      <c r="AY217" s="1" t="e">
        <v>#REF!</v>
      </c>
      <c r="AZ217" s="1" t="e">
        <v>#REF!</v>
      </c>
      <c r="BA217" s="1" t="e">
        <v>#REF!</v>
      </c>
      <c r="BB217" s="1" t="e">
        <v>#REF!</v>
      </c>
    </row>
    <row r="218" spans="2:54" ht="17.5">
      <c r="B218" s="629"/>
      <c r="C218" s="61"/>
      <c r="D218" s="629"/>
      <c r="E218" s="629"/>
      <c r="F218" s="629"/>
      <c r="G218" s="629"/>
      <c r="H218" s="639"/>
      <c r="I218" s="629"/>
      <c r="J218" s="630"/>
      <c r="K218" s="61"/>
      <c r="L218" s="630"/>
      <c r="M218" s="629"/>
      <c r="N218" s="629"/>
      <c r="O218" s="629"/>
      <c r="P218" s="63"/>
      <c r="Q218" s="161"/>
      <c r="AM218" s="1" t="e">
        <v>#REF!</v>
      </c>
      <c r="AN218" s="1" t="e">
        <v>#REF!</v>
      </c>
      <c r="AO218" s="1" t="e">
        <v>#REF!</v>
      </c>
      <c r="AP218" s="1" t="e">
        <v>#REF!</v>
      </c>
      <c r="AQ218" s="1" t="e">
        <v>#REF!</v>
      </c>
      <c r="AR218" s="1" t="e">
        <v>#REF!</v>
      </c>
      <c r="AS218" s="1" t="e">
        <v>#REF!</v>
      </c>
      <c r="AT218" s="2" t="e">
        <v>#REF!</v>
      </c>
      <c r="AU218" s="1" t="e">
        <v>#REF!</v>
      </c>
      <c r="AV218" s="2" t="e">
        <v>#REF!</v>
      </c>
      <c r="AW218" s="1" t="e">
        <v>#REF!</v>
      </c>
      <c r="AX218" s="1" t="e">
        <v>#REF!</v>
      </c>
      <c r="AY218" s="1" t="e">
        <v>#REF!</v>
      </c>
      <c r="AZ218" s="1" t="e">
        <v>#REF!</v>
      </c>
      <c r="BA218" s="1" t="e">
        <v>#REF!</v>
      </c>
      <c r="BB218" s="1" t="e">
        <v>#REF!</v>
      </c>
    </row>
    <row r="219" spans="2:54" ht="17.5">
      <c r="B219" s="629"/>
      <c r="C219" s="61"/>
      <c r="D219" s="629"/>
      <c r="E219" s="629"/>
      <c r="F219" s="629"/>
      <c r="G219" s="629"/>
      <c r="H219" s="629"/>
      <c r="I219" s="629"/>
      <c r="J219" s="630"/>
      <c r="K219" s="61"/>
      <c r="L219" s="630"/>
      <c r="M219" s="629"/>
      <c r="N219" s="629"/>
      <c r="O219" s="629"/>
      <c r="P219" s="63"/>
      <c r="Q219" s="161"/>
      <c r="AM219" s="1" t="e">
        <v>#REF!</v>
      </c>
      <c r="AN219" s="1" t="e">
        <v>#REF!</v>
      </c>
      <c r="AO219" s="1" t="e">
        <v>#REF!</v>
      </c>
      <c r="AP219" s="1" t="e">
        <v>#REF!</v>
      </c>
      <c r="AQ219" s="1" t="e">
        <v>#REF!</v>
      </c>
      <c r="AR219" s="1" t="e">
        <v>#REF!</v>
      </c>
      <c r="AS219" s="1" t="e">
        <v>#REF!</v>
      </c>
      <c r="AT219" s="2" t="e">
        <v>#REF!</v>
      </c>
      <c r="AU219" s="1" t="e">
        <v>#REF!</v>
      </c>
      <c r="AV219" s="2" t="e">
        <v>#REF!</v>
      </c>
      <c r="AW219" s="1" t="e">
        <v>#REF!</v>
      </c>
      <c r="AX219" s="1" t="e">
        <v>#REF!</v>
      </c>
      <c r="AY219" s="1" t="e">
        <v>#REF!</v>
      </c>
      <c r="AZ219" s="1" t="e">
        <v>#REF!</v>
      </c>
      <c r="BA219" s="1" t="e">
        <v>#REF!</v>
      </c>
      <c r="BB219" s="1" t="e">
        <v>#REF!</v>
      </c>
    </row>
    <row r="220" spans="2:54" ht="17.5">
      <c r="B220" s="629"/>
      <c r="C220" s="640"/>
      <c r="D220" s="629"/>
      <c r="E220" s="629"/>
      <c r="F220" s="629"/>
      <c r="G220" s="629"/>
      <c r="H220" s="639"/>
      <c r="I220" s="629"/>
      <c r="J220" s="630"/>
      <c r="K220" s="61"/>
      <c r="L220" s="630"/>
      <c r="M220" s="629"/>
      <c r="N220" s="629"/>
      <c r="O220" s="629"/>
      <c r="P220" s="63"/>
      <c r="Q220" s="161"/>
      <c r="AM220" s="1" t="e">
        <v>#REF!</v>
      </c>
      <c r="AN220" s="1" t="e">
        <v>#REF!</v>
      </c>
      <c r="AO220" s="1" t="e">
        <v>#REF!</v>
      </c>
      <c r="AP220" s="1" t="e">
        <v>#REF!</v>
      </c>
      <c r="AQ220" s="1" t="e">
        <v>#REF!</v>
      </c>
      <c r="AR220" s="1" t="e">
        <v>#REF!</v>
      </c>
      <c r="AS220" s="1" t="e">
        <v>#REF!</v>
      </c>
      <c r="AT220" s="2" t="e">
        <v>#REF!</v>
      </c>
      <c r="AU220" s="1" t="e">
        <v>#REF!</v>
      </c>
      <c r="AV220" s="2" t="e">
        <v>#REF!</v>
      </c>
      <c r="AW220" s="1" t="e">
        <v>#REF!</v>
      </c>
      <c r="AX220" s="1" t="e">
        <v>#REF!</v>
      </c>
      <c r="AY220" s="1" t="e">
        <v>#REF!</v>
      </c>
      <c r="AZ220" s="1" t="e">
        <v>#REF!</v>
      </c>
      <c r="BA220" s="1" t="e">
        <v>#REF!</v>
      </c>
      <c r="BB220" s="1" t="e">
        <v>#REF!</v>
      </c>
    </row>
    <row r="221" spans="2:54" ht="17.5">
      <c r="B221" s="629"/>
      <c r="C221" s="640"/>
      <c r="D221" s="629"/>
      <c r="E221" s="629"/>
      <c r="F221" s="629"/>
      <c r="G221" s="629"/>
      <c r="H221" s="629"/>
      <c r="I221" s="629"/>
      <c r="J221" s="630"/>
      <c r="K221" s="61"/>
      <c r="L221" s="630"/>
      <c r="M221" s="629"/>
      <c r="N221" s="629"/>
      <c r="O221" s="629"/>
      <c r="P221" s="63"/>
      <c r="Q221" s="161"/>
      <c r="AM221" s="1" t="e">
        <v>#REF!</v>
      </c>
      <c r="AN221" s="1" t="e">
        <v>#REF!</v>
      </c>
      <c r="AO221" s="1" t="e">
        <v>#REF!</v>
      </c>
      <c r="AP221" s="1" t="e">
        <v>#REF!</v>
      </c>
      <c r="AQ221" s="1" t="e">
        <v>#REF!</v>
      </c>
      <c r="AR221" s="1" t="e">
        <v>#REF!</v>
      </c>
      <c r="AS221" s="1" t="e">
        <v>#REF!</v>
      </c>
      <c r="AT221" s="2" t="e">
        <v>#REF!</v>
      </c>
      <c r="AU221" s="1" t="e">
        <v>#REF!</v>
      </c>
      <c r="AV221" s="2" t="e">
        <v>#REF!</v>
      </c>
      <c r="AW221" s="1" t="e">
        <v>#REF!</v>
      </c>
      <c r="AX221" s="1" t="e">
        <v>#REF!</v>
      </c>
      <c r="AY221" s="1" t="e">
        <v>#REF!</v>
      </c>
      <c r="AZ221" s="1" t="e">
        <v>#REF!</v>
      </c>
      <c r="BA221" s="1" t="e">
        <v>#REF!</v>
      </c>
      <c r="BB221" s="1" t="e">
        <v>#REF!</v>
      </c>
    </row>
    <row r="222" spans="2:54" ht="17.5">
      <c r="B222" s="629"/>
      <c r="C222" s="61"/>
      <c r="D222" s="629"/>
      <c r="E222" s="629"/>
      <c r="F222" s="629"/>
      <c r="G222" s="629"/>
      <c r="H222" s="629"/>
      <c r="I222" s="629"/>
      <c r="J222" s="630"/>
      <c r="K222" s="61"/>
      <c r="L222" s="630"/>
      <c r="M222" s="629"/>
      <c r="N222" s="629"/>
      <c r="O222" s="629"/>
      <c r="P222" s="63"/>
      <c r="Q222" s="161"/>
      <c r="AM222" s="1" t="e">
        <v>#REF!</v>
      </c>
      <c r="AN222" s="1" t="e">
        <v>#REF!</v>
      </c>
      <c r="AO222" s="1" t="e">
        <v>#REF!</v>
      </c>
      <c r="AP222" s="1" t="e">
        <v>#REF!</v>
      </c>
      <c r="AQ222" s="1" t="e">
        <v>#REF!</v>
      </c>
      <c r="AR222" s="1" t="e">
        <v>#REF!</v>
      </c>
      <c r="AS222" s="1" t="e">
        <v>#REF!</v>
      </c>
      <c r="AT222" s="2" t="e">
        <v>#REF!</v>
      </c>
      <c r="AU222" s="1" t="e">
        <v>#REF!</v>
      </c>
      <c r="AV222" s="2" t="e">
        <v>#REF!</v>
      </c>
      <c r="AW222" s="1" t="e">
        <v>#REF!</v>
      </c>
      <c r="AX222" s="1" t="e">
        <v>#REF!</v>
      </c>
      <c r="AY222" s="1" t="e">
        <v>#REF!</v>
      </c>
      <c r="AZ222" s="1" t="e">
        <v>#REF!</v>
      </c>
      <c r="BA222" s="1" t="e">
        <v>#REF!</v>
      </c>
      <c r="BB222" s="1" t="e">
        <v>#REF!</v>
      </c>
    </row>
    <row r="223" spans="2:54" ht="17.5">
      <c r="B223" s="629"/>
      <c r="C223" s="641"/>
      <c r="D223" s="629"/>
      <c r="E223" s="629"/>
      <c r="F223" s="629"/>
      <c r="G223" s="629"/>
      <c r="H223" s="629"/>
      <c r="I223" s="629"/>
      <c r="J223" s="630"/>
      <c r="K223" s="61"/>
      <c r="L223" s="630"/>
      <c r="M223" s="629"/>
      <c r="N223" s="629"/>
      <c r="O223" s="629"/>
      <c r="P223" s="63"/>
      <c r="Q223" s="161"/>
      <c r="AM223" s="1" t="e">
        <v>#REF!</v>
      </c>
      <c r="AN223" s="1" t="e">
        <v>#REF!</v>
      </c>
      <c r="AO223" s="1" t="e">
        <v>#REF!</v>
      </c>
      <c r="AP223" s="1" t="e">
        <v>#REF!</v>
      </c>
      <c r="AQ223" s="1" t="e">
        <v>#REF!</v>
      </c>
      <c r="AR223" s="1" t="e">
        <v>#REF!</v>
      </c>
      <c r="AS223" s="1" t="e">
        <v>#REF!</v>
      </c>
      <c r="AT223" s="2" t="e">
        <v>#REF!</v>
      </c>
      <c r="AU223" s="1" t="e">
        <v>#REF!</v>
      </c>
      <c r="AV223" s="2" t="e">
        <v>#REF!</v>
      </c>
      <c r="AW223" s="1" t="e">
        <v>#REF!</v>
      </c>
      <c r="AX223" s="1" t="e">
        <v>#REF!</v>
      </c>
      <c r="AY223" s="1" t="e">
        <v>#REF!</v>
      </c>
      <c r="AZ223" s="1" t="e">
        <v>#REF!</v>
      </c>
      <c r="BA223" s="1" t="e">
        <v>#REF!</v>
      </c>
      <c r="BB223" s="1" t="e">
        <v>#REF!</v>
      </c>
    </row>
    <row r="224" spans="2:54" ht="17.5">
      <c r="B224" s="629"/>
      <c r="C224" s="61"/>
      <c r="D224" s="629"/>
      <c r="E224" s="629"/>
      <c r="F224" s="629"/>
      <c r="G224" s="629"/>
      <c r="H224" s="639"/>
      <c r="I224" s="629"/>
      <c r="J224" s="630"/>
      <c r="K224" s="61"/>
      <c r="L224" s="630"/>
      <c r="M224" s="629"/>
      <c r="N224" s="629"/>
      <c r="O224" s="629"/>
      <c r="P224" s="63"/>
      <c r="Q224" s="161"/>
      <c r="AM224" s="1" t="e">
        <v>#REF!</v>
      </c>
      <c r="AN224" s="1" t="e">
        <v>#REF!</v>
      </c>
      <c r="AO224" s="1" t="e">
        <v>#REF!</v>
      </c>
      <c r="AP224" s="1" t="e">
        <v>#REF!</v>
      </c>
      <c r="AQ224" s="1" t="e">
        <v>#REF!</v>
      </c>
      <c r="AR224" s="1" t="e">
        <v>#REF!</v>
      </c>
      <c r="AS224" s="1" t="e">
        <v>#REF!</v>
      </c>
      <c r="AT224" s="2" t="e">
        <v>#REF!</v>
      </c>
      <c r="AU224" s="1" t="e">
        <v>#REF!</v>
      </c>
      <c r="AV224" s="2" t="e">
        <v>#REF!</v>
      </c>
      <c r="AW224" s="1" t="e">
        <v>#REF!</v>
      </c>
      <c r="AX224" s="1" t="e">
        <v>#REF!</v>
      </c>
      <c r="AY224" s="1" t="e">
        <v>#REF!</v>
      </c>
      <c r="AZ224" s="1" t="e">
        <v>#REF!</v>
      </c>
      <c r="BA224" s="1" t="e">
        <v>#REF!</v>
      </c>
      <c r="BB224" s="1" t="e">
        <v>#REF!</v>
      </c>
    </row>
    <row r="225" spans="2:54" ht="17.5">
      <c r="B225" s="629"/>
      <c r="C225" s="161"/>
      <c r="D225" s="629"/>
      <c r="E225" s="131"/>
      <c r="F225" s="131"/>
      <c r="G225" s="131"/>
      <c r="H225" s="131"/>
      <c r="I225" s="131"/>
      <c r="J225" s="132"/>
      <c r="K225" s="61"/>
      <c r="L225" s="132"/>
      <c r="M225" s="629"/>
      <c r="N225" s="629"/>
      <c r="O225" s="629"/>
      <c r="P225" s="147"/>
      <c r="Q225" s="161"/>
      <c r="AM225" s="1" t="e">
        <v>#REF!</v>
      </c>
      <c r="AN225" s="1" t="e">
        <v>#REF!</v>
      </c>
      <c r="AO225" s="1" t="e">
        <v>#REF!</v>
      </c>
      <c r="AP225" s="1" t="e">
        <v>#REF!</v>
      </c>
      <c r="AQ225" s="1" t="e">
        <v>#REF!</v>
      </c>
      <c r="AR225" s="1" t="e">
        <v>#REF!</v>
      </c>
      <c r="AS225" s="1" t="e">
        <v>#REF!</v>
      </c>
      <c r="AT225" s="2" t="e">
        <v>#REF!</v>
      </c>
      <c r="AU225" s="1" t="e">
        <v>#REF!</v>
      </c>
      <c r="AV225" s="2" t="e">
        <v>#REF!</v>
      </c>
      <c r="AW225" s="1" t="e">
        <v>#REF!</v>
      </c>
      <c r="AX225" s="1" t="e">
        <v>#REF!</v>
      </c>
      <c r="AY225" s="1" t="e">
        <v>#REF!</v>
      </c>
      <c r="AZ225" s="1" t="e">
        <v>#REF!</v>
      </c>
      <c r="BA225" s="1" t="e">
        <v>#REF!</v>
      </c>
      <c r="BB225" s="1" t="e">
        <v>#REF!</v>
      </c>
    </row>
    <row r="226" spans="2:54" ht="17.5">
      <c r="B226" s="629"/>
      <c r="C226" s="642"/>
      <c r="D226" s="131"/>
      <c r="E226" s="131"/>
      <c r="F226" s="131"/>
      <c r="G226" s="131"/>
      <c r="H226" s="643"/>
      <c r="I226" s="131"/>
      <c r="J226" s="132"/>
      <c r="K226" s="61"/>
      <c r="L226" s="132"/>
      <c r="M226" s="629"/>
      <c r="N226" s="629"/>
      <c r="O226" s="629"/>
      <c r="P226" s="147"/>
      <c r="Q226" s="161"/>
      <c r="AM226" s="1" t="e">
        <v>#REF!</v>
      </c>
      <c r="AN226" s="1" t="e">
        <v>#REF!</v>
      </c>
      <c r="AO226" s="1" t="e">
        <v>#REF!</v>
      </c>
      <c r="AP226" s="1" t="e">
        <v>#REF!</v>
      </c>
      <c r="AQ226" s="1" t="e">
        <v>#REF!</v>
      </c>
      <c r="AR226" s="1" t="e">
        <v>#REF!</v>
      </c>
      <c r="AS226" s="1" t="e">
        <v>#REF!</v>
      </c>
      <c r="AT226" s="2" t="e">
        <v>#REF!</v>
      </c>
      <c r="AU226" s="1" t="e">
        <v>#REF!</v>
      </c>
      <c r="AV226" s="2" t="e">
        <v>#REF!</v>
      </c>
      <c r="AW226" s="1" t="e">
        <v>#REF!</v>
      </c>
      <c r="AX226" s="1" t="e">
        <v>#REF!</v>
      </c>
      <c r="AY226" s="1" t="e">
        <v>#REF!</v>
      </c>
      <c r="AZ226" s="1" t="e">
        <v>#REF!</v>
      </c>
      <c r="BA226" s="1" t="e">
        <v>#REF!</v>
      </c>
      <c r="BB226" s="1" t="e">
        <v>#REF!</v>
      </c>
    </row>
    <row r="227" spans="2:54" ht="17.5">
      <c r="B227" s="629"/>
      <c r="C227" s="432"/>
      <c r="D227" s="131"/>
      <c r="E227" s="131"/>
      <c r="F227" s="131"/>
      <c r="G227" s="131"/>
      <c r="H227" s="643"/>
      <c r="I227" s="131"/>
      <c r="J227" s="132"/>
      <c r="K227" s="61"/>
      <c r="L227" s="132"/>
      <c r="M227" s="629"/>
      <c r="N227" s="629"/>
      <c r="O227" s="629"/>
      <c r="P227" s="147"/>
      <c r="Q227" s="161"/>
      <c r="AM227" s="1" t="e">
        <v>#REF!</v>
      </c>
      <c r="AN227" s="1" t="e">
        <v>#REF!</v>
      </c>
      <c r="AO227" s="1" t="e">
        <v>#REF!</v>
      </c>
      <c r="AP227" s="1" t="e">
        <v>#REF!</v>
      </c>
      <c r="AQ227" s="1" t="e">
        <v>#REF!</v>
      </c>
      <c r="AR227" s="1" t="e">
        <v>#REF!</v>
      </c>
      <c r="AS227" s="1" t="e">
        <v>#REF!</v>
      </c>
      <c r="AT227" s="2" t="e">
        <v>#REF!</v>
      </c>
      <c r="AU227" s="1" t="e">
        <v>#REF!</v>
      </c>
      <c r="AV227" s="2" t="e">
        <v>#REF!</v>
      </c>
      <c r="AW227" s="1" t="e">
        <v>#REF!</v>
      </c>
      <c r="AX227" s="1" t="e">
        <v>#REF!</v>
      </c>
      <c r="AY227" s="1" t="e">
        <v>#REF!</v>
      </c>
      <c r="AZ227" s="1" t="e">
        <v>#REF!</v>
      </c>
      <c r="BA227" s="1" t="e">
        <v>#REF!</v>
      </c>
      <c r="BB227" s="1" t="e">
        <v>#REF!</v>
      </c>
    </row>
    <row r="228" spans="2:54" ht="17.5">
      <c r="B228" s="629"/>
      <c r="C228" s="61"/>
      <c r="D228" s="629"/>
      <c r="E228" s="131"/>
      <c r="F228" s="131"/>
      <c r="G228" s="131"/>
      <c r="H228" s="131"/>
      <c r="I228" s="131"/>
      <c r="J228" s="132"/>
      <c r="K228" s="61"/>
      <c r="L228" s="132"/>
      <c r="M228" s="629"/>
      <c r="N228" s="629"/>
      <c r="O228" s="629"/>
      <c r="P228" s="133"/>
      <c r="Q228" s="161"/>
      <c r="AM228" s="1" t="e">
        <v>#REF!</v>
      </c>
      <c r="AN228" s="1" t="e">
        <v>#REF!</v>
      </c>
      <c r="AO228" s="1" t="e">
        <v>#REF!</v>
      </c>
      <c r="AP228" s="1" t="e">
        <v>#REF!</v>
      </c>
      <c r="AQ228" s="1" t="e">
        <v>#REF!</v>
      </c>
      <c r="AR228" s="1" t="e">
        <v>#REF!</v>
      </c>
      <c r="AS228" s="1" t="e">
        <v>#REF!</v>
      </c>
      <c r="AT228" s="2" t="e">
        <v>#REF!</v>
      </c>
      <c r="AU228" s="1" t="e">
        <v>#REF!</v>
      </c>
      <c r="AV228" s="2" t="e">
        <v>#REF!</v>
      </c>
      <c r="AW228" s="1" t="e">
        <v>#REF!</v>
      </c>
      <c r="AX228" s="1" t="e">
        <v>#REF!</v>
      </c>
      <c r="AY228" s="1" t="e">
        <v>#REF!</v>
      </c>
      <c r="AZ228" s="1" t="e">
        <v>#REF!</v>
      </c>
      <c r="BA228" s="1" t="e">
        <v>#REF!</v>
      </c>
      <c r="BB228" s="1" t="e">
        <v>#REF!</v>
      </c>
    </row>
    <row r="229" spans="2:54" ht="17.5">
      <c r="B229" s="629"/>
      <c r="C229" s="172"/>
      <c r="D229" s="131"/>
      <c r="E229" s="131"/>
      <c r="F229" s="131"/>
      <c r="G229" s="131"/>
      <c r="H229" s="131"/>
      <c r="I229" s="131"/>
      <c r="J229" s="132"/>
      <c r="K229" s="131"/>
      <c r="L229" s="132"/>
      <c r="M229" s="629"/>
      <c r="N229" s="629"/>
      <c r="O229" s="131"/>
      <c r="P229" s="147"/>
      <c r="Q229" s="161"/>
      <c r="AM229" s="1" t="e">
        <v>#REF!</v>
      </c>
      <c r="AN229" s="1" t="e">
        <v>#REF!</v>
      </c>
      <c r="AO229" s="1" t="e">
        <v>#REF!</v>
      </c>
      <c r="AP229" s="1" t="e">
        <v>#REF!</v>
      </c>
      <c r="AQ229" s="1" t="e">
        <v>#REF!</v>
      </c>
      <c r="AR229" s="1" t="e">
        <v>#REF!</v>
      </c>
      <c r="AS229" s="1" t="e">
        <v>#REF!</v>
      </c>
      <c r="AT229" s="2" t="e">
        <v>#REF!</v>
      </c>
      <c r="AU229" s="1" t="e">
        <v>#REF!</v>
      </c>
      <c r="AV229" s="2" t="e">
        <v>#REF!</v>
      </c>
      <c r="AW229" s="1" t="e">
        <v>#REF!</v>
      </c>
      <c r="AX229" s="1" t="e">
        <v>#REF!</v>
      </c>
      <c r="AY229" s="1" t="e">
        <v>#REF!</v>
      </c>
      <c r="AZ229" s="1" t="e">
        <v>#REF!</v>
      </c>
      <c r="BA229" s="1" t="e">
        <v>#REF!</v>
      </c>
      <c r="BB229" s="1" t="e">
        <v>#REF!</v>
      </c>
    </row>
    <row r="230" spans="2:54" ht="17.5">
      <c r="B230" s="629"/>
      <c r="C230" s="172"/>
      <c r="D230" s="131"/>
      <c r="E230" s="131"/>
      <c r="F230" s="131"/>
      <c r="G230" s="131"/>
      <c r="H230" s="131"/>
      <c r="I230" s="131"/>
      <c r="J230" s="132"/>
      <c r="K230" s="131"/>
      <c r="L230" s="132"/>
      <c r="M230" s="131"/>
      <c r="N230" s="629"/>
      <c r="O230" s="131"/>
      <c r="P230" s="147"/>
      <c r="Q230" s="161"/>
      <c r="AM230" s="1" t="e">
        <v>#REF!</v>
      </c>
      <c r="AN230" s="1" t="e">
        <v>#REF!</v>
      </c>
      <c r="AO230" s="1" t="e">
        <v>#REF!</v>
      </c>
      <c r="AP230" s="1" t="e">
        <v>#REF!</v>
      </c>
      <c r="AQ230" s="1" t="e">
        <v>#REF!</v>
      </c>
      <c r="AR230" s="1" t="e">
        <v>#REF!</v>
      </c>
      <c r="AS230" s="1" t="e">
        <v>#REF!</v>
      </c>
      <c r="AT230" s="2" t="e">
        <v>#REF!</v>
      </c>
      <c r="AU230" s="1" t="e">
        <v>#REF!</v>
      </c>
      <c r="AV230" s="2" t="e">
        <v>#REF!</v>
      </c>
      <c r="AW230" s="1" t="e">
        <v>#REF!</v>
      </c>
      <c r="AX230" s="1" t="e">
        <v>#REF!</v>
      </c>
      <c r="AY230" s="1" t="e">
        <v>#REF!</v>
      </c>
      <c r="AZ230" s="1" t="e">
        <v>#REF!</v>
      </c>
      <c r="BA230" s="1" t="e">
        <v>#REF!</v>
      </c>
      <c r="BB230" s="1" t="e">
        <v>#REF!</v>
      </c>
    </row>
    <row r="231" spans="2:54" ht="17.5">
      <c r="B231" s="629"/>
      <c r="C231" s="172"/>
      <c r="D231" s="131"/>
      <c r="E231" s="131"/>
      <c r="F231" s="131"/>
      <c r="G231" s="131"/>
      <c r="H231" s="131"/>
      <c r="I231" s="131"/>
      <c r="J231" s="132"/>
      <c r="K231" s="131"/>
      <c r="L231" s="132"/>
      <c r="M231" s="131"/>
      <c r="N231" s="629"/>
      <c r="O231" s="131"/>
      <c r="P231" s="147"/>
      <c r="Q231" s="161"/>
      <c r="AM231" s="1" t="e">
        <v>#REF!</v>
      </c>
      <c r="AN231" s="1" t="e">
        <v>#REF!</v>
      </c>
      <c r="AO231" s="1" t="e">
        <v>#REF!</v>
      </c>
      <c r="AP231" s="1" t="e">
        <v>#REF!</v>
      </c>
      <c r="AQ231" s="1" t="e">
        <v>#REF!</v>
      </c>
      <c r="AR231" s="1" t="e">
        <v>#REF!</v>
      </c>
      <c r="AS231" s="1" t="e">
        <v>#REF!</v>
      </c>
      <c r="AT231" s="2" t="e">
        <v>#REF!</v>
      </c>
      <c r="AU231" s="1" t="e">
        <v>#REF!</v>
      </c>
      <c r="AV231" s="2" t="e">
        <v>#REF!</v>
      </c>
      <c r="AW231" s="1" t="e">
        <v>#REF!</v>
      </c>
      <c r="AX231" s="1" t="e">
        <v>#REF!</v>
      </c>
      <c r="AY231" s="1" t="e">
        <v>#REF!</v>
      </c>
      <c r="AZ231" s="1" t="e">
        <v>#REF!</v>
      </c>
      <c r="BA231" s="1" t="e">
        <v>#REF!</v>
      </c>
      <c r="BB231" s="1" t="e">
        <v>#REF!</v>
      </c>
    </row>
    <row r="232" spans="2:54" ht="17.5">
      <c r="B232" s="629"/>
      <c r="C232" s="172"/>
      <c r="D232" s="131"/>
      <c r="E232" s="131"/>
      <c r="F232" s="131"/>
      <c r="G232" s="131"/>
      <c r="H232" s="131"/>
      <c r="I232" s="131"/>
      <c r="J232" s="132"/>
      <c r="K232" s="131"/>
      <c r="L232" s="132"/>
      <c r="M232" s="131"/>
      <c r="N232" s="629"/>
      <c r="O232" s="131"/>
      <c r="P232" s="147"/>
      <c r="Q232" s="161"/>
      <c r="AM232" s="1" t="e">
        <v>#REF!</v>
      </c>
      <c r="AN232" s="1" t="e">
        <v>#REF!</v>
      </c>
      <c r="AO232" s="1" t="e">
        <v>#REF!</v>
      </c>
      <c r="AP232" s="1" t="e">
        <v>#REF!</v>
      </c>
      <c r="AQ232" s="1" t="e">
        <v>#REF!</v>
      </c>
      <c r="AR232" s="1" t="e">
        <v>#REF!</v>
      </c>
      <c r="AS232" s="1" t="e">
        <v>#REF!</v>
      </c>
      <c r="AT232" s="2" t="e">
        <v>#REF!</v>
      </c>
      <c r="AU232" s="1" t="e">
        <v>#REF!</v>
      </c>
      <c r="AV232" s="2" t="e">
        <v>#REF!</v>
      </c>
      <c r="AW232" s="1" t="e">
        <v>#REF!</v>
      </c>
      <c r="AX232" s="1" t="e">
        <v>#REF!</v>
      </c>
      <c r="AY232" s="1" t="e">
        <v>#REF!</v>
      </c>
      <c r="AZ232" s="1" t="e">
        <v>#REF!</v>
      </c>
      <c r="BA232" s="1" t="e">
        <v>#REF!</v>
      </c>
      <c r="BB232" s="1" t="e">
        <v>#REF!</v>
      </c>
    </row>
    <row r="233" spans="2:54" ht="17.5">
      <c r="B233" s="629"/>
      <c r="C233" s="61"/>
      <c r="D233" s="131"/>
      <c r="E233" s="131"/>
      <c r="F233" s="131"/>
      <c r="G233" s="131"/>
      <c r="H233" s="131"/>
      <c r="I233" s="131"/>
      <c r="J233" s="132"/>
      <c r="K233" s="131"/>
      <c r="L233" s="132"/>
      <c r="M233" s="131"/>
      <c r="N233" s="629"/>
      <c r="O233" s="131"/>
      <c r="P233" s="147"/>
      <c r="Q233" s="161"/>
      <c r="AM233" s="1" t="e">
        <v>#REF!</v>
      </c>
      <c r="AN233" s="1" t="e">
        <v>#REF!</v>
      </c>
      <c r="AO233" s="1" t="e">
        <v>#REF!</v>
      </c>
      <c r="AP233" s="1" t="e">
        <v>#REF!</v>
      </c>
      <c r="AQ233" s="1" t="e">
        <v>#REF!</v>
      </c>
      <c r="AR233" s="1" t="e">
        <v>#REF!</v>
      </c>
      <c r="AS233" s="1" t="e">
        <v>#REF!</v>
      </c>
      <c r="AT233" s="2" t="e">
        <v>#REF!</v>
      </c>
      <c r="AU233" s="1" t="e">
        <v>#REF!</v>
      </c>
      <c r="AV233" s="2" t="e">
        <v>#REF!</v>
      </c>
      <c r="AW233" s="1" t="e">
        <v>#REF!</v>
      </c>
      <c r="AX233" s="1" t="e">
        <v>#REF!</v>
      </c>
      <c r="AY233" s="1" t="e">
        <v>#REF!</v>
      </c>
      <c r="AZ233" s="1" t="e">
        <v>#REF!</v>
      </c>
      <c r="BA233" s="1" t="e">
        <v>#REF!</v>
      </c>
      <c r="BB233" s="1" t="e">
        <v>#REF!</v>
      </c>
    </row>
    <row r="234" spans="2:54" ht="17.5">
      <c r="B234" s="629"/>
      <c r="C234" s="172"/>
      <c r="D234" s="131"/>
      <c r="E234" s="131"/>
      <c r="F234" s="131"/>
      <c r="G234" s="131"/>
      <c r="H234" s="131"/>
      <c r="I234" s="131"/>
      <c r="J234" s="132"/>
      <c r="K234" s="131"/>
      <c r="L234" s="132"/>
      <c r="M234" s="131"/>
      <c r="N234" s="629"/>
      <c r="O234" s="131"/>
      <c r="P234" s="147"/>
      <c r="Q234" s="161"/>
      <c r="AM234" s="1" t="e">
        <v>#REF!</v>
      </c>
      <c r="AN234" s="1" t="e">
        <v>#REF!</v>
      </c>
      <c r="AO234" s="1" t="e">
        <v>#REF!</v>
      </c>
      <c r="AP234" s="1" t="e">
        <v>#REF!</v>
      </c>
      <c r="AQ234" s="1" t="e">
        <v>#REF!</v>
      </c>
      <c r="AR234" s="1" t="e">
        <v>#REF!</v>
      </c>
      <c r="AS234" s="1" t="e">
        <v>#REF!</v>
      </c>
      <c r="AT234" s="2" t="e">
        <v>#REF!</v>
      </c>
      <c r="AU234" s="1" t="e">
        <v>#REF!</v>
      </c>
      <c r="AV234" s="2" t="e">
        <v>#REF!</v>
      </c>
      <c r="AW234" s="1" t="e">
        <v>#REF!</v>
      </c>
      <c r="AX234" s="1" t="e">
        <v>#REF!</v>
      </c>
      <c r="AY234" s="1" t="e">
        <v>#REF!</v>
      </c>
      <c r="AZ234" s="1" t="e">
        <v>#REF!</v>
      </c>
      <c r="BA234" s="1" t="e">
        <v>#REF!</v>
      </c>
      <c r="BB234" s="1" t="e">
        <v>#REF!</v>
      </c>
    </row>
    <row r="235" spans="2:54" ht="17.5">
      <c r="B235" s="629"/>
      <c r="C235" s="172"/>
      <c r="D235" s="131"/>
      <c r="E235" s="131"/>
      <c r="F235" s="131"/>
      <c r="G235" s="131"/>
      <c r="H235" s="131"/>
      <c r="I235" s="131"/>
      <c r="J235" s="132"/>
      <c r="K235" s="131"/>
      <c r="L235" s="132"/>
      <c r="M235" s="131"/>
      <c r="N235" s="629"/>
      <c r="O235" s="131"/>
      <c r="P235" s="147"/>
      <c r="Q235" s="161"/>
      <c r="AM235" s="1" t="e">
        <v>#REF!</v>
      </c>
      <c r="AN235" s="1" t="e">
        <v>#REF!</v>
      </c>
      <c r="AO235" s="1" t="e">
        <v>#REF!</v>
      </c>
      <c r="AP235" s="1" t="e">
        <v>#REF!</v>
      </c>
      <c r="AQ235" s="1" t="e">
        <v>#REF!</v>
      </c>
      <c r="AR235" s="1" t="e">
        <v>#REF!</v>
      </c>
      <c r="AS235" s="1" t="e">
        <v>#REF!</v>
      </c>
      <c r="AT235" s="2" t="e">
        <v>#REF!</v>
      </c>
      <c r="AU235" s="1" t="e">
        <v>#REF!</v>
      </c>
      <c r="AV235" s="2" t="e">
        <v>#REF!</v>
      </c>
      <c r="AW235" s="1" t="e">
        <v>#REF!</v>
      </c>
      <c r="AX235" s="1" t="e">
        <v>#REF!</v>
      </c>
      <c r="AY235" s="1" t="e">
        <v>#REF!</v>
      </c>
      <c r="AZ235" s="1" t="e">
        <v>#REF!</v>
      </c>
      <c r="BA235" s="1" t="e">
        <v>#REF!</v>
      </c>
      <c r="BB235" s="1" t="e">
        <v>#REF!</v>
      </c>
    </row>
    <row r="236" spans="2:54" ht="17.5">
      <c r="B236" s="629"/>
      <c r="C236" s="172"/>
      <c r="D236" s="131"/>
      <c r="E236" s="131"/>
      <c r="F236" s="131"/>
      <c r="G236" s="131"/>
      <c r="H236" s="131"/>
      <c r="I236" s="131"/>
      <c r="J236" s="132"/>
      <c r="K236" s="131"/>
      <c r="L236" s="132"/>
      <c r="M236" s="131"/>
      <c r="N236" s="629"/>
      <c r="O236" s="131"/>
      <c r="P236" s="147"/>
      <c r="Q236" s="161"/>
      <c r="AM236" s="1" t="e">
        <v>#REF!</v>
      </c>
      <c r="AN236" s="1" t="e">
        <v>#REF!</v>
      </c>
      <c r="AO236" s="1" t="e">
        <v>#REF!</v>
      </c>
      <c r="AP236" s="1" t="e">
        <v>#REF!</v>
      </c>
      <c r="AQ236" s="1" t="e">
        <v>#REF!</v>
      </c>
      <c r="AR236" s="1" t="e">
        <v>#REF!</v>
      </c>
      <c r="AS236" s="1" t="e">
        <v>#REF!</v>
      </c>
      <c r="AT236" s="2" t="e">
        <v>#REF!</v>
      </c>
      <c r="AU236" s="1" t="e">
        <v>#REF!</v>
      </c>
      <c r="AV236" s="2" t="e">
        <v>#REF!</v>
      </c>
      <c r="AW236" s="1" t="e">
        <v>#REF!</v>
      </c>
      <c r="AX236" s="1" t="e">
        <v>#REF!</v>
      </c>
      <c r="AY236" s="1" t="e">
        <v>#REF!</v>
      </c>
      <c r="AZ236" s="1" t="e">
        <v>#REF!</v>
      </c>
      <c r="BA236" s="1" t="e">
        <v>#REF!</v>
      </c>
      <c r="BB236" s="1" t="e">
        <v>#REF!</v>
      </c>
    </row>
    <row r="237" spans="2:54" ht="17.5">
      <c r="B237" s="629"/>
      <c r="C237" s="172"/>
      <c r="D237" s="131"/>
      <c r="E237" s="131"/>
      <c r="F237" s="131"/>
      <c r="G237" s="131"/>
      <c r="H237" s="131"/>
      <c r="I237" s="131"/>
      <c r="J237" s="132"/>
      <c r="K237" s="131"/>
      <c r="L237" s="630"/>
      <c r="M237" s="629"/>
      <c r="N237" s="629"/>
      <c r="O237" s="131"/>
      <c r="P237" s="147"/>
      <c r="Q237" s="161"/>
      <c r="AM237" s="1" t="e">
        <v>#REF!</v>
      </c>
      <c r="AN237" s="1" t="e">
        <v>#REF!</v>
      </c>
      <c r="AO237" s="1" t="e">
        <v>#REF!</v>
      </c>
      <c r="AP237" s="1" t="e">
        <v>#REF!</v>
      </c>
      <c r="AQ237" s="1" t="e">
        <v>#REF!</v>
      </c>
      <c r="AR237" s="1" t="e">
        <v>#REF!</v>
      </c>
      <c r="AS237" s="1" t="e">
        <v>#REF!</v>
      </c>
      <c r="AT237" s="2" t="e">
        <v>#REF!</v>
      </c>
      <c r="AU237" s="1" t="e">
        <v>#REF!</v>
      </c>
      <c r="AV237" s="2" t="e">
        <v>#REF!</v>
      </c>
      <c r="AW237" s="1" t="e">
        <v>#REF!</v>
      </c>
      <c r="AX237" s="1" t="e">
        <v>#REF!</v>
      </c>
      <c r="AY237" s="1" t="e">
        <v>#REF!</v>
      </c>
      <c r="AZ237" s="1" t="e">
        <v>#REF!</v>
      </c>
      <c r="BA237" s="1" t="e">
        <v>#REF!</v>
      </c>
      <c r="BB237" s="1" t="e">
        <v>#REF!</v>
      </c>
    </row>
    <row r="238" spans="2:54" ht="17.5">
      <c r="B238" s="629"/>
      <c r="C238" s="172"/>
      <c r="D238" s="131"/>
      <c r="E238" s="131"/>
      <c r="F238" s="131"/>
      <c r="G238" s="131"/>
      <c r="H238" s="131"/>
      <c r="I238" s="131"/>
      <c r="J238" s="132"/>
      <c r="K238" s="131"/>
      <c r="L238" s="132"/>
      <c r="M238" s="131"/>
      <c r="N238" s="629"/>
      <c r="O238" s="131"/>
      <c r="P238" s="147"/>
      <c r="Q238" s="161"/>
      <c r="AM238" s="1" t="e">
        <v>#REF!</v>
      </c>
      <c r="AN238" s="1" t="e">
        <v>#REF!</v>
      </c>
      <c r="AO238" s="1" t="e">
        <v>#REF!</v>
      </c>
      <c r="AP238" s="1" t="e">
        <v>#REF!</v>
      </c>
      <c r="AQ238" s="1" t="e">
        <v>#REF!</v>
      </c>
      <c r="AR238" s="1" t="e">
        <v>#REF!</v>
      </c>
      <c r="AS238" s="1" t="e">
        <v>#REF!</v>
      </c>
      <c r="AT238" s="2" t="e">
        <v>#REF!</v>
      </c>
      <c r="AU238" s="1" t="e">
        <v>#REF!</v>
      </c>
      <c r="AV238" s="2" t="e">
        <v>#REF!</v>
      </c>
      <c r="AW238" s="1" t="e">
        <v>#REF!</v>
      </c>
      <c r="AX238" s="1" t="e">
        <v>#REF!</v>
      </c>
      <c r="AY238" s="1" t="e">
        <v>#REF!</v>
      </c>
      <c r="AZ238" s="1" t="e">
        <v>#REF!</v>
      </c>
      <c r="BA238" s="1" t="e">
        <v>#REF!</v>
      </c>
      <c r="BB238" s="1" t="e">
        <v>#REF!</v>
      </c>
    </row>
    <row r="239" spans="2:54" ht="17.5">
      <c r="B239" s="629"/>
      <c r="C239" s="172"/>
      <c r="D239" s="131"/>
      <c r="E239" s="131"/>
      <c r="F239" s="131"/>
      <c r="G239" s="131"/>
      <c r="H239" s="131"/>
      <c r="I239" s="131"/>
      <c r="J239" s="132"/>
      <c r="K239" s="131"/>
      <c r="L239" s="132"/>
      <c r="M239" s="131"/>
      <c r="N239" s="629"/>
      <c r="O239" s="131"/>
      <c r="P239" s="147"/>
      <c r="Q239" s="161"/>
      <c r="AM239" s="1" t="e">
        <v>#REF!</v>
      </c>
      <c r="AN239" s="1" t="e">
        <v>#REF!</v>
      </c>
      <c r="AO239" s="1" t="e">
        <v>#REF!</v>
      </c>
      <c r="AP239" s="1" t="e">
        <v>#REF!</v>
      </c>
      <c r="AQ239" s="1" t="e">
        <v>#REF!</v>
      </c>
      <c r="AR239" s="1" t="e">
        <v>#REF!</v>
      </c>
      <c r="AS239" s="1" t="e">
        <v>#REF!</v>
      </c>
      <c r="AT239" s="2" t="e">
        <v>#REF!</v>
      </c>
      <c r="AU239" s="1" t="e">
        <v>#REF!</v>
      </c>
      <c r="AV239" s="2" t="e">
        <v>#REF!</v>
      </c>
      <c r="AW239" s="1" t="e">
        <v>#REF!</v>
      </c>
      <c r="AX239" s="1" t="e">
        <v>#REF!</v>
      </c>
      <c r="AY239" s="1" t="e">
        <v>#REF!</v>
      </c>
      <c r="AZ239" s="1" t="e">
        <v>#REF!</v>
      </c>
      <c r="BA239" s="1" t="e">
        <v>#REF!</v>
      </c>
      <c r="BB239" s="1" t="e">
        <v>#REF!</v>
      </c>
    </row>
    <row r="240" spans="2:54" ht="17.5">
      <c r="B240" s="629"/>
      <c r="C240" s="172"/>
      <c r="D240" s="131"/>
      <c r="E240" s="131"/>
      <c r="F240" s="131"/>
      <c r="G240" s="131"/>
      <c r="H240" s="131"/>
      <c r="I240" s="131"/>
      <c r="J240" s="132"/>
      <c r="K240" s="131"/>
      <c r="L240" s="132"/>
      <c r="M240" s="131"/>
      <c r="N240" s="629"/>
      <c r="O240" s="131"/>
      <c r="P240" s="147"/>
      <c r="Q240" s="161"/>
      <c r="AM240" s="1" t="e">
        <v>#REF!</v>
      </c>
      <c r="AN240" s="1" t="e">
        <v>#REF!</v>
      </c>
      <c r="AO240" s="1" t="e">
        <v>#REF!</v>
      </c>
      <c r="AP240" s="1" t="e">
        <v>#REF!</v>
      </c>
      <c r="AQ240" s="1" t="e">
        <v>#REF!</v>
      </c>
      <c r="AR240" s="1" t="e">
        <v>#REF!</v>
      </c>
      <c r="AS240" s="1" t="e">
        <v>#REF!</v>
      </c>
      <c r="AT240" s="2" t="e">
        <v>#REF!</v>
      </c>
      <c r="AU240" s="1" t="e">
        <v>#REF!</v>
      </c>
      <c r="AV240" s="2" t="e">
        <v>#REF!</v>
      </c>
      <c r="AW240" s="1" t="e">
        <v>#REF!</v>
      </c>
      <c r="AX240" s="1" t="e">
        <v>#REF!</v>
      </c>
      <c r="AY240" s="1" t="e">
        <v>#REF!</v>
      </c>
      <c r="AZ240" s="1" t="e">
        <v>#REF!</v>
      </c>
      <c r="BA240" s="1" t="e">
        <v>#REF!</v>
      </c>
      <c r="BB240" s="1" t="e">
        <v>#REF!</v>
      </c>
    </row>
    <row r="241" spans="2:54" ht="17.5">
      <c r="B241" s="629"/>
      <c r="C241" s="172"/>
      <c r="D241" s="131"/>
      <c r="E241" s="131"/>
      <c r="F241" s="131"/>
      <c r="G241" s="131"/>
      <c r="H241" s="643"/>
      <c r="I241" s="131"/>
      <c r="J241" s="132"/>
      <c r="K241" s="131"/>
      <c r="L241" s="132"/>
      <c r="M241" s="131"/>
      <c r="N241" s="629"/>
      <c r="O241" s="131"/>
      <c r="P241" s="147"/>
      <c r="Q241" s="161"/>
      <c r="AM241" s="1" t="e">
        <v>#REF!</v>
      </c>
      <c r="AN241" s="1" t="e">
        <v>#REF!</v>
      </c>
      <c r="AO241" s="1" t="e">
        <v>#REF!</v>
      </c>
      <c r="AP241" s="1" t="e">
        <v>#REF!</v>
      </c>
      <c r="AQ241" s="1" t="e">
        <v>#REF!</v>
      </c>
      <c r="AR241" s="1" t="e">
        <v>#REF!</v>
      </c>
      <c r="AS241" s="1" t="e">
        <v>#REF!</v>
      </c>
      <c r="AT241" s="2" t="e">
        <v>#REF!</v>
      </c>
      <c r="AU241" s="1" t="e">
        <v>#REF!</v>
      </c>
      <c r="AV241" s="2" t="e">
        <v>#REF!</v>
      </c>
      <c r="AW241" s="1" t="e">
        <v>#REF!</v>
      </c>
      <c r="AX241" s="1" t="e">
        <v>#REF!</v>
      </c>
      <c r="AY241" s="1" t="e">
        <v>#REF!</v>
      </c>
      <c r="AZ241" s="1" t="e">
        <v>#REF!</v>
      </c>
      <c r="BA241" s="1" t="e">
        <v>#REF!</v>
      </c>
      <c r="BB241" s="1" t="e">
        <v>#REF!</v>
      </c>
    </row>
    <row r="242" spans="2:54" ht="17.5">
      <c r="B242" s="629"/>
      <c r="C242" s="172"/>
      <c r="D242" s="131"/>
      <c r="E242" s="131"/>
      <c r="F242" s="131"/>
      <c r="G242" s="131"/>
      <c r="H242" s="131"/>
      <c r="I242" s="131"/>
      <c r="J242" s="132"/>
      <c r="K242" s="131"/>
      <c r="L242" s="132"/>
      <c r="M242" s="131"/>
      <c r="N242" s="629"/>
      <c r="O242" s="131"/>
      <c r="P242" s="147"/>
      <c r="Q242" s="161"/>
      <c r="AM242" s="1" t="e">
        <v>#REF!</v>
      </c>
      <c r="AN242" s="1" t="e">
        <v>#REF!</v>
      </c>
      <c r="AO242" s="1" t="e">
        <v>#REF!</v>
      </c>
      <c r="AP242" s="1" t="e">
        <v>#REF!</v>
      </c>
      <c r="AQ242" s="1" t="e">
        <v>#REF!</v>
      </c>
      <c r="AR242" s="1" t="e">
        <v>#REF!</v>
      </c>
      <c r="AS242" s="1" t="e">
        <v>#REF!</v>
      </c>
      <c r="AT242" s="2" t="e">
        <v>#REF!</v>
      </c>
      <c r="AU242" s="1" t="e">
        <v>#REF!</v>
      </c>
      <c r="AV242" s="2" t="e">
        <v>#REF!</v>
      </c>
      <c r="AW242" s="1" t="e">
        <v>#REF!</v>
      </c>
      <c r="AX242" s="1" t="e">
        <v>#REF!</v>
      </c>
      <c r="AY242" s="1" t="e">
        <v>#REF!</v>
      </c>
      <c r="AZ242" s="1" t="e">
        <v>#REF!</v>
      </c>
      <c r="BA242" s="1" t="e">
        <v>#REF!</v>
      </c>
      <c r="BB242" s="1" t="e">
        <v>#REF!</v>
      </c>
    </row>
    <row r="243" spans="2:54" ht="17.5">
      <c r="B243" s="629"/>
      <c r="C243" s="172"/>
      <c r="D243" s="131"/>
      <c r="E243" s="131"/>
      <c r="F243" s="131"/>
      <c r="G243" s="131"/>
      <c r="H243" s="131"/>
      <c r="I243" s="131"/>
      <c r="J243" s="132"/>
      <c r="K243" s="131"/>
      <c r="L243" s="132"/>
      <c r="M243" s="131"/>
      <c r="N243" s="629"/>
      <c r="O243" s="131"/>
      <c r="P243" s="147"/>
      <c r="Q243" s="161"/>
      <c r="AM243" s="1" t="e">
        <v>#REF!</v>
      </c>
      <c r="AN243" s="1" t="e">
        <v>#REF!</v>
      </c>
      <c r="AO243" s="1" t="e">
        <v>#REF!</v>
      </c>
      <c r="AP243" s="1" t="e">
        <v>#REF!</v>
      </c>
      <c r="AQ243" s="1" t="e">
        <v>#REF!</v>
      </c>
      <c r="AR243" s="1" t="e">
        <v>#REF!</v>
      </c>
      <c r="AS243" s="1" t="e">
        <v>#REF!</v>
      </c>
      <c r="AT243" s="2" t="e">
        <v>#REF!</v>
      </c>
      <c r="AU243" s="1" t="e">
        <v>#REF!</v>
      </c>
      <c r="AV243" s="2" t="e">
        <v>#REF!</v>
      </c>
      <c r="AW243" s="1" t="e">
        <v>#REF!</v>
      </c>
      <c r="AX243" s="1" t="e">
        <v>#REF!</v>
      </c>
      <c r="AY243" s="1" t="e">
        <v>#REF!</v>
      </c>
      <c r="AZ243" s="1" t="e">
        <v>#REF!</v>
      </c>
      <c r="BA243" s="1" t="e">
        <v>#REF!</v>
      </c>
      <c r="BB243" s="1" t="e">
        <v>#REF!</v>
      </c>
    </row>
    <row r="244" spans="2:54" ht="17.5">
      <c r="B244" s="629"/>
      <c r="C244" s="172"/>
      <c r="D244" s="131"/>
      <c r="E244" s="131"/>
      <c r="F244" s="131"/>
      <c r="G244" s="131"/>
      <c r="H244" s="131"/>
      <c r="I244" s="131"/>
      <c r="J244" s="132"/>
      <c r="K244" s="131"/>
      <c r="L244" s="132"/>
      <c r="M244" s="131"/>
      <c r="N244" s="629"/>
      <c r="O244" s="131"/>
      <c r="P244" s="147"/>
      <c r="Q244" s="161"/>
      <c r="AM244" s="1" t="e">
        <v>#REF!</v>
      </c>
      <c r="AN244" s="1" t="e">
        <v>#REF!</v>
      </c>
      <c r="AO244" s="1" t="e">
        <v>#REF!</v>
      </c>
      <c r="AP244" s="1" t="e">
        <v>#REF!</v>
      </c>
      <c r="AQ244" s="1" t="e">
        <v>#REF!</v>
      </c>
      <c r="AR244" s="1" t="e">
        <v>#REF!</v>
      </c>
      <c r="AS244" s="1" t="e">
        <v>#REF!</v>
      </c>
      <c r="AT244" s="2" t="e">
        <v>#REF!</v>
      </c>
      <c r="AU244" s="1" t="e">
        <v>#REF!</v>
      </c>
      <c r="AV244" s="2" t="e">
        <v>#REF!</v>
      </c>
      <c r="AW244" s="1" t="e">
        <v>#REF!</v>
      </c>
      <c r="AX244" s="1" t="e">
        <v>#REF!</v>
      </c>
      <c r="AY244" s="1" t="e">
        <v>#REF!</v>
      </c>
      <c r="AZ244" s="1" t="e">
        <v>#REF!</v>
      </c>
      <c r="BA244" s="1" t="e">
        <v>#REF!</v>
      </c>
      <c r="BB244" s="1" t="e">
        <v>#REF!</v>
      </c>
    </row>
    <row r="245" spans="2:54" ht="17.5">
      <c r="B245" s="629"/>
      <c r="C245" s="131"/>
      <c r="D245" s="131"/>
      <c r="E245" s="131"/>
      <c r="F245" s="131"/>
      <c r="G245" s="131"/>
      <c r="H245" s="131"/>
      <c r="I245" s="131"/>
      <c r="J245" s="132"/>
      <c r="K245" s="131"/>
      <c r="L245" s="132"/>
      <c r="M245" s="131"/>
      <c r="N245" s="629"/>
      <c r="O245" s="131"/>
      <c r="P245" s="147"/>
      <c r="Q245" s="161"/>
      <c r="AM245" s="1" t="e">
        <v>#REF!</v>
      </c>
      <c r="AN245" s="1" t="e">
        <v>#REF!</v>
      </c>
      <c r="AO245" s="1" t="e">
        <v>#REF!</v>
      </c>
      <c r="AP245" s="1" t="e">
        <v>#REF!</v>
      </c>
      <c r="AQ245" s="1" t="e">
        <v>#REF!</v>
      </c>
      <c r="AR245" s="1" t="e">
        <v>#REF!</v>
      </c>
      <c r="AS245" s="1" t="e">
        <v>#REF!</v>
      </c>
      <c r="AT245" s="2" t="e">
        <v>#REF!</v>
      </c>
      <c r="AU245" s="1" t="e">
        <v>#REF!</v>
      </c>
      <c r="AV245" s="2" t="e">
        <v>#REF!</v>
      </c>
      <c r="AW245" s="1" t="e">
        <v>#REF!</v>
      </c>
      <c r="AX245" s="1" t="e">
        <v>#REF!</v>
      </c>
      <c r="AY245" s="1" t="e">
        <v>#REF!</v>
      </c>
      <c r="AZ245" s="1" t="e">
        <v>#REF!</v>
      </c>
      <c r="BA245" s="1" t="e">
        <v>#REF!</v>
      </c>
      <c r="BB245" s="1" t="e">
        <v>#REF!</v>
      </c>
    </row>
    <row r="246" spans="2:54" ht="17.5">
      <c r="B246" s="629"/>
      <c r="C246" s="644"/>
      <c r="D246" s="131"/>
      <c r="E246" s="131"/>
      <c r="F246" s="131"/>
      <c r="G246" s="131"/>
      <c r="H246" s="131"/>
      <c r="I246" s="131"/>
      <c r="J246" s="132"/>
      <c r="K246" s="131"/>
      <c r="L246" s="132"/>
      <c r="M246" s="131"/>
      <c r="N246" s="629"/>
      <c r="O246" s="131"/>
      <c r="P246" s="147"/>
      <c r="Q246" s="161"/>
      <c r="AM246" s="1" t="e">
        <v>#REF!</v>
      </c>
      <c r="AN246" s="1" t="e">
        <v>#REF!</v>
      </c>
      <c r="AO246" s="1" t="e">
        <v>#REF!</v>
      </c>
      <c r="AP246" s="1" t="e">
        <v>#REF!</v>
      </c>
      <c r="AQ246" s="1" t="e">
        <v>#REF!</v>
      </c>
      <c r="AR246" s="1" t="e">
        <v>#REF!</v>
      </c>
      <c r="AS246" s="1" t="e">
        <v>#REF!</v>
      </c>
      <c r="AT246" s="2" t="e">
        <v>#REF!</v>
      </c>
      <c r="AU246" s="1" t="e">
        <v>#REF!</v>
      </c>
      <c r="AV246" s="2" t="e">
        <v>#REF!</v>
      </c>
      <c r="AW246" s="1" t="e">
        <v>#REF!</v>
      </c>
      <c r="AX246" s="1" t="e">
        <v>#REF!</v>
      </c>
      <c r="AY246" s="1" t="e">
        <v>#REF!</v>
      </c>
      <c r="AZ246" s="1" t="e">
        <v>#REF!</v>
      </c>
      <c r="BA246" s="1" t="e">
        <v>#REF!</v>
      </c>
      <c r="BB246" s="1" t="e">
        <v>#REF!</v>
      </c>
    </row>
    <row r="247" spans="2:54" ht="17.5">
      <c r="B247" s="629"/>
      <c r="C247" s="172"/>
      <c r="D247" s="131"/>
      <c r="E247" s="131"/>
      <c r="F247" s="131"/>
      <c r="G247" s="131"/>
      <c r="H247" s="132"/>
      <c r="I247" s="131"/>
      <c r="J247" s="132"/>
      <c r="K247" s="131"/>
      <c r="L247" s="132"/>
      <c r="M247" s="131"/>
      <c r="N247" s="629"/>
      <c r="O247" s="131"/>
      <c r="P247" s="147"/>
      <c r="Q247" s="161"/>
      <c r="AM247" s="1" t="e">
        <v>#REF!</v>
      </c>
      <c r="AN247" s="1" t="e">
        <v>#REF!</v>
      </c>
      <c r="AO247" s="1" t="e">
        <v>#REF!</v>
      </c>
      <c r="AP247" s="1" t="e">
        <v>#REF!</v>
      </c>
      <c r="AQ247" s="1" t="e">
        <v>#REF!</v>
      </c>
      <c r="AR247" s="1" t="e">
        <v>#REF!</v>
      </c>
      <c r="AS247" s="1" t="e">
        <v>#REF!</v>
      </c>
      <c r="AT247" s="2" t="e">
        <v>#REF!</v>
      </c>
      <c r="AU247" s="1" t="e">
        <v>#REF!</v>
      </c>
      <c r="AV247" s="2" t="e">
        <v>#REF!</v>
      </c>
      <c r="AW247" s="1" t="e">
        <v>#REF!</v>
      </c>
      <c r="AX247" s="1" t="e">
        <v>#REF!</v>
      </c>
      <c r="AY247" s="1" t="e">
        <v>#REF!</v>
      </c>
      <c r="AZ247" s="1" t="e">
        <v>#REF!</v>
      </c>
      <c r="BA247" s="1" t="e">
        <v>#REF!</v>
      </c>
      <c r="BB247" s="1" t="e">
        <v>#REF!</v>
      </c>
    </row>
    <row r="248" spans="2:54" ht="17.5">
      <c r="B248" s="629"/>
      <c r="C248" s="172"/>
      <c r="D248" s="131"/>
      <c r="E248" s="131"/>
      <c r="F248" s="131"/>
      <c r="G248" s="131"/>
      <c r="H248" s="132"/>
      <c r="I248" s="131"/>
      <c r="J248" s="132"/>
      <c r="K248" s="131"/>
      <c r="L248" s="132"/>
      <c r="M248" s="131"/>
      <c r="N248" s="629"/>
      <c r="O248" s="131"/>
      <c r="P248" s="147"/>
      <c r="Q248" s="161"/>
      <c r="AM248" s="1" t="e">
        <v>#REF!</v>
      </c>
      <c r="AN248" s="1" t="e">
        <v>#REF!</v>
      </c>
      <c r="AO248" s="1" t="e">
        <v>#REF!</v>
      </c>
      <c r="AP248" s="1" t="e">
        <v>#REF!</v>
      </c>
      <c r="AQ248" s="1" t="e">
        <v>#REF!</v>
      </c>
      <c r="AR248" s="1" t="e">
        <v>#REF!</v>
      </c>
      <c r="AS248" s="1" t="e">
        <v>#REF!</v>
      </c>
      <c r="AT248" s="2" t="e">
        <v>#REF!</v>
      </c>
      <c r="AU248" s="1" t="e">
        <v>#REF!</v>
      </c>
      <c r="AV248" s="2" t="e">
        <v>#REF!</v>
      </c>
      <c r="AW248" s="1" t="e">
        <v>#REF!</v>
      </c>
      <c r="AX248" s="1" t="e">
        <v>#REF!</v>
      </c>
      <c r="AY248" s="1" t="e">
        <v>#REF!</v>
      </c>
      <c r="AZ248" s="1" t="e">
        <v>#REF!</v>
      </c>
      <c r="BA248" s="1" t="e">
        <v>#REF!</v>
      </c>
      <c r="BB248" s="1" t="e">
        <v>#REF!</v>
      </c>
    </row>
    <row r="249" spans="2:54" ht="17.5">
      <c r="B249" s="629"/>
      <c r="C249" s="172"/>
      <c r="D249" s="131"/>
      <c r="E249" s="131"/>
      <c r="F249" s="131"/>
      <c r="G249" s="131"/>
      <c r="H249" s="132"/>
      <c r="I249" s="131"/>
      <c r="J249" s="132"/>
      <c r="K249" s="131"/>
      <c r="L249" s="132"/>
      <c r="M249" s="131"/>
      <c r="N249" s="629"/>
      <c r="O249" s="131"/>
      <c r="P249" s="147"/>
      <c r="Q249" s="161"/>
      <c r="AM249" s="1" t="e">
        <v>#REF!</v>
      </c>
      <c r="AN249" s="1" t="e">
        <v>#REF!</v>
      </c>
      <c r="AO249" s="1" t="e">
        <v>#REF!</v>
      </c>
      <c r="AP249" s="1" t="e">
        <v>#REF!</v>
      </c>
      <c r="AQ249" s="1" t="e">
        <v>#REF!</v>
      </c>
      <c r="AR249" s="1" t="e">
        <v>#REF!</v>
      </c>
      <c r="AS249" s="1" t="e">
        <v>#REF!</v>
      </c>
      <c r="AT249" s="2" t="e">
        <v>#REF!</v>
      </c>
      <c r="AU249" s="1" t="e">
        <v>#REF!</v>
      </c>
      <c r="AV249" s="2" t="e">
        <v>#REF!</v>
      </c>
      <c r="AW249" s="1" t="e">
        <v>#REF!</v>
      </c>
      <c r="AX249" s="1" t="e">
        <v>#REF!</v>
      </c>
      <c r="AY249" s="1" t="e">
        <v>#REF!</v>
      </c>
      <c r="AZ249" s="1" t="e">
        <v>#REF!</v>
      </c>
      <c r="BA249" s="1" t="e">
        <v>#REF!</v>
      </c>
      <c r="BB249" s="1" t="e">
        <v>#REF!</v>
      </c>
    </row>
    <row r="250" spans="2:54" ht="17.5">
      <c r="B250" s="629"/>
      <c r="C250" s="644"/>
      <c r="D250" s="131"/>
      <c r="E250" s="131"/>
      <c r="F250" s="131"/>
      <c r="G250" s="131"/>
      <c r="H250" s="131"/>
      <c r="I250" s="131"/>
      <c r="J250" s="132"/>
      <c r="K250" s="131"/>
      <c r="L250" s="132"/>
      <c r="M250" s="131"/>
      <c r="N250" s="629"/>
      <c r="O250" s="131"/>
      <c r="P250" s="147"/>
      <c r="Q250" s="161"/>
      <c r="AM250" s="1" t="e">
        <v>#REF!</v>
      </c>
      <c r="AN250" s="1" t="e">
        <v>#REF!</v>
      </c>
      <c r="AO250" s="1" t="e">
        <v>#REF!</v>
      </c>
      <c r="AP250" s="1" t="e">
        <v>#REF!</v>
      </c>
      <c r="AQ250" s="1" t="e">
        <v>#REF!</v>
      </c>
      <c r="AR250" s="1" t="e">
        <v>#REF!</v>
      </c>
      <c r="AS250" s="1" t="e">
        <v>#REF!</v>
      </c>
      <c r="AT250" s="2" t="e">
        <v>#REF!</v>
      </c>
      <c r="AU250" s="1" t="e">
        <v>#REF!</v>
      </c>
      <c r="AV250" s="2" t="e">
        <v>#REF!</v>
      </c>
      <c r="AW250" s="1" t="e">
        <v>#REF!</v>
      </c>
      <c r="AX250" s="1" t="e">
        <v>#REF!</v>
      </c>
      <c r="AY250" s="1" t="e">
        <v>#REF!</v>
      </c>
      <c r="AZ250" s="1" t="e">
        <v>#REF!</v>
      </c>
      <c r="BA250" s="1" t="e">
        <v>#REF!</v>
      </c>
      <c r="BB250" s="1" t="e">
        <v>#REF!</v>
      </c>
    </row>
    <row r="251" spans="2:54" ht="17.5">
      <c r="B251" s="629"/>
      <c r="C251" s="642"/>
      <c r="D251" s="131"/>
      <c r="E251" s="131"/>
      <c r="F251" s="131"/>
      <c r="G251" s="131"/>
      <c r="H251" s="643"/>
      <c r="I251" s="131"/>
      <c r="J251" s="132"/>
      <c r="K251" s="131"/>
      <c r="L251" s="132"/>
      <c r="M251" s="131"/>
      <c r="N251" s="629"/>
      <c r="O251" s="131"/>
      <c r="P251" s="147"/>
      <c r="Q251" s="161"/>
      <c r="AM251" s="1" t="e">
        <v>#REF!</v>
      </c>
      <c r="AN251" s="1" t="e">
        <v>#REF!</v>
      </c>
      <c r="AO251" s="1" t="e">
        <v>#REF!</v>
      </c>
      <c r="AP251" s="1" t="e">
        <v>#REF!</v>
      </c>
      <c r="AQ251" s="1" t="e">
        <v>#REF!</v>
      </c>
      <c r="AR251" s="1" t="e">
        <v>#REF!</v>
      </c>
      <c r="AS251" s="1" t="e">
        <v>#REF!</v>
      </c>
      <c r="AT251" s="2" t="e">
        <v>#REF!</v>
      </c>
      <c r="AU251" s="1" t="e">
        <v>#REF!</v>
      </c>
      <c r="AV251" s="2" t="e">
        <v>#REF!</v>
      </c>
      <c r="AW251" s="1" t="e">
        <v>#REF!</v>
      </c>
      <c r="AX251" s="1" t="e">
        <v>#REF!</v>
      </c>
      <c r="AY251" s="1" t="e">
        <v>#REF!</v>
      </c>
      <c r="AZ251" s="1" t="e">
        <v>#REF!</v>
      </c>
      <c r="BA251" s="1" t="e">
        <v>#REF!</v>
      </c>
      <c r="BB251" s="1" t="e">
        <v>#REF!</v>
      </c>
    </row>
    <row r="252" spans="2:54" ht="17.5">
      <c r="B252" s="629"/>
      <c r="C252" s="172"/>
      <c r="D252" s="131"/>
      <c r="E252" s="131"/>
      <c r="F252" s="131"/>
      <c r="G252" s="131"/>
      <c r="H252" s="132"/>
      <c r="I252" s="131"/>
      <c r="J252" s="132"/>
      <c r="K252" s="131"/>
      <c r="L252" s="132"/>
      <c r="M252" s="131"/>
      <c r="N252" s="629"/>
      <c r="O252" s="131"/>
      <c r="P252" s="147"/>
      <c r="Q252" s="161"/>
      <c r="AM252" s="1" t="e">
        <v>#REF!</v>
      </c>
      <c r="AN252" s="1" t="e">
        <v>#REF!</v>
      </c>
      <c r="AO252" s="1" t="e">
        <v>#REF!</v>
      </c>
      <c r="AP252" s="1" t="e">
        <v>#REF!</v>
      </c>
      <c r="AQ252" s="1" t="e">
        <v>#REF!</v>
      </c>
      <c r="AR252" s="1" t="e">
        <v>#REF!</v>
      </c>
      <c r="AS252" s="1" t="e">
        <v>#REF!</v>
      </c>
      <c r="AT252" s="2" t="e">
        <v>#REF!</v>
      </c>
      <c r="AU252" s="1" t="e">
        <v>#REF!</v>
      </c>
      <c r="AV252" s="2" t="e">
        <v>#REF!</v>
      </c>
      <c r="AW252" s="1" t="e">
        <v>#REF!</v>
      </c>
      <c r="AX252" s="1" t="e">
        <v>#REF!</v>
      </c>
      <c r="AY252" s="1" t="e">
        <v>#REF!</v>
      </c>
      <c r="AZ252" s="1" t="e">
        <v>#REF!</v>
      </c>
      <c r="BA252" s="1" t="e">
        <v>#REF!</v>
      </c>
      <c r="BB252" s="1" t="e">
        <v>#REF!</v>
      </c>
    </row>
    <row r="253" spans="2:54" ht="17.5">
      <c r="B253" s="629"/>
      <c r="C253" s="172"/>
      <c r="D253" s="131"/>
      <c r="E253" s="131"/>
      <c r="F253" s="131"/>
      <c r="G253" s="131"/>
      <c r="H253" s="643"/>
      <c r="I253" s="131"/>
      <c r="J253" s="132"/>
      <c r="K253" s="131"/>
      <c r="L253" s="132"/>
      <c r="M253" s="131"/>
      <c r="N253" s="629"/>
      <c r="O253" s="131"/>
      <c r="P253" s="147"/>
      <c r="Q253" s="161"/>
      <c r="AM253" s="1" t="e">
        <v>#REF!</v>
      </c>
      <c r="AN253" s="1" t="e">
        <v>#REF!</v>
      </c>
      <c r="AO253" s="1" t="e">
        <v>#REF!</v>
      </c>
      <c r="AP253" s="1" t="e">
        <v>#REF!</v>
      </c>
      <c r="AQ253" s="1" t="e">
        <v>#REF!</v>
      </c>
      <c r="AR253" s="1" t="e">
        <v>#REF!</v>
      </c>
      <c r="AS253" s="1" t="e">
        <v>#REF!</v>
      </c>
      <c r="AT253" s="2" t="e">
        <v>#REF!</v>
      </c>
      <c r="AU253" s="1" t="e">
        <v>#REF!</v>
      </c>
      <c r="AV253" s="2" t="e">
        <v>#REF!</v>
      </c>
      <c r="AW253" s="1" t="e">
        <v>#REF!</v>
      </c>
      <c r="AX253" s="1" t="e">
        <v>#REF!</v>
      </c>
      <c r="AY253" s="1" t="e">
        <v>#REF!</v>
      </c>
      <c r="AZ253" s="1" t="e">
        <v>#REF!</v>
      </c>
      <c r="BA253" s="1" t="e">
        <v>#REF!</v>
      </c>
      <c r="BB253" s="1" t="e">
        <v>#REF!</v>
      </c>
    </row>
    <row r="254" spans="2:54" ht="17.5">
      <c r="B254" s="629"/>
      <c r="C254" s="61"/>
      <c r="D254" s="629"/>
      <c r="E254" s="629"/>
      <c r="F254" s="629"/>
      <c r="G254" s="629"/>
      <c r="H254" s="132"/>
      <c r="I254" s="131"/>
      <c r="J254" s="132"/>
      <c r="K254" s="131"/>
      <c r="L254" s="132"/>
      <c r="M254" s="131"/>
      <c r="N254" s="629"/>
      <c r="O254" s="131"/>
      <c r="P254" s="147"/>
      <c r="Q254" s="161"/>
      <c r="AM254" s="1" t="e">
        <v>#REF!</v>
      </c>
      <c r="AN254" s="1" t="e">
        <v>#REF!</v>
      </c>
      <c r="AO254" s="1" t="e">
        <v>#REF!</v>
      </c>
      <c r="AP254" s="1" t="e">
        <v>#REF!</v>
      </c>
      <c r="AQ254" s="1" t="e">
        <v>#REF!</v>
      </c>
      <c r="AR254" s="1" t="e">
        <v>#REF!</v>
      </c>
      <c r="AS254" s="1" t="e">
        <v>#REF!</v>
      </c>
      <c r="AT254" s="2" t="e">
        <v>#REF!</v>
      </c>
      <c r="AU254" s="1" t="e">
        <v>#REF!</v>
      </c>
      <c r="AV254" s="2" t="e">
        <v>#REF!</v>
      </c>
      <c r="AW254" s="1" t="e">
        <v>#REF!</v>
      </c>
      <c r="AX254" s="1" t="e">
        <v>#REF!</v>
      </c>
      <c r="AY254" s="1" t="e">
        <v>#REF!</v>
      </c>
      <c r="AZ254" s="1" t="e">
        <v>#REF!</v>
      </c>
      <c r="BA254" s="1" t="e">
        <v>#REF!</v>
      </c>
      <c r="BB254" s="1" t="e">
        <v>#REF!</v>
      </c>
    </row>
    <row r="255" spans="2:54" ht="17.5">
      <c r="B255" s="629"/>
      <c r="C255" s="61"/>
      <c r="D255" s="131"/>
      <c r="E255" s="131"/>
      <c r="F255" s="131"/>
      <c r="G255" s="131"/>
      <c r="H255" s="643"/>
      <c r="I255" s="131"/>
      <c r="J255" s="132"/>
      <c r="K255" s="131"/>
      <c r="L255" s="132"/>
      <c r="M255" s="131"/>
      <c r="N255" s="629"/>
      <c r="O255" s="131"/>
      <c r="P255" s="147"/>
      <c r="Q255" s="161"/>
      <c r="AM255" s="1" t="e">
        <v>#REF!</v>
      </c>
      <c r="AN255" s="1" t="e">
        <v>#REF!</v>
      </c>
      <c r="AO255" s="1" t="e">
        <v>#REF!</v>
      </c>
      <c r="AP255" s="1" t="e">
        <v>#REF!</v>
      </c>
      <c r="AQ255" s="1" t="e">
        <v>#REF!</v>
      </c>
      <c r="AR255" s="1" t="e">
        <v>#REF!</v>
      </c>
      <c r="AS255" s="1" t="e">
        <v>#REF!</v>
      </c>
      <c r="AT255" s="2" t="e">
        <v>#REF!</v>
      </c>
      <c r="AU255" s="1" t="e">
        <v>#REF!</v>
      </c>
      <c r="AV255" s="2" t="e">
        <v>#REF!</v>
      </c>
      <c r="AW255" s="1" t="e">
        <v>#REF!</v>
      </c>
      <c r="AX255" s="1" t="e">
        <v>#REF!</v>
      </c>
      <c r="AY255" s="1" t="e">
        <v>#REF!</v>
      </c>
      <c r="AZ255" s="1" t="e">
        <v>#REF!</v>
      </c>
      <c r="BA255" s="1" t="e">
        <v>#REF!</v>
      </c>
      <c r="BB255" s="1" t="e">
        <v>#REF!</v>
      </c>
    </row>
    <row r="256" spans="2:54" ht="17.5">
      <c r="B256" s="629"/>
      <c r="C256" s="172"/>
      <c r="D256" s="131"/>
      <c r="E256" s="131"/>
      <c r="F256" s="131"/>
      <c r="G256" s="131"/>
      <c r="H256" s="131"/>
      <c r="I256" s="131"/>
      <c r="J256" s="132"/>
      <c r="K256" s="131"/>
      <c r="L256" s="132"/>
      <c r="M256" s="131"/>
      <c r="N256" s="629"/>
      <c r="O256" s="131"/>
      <c r="P256" s="147"/>
      <c r="Q256" s="161"/>
      <c r="AM256" s="1" t="e">
        <v>#REF!</v>
      </c>
      <c r="AN256" s="1" t="e">
        <v>#REF!</v>
      </c>
      <c r="AO256" s="1" t="e">
        <v>#REF!</v>
      </c>
      <c r="AP256" s="1" t="e">
        <v>#REF!</v>
      </c>
      <c r="AQ256" s="1" t="e">
        <v>#REF!</v>
      </c>
      <c r="AR256" s="1" t="e">
        <v>#REF!</v>
      </c>
      <c r="AS256" s="1" t="e">
        <v>#REF!</v>
      </c>
      <c r="AT256" s="2" t="e">
        <v>#REF!</v>
      </c>
      <c r="AU256" s="1" t="e">
        <v>#REF!</v>
      </c>
      <c r="AV256" s="2" t="e">
        <v>#REF!</v>
      </c>
      <c r="AW256" s="1" t="e">
        <v>#REF!</v>
      </c>
      <c r="AX256" s="1" t="e">
        <v>#REF!</v>
      </c>
      <c r="AY256" s="1" t="e">
        <v>#REF!</v>
      </c>
      <c r="AZ256" s="1" t="e">
        <v>#REF!</v>
      </c>
      <c r="BA256" s="1" t="e">
        <v>#REF!</v>
      </c>
      <c r="BB256" s="1" t="e">
        <v>#REF!</v>
      </c>
    </row>
    <row r="257" spans="2:54" ht="17.5">
      <c r="B257" s="629"/>
      <c r="C257" s="172"/>
      <c r="D257" s="629"/>
      <c r="E257" s="629"/>
      <c r="F257" s="629"/>
      <c r="G257" s="629"/>
      <c r="H257" s="131"/>
      <c r="I257" s="645"/>
      <c r="J257" s="646"/>
      <c r="K257" s="131"/>
      <c r="L257" s="132"/>
      <c r="M257" s="131"/>
      <c r="N257" s="629"/>
      <c r="O257" s="131"/>
      <c r="P257" s="147"/>
      <c r="Q257" s="161"/>
      <c r="AM257" s="1" t="e">
        <v>#REF!</v>
      </c>
      <c r="AN257" s="1" t="e">
        <v>#REF!</v>
      </c>
      <c r="AO257" s="1" t="e">
        <v>#REF!</v>
      </c>
      <c r="AP257" s="1" t="e">
        <v>#REF!</v>
      </c>
      <c r="AQ257" s="1" t="e">
        <v>#REF!</v>
      </c>
      <c r="AR257" s="1" t="e">
        <v>#REF!</v>
      </c>
      <c r="AS257" s="1" t="e">
        <v>#REF!</v>
      </c>
      <c r="AT257" s="2" t="e">
        <v>#REF!</v>
      </c>
      <c r="AU257" s="1" t="e">
        <v>#REF!</v>
      </c>
      <c r="AV257" s="2" t="e">
        <v>#REF!</v>
      </c>
      <c r="AW257" s="1" t="e">
        <v>#REF!</v>
      </c>
      <c r="AX257" s="1" t="e">
        <v>#REF!</v>
      </c>
      <c r="AY257" s="1" t="e">
        <v>#REF!</v>
      </c>
      <c r="AZ257" s="1" t="e">
        <v>#REF!</v>
      </c>
      <c r="BA257" s="1" t="e">
        <v>#REF!</v>
      </c>
      <c r="BB257" s="1" t="e">
        <v>#REF!</v>
      </c>
    </row>
    <row r="258" spans="2:54" ht="17.5">
      <c r="B258" s="629"/>
      <c r="C258" s="172"/>
      <c r="D258" s="131"/>
      <c r="E258" s="131"/>
      <c r="F258" s="131"/>
      <c r="G258" s="131"/>
      <c r="H258" s="131"/>
      <c r="I258" s="131"/>
      <c r="J258" s="132"/>
      <c r="K258" s="131"/>
      <c r="L258" s="132"/>
      <c r="M258" s="131"/>
      <c r="N258" s="629"/>
      <c r="O258" s="131"/>
      <c r="P258" s="147"/>
      <c r="Q258" s="161"/>
      <c r="AM258" s="1" t="e">
        <v>#REF!</v>
      </c>
      <c r="AN258" s="1" t="e">
        <v>#REF!</v>
      </c>
      <c r="AO258" s="1" t="e">
        <v>#REF!</v>
      </c>
      <c r="AP258" s="1" t="e">
        <v>#REF!</v>
      </c>
      <c r="AQ258" s="1" t="e">
        <v>#REF!</v>
      </c>
      <c r="AR258" s="1" t="e">
        <v>#REF!</v>
      </c>
      <c r="AS258" s="1" t="e">
        <v>#REF!</v>
      </c>
      <c r="AT258" s="2" t="e">
        <v>#REF!</v>
      </c>
      <c r="AU258" s="1" t="e">
        <v>#REF!</v>
      </c>
      <c r="AV258" s="2" t="e">
        <v>#REF!</v>
      </c>
      <c r="AW258" s="1" t="e">
        <v>#REF!</v>
      </c>
      <c r="AX258" s="1" t="e">
        <v>#REF!</v>
      </c>
      <c r="AY258" s="1" t="e">
        <v>#REF!</v>
      </c>
      <c r="AZ258" s="1" t="e">
        <v>#REF!</v>
      </c>
      <c r="BA258" s="1" t="e">
        <v>#REF!</v>
      </c>
      <c r="BB258" s="1" t="e">
        <v>#REF!</v>
      </c>
    </row>
    <row r="259" spans="2:54" ht="17.5">
      <c r="B259" s="629"/>
      <c r="C259" s="172"/>
      <c r="D259" s="131"/>
      <c r="E259" s="131"/>
      <c r="F259" s="131"/>
      <c r="G259" s="131"/>
      <c r="H259" s="131"/>
      <c r="I259" s="131"/>
      <c r="J259" s="132"/>
      <c r="K259" s="131"/>
      <c r="L259" s="132"/>
      <c r="M259" s="131"/>
      <c r="N259" s="629"/>
      <c r="O259" s="131"/>
      <c r="P259" s="147"/>
      <c r="Q259" s="161"/>
      <c r="AM259" s="1" t="e">
        <v>#REF!</v>
      </c>
      <c r="AN259" s="1" t="e">
        <v>#REF!</v>
      </c>
      <c r="AO259" s="1" t="e">
        <v>#REF!</v>
      </c>
      <c r="AP259" s="1" t="e">
        <v>#REF!</v>
      </c>
      <c r="AQ259" s="1" t="e">
        <v>#REF!</v>
      </c>
      <c r="AR259" s="1" t="e">
        <v>#REF!</v>
      </c>
      <c r="AS259" s="1" t="e">
        <v>#REF!</v>
      </c>
      <c r="AT259" s="2" t="e">
        <v>#REF!</v>
      </c>
      <c r="AU259" s="1" t="e">
        <v>#REF!</v>
      </c>
      <c r="AV259" s="2" t="e">
        <v>#REF!</v>
      </c>
      <c r="AW259" s="1" t="e">
        <v>#REF!</v>
      </c>
      <c r="AX259" s="1" t="e">
        <v>#REF!</v>
      </c>
      <c r="AY259" s="1" t="e">
        <v>#REF!</v>
      </c>
      <c r="AZ259" s="1" t="e">
        <v>#REF!</v>
      </c>
      <c r="BA259" s="1" t="e">
        <v>#REF!</v>
      </c>
      <c r="BB259" s="1" t="e">
        <v>#REF!</v>
      </c>
    </row>
    <row r="260" spans="2:54" ht="17.5">
      <c r="B260" s="629"/>
      <c r="C260" s="172"/>
      <c r="D260" s="131"/>
      <c r="E260" s="131"/>
      <c r="F260" s="131"/>
      <c r="G260" s="131"/>
      <c r="H260" s="131"/>
      <c r="I260" s="645"/>
      <c r="J260" s="646"/>
      <c r="K260" s="131"/>
      <c r="L260" s="132"/>
      <c r="M260" s="131"/>
      <c r="N260" s="629"/>
      <c r="O260" s="131"/>
      <c r="P260" s="147"/>
      <c r="Q260" s="161"/>
      <c r="AM260" s="1" t="e">
        <v>#REF!</v>
      </c>
      <c r="AN260" s="1" t="e">
        <v>#REF!</v>
      </c>
      <c r="AO260" s="1" t="e">
        <v>#REF!</v>
      </c>
      <c r="AP260" s="1" t="e">
        <v>#REF!</v>
      </c>
      <c r="AQ260" s="1" t="e">
        <v>#REF!</v>
      </c>
      <c r="AR260" s="1" t="e">
        <v>#REF!</v>
      </c>
      <c r="AS260" s="1" t="e">
        <v>#REF!</v>
      </c>
      <c r="AT260" s="2" t="e">
        <v>#REF!</v>
      </c>
      <c r="AU260" s="1" t="e">
        <v>#REF!</v>
      </c>
      <c r="AV260" s="2" t="e">
        <v>#REF!</v>
      </c>
      <c r="AW260" s="1" t="e">
        <v>#REF!</v>
      </c>
      <c r="AX260" s="1" t="e">
        <v>#REF!</v>
      </c>
      <c r="AY260" s="1" t="e">
        <v>#REF!</v>
      </c>
      <c r="AZ260" s="1" t="e">
        <v>#REF!</v>
      </c>
      <c r="BA260" s="1" t="e">
        <v>#REF!</v>
      </c>
      <c r="BB260" s="1" t="e">
        <v>#REF!</v>
      </c>
    </row>
    <row r="261" spans="2:54" ht="17.5">
      <c r="B261" s="629"/>
      <c r="C261" s="172"/>
      <c r="D261" s="131"/>
      <c r="E261" s="131"/>
      <c r="F261" s="131"/>
      <c r="G261" s="131"/>
      <c r="H261" s="643"/>
      <c r="I261" s="131"/>
      <c r="J261" s="132"/>
      <c r="K261" s="131"/>
      <c r="L261" s="132"/>
      <c r="M261" s="131"/>
      <c r="N261" s="629"/>
      <c r="O261" s="131"/>
      <c r="P261" s="147"/>
      <c r="Q261" s="161"/>
      <c r="AM261" s="1" t="e">
        <v>#REF!</v>
      </c>
      <c r="AN261" s="1" t="e">
        <v>#REF!</v>
      </c>
      <c r="AO261" s="1" t="e">
        <v>#REF!</v>
      </c>
      <c r="AP261" s="1" t="e">
        <v>#REF!</v>
      </c>
      <c r="AQ261" s="1" t="e">
        <v>#REF!</v>
      </c>
      <c r="AR261" s="1" t="e">
        <v>#REF!</v>
      </c>
      <c r="AS261" s="1" t="e">
        <v>#REF!</v>
      </c>
      <c r="AT261" s="2" t="e">
        <v>#REF!</v>
      </c>
      <c r="AU261" s="1" t="e">
        <v>#REF!</v>
      </c>
      <c r="AV261" s="2" t="e">
        <v>#REF!</v>
      </c>
      <c r="AW261" s="1" t="e">
        <v>#REF!</v>
      </c>
      <c r="AX261" s="1" t="e">
        <v>#REF!</v>
      </c>
      <c r="AY261" s="1" t="e">
        <v>#REF!</v>
      </c>
      <c r="AZ261" s="1" t="e">
        <v>#REF!</v>
      </c>
      <c r="BA261" s="1" t="e">
        <v>#REF!</v>
      </c>
      <c r="BB261" s="1" t="e">
        <v>#REF!</v>
      </c>
    </row>
    <row r="262" spans="2:54" ht="17.5">
      <c r="B262" s="629"/>
      <c r="C262" s="61"/>
      <c r="D262" s="131"/>
      <c r="E262" s="131"/>
      <c r="F262" s="131"/>
      <c r="G262" s="131"/>
      <c r="H262" s="132"/>
      <c r="I262" s="131"/>
      <c r="J262" s="132"/>
      <c r="K262" s="131"/>
      <c r="L262" s="132"/>
      <c r="M262" s="131"/>
      <c r="N262" s="629"/>
      <c r="O262" s="131"/>
      <c r="P262" s="147"/>
      <c r="Q262" s="161"/>
      <c r="AM262" s="1" t="e">
        <v>#REF!</v>
      </c>
      <c r="AN262" s="1" t="e">
        <v>#REF!</v>
      </c>
      <c r="AO262" s="1" t="e">
        <v>#REF!</v>
      </c>
      <c r="AP262" s="1" t="e">
        <v>#REF!</v>
      </c>
      <c r="AQ262" s="1" t="e">
        <v>#REF!</v>
      </c>
      <c r="AR262" s="1" t="e">
        <v>#REF!</v>
      </c>
      <c r="AS262" s="1" t="e">
        <v>#REF!</v>
      </c>
      <c r="AT262" s="2" t="e">
        <v>#REF!</v>
      </c>
      <c r="AU262" s="1" t="e">
        <v>#REF!</v>
      </c>
      <c r="AV262" s="2" t="e">
        <v>#REF!</v>
      </c>
      <c r="AW262" s="1" t="e">
        <v>#REF!</v>
      </c>
      <c r="AX262" s="1" t="e">
        <v>#REF!</v>
      </c>
      <c r="AY262" s="1" t="e">
        <v>#REF!</v>
      </c>
      <c r="AZ262" s="1" t="e">
        <v>#REF!</v>
      </c>
      <c r="BA262" s="1" t="e">
        <v>#REF!</v>
      </c>
      <c r="BB262" s="1" t="e">
        <v>#REF!</v>
      </c>
    </row>
    <row r="263" spans="2:54" ht="17.5">
      <c r="B263" s="629"/>
      <c r="C263" s="172"/>
      <c r="D263" s="131"/>
      <c r="E263" s="131"/>
      <c r="F263" s="131"/>
      <c r="G263" s="131"/>
      <c r="H263" s="131"/>
      <c r="I263" s="645"/>
      <c r="J263" s="646"/>
      <c r="K263" s="131"/>
      <c r="L263" s="132"/>
      <c r="M263" s="131"/>
      <c r="N263" s="629"/>
      <c r="O263" s="131"/>
      <c r="P263" s="147"/>
      <c r="Q263" s="161"/>
      <c r="AM263" s="1" t="e">
        <v>#REF!</v>
      </c>
      <c r="AN263" s="1" t="e">
        <v>#REF!</v>
      </c>
      <c r="AO263" s="1" t="e">
        <v>#REF!</v>
      </c>
      <c r="AP263" s="1" t="e">
        <v>#REF!</v>
      </c>
      <c r="AQ263" s="1" t="e">
        <v>#REF!</v>
      </c>
      <c r="AR263" s="1" t="e">
        <v>#REF!</v>
      </c>
      <c r="AS263" s="1" t="e">
        <v>#REF!</v>
      </c>
      <c r="AT263" s="2" t="e">
        <v>#REF!</v>
      </c>
      <c r="AU263" s="1" t="e">
        <v>#REF!</v>
      </c>
      <c r="AV263" s="2" t="e">
        <v>#REF!</v>
      </c>
      <c r="AW263" s="1" t="e">
        <v>#REF!</v>
      </c>
      <c r="AX263" s="1" t="e">
        <v>#REF!</v>
      </c>
      <c r="AY263" s="1" t="e">
        <v>#REF!</v>
      </c>
      <c r="AZ263" s="1" t="e">
        <v>#REF!</v>
      </c>
      <c r="BA263" s="1" t="e">
        <v>#REF!</v>
      </c>
      <c r="BB263" s="1" t="e">
        <v>#REF!</v>
      </c>
    </row>
    <row r="264" spans="2:54" ht="17.5">
      <c r="B264" s="629"/>
      <c r="C264" s="172"/>
      <c r="D264" s="131"/>
      <c r="E264" s="131"/>
      <c r="F264" s="131"/>
      <c r="G264" s="131"/>
      <c r="H264" s="131"/>
      <c r="I264" s="131"/>
      <c r="J264" s="132"/>
      <c r="K264" s="131"/>
      <c r="L264" s="132"/>
      <c r="M264" s="131"/>
      <c r="N264" s="629"/>
      <c r="O264" s="131"/>
      <c r="P264" s="147"/>
      <c r="Q264" s="161"/>
      <c r="AM264" s="1" t="e">
        <v>#REF!</v>
      </c>
      <c r="AN264" s="1" t="e">
        <v>#REF!</v>
      </c>
      <c r="AO264" s="1" t="e">
        <v>#REF!</v>
      </c>
      <c r="AP264" s="1" t="e">
        <v>#REF!</v>
      </c>
      <c r="AQ264" s="1" t="e">
        <v>#REF!</v>
      </c>
      <c r="AR264" s="1" t="e">
        <v>#REF!</v>
      </c>
      <c r="AS264" s="1" t="e">
        <v>#REF!</v>
      </c>
      <c r="AT264" s="2" t="e">
        <v>#REF!</v>
      </c>
      <c r="AU264" s="1" t="e">
        <v>#REF!</v>
      </c>
      <c r="AV264" s="2" t="e">
        <v>#REF!</v>
      </c>
      <c r="AW264" s="1" t="e">
        <v>#REF!</v>
      </c>
      <c r="AX264" s="1" t="e">
        <v>#REF!</v>
      </c>
      <c r="AY264" s="1" t="e">
        <v>#REF!</v>
      </c>
      <c r="AZ264" s="1" t="e">
        <v>#REF!</v>
      </c>
      <c r="BA264" s="1" t="e">
        <v>#REF!</v>
      </c>
      <c r="BB264" s="1" t="e">
        <v>#REF!</v>
      </c>
    </row>
    <row r="265" spans="2:54" ht="17.5">
      <c r="B265" s="629"/>
      <c r="C265" s="172"/>
      <c r="D265" s="131"/>
      <c r="E265" s="131"/>
      <c r="F265" s="131"/>
      <c r="G265" s="131"/>
      <c r="H265" s="131"/>
      <c r="I265" s="131"/>
      <c r="J265" s="132"/>
      <c r="K265" s="131"/>
      <c r="L265" s="132"/>
      <c r="M265" s="131"/>
      <c r="N265" s="629"/>
      <c r="O265" s="131"/>
      <c r="P265" s="147"/>
      <c r="Q265" s="161"/>
      <c r="AM265" s="1" t="e">
        <v>#REF!</v>
      </c>
      <c r="AN265" s="1" t="e">
        <v>#REF!</v>
      </c>
      <c r="AO265" s="1" t="e">
        <v>#REF!</v>
      </c>
      <c r="AP265" s="1" t="e">
        <v>#REF!</v>
      </c>
      <c r="AQ265" s="1" t="e">
        <v>#REF!</v>
      </c>
      <c r="AR265" s="1" t="e">
        <v>#REF!</v>
      </c>
      <c r="AS265" s="1" t="e">
        <v>#REF!</v>
      </c>
      <c r="AT265" s="2" t="e">
        <v>#REF!</v>
      </c>
      <c r="AU265" s="1" t="e">
        <v>#REF!</v>
      </c>
      <c r="AV265" s="2" t="e">
        <v>#REF!</v>
      </c>
      <c r="AW265" s="1" t="e">
        <v>#REF!</v>
      </c>
      <c r="AX265" s="1" t="e">
        <v>#REF!</v>
      </c>
      <c r="AY265" s="1" t="e">
        <v>#REF!</v>
      </c>
      <c r="AZ265" s="1" t="e">
        <v>#REF!</v>
      </c>
      <c r="BA265" s="1" t="e">
        <v>#REF!</v>
      </c>
      <c r="BB265" s="1" t="e">
        <v>#REF!</v>
      </c>
    </row>
    <row r="266" spans="2:54" ht="17.5">
      <c r="B266" s="629"/>
      <c r="C266" s="172"/>
      <c r="D266" s="131"/>
      <c r="E266" s="131"/>
      <c r="F266" s="131"/>
      <c r="G266" s="131"/>
      <c r="H266" s="643"/>
      <c r="I266" s="131"/>
      <c r="J266" s="132"/>
      <c r="K266" s="131"/>
      <c r="L266" s="132"/>
      <c r="M266" s="131"/>
      <c r="N266" s="629"/>
      <c r="O266" s="131"/>
      <c r="P266" s="147"/>
      <c r="Q266" s="161"/>
      <c r="AM266" s="1" t="e">
        <v>#REF!</v>
      </c>
      <c r="AN266" s="1" t="e">
        <v>#REF!</v>
      </c>
      <c r="AO266" s="1" t="e">
        <v>#REF!</v>
      </c>
      <c r="AP266" s="1" t="e">
        <v>#REF!</v>
      </c>
      <c r="AQ266" s="1" t="e">
        <v>#REF!</v>
      </c>
      <c r="AR266" s="1" t="e">
        <v>#REF!</v>
      </c>
      <c r="AS266" s="1" t="e">
        <v>#REF!</v>
      </c>
      <c r="AT266" s="2" t="e">
        <v>#REF!</v>
      </c>
      <c r="AU266" s="1" t="e">
        <v>#REF!</v>
      </c>
      <c r="AV266" s="2" t="e">
        <v>#REF!</v>
      </c>
      <c r="AW266" s="1" t="e">
        <v>#REF!</v>
      </c>
      <c r="AX266" s="1" t="e">
        <v>#REF!</v>
      </c>
      <c r="AY266" s="1" t="e">
        <v>#REF!</v>
      </c>
      <c r="AZ266" s="1" t="e">
        <v>#REF!</v>
      </c>
      <c r="BA266" s="1" t="e">
        <v>#REF!</v>
      </c>
      <c r="BB266" s="1" t="e">
        <v>#REF!</v>
      </c>
    </row>
    <row r="267" spans="2:54" ht="17.5">
      <c r="B267" s="629"/>
      <c r="C267" s="172"/>
      <c r="D267" s="131"/>
      <c r="E267" s="131"/>
      <c r="F267" s="131"/>
      <c r="G267" s="131"/>
      <c r="H267" s="131"/>
      <c r="I267" s="645"/>
      <c r="J267" s="646"/>
      <c r="K267" s="131"/>
      <c r="L267" s="646"/>
      <c r="M267" s="645"/>
      <c r="N267" s="629"/>
      <c r="O267" s="131"/>
      <c r="P267" s="147"/>
      <c r="Q267" s="161"/>
      <c r="AM267" s="1" t="e">
        <v>#REF!</v>
      </c>
      <c r="AN267" s="1" t="e">
        <v>#REF!</v>
      </c>
      <c r="AO267" s="1" t="e">
        <v>#REF!</v>
      </c>
      <c r="AP267" s="1" t="e">
        <v>#REF!</v>
      </c>
      <c r="AQ267" s="1" t="e">
        <v>#REF!</v>
      </c>
      <c r="AR267" s="1" t="e">
        <v>#REF!</v>
      </c>
      <c r="AS267" s="1" t="e">
        <v>#REF!</v>
      </c>
      <c r="AT267" s="2" t="e">
        <v>#REF!</v>
      </c>
      <c r="AU267" s="1" t="e">
        <v>#REF!</v>
      </c>
      <c r="AV267" s="2" t="e">
        <v>#REF!</v>
      </c>
      <c r="AW267" s="1" t="e">
        <v>#REF!</v>
      </c>
      <c r="AX267" s="1" t="e">
        <v>#REF!</v>
      </c>
      <c r="AY267" s="1" t="e">
        <v>#REF!</v>
      </c>
      <c r="AZ267" s="1" t="e">
        <v>#REF!</v>
      </c>
      <c r="BA267" s="1" t="e">
        <v>#REF!</v>
      </c>
      <c r="BB267" s="1" t="e">
        <v>#REF!</v>
      </c>
    </row>
    <row r="268" spans="2:54" ht="17.5">
      <c r="B268" s="629"/>
      <c r="C268" s="172"/>
      <c r="D268" s="131"/>
      <c r="E268" s="131"/>
      <c r="F268" s="131"/>
      <c r="G268" s="131"/>
      <c r="H268" s="131"/>
      <c r="I268" s="645"/>
      <c r="J268" s="646"/>
      <c r="K268" s="131"/>
      <c r="L268" s="132"/>
      <c r="M268" s="131"/>
      <c r="N268" s="629"/>
      <c r="O268" s="131"/>
      <c r="P268" s="147"/>
      <c r="Q268" s="161"/>
      <c r="AM268" s="1" t="e">
        <v>#REF!</v>
      </c>
      <c r="AN268" s="1" t="e">
        <v>#REF!</v>
      </c>
      <c r="AO268" s="1" t="e">
        <v>#REF!</v>
      </c>
      <c r="AP268" s="1" t="e">
        <v>#REF!</v>
      </c>
      <c r="AQ268" s="1" t="e">
        <v>#REF!</v>
      </c>
      <c r="AR268" s="1" t="e">
        <v>#REF!</v>
      </c>
      <c r="AS268" s="1" t="e">
        <v>#REF!</v>
      </c>
      <c r="AT268" s="2" t="e">
        <v>#REF!</v>
      </c>
      <c r="AU268" s="1" t="e">
        <v>#REF!</v>
      </c>
      <c r="AV268" s="2" t="e">
        <v>#REF!</v>
      </c>
      <c r="AW268" s="1" t="e">
        <v>#REF!</v>
      </c>
      <c r="AX268" s="1" t="e">
        <v>#REF!</v>
      </c>
      <c r="AY268" s="1" t="e">
        <v>#REF!</v>
      </c>
      <c r="AZ268" s="1" t="e">
        <v>#REF!</v>
      </c>
      <c r="BA268" s="1" t="e">
        <v>#REF!</v>
      </c>
      <c r="BB268" s="1" t="e">
        <v>#REF!</v>
      </c>
    </row>
    <row r="269" spans="2:54" ht="17.5">
      <c r="B269" s="629"/>
      <c r="C269" s="172"/>
      <c r="D269" s="131"/>
      <c r="E269" s="131"/>
      <c r="F269" s="131"/>
      <c r="G269" s="131"/>
      <c r="H269" s="131"/>
      <c r="I269" s="645"/>
      <c r="J269" s="646"/>
      <c r="K269" s="131"/>
      <c r="L269" s="132"/>
      <c r="M269" s="131"/>
      <c r="N269" s="629"/>
      <c r="O269" s="131"/>
      <c r="P269" s="147"/>
      <c r="Q269" s="161"/>
      <c r="AM269" s="1" t="e">
        <v>#REF!</v>
      </c>
      <c r="AN269" s="1" t="e">
        <v>#REF!</v>
      </c>
      <c r="AO269" s="1" t="e">
        <v>#REF!</v>
      </c>
      <c r="AP269" s="1" t="e">
        <v>#REF!</v>
      </c>
      <c r="AQ269" s="1" t="e">
        <v>#REF!</v>
      </c>
      <c r="AR269" s="1" t="e">
        <v>#REF!</v>
      </c>
      <c r="AS269" s="1" t="e">
        <v>#REF!</v>
      </c>
      <c r="AT269" s="2" t="e">
        <v>#REF!</v>
      </c>
      <c r="AU269" s="1" t="e">
        <v>#REF!</v>
      </c>
      <c r="AV269" s="2" t="e">
        <v>#REF!</v>
      </c>
      <c r="AW269" s="1" t="e">
        <v>#REF!</v>
      </c>
      <c r="AX269" s="1" t="e">
        <v>#REF!</v>
      </c>
      <c r="AY269" s="1" t="e">
        <v>#REF!</v>
      </c>
      <c r="AZ269" s="1" t="e">
        <v>#REF!</v>
      </c>
      <c r="BA269" s="1" t="e">
        <v>#REF!</v>
      </c>
      <c r="BB269" s="1" t="e">
        <v>#REF!</v>
      </c>
    </row>
    <row r="270" spans="2:54" ht="17.5">
      <c r="B270" s="629"/>
      <c r="C270" s="172"/>
      <c r="D270" s="131"/>
      <c r="E270" s="131"/>
      <c r="F270" s="131"/>
      <c r="G270" s="131"/>
      <c r="H270" s="131"/>
      <c r="I270" s="645"/>
      <c r="J270" s="646"/>
      <c r="K270" s="131"/>
      <c r="L270" s="132"/>
      <c r="M270" s="131"/>
      <c r="N270" s="629"/>
      <c r="O270" s="131"/>
      <c r="P270" s="147"/>
      <c r="Q270" s="161"/>
      <c r="AM270" s="1" t="e">
        <v>#REF!</v>
      </c>
      <c r="AN270" s="1" t="e">
        <v>#REF!</v>
      </c>
      <c r="AO270" s="1" t="e">
        <v>#REF!</v>
      </c>
      <c r="AP270" s="1" t="e">
        <v>#REF!</v>
      </c>
      <c r="AQ270" s="1" t="e">
        <v>#REF!</v>
      </c>
      <c r="AR270" s="1" t="e">
        <v>#REF!</v>
      </c>
      <c r="AS270" s="1" t="e">
        <v>#REF!</v>
      </c>
      <c r="AT270" s="2" t="e">
        <v>#REF!</v>
      </c>
      <c r="AU270" s="1" t="e">
        <v>#REF!</v>
      </c>
      <c r="AV270" s="2" t="e">
        <v>#REF!</v>
      </c>
      <c r="AW270" s="1" t="e">
        <v>#REF!</v>
      </c>
      <c r="AX270" s="1" t="e">
        <v>#REF!</v>
      </c>
      <c r="AY270" s="1" t="e">
        <v>#REF!</v>
      </c>
      <c r="AZ270" s="1" t="e">
        <v>#REF!</v>
      </c>
      <c r="BA270" s="1" t="e">
        <v>#REF!</v>
      </c>
      <c r="BB270" s="1" t="e">
        <v>#REF!</v>
      </c>
    </row>
    <row r="271" spans="2:54" ht="17.5">
      <c r="B271" s="629"/>
      <c r="C271" s="172"/>
      <c r="D271" s="131"/>
      <c r="E271" s="131"/>
      <c r="F271" s="131"/>
      <c r="G271" s="131"/>
      <c r="H271" s="131"/>
      <c r="I271" s="645"/>
      <c r="J271" s="646"/>
      <c r="K271" s="131"/>
      <c r="L271" s="132"/>
      <c r="M271" s="131"/>
      <c r="N271" s="629"/>
      <c r="O271" s="131"/>
      <c r="P271" s="147"/>
      <c r="Q271" s="161"/>
      <c r="AM271" s="1" t="e">
        <v>#REF!</v>
      </c>
      <c r="AN271" s="1" t="e">
        <v>#REF!</v>
      </c>
      <c r="AO271" s="1" t="e">
        <v>#REF!</v>
      </c>
      <c r="AP271" s="1" t="e">
        <v>#REF!</v>
      </c>
      <c r="AQ271" s="1" t="e">
        <v>#REF!</v>
      </c>
      <c r="AR271" s="1" t="e">
        <v>#REF!</v>
      </c>
      <c r="AS271" s="1" t="e">
        <v>#REF!</v>
      </c>
      <c r="AT271" s="2" t="e">
        <v>#REF!</v>
      </c>
      <c r="AU271" s="1" t="e">
        <v>#REF!</v>
      </c>
      <c r="AV271" s="2" t="e">
        <v>#REF!</v>
      </c>
      <c r="AW271" s="1" t="e">
        <v>#REF!</v>
      </c>
      <c r="AX271" s="1" t="e">
        <v>#REF!</v>
      </c>
      <c r="AY271" s="1" t="e">
        <v>#REF!</v>
      </c>
      <c r="AZ271" s="1" t="e">
        <v>#REF!</v>
      </c>
      <c r="BA271" s="1" t="e">
        <v>#REF!</v>
      </c>
      <c r="BB271" s="1" t="e">
        <v>#REF!</v>
      </c>
    </row>
    <row r="272" spans="2:54" ht="17.5">
      <c r="B272" s="629"/>
      <c r="C272" s="172"/>
      <c r="D272" s="131"/>
      <c r="E272" s="131"/>
      <c r="F272" s="131"/>
      <c r="G272" s="131"/>
      <c r="H272" s="643"/>
      <c r="I272" s="131"/>
      <c r="J272" s="132"/>
      <c r="K272" s="131"/>
      <c r="L272" s="132"/>
      <c r="M272" s="131"/>
      <c r="N272" s="629"/>
      <c r="O272" s="131"/>
      <c r="P272" s="147"/>
      <c r="Q272" s="161"/>
      <c r="AM272" s="1" t="e">
        <v>#REF!</v>
      </c>
      <c r="AN272" s="1" t="e">
        <v>#REF!</v>
      </c>
      <c r="AO272" s="1" t="e">
        <v>#REF!</v>
      </c>
      <c r="AP272" s="1" t="e">
        <v>#REF!</v>
      </c>
      <c r="AQ272" s="1" t="e">
        <v>#REF!</v>
      </c>
      <c r="AR272" s="1" t="e">
        <v>#REF!</v>
      </c>
      <c r="AS272" s="1" t="e">
        <v>#REF!</v>
      </c>
      <c r="AT272" s="2" t="e">
        <v>#REF!</v>
      </c>
      <c r="AU272" s="1" t="e">
        <v>#REF!</v>
      </c>
      <c r="AV272" s="2" t="e">
        <v>#REF!</v>
      </c>
      <c r="AW272" s="1" t="e">
        <v>#REF!</v>
      </c>
      <c r="AX272" s="1" t="e">
        <v>#REF!</v>
      </c>
      <c r="AY272" s="1" t="e">
        <v>#REF!</v>
      </c>
      <c r="AZ272" s="1" t="e">
        <v>#REF!</v>
      </c>
      <c r="BA272" s="1" t="e">
        <v>#REF!</v>
      </c>
      <c r="BB272" s="1" t="e">
        <v>#REF!</v>
      </c>
    </row>
    <row r="273" spans="2:54" ht="17.5">
      <c r="B273" s="629"/>
      <c r="C273" s="172"/>
      <c r="D273" s="131"/>
      <c r="E273" s="131"/>
      <c r="F273" s="131"/>
      <c r="G273" s="131"/>
      <c r="H273" s="132"/>
      <c r="I273" s="131"/>
      <c r="J273" s="132"/>
      <c r="K273" s="131"/>
      <c r="L273" s="132"/>
      <c r="M273" s="131"/>
      <c r="N273" s="629"/>
      <c r="O273" s="131"/>
      <c r="P273" s="147"/>
      <c r="Q273" s="161"/>
      <c r="AM273" s="1" t="e">
        <v>#REF!</v>
      </c>
      <c r="AN273" s="1" t="e">
        <v>#REF!</v>
      </c>
      <c r="AO273" s="1" t="e">
        <v>#REF!</v>
      </c>
      <c r="AP273" s="1" t="e">
        <v>#REF!</v>
      </c>
      <c r="AQ273" s="1" t="e">
        <v>#REF!</v>
      </c>
      <c r="AR273" s="1" t="e">
        <v>#REF!</v>
      </c>
      <c r="AS273" s="1" t="e">
        <v>#REF!</v>
      </c>
      <c r="AT273" s="2" t="e">
        <v>#REF!</v>
      </c>
      <c r="AU273" s="1" t="e">
        <v>#REF!</v>
      </c>
      <c r="AV273" s="2" t="e">
        <v>#REF!</v>
      </c>
      <c r="AW273" s="1" t="e">
        <v>#REF!</v>
      </c>
      <c r="AX273" s="1" t="e">
        <v>#REF!</v>
      </c>
      <c r="AY273" s="1" t="e">
        <v>#REF!</v>
      </c>
      <c r="AZ273" s="1" t="e">
        <v>#REF!</v>
      </c>
      <c r="BA273" s="1" t="e">
        <v>#REF!</v>
      </c>
      <c r="BB273" s="1" t="e">
        <v>#REF!</v>
      </c>
    </row>
    <row r="274" spans="2:54" ht="17.5">
      <c r="B274" s="629"/>
      <c r="C274" s="172"/>
      <c r="D274" s="131"/>
      <c r="E274" s="131"/>
      <c r="F274" s="131"/>
      <c r="G274" s="131"/>
      <c r="H274" s="132"/>
      <c r="I274" s="131"/>
      <c r="J274" s="132"/>
      <c r="K274" s="131"/>
      <c r="L274" s="132"/>
      <c r="M274" s="131"/>
      <c r="N274" s="629"/>
      <c r="O274" s="131"/>
      <c r="P274" s="147"/>
      <c r="Q274" s="161"/>
      <c r="AM274" s="1" t="e">
        <v>#REF!</v>
      </c>
      <c r="AN274" s="1" t="e">
        <v>#REF!</v>
      </c>
      <c r="AO274" s="1" t="e">
        <v>#REF!</v>
      </c>
      <c r="AP274" s="1" t="e">
        <v>#REF!</v>
      </c>
      <c r="AQ274" s="1" t="e">
        <v>#REF!</v>
      </c>
      <c r="AR274" s="1" t="e">
        <v>#REF!</v>
      </c>
      <c r="AS274" s="1" t="e">
        <v>#REF!</v>
      </c>
      <c r="AT274" s="2" t="e">
        <v>#REF!</v>
      </c>
      <c r="AU274" s="1" t="e">
        <v>#REF!</v>
      </c>
      <c r="AV274" s="2" t="e">
        <v>#REF!</v>
      </c>
      <c r="AW274" s="1" t="e">
        <v>#REF!</v>
      </c>
      <c r="AX274" s="1" t="e">
        <v>#REF!</v>
      </c>
      <c r="AY274" s="1" t="e">
        <v>#REF!</v>
      </c>
      <c r="AZ274" s="1" t="e">
        <v>#REF!</v>
      </c>
      <c r="BA274" s="1" t="e">
        <v>#REF!</v>
      </c>
      <c r="BB274" s="1" t="e">
        <v>#REF!</v>
      </c>
    </row>
    <row r="275" spans="2:54" ht="17.5">
      <c r="B275" s="629"/>
      <c r="C275" s="172"/>
      <c r="D275" s="131"/>
      <c r="E275" s="131"/>
      <c r="F275" s="131"/>
      <c r="G275" s="131"/>
      <c r="H275" s="132"/>
      <c r="I275" s="131"/>
      <c r="J275" s="132"/>
      <c r="K275" s="131"/>
      <c r="L275" s="132"/>
      <c r="M275" s="131"/>
      <c r="N275" s="629"/>
      <c r="O275" s="131"/>
      <c r="P275" s="147"/>
      <c r="Q275" s="161"/>
      <c r="AM275" s="1" t="e">
        <v>#REF!</v>
      </c>
      <c r="AN275" s="1" t="e">
        <v>#REF!</v>
      </c>
      <c r="AO275" s="1" t="e">
        <v>#REF!</v>
      </c>
      <c r="AP275" s="1" t="e">
        <v>#REF!</v>
      </c>
      <c r="AQ275" s="1" t="e">
        <v>#REF!</v>
      </c>
      <c r="AR275" s="1" t="e">
        <v>#REF!</v>
      </c>
      <c r="AS275" s="1" t="e">
        <v>#REF!</v>
      </c>
      <c r="AT275" s="2" t="e">
        <v>#REF!</v>
      </c>
      <c r="AU275" s="1" t="e">
        <v>#REF!</v>
      </c>
      <c r="AV275" s="2" t="e">
        <v>#REF!</v>
      </c>
      <c r="AW275" s="1" t="e">
        <v>#REF!</v>
      </c>
      <c r="AX275" s="1" t="e">
        <v>#REF!</v>
      </c>
      <c r="AY275" s="1" t="e">
        <v>#REF!</v>
      </c>
      <c r="AZ275" s="1" t="e">
        <v>#REF!</v>
      </c>
      <c r="BA275" s="1" t="e">
        <v>#REF!</v>
      </c>
      <c r="BB275" s="1" t="e">
        <v>#REF!</v>
      </c>
    </row>
    <row r="276" spans="2:54" ht="17.5">
      <c r="B276" s="629"/>
      <c r="C276" s="61"/>
      <c r="D276" s="629"/>
      <c r="E276" s="629"/>
      <c r="F276" s="629"/>
      <c r="G276" s="629"/>
      <c r="H276" s="131"/>
      <c r="I276" s="645"/>
      <c r="J276" s="646"/>
      <c r="K276" s="131"/>
      <c r="L276" s="132"/>
      <c r="M276" s="629"/>
      <c r="N276" s="629"/>
      <c r="O276" s="131"/>
      <c r="P276" s="63"/>
      <c r="Q276" s="161"/>
      <c r="AM276" s="1" t="e">
        <v>#REF!</v>
      </c>
      <c r="AN276" s="1" t="e">
        <v>#REF!</v>
      </c>
      <c r="AO276" s="1" t="e">
        <v>#REF!</v>
      </c>
      <c r="AP276" s="1" t="e">
        <v>#REF!</v>
      </c>
      <c r="AQ276" s="1" t="e">
        <v>#REF!</v>
      </c>
      <c r="AR276" s="1" t="e">
        <v>#REF!</v>
      </c>
      <c r="AS276" s="1" t="e">
        <v>#REF!</v>
      </c>
      <c r="AT276" s="2" t="e">
        <v>#REF!</v>
      </c>
      <c r="AU276" s="1" t="e">
        <v>#REF!</v>
      </c>
      <c r="AV276" s="2" t="e">
        <v>#REF!</v>
      </c>
      <c r="AW276" s="1" t="e">
        <v>#REF!</v>
      </c>
      <c r="AX276" s="1" t="e">
        <v>#REF!</v>
      </c>
      <c r="AY276" s="1" t="e">
        <v>#REF!</v>
      </c>
      <c r="AZ276" s="1" t="e">
        <v>#REF!</v>
      </c>
      <c r="BA276" s="1" t="e">
        <v>#REF!</v>
      </c>
      <c r="BB276" s="1" t="e">
        <v>#REF!</v>
      </c>
    </row>
    <row r="277" spans="2:54" ht="17.5">
      <c r="B277" s="629"/>
      <c r="C277" s="172"/>
      <c r="D277" s="131"/>
      <c r="E277" s="131"/>
      <c r="F277" s="131"/>
      <c r="G277" s="131"/>
      <c r="H277" s="643"/>
      <c r="I277" s="131"/>
      <c r="J277" s="646"/>
      <c r="K277" s="131"/>
      <c r="L277" s="132"/>
      <c r="M277" s="131"/>
      <c r="N277" s="629"/>
      <c r="O277" s="131"/>
      <c r="P277" s="147"/>
      <c r="Q277" s="161"/>
      <c r="AM277" s="1" t="e">
        <v>#REF!</v>
      </c>
      <c r="AN277" s="1" t="e">
        <v>#REF!</v>
      </c>
      <c r="AO277" s="1" t="e">
        <v>#REF!</v>
      </c>
      <c r="AP277" s="1" t="e">
        <v>#REF!</v>
      </c>
      <c r="AQ277" s="1" t="e">
        <v>#REF!</v>
      </c>
      <c r="AR277" s="1" t="e">
        <v>#REF!</v>
      </c>
      <c r="AS277" s="1" t="e">
        <v>#REF!</v>
      </c>
      <c r="AT277" s="2" t="e">
        <v>#REF!</v>
      </c>
      <c r="AU277" s="1" t="e">
        <v>#REF!</v>
      </c>
      <c r="AV277" s="2" t="e">
        <v>#REF!</v>
      </c>
      <c r="AW277" s="1" t="e">
        <v>#REF!</v>
      </c>
      <c r="AX277" s="1" t="e">
        <v>#REF!</v>
      </c>
      <c r="AY277" s="1" t="e">
        <v>#REF!</v>
      </c>
      <c r="AZ277" s="1" t="e">
        <v>#REF!</v>
      </c>
      <c r="BA277" s="1" t="e">
        <v>#REF!</v>
      </c>
      <c r="BB277" s="1" t="e">
        <v>#REF!</v>
      </c>
    </row>
    <row r="278" spans="2:54" ht="17.5">
      <c r="B278" s="629"/>
      <c r="C278" s="172"/>
      <c r="D278" s="131"/>
      <c r="E278" s="645"/>
      <c r="F278" s="131"/>
      <c r="G278" s="131"/>
      <c r="H278" s="131"/>
      <c r="I278" s="645"/>
      <c r="J278" s="646"/>
      <c r="K278" s="131"/>
      <c r="L278" s="132"/>
      <c r="M278" s="131"/>
      <c r="N278" s="629"/>
      <c r="O278" s="131"/>
      <c r="P278" s="147"/>
      <c r="Q278" s="161"/>
      <c r="AM278" s="1" t="e">
        <v>#REF!</v>
      </c>
      <c r="AN278" s="1" t="e">
        <v>#REF!</v>
      </c>
      <c r="AO278" s="1" t="e">
        <v>#REF!</v>
      </c>
      <c r="AP278" s="1" t="e">
        <v>#REF!</v>
      </c>
      <c r="AQ278" s="1" t="e">
        <v>#REF!</v>
      </c>
      <c r="AR278" s="1" t="e">
        <v>#REF!</v>
      </c>
      <c r="AS278" s="1" t="e">
        <v>#REF!</v>
      </c>
      <c r="AT278" s="2" t="e">
        <v>#REF!</v>
      </c>
      <c r="AU278" s="1" t="e">
        <v>#REF!</v>
      </c>
      <c r="AV278" s="2" t="e">
        <v>#REF!</v>
      </c>
      <c r="AW278" s="1" t="e">
        <v>#REF!</v>
      </c>
      <c r="AX278" s="1" t="e">
        <v>#REF!</v>
      </c>
      <c r="AY278" s="1" t="e">
        <v>#REF!</v>
      </c>
      <c r="AZ278" s="1" t="e">
        <v>#REF!</v>
      </c>
      <c r="BA278" s="1" t="e">
        <v>#REF!</v>
      </c>
      <c r="BB278" s="1" t="e">
        <v>#REF!</v>
      </c>
    </row>
    <row r="279" spans="2:54" ht="17.5">
      <c r="B279" s="629"/>
      <c r="C279" s="172"/>
      <c r="D279" s="131"/>
      <c r="E279" s="131"/>
      <c r="F279" s="131"/>
      <c r="G279" s="131"/>
      <c r="H279" s="131"/>
      <c r="I279" s="645"/>
      <c r="J279" s="646"/>
      <c r="K279" s="131"/>
      <c r="L279" s="132"/>
      <c r="M279" s="131"/>
      <c r="N279" s="629"/>
      <c r="O279" s="131"/>
      <c r="P279" s="147"/>
      <c r="Q279" s="161"/>
      <c r="AM279" s="1" t="e">
        <v>#REF!</v>
      </c>
      <c r="AN279" s="1" t="e">
        <v>#REF!</v>
      </c>
      <c r="AO279" s="1" t="e">
        <v>#REF!</v>
      </c>
      <c r="AP279" s="1" t="e">
        <v>#REF!</v>
      </c>
      <c r="AQ279" s="1" t="e">
        <v>#REF!</v>
      </c>
      <c r="AR279" s="1" t="e">
        <v>#REF!</v>
      </c>
      <c r="AS279" s="1" t="e">
        <v>#REF!</v>
      </c>
      <c r="AT279" s="2" t="e">
        <v>#REF!</v>
      </c>
      <c r="AU279" s="1" t="e">
        <v>#REF!</v>
      </c>
      <c r="AV279" s="2" t="e">
        <v>#REF!</v>
      </c>
      <c r="AW279" s="1" t="e">
        <v>#REF!</v>
      </c>
      <c r="AX279" s="1" t="e">
        <v>#REF!</v>
      </c>
      <c r="AY279" s="1" t="e">
        <v>#REF!</v>
      </c>
      <c r="AZ279" s="1" t="e">
        <v>#REF!</v>
      </c>
      <c r="BA279" s="1" t="e">
        <v>#REF!</v>
      </c>
      <c r="BB279" s="1" t="e">
        <v>#REF!</v>
      </c>
    </row>
    <row r="280" spans="2:54" ht="17.5">
      <c r="B280" s="629"/>
      <c r="C280" s="644"/>
      <c r="D280" s="131"/>
      <c r="E280" s="131"/>
      <c r="F280" s="131"/>
      <c r="G280" s="131"/>
      <c r="H280" s="131"/>
      <c r="I280" s="645"/>
      <c r="J280" s="646"/>
      <c r="K280" s="131"/>
      <c r="L280" s="132"/>
      <c r="M280" s="131"/>
      <c r="N280" s="629"/>
      <c r="O280" s="131"/>
      <c r="P280" s="147"/>
      <c r="Q280" s="161"/>
      <c r="AM280" s="1" t="e">
        <v>#REF!</v>
      </c>
      <c r="AN280" s="1" t="e">
        <v>#REF!</v>
      </c>
      <c r="AO280" s="1" t="e">
        <v>#REF!</v>
      </c>
      <c r="AP280" s="1" t="e">
        <v>#REF!</v>
      </c>
      <c r="AQ280" s="1" t="e">
        <v>#REF!</v>
      </c>
      <c r="AR280" s="1" t="e">
        <v>#REF!</v>
      </c>
      <c r="AS280" s="1" t="e">
        <v>#REF!</v>
      </c>
      <c r="AT280" s="2" t="e">
        <v>#REF!</v>
      </c>
      <c r="AU280" s="1" t="e">
        <v>#REF!</v>
      </c>
      <c r="AV280" s="2" t="e">
        <v>#REF!</v>
      </c>
      <c r="AW280" s="1" t="e">
        <v>#REF!</v>
      </c>
      <c r="AX280" s="1" t="e">
        <v>#REF!</v>
      </c>
      <c r="AY280" s="1" t="e">
        <v>#REF!</v>
      </c>
      <c r="AZ280" s="1" t="e">
        <v>#REF!</v>
      </c>
      <c r="BA280" s="1" t="e">
        <v>#REF!</v>
      </c>
      <c r="BB280" s="1" t="e">
        <v>#REF!</v>
      </c>
    </row>
    <row r="281" spans="2:54" ht="17.5">
      <c r="B281" s="629"/>
      <c r="C281" s="172"/>
      <c r="D281" s="131"/>
      <c r="E281" s="131"/>
      <c r="F281" s="131"/>
      <c r="G281" s="131"/>
      <c r="H281" s="131"/>
      <c r="I281" s="645"/>
      <c r="J281" s="646"/>
      <c r="K281" s="131"/>
      <c r="L281" s="132"/>
      <c r="M281" s="131"/>
      <c r="N281" s="629"/>
      <c r="O281" s="131"/>
      <c r="P281" s="147"/>
      <c r="Q281" s="161"/>
      <c r="AM281" s="1" t="e">
        <v>#REF!</v>
      </c>
      <c r="AN281" s="1" t="e">
        <v>#REF!</v>
      </c>
      <c r="AO281" s="1" t="e">
        <v>#REF!</v>
      </c>
      <c r="AP281" s="1" t="e">
        <v>#REF!</v>
      </c>
      <c r="AQ281" s="1" t="e">
        <v>#REF!</v>
      </c>
      <c r="AR281" s="1" t="e">
        <v>#REF!</v>
      </c>
      <c r="AS281" s="1" t="e">
        <v>#REF!</v>
      </c>
      <c r="AT281" s="2" t="e">
        <v>#REF!</v>
      </c>
      <c r="AU281" s="1" t="e">
        <v>#REF!</v>
      </c>
      <c r="AV281" s="2" t="e">
        <v>#REF!</v>
      </c>
      <c r="AW281" s="1" t="e">
        <v>#REF!</v>
      </c>
      <c r="AX281" s="1" t="e">
        <v>#REF!</v>
      </c>
      <c r="AY281" s="1" t="e">
        <v>#REF!</v>
      </c>
      <c r="AZ281" s="1" t="e">
        <v>#REF!</v>
      </c>
      <c r="BA281" s="1" t="e">
        <v>#REF!</v>
      </c>
      <c r="BB281" s="1" t="e">
        <v>#REF!</v>
      </c>
    </row>
    <row r="282" spans="2:54" ht="17.5">
      <c r="B282" s="629"/>
      <c r="C282" s="172"/>
      <c r="D282" s="131"/>
      <c r="E282" s="131"/>
      <c r="F282" s="131"/>
      <c r="G282" s="131"/>
      <c r="H282" s="131"/>
      <c r="I282" s="645"/>
      <c r="J282" s="646"/>
      <c r="K282" s="131"/>
      <c r="L282" s="132"/>
      <c r="M282" s="131"/>
      <c r="N282" s="629"/>
      <c r="O282" s="131"/>
      <c r="P282" s="147"/>
      <c r="Q282" s="161"/>
      <c r="AM282" s="1" t="e">
        <v>#REF!</v>
      </c>
      <c r="AN282" s="1" t="e">
        <v>#REF!</v>
      </c>
      <c r="AO282" s="1" t="e">
        <v>#REF!</v>
      </c>
      <c r="AP282" s="1" t="e">
        <v>#REF!</v>
      </c>
      <c r="AQ282" s="1" t="e">
        <v>#REF!</v>
      </c>
      <c r="AR282" s="1" t="e">
        <v>#REF!</v>
      </c>
      <c r="AS282" s="1" t="e">
        <v>#REF!</v>
      </c>
      <c r="AT282" s="2" t="e">
        <v>#REF!</v>
      </c>
      <c r="AU282" s="1" t="e">
        <v>#REF!</v>
      </c>
      <c r="AV282" s="2" t="e">
        <v>#REF!</v>
      </c>
      <c r="AW282" s="1" t="e">
        <v>#REF!</v>
      </c>
      <c r="AX282" s="1" t="e">
        <v>#REF!</v>
      </c>
      <c r="AY282" s="1" t="e">
        <v>#REF!</v>
      </c>
      <c r="AZ282" s="1" t="e">
        <v>#REF!</v>
      </c>
      <c r="BA282" s="1" t="e">
        <v>#REF!</v>
      </c>
      <c r="BB282" s="1" t="e">
        <v>#REF!</v>
      </c>
    </row>
    <row r="283" spans="2:54" ht="17.5">
      <c r="B283" s="629"/>
      <c r="C283" s="172"/>
      <c r="D283" s="131"/>
      <c r="E283" s="647"/>
      <c r="F283" s="131"/>
      <c r="G283" s="131"/>
      <c r="H283" s="131"/>
      <c r="I283" s="645"/>
      <c r="J283" s="646"/>
      <c r="K283" s="131"/>
      <c r="L283" s="132"/>
      <c r="M283" s="131"/>
      <c r="N283" s="629"/>
      <c r="O283" s="131"/>
      <c r="P283" s="147"/>
      <c r="Q283" s="161"/>
      <c r="AM283" s="1" t="e">
        <v>#REF!</v>
      </c>
      <c r="AN283" s="1" t="e">
        <v>#REF!</v>
      </c>
      <c r="AO283" s="1" t="e">
        <v>#REF!</v>
      </c>
      <c r="AP283" s="1" t="e">
        <v>#REF!</v>
      </c>
      <c r="AQ283" s="1" t="e">
        <v>#REF!</v>
      </c>
      <c r="AR283" s="1" t="e">
        <v>#REF!</v>
      </c>
      <c r="AS283" s="1" t="e">
        <v>#REF!</v>
      </c>
      <c r="AT283" s="2" t="e">
        <v>#REF!</v>
      </c>
      <c r="AU283" s="1" t="e">
        <v>#REF!</v>
      </c>
      <c r="AV283" s="2" t="e">
        <v>#REF!</v>
      </c>
      <c r="AW283" s="1" t="e">
        <v>#REF!</v>
      </c>
      <c r="AX283" s="1" t="e">
        <v>#REF!</v>
      </c>
      <c r="AY283" s="1" t="e">
        <v>#REF!</v>
      </c>
      <c r="AZ283" s="1" t="e">
        <v>#REF!</v>
      </c>
      <c r="BA283" s="1" t="e">
        <v>#REF!</v>
      </c>
      <c r="BB283" s="1" t="e">
        <v>#REF!</v>
      </c>
    </row>
    <row r="284" spans="2:54" ht="17.5">
      <c r="B284" s="629"/>
      <c r="C284" s="172"/>
      <c r="D284" s="131"/>
      <c r="E284" s="648"/>
      <c r="F284" s="131"/>
      <c r="G284" s="131"/>
      <c r="H284" s="131"/>
      <c r="I284" s="645"/>
      <c r="J284" s="646"/>
      <c r="K284" s="131"/>
      <c r="L284" s="132"/>
      <c r="M284" s="131"/>
      <c r="N284" s="629"/>
      <c r="O284" s="131"/>
      <c r="P284" s="147"/>
      <c r="Q284" s="161"/>
      <c r="AM284" s="1" t="e">
        <v>#REF!</v>
      </c>
      <c r="AN284" s="1" t="e">
        <v>#REF!</v>
      </c>
      <c r="AO284" s="1" t="e">
        <v>#REF!</v>
      </c>
      <c r="AP284" s="1" t="e">
        <v>#REF!</v>
      </c>
      <c r="AQ284" s="1" t="e">
        <v>#REF!</v>
      </c>
      <c r="AR284" s="1" t="e">
        <v>#REF!</v>
      </c>
      <c r="AS284" s="1" t="e">
        <v>#REF!</v>
      </c>
      <c r="AT284" s="2" t="e">
        <v>#REF!</v>
      </c>
      <c r="AU284" s="1" t="e">
        <v>#REF!</v>
      </c>
      <c r="AV284" s="2" t="e">
        <v>#REF!</v>
      </c>
      <c r="AW284" s="1" t="e">
        <v>#REF!</v>
      </c>
      <c r="AX284" s="1" t="e">
        <v>#REF!</v>
      </c>
      <c r="AY284" s="1" t="e">
        <v>#REF!</v>
      </c>
      <c r="AZ284" s="1" t="e">
        <v>#REF!</v>
      </c>
      <c r="BA284" s="1" t="e">
        <v>#REF!</v>
      </c>
      <c r="BB284" s="1" t="e">
        <v>#REF!</v>
      </c>
    </row>
    <row r="285" spans="2:54" ht="17.5">
      <c r="B285" s="629"/>
      <c r="C285" s="172"/>
      <c r="D285" s="131"/>
      <c r="E285" s="647"/>
      <c r="F285" s="131"/>
      <c r="G285" s="131"/>
      <c r="H285" s="131"/>
      <c r="I285" s="645"/>
      <c r="J285" s="646"/>
      <c r="K285" s="131"/>
      <c r="L285" s="132"/>
      <c r="M285" s="131"/>
      <c r="N285" s="629"/>
      <c r="O285" s="131"/>
      <c r="P285" s="147"/>
      <c r="Q285" s="161"/>
      <c r="AM285" s="1" t="e">
        <v>#REF!</v>
      </c>
      <c r="AN285" s="1" t="e">
        <v>#REF!</v>
      </c>
      <c r="AO285" s="1" t="e">
        <v>#REF!</v>
      </c>
      <c r="AP285" s="1" t="e">
        <v>#REF!</v>
      </c>
      <c r="AQ285" s="1" t="e">
        <v>#REF!</v>
      </c>
      <c r="AR285" s="1" t="e">
        <v>#REF!</v>
      </c>
      <c r="AS285" s="1" t="e">
        <v>#REF!</v>
      </c>
      <c r="AT285" s="2" t="e">
        <v>#REF!</v>
      </c>
      <c r="AU285" s="1" t="e">
        <v>#REF!</v>
      </c>
      <c r="AV285" s="2" t="e">
        <v>#REF!</v>
      </c>
      <c r="AW285" s="1" t="e">
        <v>#REF!</v>
      </c>
      <c r="AX285" s="1" t="e">
        <v>#REF!</v>
      </c>
      <c r="AY285" s="1" t="e">
        <v>#REF!</v>
      </c>
      <c r="AZ285" s="1" t="e">
        <v>#REF!</v>
      </c>
      <c r="BA285" s="1" t="e">
        <v>#REF!</v>
      </c>
      <c r="BB285" s="1" t="e">
        <v>#REF!</v>
      </c>
    </row>
    <row r="286" spans="2:54" ht="17.5">
      <c r="B286" s="629"/>
      <c r="C286" s="172"/>
      <c r="D286" s="131"/>
      <c r="E286" s="131"/>
      <c r="F286" s="131"/>
      <c r="G286" s="131"/>
      <c r="H286" s="131"/>
      <c r="I286" s="645"/>
      <c r="J286" s="646"/>
      <c r="K286" s="131"/>
      <c r="L286" s="132"/>
      <c r="M286" s="131"/>
      <c r="N286" s="629"/>
      <c r="O286" s="131"/>
      <c r="P286" s="147"/>
      <c r="Q286" s="161"/>
      <c r="AM286" s="1" t="e">
        <v>#REF!</v>
      </c>
      <c r="AN286" s="1" t="e">
        <v>#REF!</v>
      </c>
      <c r="AO286" s="1" t="e">
        <v>#REF!</v>
      </c>
      <c r="AP286" s="1" t="e">
        <v>#REF!</v>
      </c>
      <c r="AQ286" s="1" t="e">
        <v>#REF!</v>
      </c>
      <c r="AR286" s="1" t="e">
        <v>#REF!</v>
      </c>
      <c r="AS286" s="1" t="e">
        <v>#REF!</v>
      </c>
      <c r="AT286" s="2" t="e">
        <v>#REF!</v>
      </c>
      <c r="AU286" s="1" t="e">
        <v>#REF!</v>
      </c>
      <c r="AV286" s="2" t="e">
        <v>#REF!</v>
      </c>
      <c r="AW286" s="1" t="e">
        <v>#REF!</v>
      </c>
      <c r="AX286" s="1" t="e">
        <v>#REF!</v>
      </c>
      <c r="AY286" s="1" t="e">
        <v>#REF!</v>
      </c>
      <c r="AZ286" s="1" t="e">
        <v>#REF!</v>
      </c>
      <c r="BA286" s="1" t="e">
        <v>#REF!</v>
      </c>
      <c r="BB286" s="1" t="e">
        <v>#REF!</v>
      </c>
    </row>
    <row r="287" spans="2:54" ht="17.5">
      <c r="B287" s="629"/>
      <c r="C287" s="172"/>
      <c r="D287" s="131"/>
      <c r="E287" s="131"/>
      <c r="F287" s="131"/>
      <c r="G287" s="131"/>
      <c r="H287" s="131"/>
      <c r="I287" s="645"/>
      <c r="J287" s="646"/>
      <c r="K287" s="131"/>
      <c r="L287" s="132"/>
      <c r="M287" s="131"/>
      <c r="N287" s="629"/>
      <c r="O287" s="131"/>
      <c r="P287" s="147"/>
      <c r="Q287" s="161"/>
      <c r="AM287" s="1" t="e">
        <v>#REF!</v>
      </c>
      <c r="AN287" s="1" t="e">
        <v>#REF!</v>
      </c>
      <c r="AO287" s="1" t="e">
        <v>#REF!</v>
      </c>
      <c r="AP287" s="1" t="e">
        <v>#REF!</v>
      </c>
      <c r="AQ287" s="1" t="e">
        <v>#REF!</v>
      </c>
      <c r="AR287" s="1" t="e">
        <v>#REF!</v>
      </c>
      <c r="AS287" s="1" t="e">
        <v>#REF!</v>
      </c>
      <c r="AT287" s="2" t="e">
        <v>#REF!</v>
      </c>
      <c r="AU287" s="1" t="e">
        <v>#REF!</v>
      </c>
      <c r="AV287" s="2" t="e">
        <v>#REF!</v>
      </c>
      <c r="AW287" s="1" t="e">
        <v>#REF!</v>
      </c>
      <c r="AX287" s="1" t="e">
        <v>#REF!</v>
      </c>
      <c r="AY287" s="1" t="e">
        <v>#REF!</v>
      </c>
      <c r="AZ287" s="1" t="e">
        <v>#REF!</v>
      </c>
      <c r="BA287" s="1" t="e">
        <v>#REF!</v>
      </c>
      <c r="BB287" s="1" t="e">
        <v>#REF!</v>
      </c>
    </row>
    <row r="288" spans="2:54" ht="17.5">
      <c r="B288" s="629"/>
      <c r="C288" s="172"/>
      <c r="D288" s="131"/>
      <c r="E288" s="131"/>
      <c r="F288" s="131"/>
      <c r="G288" s="131"/>
      <c r="H288" s="131"/>
      <c r="I288" s="645"/>
      <c r="J288" s="646"/>
      <c r="K288" s="131"/>
      <c r="L288" s="630"/>
      <c r="M288" s="131"/>
      <c r="N288" s="629"/>
      <c r="O288" s="131"/>
      <c r="P288" s="147"/>
      <c r="Q288" s="161"/>
      <c r="AM288" s="1" t="e">
        <v>#REF!</v>
      </c>
      <c r="AN288" s="1" t="e">
        <v>#REF!</v>
      </c>
      <c r="AO288" s="1" t="e">
        <v>#REF!</v>
      </c>
      <c r="AP288" s="1" t="e">
        <v>#REF!</v>
      </c>
      <c r="AQ288" s="1" t="e">
        <v>#REF!</v>
      </c>
      <c r="AR288" s="1" t="e">
        <v>#REF!</v>
      </c>
      <c r="AS288" s="1" t="e">
        <v>#REF!</v>
      </c>
      <c r="AT288" s="2" t="e">
        <v>#REF!</v>
      </c>
      <c r="AU288" s="1" t="e">
        <v>#REF!</v>
      </c>
      <c r="AV288" s="2" t="e">
        <v>#REF!</v>
      </c>
      <c r="AW288" s="1" t="e">
        <v>#REF!</v>
      </c>
      <c r="AX288" s="1" t="e">
        <v>#REF!</v>
      </c>
      <c r="AY288" s="1" t="e">
        <v>#REF!</v>
      </c>
      <c r="AZ288" s="1" t="e">
        <v>#REF!</v>
      </c>
      <c r="BA288" s="1" t="e">
        <v>#REF!</v>
      </c>
      <c r="BB288" s="1" t="e">
        <v>#REF!</v>
      </c>
    </row>
    <row r="289" spans="2:54" ht="17.5">
      <c r="B289" s="629"/>
      <c r="C289" s="172"/>
      <c r="D289" s="131"/>
      <c r="E289" s="647"/>
      <c r="F289" s="131"/>
      <c r="G289" s="131"/>
      <c r="H289" s="131"/>
      <c r="I289" s="645"/>
      <c r="J289" s="646"/>
      <c r="K289" s="131"/>
      <c r="L289" s="132"/>
      <c r="M289" s="131"/>
      <c r="N289" s="629"/>
      <c r="O289" s="131"/>
      <c r="P289" s="147"/>
      <c r="Q289" s="161"/>
      <c r="AM289" s="1" t="e">
        <v>#REF!</v>
      </c>
      <c r="AN289" s="1" t="e">
        <v>#REF!</v>
      </c>
      <c r="AO289" s="1" t="e">
        <v>#REF!</v>
      </c>
      <c r="AP289" s="1" t="e">
        <v>#REF!</v>
      </c>
      <c r="AQ289" s="1" t="e">
        <v>#REF!</v>
      </c>
      <c r="AR289" s="1" t="e">
        <v>#REF!</v>
      </c>
      <c r="AS289" s="1" t="e">
        <v>#REF!</v>
      </c>
      <c r="AT289" s="2" t="e">
        <v>#REF!</v>
      </c>
      <c r="AU289" s="1" t="e">
        <v>#REF!</v>
      </c>
      <c r="AV289" s="2" t="e">
        <v>#REF!</v>
      </c>
      <c r="AW289" s="1" t="e">
        <v>#REF!</v>
      </c>
      <c r="AX289" s="1" t="e">
        <v>#REF!</v>
      </c>
      <c r="AY289" s="1" t="e">
        <v>#REF!</v>
      </c>
      <c r="AZ289" s="1" t="e">
        <v>#REF!</v>
      </c>
      <c r="BA289" s="1" t="e">
        <v>#REF!</v>
      </c>
      <c r="BB289" s="1" t="e">
        <v>#REF!</v>
      </c>
    </row>
    <row r="290" spans="2:54" ht="17.5">
      <c r="B290" s="629"/>
      <c r="C290" s="172"/>
      <c r="D290" s="131"/>
      <c r="E290" s="649"/>
      <c r="F290" s="131"/>
      <c r="G290" s="131"/>
      <c r="H290" s="131"/>
      <c r="I290" s="645"/>
      <c r="J290" s="646"/>
      <c r="K290" s="131"/>
      <c r="L290" s="132"/>
      <c r="M290" s="131"/>
      <c r="N290" s="629"/>
      <c r="O290" s="131"/>
      <c r="P290" s="147"/>
      <c r="Q290" s="161"/>
      <c r="AM290" s="1" t="e">
        <v>#REF!</v>
      </c>
      <c r="AN290" s="1" t="e">
        <v>#REF!</v>
      </c>
      <c r="AO290" s="1" t="e">
        <v>#REF!</v>
      </c>
      <c r="AP290" s="1" t="e">
        <v>#REF!</v>
      </c>
      <c r="AQ290" s="1" t="e">
        <v>#REF!</v>
      </c>
      <c r="AR290" s="1" t="e">
        <v>#REF!</v>
      </c>
      <c r="AS290" s="1" t="e">
        <v>#REF!</v>
      </c>
      <c r="AT290" s="2" t="e">
        <v>#REF!</v>
      </c>
      <c r="AU290" s="1" t="e">
        <v>#REF!</v>
      </c>
      <c r="AV290" s="2" t="e">
        <v>#REF!</v>
      </c>
      <c r="AW290" s="1" t="e">
        <v>#REF!</v>
      </c>
      <c r="AX290" s="1" t="e">
        <v>#REF!</v>
      </c>
      <c r="AY290" s="1" t="e">
        <v>#REF!</v>
      </c>
      <c r="AZ290" s="1" t="e">
        <v>#REF!</v>
      </c>
      <c r="BA290" s="1" t="e">
        <v>#REF!</v>
      </c>
      <c r="BB290" s="1" t="e">
        <v>#REF!</v>
      </c>
    </row>
    <row r="291" spans="2:54" ht="17.5">
      <c r="B291" s="629"/>
      <c r="C291" s="172"/>
      <c r="D291" s="131"/>
      <c r="E291" s="647"/>
      <c r="F291" s="131"/>
      <c r="G291" s="131"/>
      <c r="H291" s="131"/>
      <c r="I291" s="131"/>
      <c r="J291" s="646"/>
      <c r="K291" s="131"/>
      <c r="L291" s="630"/>
      <c r="M291" s="629"/>
      <c r="N291" s="629"/>
      <c r="O291" s="131"/>
      <c r="P291" s="63"/>
      <c r="Q291" s="161"/>
      <c r="AM291" s="1" t="e">
        <v>#REF!</v>
      </c>
      <c r="AN291" s="1" t="e">
        <v>#REF!</v>
      </c>
      <c r="AO291" s="1" t="e">
        <v>#REF!</v>
      </c>
      <c r="AP291" s="1" t="e">
        <v>#REF!</v>
      </c>
      <c r="AQ291" s="1" t="e">
        <v>#REF!</v>
      </c>
      <c r="AR291" s="1" t="e">
        <v>#REF!</v>
      </c>
      <c r="AS291" s="1" t="e">
        <v>#REF!</v>
      </c>
      <c r="AT291" s="2" t="e">
        <v>#REF!</v>
      </c>
      <c r="AU291" s="1" t="e">
        <v>#REF!</v>
      </c>
      <c r="AV291" s="2" t="e">
        <v>#REF!</v>
      </c>
      <c r="AW291" s="1" t="e">
        <v>#REF!</v>
      </c>
      <c r="AX291" s="1" t="e">
        <v>#REF!</v>
      </c>
      <c r="AY291" s="1" t="e">
        <v>#REF!</v>
      </c>
      <c r="AZ291" s="1" t="e">
        <v>#REF!</v>
      </c>
      <c r="BA291" s="1" t="e">
        <v>#REF!</v>
      </c>
      <c r="BB291" s="1" t="e">
        <v>#REF!</v>
      </c>
    </row>
    <row r="292" spans="2:54" ht="17.5">
      <c r="B292" s="629"/>
      <c r="C292" s="172"/>
      <c r="D292" s="131"/>
      <c r="E292" s="650"/>
      <c r="F292" s="131"/>
      <c r="G292" s="131"/>
      <c r="H292" s="131"/>
      <c r="I292" s="645"/>
      <c r="J292" s="646"/>
      <c r="K292" s="131"/>
      <c r="L292" s="132"/>
      <c r="M292" s="131"/>
      <c r="N292" s="629"/>
      <c r="O292" s="131"/>
      <c r="P292" s="147"/>
      <c r="Q292" s="161"/>
      <c r="AM292" s="1" t="e">
        <v>#REF!</v>
      </c>
      <c r="AN292" s="1" t="e">
        <v>#REF!</v>
      </c>
      <c r="AO292" s="1" t="e">
        <v>#REF!</v>
      </c>
      <c r="AP292" s="1" t="e">
        <v>#REF!</v>
      </c>
      <c r="AQ292" s="1" t="e">
        <v>#REF!</v>
      </c>
      <c r="AR292" s="1" t="e">
        <v>#REF!</v>
      </c>
      <c r="AS292" s="1" t="e">
        <v>#REF!</v>
      </c>
      <c r="AT292" s="2" t="e">
        <v>#REF!</v>
      </c>
      <c r="AU292" s="1" t="e">
        <v>#REF!</v>
      </c>
      <c r="AV292" s="2" t="e">
        <v>#REF!</v>
      </c>
      <c r="AW292" s="1" t="e">
        <v>#REF!</v>
      </c>
      <c r="AX292" s="1" t="e">
        <v>#REF!</v>
      </c>
      <c r="AY292" s="1" t="e">
        <v>#REF!</v>
      </c>
      <c r="AZ292" s="1" t="e">
        <v>#REF!</v>
      </c>
      <c r="BA292" s="1" t="e">
        <v>#REF!</v>
      </c>
      <c r="BB292" s="1" t="e">
        <v>#REF!</v>
      </c>
    </row>
    <row r="293" spans="2:54" ht="17.5">
      <c r="B293" s="629"/>
      <c r="C293" s="172"/>
      <c r="D293" s="131"/>
      <c r="E293" s="131"/>
      <c r="F293" s="131"/>
      <c r="G293" s="131"/>
      <c r="H293" s="131"/>
      <c r="I293" s="645"/>
      <c r="J293" s="646"/>
      <c r="K293" s="131"/>
      <c r="L293" s="132"/>
      <c r="M293" s="131"/>
      <c r="N293" s="629"/>
      <c r="O293" s="131"/>
      <c r="P293" s="147"/>
      <c r="Q293" s="161"/>
      <c r="AM293" s="1" t="e">
        <v>#REF!</v>
      </c>
      <c r="AN293" s="1" t="e">
        <v>#REF!</v>
      </c>
      <c r="AO293" s="1" t="e">
        <v>#REF!</v>
      </c>
      <c r="AP293" s="1" t="e">
        <v>#REF!</v>
      </c>
      <c r="AQ293" s="1" t="e">
        <v>#REF!</v>
      </c>
      <c r="AR293" s="1" t="e">
        <v>#REF!</v>
      </c>
      <c r="AS293" s="1" t="e">
        <v>#REF!</v>
      </c>
      <c r="AT293" s="2" t="e">
        <v>#REF!</v>
      </c>
      <c r="AU293" s="1" t="e">
        <v>#REF!</v>
      </c>
      <c r="AV293" s="2" t="e">
        <v>#REF!</v>
      </c>
      <c r="AW293" s="1" t="e">
        <v>#REF!</v>
      </c>
      <c r="AX293" s="1" t="e">
        <v>#REF!</v>
      </c>
      <c r="AY293" s="1" t="e">
        <v>#REF!</v>
      </c>
      <c r="AZ293" s="1" t="e">
        <v>#REF!</v>
      </c>
      <c r="BA293" s="1" t="e">
        <v>#REF!</v>
      </c>
      <c r="BB293" s="1" t="e">
        <v>#REF!</v>
      </c>
    </row>
    <row r="294" spans="2:54" ht="17.5">
      <c r="B294" s="629"/>
      <c r="C294" s="262"/>
      <c r="D294" s="131"/>
      <c r="E294" s="131"/>
      <c r="F294" s="131"/>
      <c r="G294" s="131"/>
      <c r="H294" s="131"/>
      <c r="I294" s="645"/>
      <c r="J294" s="646"/>
      <c r="K294" s="131"/>
      <c r="L294" s="132"/>
      <c r="M294" s="131"/>
      <c r="N294" s="629"/>
      <c r="O294" s="131"/>
      <c r="P294" s="147"/>
      <c r="Q294" s="161"/>
      <c r="AM294" s="1" t="e">
        <v>#REF!</v>
      </c>
      <c r="AN294" s="1" t="e">
        <v>#REF!</v>
      </c>
      <c r="AO294" s="1" t="e">
        <v>#REF!</v>
      </c>
      <c r="AP294" s="1" t="e">
        <v>#REF!</v>
      </c>
      <c r="AQ294" s="1" t="e">
        <v>#REF!</v>
      </c>
      <c r="AR294" s="1" t="e">
        <v>#REF!</v>
      </c>
      <c r="AS294" s="1" t="e">
        <v>#REF!</v>
      </c>
      <c r="AT294" s="2" t="e">
        <v>#REF!</v>
      </c>
      <c r="AU294" s="1" t="e">
        <v>#REF!</v>
      </c>
      <c r="AV294" s="2" t="e">
        <v>#REF!</v>
      </c>
      <c r="AW294" s="1" t="e">
        <v>#REF!</v>
      </c>
      <c r="AX294" s="1" t="e">
        <v>#REF!</v>
      </c>
      <c r="AY294" s="1" t="e">
        <v>#REF!</v>
      </c>
      <c r="AZ294" s="1" t="e">
        <v>#REF!</v>
      </c>
      <c r="BA294" s="1" t="e">
        <v>#REF!</v>
      </c>
      <c r="BB294" s="1" t="e">
        <v>#REF!</v>
      </c>
    </row>
    <row r="295" spans="2:54" ht="17.5">
      <c r="B295" s="629"/>
      <c r="C295" s="172"/>
      <c r="D295" s="131"/>
      <c r="E295" s="651"/>
      <c r="F295" s="131"/>
      <c r="G295" s="131"/>
      <c r="H295" s="131"/>
      <c r="I295" s="645"/>
      <c r="J295" s="646"/>
      <c r="K295" s="131"/>
      <c r="L295" s="132"/>
      <c r="M295" s="131"/>
      <c r="N295" s="629"/>
      <c r="O295" s="131"/>
      <c r="P295" s="147"/>
      <c r="Q295" s="161"/>
      <c r="AM295" s="1" t="e">
        <v>#REF!</v>
      </c>
      <c r="AN295" s="1" t="e">
        <v>#REF!</v>
      </c>
      <c r="AO295" s="1" t="e">
        <v>#REF!</v>
      </c>
      <c r="AP295" s="1" t="e">
        <v>#REF!</v>
      </c>
      <c r="AQ295" s="1" t="e">
        <v>#REF!</v>
      </c>
      <c r="AR295" s="1" t="e">
        <v>#REF!</v>
      </c>
      <c r="AS295" s="1" t="e">
        <v>#REF!</v>
      </c>
      <c r="AT295" s="2" t="e">
        <v>#REF!</v>
      </c>
      <c r="AU295" s="1" t="e">
        <v>#REF!</v>
      </c>
      <c r="AV295" s="2" t="e">
        <v>#REF!</v>
      </c>
      <c r="AW295" s="1" t="e">
        <v>#REF!</v>
      </c>
      <c r="AX295" s="1" t="e">
        <v>#REF!</v>
      </c>
      <c r="AY295" s="1" t="e">
        <v>#REF!</v>
      </c>
      <c r="AZ295" s="1" t="e">
        <v>#REF!</v>
      </c>
      <c r="BA295" s="1" t="e">
        <v>#REF!</v>
      </c>
      <c r="BB295" s="1" t="e">
        <v>#REF!</v>
      </c>
    </row>
    <row r="296" spans="2:54" ht="17.5">
      <c r="B296" s="629"/>
      <c r="C296" s="172"/>
      <c r="D296" s="131"/>
      <c r="E296" s="131"/>
      <c r="F296" s="131"/>
      <c r="G296" s="131"/>
      <c r="H296" s="131"/>
      <c r="I296" s="645"/>
      <c r="J296" s="646"/>
      <c r="K296" s="131"/>
      <c r="L296" s="132"/>
      <c r="M296" s="131"/>
      <c r="N296" s="629"/>
      <c r="O296" s="131"/>
      <c r="P296" s="147"/>
      <c r="Q296" s="161"/>
      <c r="AM296" s="1" t="e">
        <v>#REF!</v>
      </c>
      <c r="AN296" s="1" t="e">
        <v>#REF!</v>
      </c>
      <c r="AO296" s="1" t="e">
        <v>#REF!</v>
      </c>
      <c r="AP296" s="1" t="e">
        <v>#REF!</v>
      </c>
      <c r="AQ296" s="1" t="e">
        <v>#REF!</v>
      </c>
      <c r="AR296" s="1" t="e">
        <v>#REF!</v>
      </c>
      <c r="AS296" s="1" t="e">
        <v>#REF!</v>
      </c>
      <c r="AT296" s="2" t="e">
        <v>#REF!</v>
      </c>
      <c r="AU296" s="1" t="e">
        <v>#REF!</v>
      </c>
      <c r="AV296" s="2" t="e">
        <v>#REF!</v>
      </c>
      <c r="AW296" s="1" t="e">
        <v>#REF!</v>
      </c>
      <c r="AX296" s="1" t="e">
        <v>#REF!</v>
      </c>
      <c r="AY296" s="1" t="e">
        <v>#REF!</v>
      </c>
      <c r="AZ296" s="1" t="e">
        <v>#REF!</v>
      </c>
      <c r="BA296" s="1" t="e">
        <v>#REF!</v>
      </c>
      <c r="BB296" s="1" t="e">
        <v>#REF!</v>
      </c>
    </row>
    <row r="297" spans="2:54" ht="17.5">
      <c r="B297" s="629"/>
      <c r="C297" s="172"/>
      <c r="D297" s="131"/>
      <c r="E297" s="131"/>
      <c r="F297" s="131"/>
      <c r="G297" s="131"/>
      <c r="H297" s="131"/>
      <c r="I297" s="645"/>
      <c r="J297" s="646"/>
      <c r="K297" s="131"/>
      <c r="L297" s="132"/>
      <c r="M297" s="131"/>
      <c r="N297" s="629"/>
      <c r="O297" s="131"/>
      <c r="P297" s="147"/>
      <c r="Q297" s="161"/>
      <c r="AM297" s="1" t="e">
        <v>#REF!</v>
      </c>
      <c r="AN297" s="1" t="e">
        <v>#REF!</v>
      </c>
      <c r="AO297" s="1" t="e">
        <v>#REF!</v>
      </c>
      <c r="AP297" s="1" t="e">
        <v>#REF!</v>
      </c>
      <c r="AQ297" s="1" t="e">
        <v>#REF!</v>
      </c>
      <c r="AR297" s="1" t="e">
        <v>#REF!</v>
      </c>
      <c r="AS297" s="1" t="e">
        <v>#REF!</v>
      </c>
      <c r="AT297" s="2" t="e">
        <v>#REF!</v>
      </c>
      <c r="AU297" s="1" t="e">
        <v>#REF!</v>
      </c>
      <c r="AV297" s="2" t="e">
        <v>#REF!</v>
      </c>
      <c r="AW297" s="1" t="e">
        <v>#REF!</v>
      </c>
      <c r="AX297" s="1" t="e">
        <v>#REF!</v>
      </c>
      <c r="AY297" s="1" t="e">
        <v>#REF!</v>
      </c>
      <c r="AZ297" s="1" t="e">
        <v>#REF!</v>
      </c>
      <c r="BA297" s="1" t="e">
        <v>#REF!</v>
      </c>
      <c r="BB297" s="1" t="e">
        <v>#REF!</v>
      </c>
    </row>
    <row r="298" spans="2:54" ht="17.5">
      <c r="B298" s="629"/>
      <c r="C298" s="172"/>
      <c r="D298" s="131"/>
      <c r="E298" s="131"/>
      <c r="F298" s="131"/>
      <c r="G298" s="131"/>
      <c r="H298" s="131"/>
      <c r="I298" s="645"/>
      <c r="J298" s="646"/>
      <c r="K298" s="131"/>
      <c r="L298" s="132"/>
      <c r="M298" s="131"/>
      <c r="N298" s="629"/>
      <c r="O298" s="131"/>
      <c r="P298" s="147"/>
      <c r="Q298" s="161"/>
      <c r="AM298" s="1" t="e">
        <v>#REF!</v>
      </c>
      <c r="AN298" s="1" t="e">
        <v>#REF!</v>
      </c>
      <c r="AO298" s="1" t="e">
        <v>#REF!</v>
      </c>
      <c r="AP298" s="1" t="e">
        <v>#REF!</v>
      </c>
      <c r="AQ298" s="1" t="e">
        <v>#REF!</v>
      </c>
      <c r="AR298" s="1" t="e">
        <v>#REF!</v>
      </c>
      <c r="AS298" s="1" t="e">
        <v>#REF!</v>
      </c>
      <c r="AT298" s="2" t="e">
        <v>#REF!</v>
      </c>
      <c r="AU298" s="1" t="e">
        <v>#REF!</v>
      </c>
      <c r="AV298" s="2" t="e">
        <v>#REF!</v>
      </c>
      <c r="AW298" s="1" t="e">
        <v>#REF!</v>
      </c>
      <c r="AX298" s="1" t="e">
        <v>#REF!</v>
      </c>
      <c r="AY298" s="1" t="e">
        <v>#REF!</v>
      </c>
      <c r="AZ298" s="1" t="e">
        <v>#REF!</v>
      </c>
      <c r="BA298" s="1" t="e">
        <v>#REF!</v>
      </c>
      <c r="BB298" s="1" t="e">
        <v>#REF!</v>
      </c>
    </row>
    <row r="299" spans="2:54" ht="17.5">
      <c r="B299" s="629"/>
      <c r="C299" s="172"/>
      <c r="D299" s="131"/>
      <c r="E299" s="131"/>
      <c r="F299" s="131"/>
      <c r="G299" s="131"/>
      <c r="H299" s="643"/>
      <c r="I299" s="131"/>
      <c r="J299" s="646"/>
      <c r="K299" s="131"/>
      <c r="L299" s="132"/>
      <c r="M299" s="131"/>
      <c r="N299" s="629"/>
      <c r="O299" s="131"/>
      <c r="P299" s="147"/>
      <c r="Q299" s="161"/>
      <c r="AM299" s="1" t="e">
        <v>#REF!</v>
      </c>
      <c r="AN299" s="1" t="e">
        <v>#REF!</v>
      </c>
      <c r="AO299" s="1" t="e">
        <v>#REF!</v>
      </c>
      <c r="AP299" s="1" t="e">
        <v>#REF!</v>
      </c>
      <c r="AQ299" s="1" t="e">
        <v>#REF!</v>
      </c>
      <c r="AR299" s="1" t="e">
        <v>#REF!</v>
      </c>
      <c r="AS299" s="1" t="e">
        <v>#REF!</v>
      </c>
      <c r="AT299" s="2" t="e">
        <v>#REF!</v>
      </c>
      <c r="AU299" s="1" t="e">
        <v>#REF!</v>
      </c>
      <c r="AV299" s="2" t="e">
        <v>#REF!</v>
      </c>
      <c r="AW299" s="1" t="e">
        <v>#REF!</v>
      </c>
      <c r="AX299" s="1" t="e">
        <v>#REF!</v>
      </c>
      <c r="AY299" s="1" t="e">
        <v>#REF!</v>
      </c>
      <c r="AZ299" s="1" t="e">
        <v>#REF!</v>
      </c>
      <c r="BA299" s="1" t="e">
        <v>#REF!</v>
      </c>
      <c r="BB299" s="1" t="e">
        <v>#REF!</v>
      </c>
    </row>
    <row r="300" spans="2:54" ht="17.5">
      <c r="B300" s="629"/>
      <c r="C300" s="172"/>
      <c r="D300" s="131"/>
      <c r="E300" s="131"/>
      <c r="F300" s="131"/>
      <c r="G300" s="131"/>
      <c r="H300" s="643"/>
      <c r="I300" s="645"/>
      <c r="J300" s="646"/>
      <c r="K300" s="131"/>
      <c r="L300" s="132"/>
      <c r="M300" s="131"/>
      <c r="N300" s="629"/>
      <c r="O300" s="131"/>
      <c r="P300" s="147"/>
      <c r="Q300" s="161"/>
      <c r="AM300" s="1" t="e">
        <v>#REF!</v>
      </c>
      <c r="AN300" s="1" t="e">
        <v>#REF!</v>
      </c>
      <c r="AO300" s="1" t="e">
        <v>#REF!</v>
      </c>
      <c r="AP300" s="1" t="e">
        <v>#REF!</v>
      </c>
      <c r="AQ300" s="1" t="e">
        <v>#REF!</v>
      </c>
      <c r="AR300" s="1" t="e">
        <v>#REF!</v>
      </c>
      <c r="AS300" s="1" t="e">
        <v>#REF!</v>
      </c>
      <c r="AT300" s="2" t="e">
        <v>#REF!</v>
      </c>
      <c r="AU300" s="1" t="e">
        <v>#REF!</v>
      </c>
      <c r="AV300" s="2" t="e">
        <v>#REF!</v>
      </c>
      <c r="AW300" s="1" t="e">
        <v>#REF!</v>
      </c>
      <c r="AX300" s="1" t="e">
        <v>#REF!</v>
      </c>
      <c r="AY300" s="1" t="e">
        <v>#REF!</v>
      </c>
      <c r="AZ300" s="1" t="e">
        <v>#REF!</v>
      </c>
      <c r="BA300" s="1" t="e">
        <v>#REF!</v>
      </c>
      <c r="BB300" s="1" t="e">
        <v>#REF!</v>
      </c>
    </row>
    <row r="301" spans="2:54" ht="17.5">
      <c r="B301" s="629"/>
      <c r="C301" s="644"/>
      <c r="D301" s="131"/>
      <c r="E301" s="131"/>
      <c r="F301" s="131"/>
      <c r="G301" s="131"/>
      <c r="H301" s="131"/>
      <c r="I301" s="645"/>
      <c r="J301" s="646"/>
      <c r="K301" s="131"/>
      <c r="L301" s="132"/>
      <c r="M301" s="131"/>
      <c r="N301" s="629"/>
      <c r="O301" s="131"/>
      <c r="P301" s="147"/>
      <c r="Q301" s="161"/>
      <c r="AM301" s="1" t="e">
        <v>#REF!</v>
      </c>
      <c r="AN301" s="1" t="e">
        <v>#REF!</v>
      </c>
      <c r="AO301" s="1" t="e">
        <v>#REF!</v>
      </c>
      <c r="AP301" s="1" t="e">
        <v>#REF!</v>
      </c>
      <c r="AQ301" s="1" t="e">
        <v>#REF!</v>
      </c>
      <c r="AR301" s="1" t="e">
        <v>#REF!</v>
      </c>
      <c r="AS301" s="1" t="e">
        <v>#REF!</v>
      </c>
      <c r="AT301" s="2" t="e">
        <v>#REF!</v>
      </c>
      <c r="AU301" s="1" t="e">
        <v>#REF!</v>
      </c>
      <c r="AV301" s="2" t="e">
        <v>#REF!</v>
      </c>
      <c r="AW301" s="1" t="e">
        <v>#REF!</v>
      </c>
      <c r="AX301" s="1" t="e">
        <v>#REF!</v>
      </c>
      <c r="AY301" s="1" t="e">
        <v>#REF!</v>
      </c>
      <c r="AZ301" s="1" t="e">
        <v>#REF!</v>
      </c>
      <c r="BA301" s="1" t="e">
        <v>#REF!</v>
      </c>
      <c r="BB301" s="1" t="e">
        <v>#REF!</v>
      </c>
    </row>
    <row r="302" spans="2:54" ht="17.5">
      <c r="B302" s="629"/>
      <c r="C302" s="172"/>
      <c r="D302" s="131"/>
      <c r="E302" s="131"/>
      <c r="F302" s="131"/>
      <c r="G302" s="131"/>
      <c r="H302" s="643"/>
      <c r="I302" s="645"/>
      <c r="J302" s="646"/>
      <c r="K302" s="131"/>
      <c r="L302" s="132"/>
      <c r="M302" s="131"/>
      <c r="N302" s="629"/>
      <c r="O302" s="131"/>
      <c r="P302" s="147"/>
      <c r="Q302" s="161"/>
      <c r="AM302" s="1" t="e">
        <v>#REF!</v>
      </c>
      <c r="AN302" s="1" t="e">
        <v>#REF!</v>
      </c>
      <c r="AO302" s="1" t="e">
        <v>#REF!</v>
      </c>
      <c r="AP302" s="1" t="e">
        <v>#REF!</v>
      </c>
      <c r="AQ302" s="1" t="e">
        <v>#REF!</v>
      </c>
      <c r="AR302" s="1" t="e">
        <v>#REF!</v>
      </c>
      <c r="AS302" s="1" t="e">
        <v>#REF!</v>
      </c>
      <c r="AT302" s="2" t="e">
        <v>#REF!</v>
      </c>
      <c r="AU302" s="1" t="e">
        <v>#REF!</v>
      </c>
      <c r="AV302" s="2" t="e">
        <v>#REF!</v>
      </c>
      <c r="AW302" s="1" t="e">
        <v>#REF!</v>
      </c>
      <c r="AX302" s="1" t="e">
        <v>#REF!</v>
      </c>
      <c r="AY302" s="1" t="e">
        <v>#REF!</v>
      </c>
      <c r="AZ302" s="1" t="e">
        <v>#REF!</v>
      </c>
      <c r="BA302" s="1" t="e">
        <v>#REF!</v>
      </c>
      <c r="BB302" s="1" t="e">
        <v>#REF!</v>
      </c>
    </row>
    <row r="303" spans="2:54" ht="17.5">
      <c r="B303" s="629"/>
      <c r="C303" s="172"/>
      <c r="D303" s="131"/>
      <c r="E303" s="131"/>
      <c r="F303" s="131"/>
      <c r="G303" s="131"/>
      <c r="H303" s="131"/>
      <c r="I303" s="645"/>
      <c r="J303" s="646"/>
      <c r="K303" s="131"/>
      <c r="L303" s="132"/>
      <c r="M303" s="131"/>
      <c r="N303" s="629"/>
      <c r="O303" s="131"/>
      <c r="P303" s="147"/>
      <c r="Q303" s="161"/>
      <c r="AM303" s="1" t="e">
        <v>#REF!</v>
      </c>
      <c r="AN303" s="1" t="e">
        <v>#REF!</v>
      </c>
      <c r="AO303" s="1" t="e">
        <v>#REF!</v>
      </c>
      <c r="AP303" s="1" t="e">
        <v>#REF!</v>
      </c>
      <c r="AQ303" s="1" t="e">
        <v>#REF!</v>
      </c>
      <c r="AR303" s="1" t="e">
        <v>#REF!</v>
      </c>
      <c r="AS303" s="1" t="e">
        <v>#REF!</v>
      </c>
      <c r="AT303" s="2" t="e">
        <v>#REF!</v>
      </c>
      <c r="AU303" s="1" t="e">
        <v>#REF!</v>
      </c>
      <c r="AV303" s="2" t="e">
        <v>#REF!</v>
      </c>
      <c r="AW303" s="1" t="e">
        <v>#REF!</v>
      </c>
      <c r="AX303" s="1" t="e">
        <v>#REF!</v>
      </c>
      <c r="AY303" s="1" t="e">
        <v>#REF!</v>
      </c>
      <c r="AZ303" s="1" t="e">
        <v>#REF!</v>
      </c>
      <c r="BA303" s="1" t="e">
        <v>#REF!</v>
      </c>
      <c r="BB303" s="1" t="e">
        <v>#REF!</v>
      </c>
    </row>
    <row r="304" spans="2:54" ht="17.5">
      <c r="B304" s="629"/>
      <c r="C304" s="172"/>
      <c r="D304" s="131"/>
      <c r="E304" s="131"/>
      <c r="F304" s="131"/>
      <c r="G304" s="131"/>
      <c r="H304" s="643"/>
      <c r="I304" s="645"/>
      <c r="J304" s="646"/>
      <c r="K304" s="131"/>
      <c r="L304" s="132"/>
      <c r="M304" s="131"/>
      <c r="N304" s="629"/>
      <c r="O304" s="131"/>
      <c r="P304" s="147"/>
      <c r="Q304" s="161"/>
      <c r="AM304" s="1" t="e">
        <v>#REF!</v>
      </c>
      <c r="AN304" s="1" t="e">
        <v>#REF!</v>
      </c>
      <c r="AO304" s="1" t="e">
        <v>#REF!</v>
      </c>
      <c r="AP304" s="1" t="e">
        <v>#REF!</v>
      </c>
      <c r="AQ304" s="1" t="e">
        <v>#REF!</v>
      </c>
      <c r="AR304" s="1" t="e">
        <v>#REF!</v>
      </c>
      <c r="AS304" s="1" t="e">
        <v>#REF!</v>
      </c>
      <c r="AT304" s="2" t="e">
        <v>#REF!</v>
      </c>
      <c r="AU304" s="1" t="e">
        <v>#REF!</v>
      </c>
      <c r="AV304" s="2" t="e">
        <v>#REF!</v>
      </c>
      <c r="AW304" s="1" t="e">
        <v>#REF!</v>
      </c>
      <c r="AX304" s="1" t="e">
        <v>#REF!</v>
      </c>
      <c r="AY304" s="1" t="e">
        <v>#REF!</v>
      </c>
      <c r="AZ304" s="1" t="e">
        <v>#REF!</v>
      </c>
      <c r="BA304" s="1" t="e">
        <v>#REF!</v>
      </c>
      <c r="BB304" s="1" t="e">
        <v>#REF!</v>
      </c>
    </row>
    <row r="305" spans="2:54" ht="17.5">
      <c r="B305" s="629"/>
      <c r="C305" s="172"/>
      <c r="D305" s="131"/>
      <c r="E305" s="131"/>
      <c r="F305" s="131"/>
      <c r="G305" s="131"/>
      <c r="H305" s="643"/>
      <c r="I305" s="645"/>
      <c r="J305" s="646"/>
      <c r="K305" s="131"/>
      <c r="L305" s="132"/>
      <c r="M305" s="131"/>
      <c r="N305" s="629"/>
      <c r="O305" s="131"/>
      <c r="P305" s="147"/>
      <c r="Q305" s="161"/>
      <c r="AM305" s="1" t="e">
        <v>#REF!</v>
      </c>
      <c r="AN305" s="1" t="e">
        <v>#REF!</v>
      </c>
      <c r="AO305" s="1" t="e">
        <v>#REF!</v>
      </c>
      <c r="AP305" s="1" t="e">
        <v>#REF!</v>
      </c>
      <c r="AQ305" s="1" t="e">
        <v>#REF!</v>
      </c>
      <c r="AR305" s="1" t="e">
        <v>#REF!</v>
      </c>
      <c r="AS305" s="1" t="e">
        <v>#REF!</v>
      </c>
      <c r="AT305" s="2" t="e">
        <v>#REF!</v>
      </c>
      <c r="AU305" s="1" t="e">
        <v>#REF!</v>
      </c>
      <c r="AV305" s="2" t="e">
        <v>#REF!</v>
      </c>
      <c r="AW305" s="1" t="e">
        <v>#REF!</v>
      </c>
      <c r="AX305" s="1" t="e">
        <v>#REF!</v>
      </c>
      <c r="AY305" s="1" t="e">
        <v>#REF!</v>
      </c>
      <c r="AZ305" s="1" t="e">
        <v>#REF!</v>
      </c>
      <c r="BA305" s="1" t="e">
        <v>#REF!</v>
      </c>
      <c r="BB305" s="1" t="e">
        <v>#REF!</v>
      </c>
    </row>
    <row r="306" spans="2:54" ht="17.5">
      <c r="B306" s="629"/>
      <c r="C306" s="172"/>
      <c r="D306" s="131"/>
      <c r="E306" s="131"/>
      <c r="F306" s="131"/>
      <c r="G306" s="131"/>
      <c r="H306" s="643"/>
      <c r="I306" s="645"/>
      <c r="J306" s="646"/>
      <c r="K306" s="131"/>
      <c r="L306" s="132"/>
      <c r="M306" s="131"/>
      <c r="N306" s="629"/>
      <c r="O306" s="131"/>
      <c r="P306" s="147"/>
      <c r="Q306" s="161"/>
      <c r="AM306" s="1" t="e">
        <v>#REF!</v>
      </c>
      <c r="AN306" s="1" t="e">
        <v>#REF!</v>
      </c>
      <c r="AO306" s="1" t="e">
        <v>#REF!</v>
      </c>
      <c r="AP306" s="1" t="e">
        <v>#REF!</v>
      </c>
      <c r="AQ306" s="1" t="e">
        <v>#REF!</v>
      </c>
      <c r="AR306" s="1" t="e">
        <v>#REF!</v>
      </c>
      <c r="AS306" s="1" t="e">
        <v>#REF!</v>
      </c>
      <c r="AT306" s="2" t="e">
        <v>#REF!</v>
      </c>
      <c r="AU306" s="1" t="e">
        <v>#REF!</v>
      </c>
      <c r="AV306" s="2" t="e">
        <v>#REF!</v>
      </c>
      <c r="AW306" s="1" t="e">
        <v>#REF!</v>
      </c>
      <c r="AX306" s="1" t="e">
        <v>#REF!</v>
      </c>
      <c r="AY306" s="1" t="e">
        <v>#REF!</v>
      </c>
      <c r="AZ306" s="1" t="e">
        <v>#REF!</v>
      </c>
      <c r="BA306" s="1" t="e">
        <v>#REF!</v>
      </c>
      <c r="BB306" s="1" t="e">
        <v>#REF!</v>
      </c>
    </row>
    <row r="307" spans="2:54" ht="17.5">
      <c r="B307" s="629"/>
      <c r="C307" s="652"/>
      <c r="D307" s="131"/>
      <c r="E307" s="653"/>
      <c r="F307" s="131"/>
      <c r="G307" s="131"/>
      <c r="H307" s="131"/>
      <c r="I307" s="645"/>
      <c r="J307" s="646"/>
      <c r="K307" s="131"/>
      <c r="L307" s="132"/>
      <c r="M307" s="131"/>
      <c r="N307" s="629"/>
      <c r="O307" s="131"/>
      <c r="P307" s="147"/>
      <c r="Q307" s="161"/>
      <c r="AM307" s="1" t="e">
        <v>#REF!</v>
      </c>
      <c r="AN307" s="1" t="e">
        <v>#REF!</v>
      </c>
      <c r="AO307" s="1" t="e">
        <v>#REF!</v>
      </c>
      <c r="AP307" s="1" t="e">
        <v>#REF!</v>
      </c>
      <c r="AQ307" s="1" t="e">
        <v>#REF!</v>
      </c>
      <c r="AR307" s="1" t="e">
        <v>#REF!</v>
      </c>
      <c r="AS307" s="1" t="e">
        <v>#REF!</v>
      </c>
      <c r="AT307" s="2" t="e">
        <v>#REF!</v>
      </c>
      <c r="AU307" s="1" t="e">
        <v>#REF!</v>
      </c>
      <c r="AV307" s="2" t="e">
        <v>#REF!</v>
      </c>
      <c r="AW307" s="1" t="e">
        <v>#REF!</v>
      </c>
      <c r="AX307" s="1" t="e">
        <v>#REF!</v>
      </c>
      <c r="AY307" s="1" t="e">
        <v>#REF!</v>
      </c>
      <c r="AZ307" s="1" t="e">
        <v>#REF!</v>
      </c>
      <c r="BA307" s="1" t="e">
        <v>#REF!</v>
      </c>
      <c r="BB307" s="1" t="e">
        <v>#REF!</v>
      </c>
    </row>
    <row r="308" spans="2:54" ht="17.5">
      <c r="B308" s="629"/>
      <c r="C308" s="172"/>
      <c r="D308" s="131"/>
      <c r="E308" s="131"/>
      <c r="F308" s="131"/>
      <c r="G308" s="131"/>
      <c r="H308" s="131"/>
      <c r="I308" s="645"/>
      <c r="J308" s="646"/>
      <c r="K308" s="131"/>
      <c r="L308" s="132"/>
      <c r="M308" s="131"/>
      <c r="N308" s="629"/>
      <c r="O308" s="131"/>
      <c r="P308" s="147"/>
      <c r="Q308" s="161"/>
      <c r="AM308" s="1" t="e">
        <v>#REF!</v>
      </c>
      <c r="AN308" s="1" t="e">
        <v>#REF!</v>
      </c>
      <c r="AO308" s="1" t="e">
        <v>#REF!</v>
      </c>
      <c r="AP308" s="1" t="e">
        <v>#REF!</v>
      </c>
      <c r="AQ308" s="1" t="e">
        <v>#REF!</v>
      </c>
      <c r="AR308" s="1" t="e">
        <v>#REF!</v>
      </c>
      <c r="AS308" s="1" t="e">
        <v>#REF!</v>
      </c>
      <c r="AT308" s="2" t="e">
        <v>#REF!</v>
      </c>
      <c r="AU308" s="1" t="e">
        <v>#REF!</v>
      </c>
      <c r="AV308" s="2" t="e">
        <v>#REF!</v>
      </c>
      <c r="AW308" s="1" t="e">
        <v>#REF!</v>
      </c>
      <c r="AX308" s="1" t="e">
        <v>#REF!</v>
      </c>
      <c r="AY308" s="1" t="e">
        <v>#REF!</v>
      </c>
      <c r="AZ308" s="1" t="e">
        <v>#REF!</v>
      </c>
      <c r="BA308" s="1" t="e">
        <v>#REF!</v>
      </c>
      <c r="BB308" s="1" t="e">
        <v>#REF!</v>
      </c>
    </row>
    <row r="309" spans="2:54" ht="17.5">
      <c r="B309" s="629"/>
      <c r="C309" s="172"/>
      <c r="D309" s="131"/>
      <c r="E309" s="131"/>
      <c r="F309" s="131"/>
      <c r="G309" s="131"/>
      <c r="H309" s="643"/>
      <c r="I309" s="645"/>
      <c r="J309" s="646"/>
      <c r="K309" s="131"/>
      <c r="L309" s="132"/>
      <c r="M309" s="131"/>
      <c r="N309" s="629"/>
      <c r="O309" s="131"/>
      <c r="P309" s="133"/>
      <c r="Q309" s="161"/>
      <c r="AM309" s="1" t="e">
        <v>#REF!</v>
      </c>
      <c r="AN309" s="1" t="e">
        <v>#REF!</v>
      </c>
      <c r="AO309" s="1" t="e">
        <v>#REF!</v>
      </c>
      <c r="AP309" s="1" t="e">
        <v>#REF!</v>
      </c>
      <c r="AQ309" s="1" t="e">
        <v>#REF!</v>
      </c>
      <c r="AR309" s="1" t="e">
        <v>#REF!</v>
      </c>
      <c r="AS309" s="1" t="e">
        <v>#REF!</v>
      </c>
      <c r="AT309" s="2" t="e">
        <v>#REF!</v>
      </c>
      <c r="AU309" s="1" t="e">
        <v>#REF!</v>
      </c>
      <c r="AV309" s="2" t="e">
        <v>#REF!</v>
      </c>
      <c r="AW309" s="1" t="e">
        <v>#REF!</v>
      </c>
      <c r="AX309" s="1" t="e">
        <v>#REF!</v>
      </c>
      <c r="AY309" s="1" t="e">
        <v>#REF!</v>
      </c>
      <c r="AZ309" s="1" t="e">
        <v>#REF!</v>
      </c>
      <c r="BA309" s="1" t="e">
        <v>#REF!</v>
      </c>
      <c r="BB309" s="1" t="e">
        <v>#REF!</v>
      </c>
    </row>
    <row r="310" spans="2:54" ht="17.5">
      <c r="B310" s="629"/>
      <c r="C310" s="172"/>
      <c r="D310" s="131"/>
      <c r="E310" s="131"/>
      <c r="F310" s="131"/>
      <c r="G310" s="131"/>
      <c r="H310" s="643"/>
      <c r="I310" s="645"/>
      <c r="J310" s="646"/>
      <c r="K310" s="131"/>
      <c r="L310" s="132"/>
      <c r="M310" s="131"/>
      <c r="N310" s="629"/>
      <c r="O310" s="131"/>
      <c r="P310" s="147"/>
      <c r="Q310" s="161"/>
      <c r="AM310" s="1" t="e">
        <v>#REF!</v>
      </c>
      <c r="AN310" s="1" t="e">
        <v>#REF!</v>
      </c>
      <c r="AO310" s="1" t="e">
        <v>#REF!</v>
      </c>
      <c r="AP310" s="1" t="e">
        <v>#REF!</v>
      </c>
      <c r="AQ310" s="1" t="e">
        <v>#REF!</v>
      </c>
      <c r="AR310" s="1" t="e">
        <v>#REF!</v>
      </c>
      <c r="AS310" s="1" t="e">
        <v>#REF!</v>
      </c>
      <c r="AT310" s="2" t="e">
        <v>#REF!</v>
      </c>
      <c r="AU310" s="1" t="e">
        <v>#REF!</v>
      </c>
      <c r="AV310" s="2" t="e">
        <v>#REF!</v>
      </c>
      <c r="AW310" s="1" t="e">
        <v>#REF!</v>
      </c>
      <c r="AX310" s="1" t="e">
        <v>#REF!</v>
      </c>
      <c r="AY310" s="1" t="e">
        <v>#REF!</v>
      </c>
      <c r="AZ310" s="1" t="e">
        <v>#REF!</v>
      </c>
      <c r="BA310" s="1" t="e">
        <v>#REF!</v>
      </c>
      <c r="BB310" s="1" t="e">
        <v>#REF!</v>
      </c>
    </row>
    <row r="311" spans="2:54" ht="17.5">
      <c r="B311" s="629"/>
      <c r="C311" s="172"/>
      <c r="D311" s="131"/>
      <c r="E311" s="131"/>
      <c r="F311" s="131"/>
      <c r="G311" s="131"/>
      <c r="H311" s="131"/>
      <c r="I311" s="645"/>
      <c r="J311" s="646"/>
      <c r="K311" s="131"/>
      <c r="L311" s="132"/>
      <c r="M311" s="131"/>
      <c r="N311" s="629"/>
      <c r="O311" s="131"/>
      <c r="P311" s="147"/>
      <c r="Q311" s="161"/>
      <c r="AM311" s="1" t="e">
        <v>#REF!</v>
      </c>
      <c r="AN311" s="1" t="e">
        <v>#REF!</v>
      </c>
      <c r="AO311" s="1" t="e">
        <v>#REF!</v>
      </c>
      <c r="AP311" s="1" t="e">
        <v>#REF!</v>
      </c>
      <c r="AQ311" s="1" t="e">
        <v>#REF!</v>
      </c>
      <c r="AR311" s="1" t="e">
        <v>#REF!</v>
      </c>
      <c r="AS311" s="1" t="e">
        <v>#REF!</v>
      </c>
      <c r="AT311" s="2" t="e">
        <v>#REF!</v>
      </c>
      <c r="AU311" s="1" t="e">
        <v>#REF!</v>
      </c>
      <c r="AV311" s="2" t="e">
        <v>#REF!</v>
      </c>
      <c r="AW311" s="1" t="e">
        <v>#REF!</v>
      </c>
      <c r="AX311" s="1" t="e">
        <v>#REF!</v>
      </c>
      <c r="AY311" s="1" t="e">
        <v>#REF!</v>
      </c>
      <c r="AZ311" s="1" t="e">
        <v>#REF!</v>
      </c>
      <c r="BA311" s="1" t="e">
        <v>#REF!</v>
      </c>
      <c r="BB311" s="1" t="e">
        <v>#REF!</v>
      </c>
    </row>
    <row r="312" spans="2:54" ht="17.5">
      <c r="B312" s="629"/>
      <c r="C312" s="172"/>
      <c r="D312" s="131"/>
      <c r="E312" s="131"/>
      <c r="F312" s="131"/>
      <c r="G312" s="131"/>
      <c r="H312" s="643"/>
      <c r="I312" s="645"/>
      <c r="J312" s="646"/>
      <c r="K312" s="131"/>
      <c r="L312" s="132"/>
      <c r="M312" s="131"/>
      <c r="N312" s="629"/>
      <c r="O312" s="131"/>
      <c r="P312" s="147"/>
      <c r="Q312" s="161"/>
      <c r="AM312" s="1" t="e">
        <v>#REF!</v>
      </c>
      <c r="AN312" s="1" t="e">
        <v>#REF!</v>
      </c>
      <c r="AO312" s="1" t="e">
        <v>#REF!</v>
      </c>
      <c r="AP312" s="1" t="e">
        <v>#REF!</v>
      </c>
      <c r="AQ312" s="1" t="e">
        <v>#REF!</v>
      </c>
      <c r="AR312" s="1" t="e">
        <v>#REF!</v>
      </c>
      <c r="AS312" s="1" t="e">
        <v>#REF!</v>
      </c>
      <c r="AT312" s="2" t="e">
        <v>#REF!</v>
      </c>
      <c r="AU312" s="1" t="e">
        <v>#REF!</v>
      </c>
      <c r="AV312" s="2" t="e">
        <v>#REF!</v>
      </c>
      <c r="AW312" s="1" t="e">
        <v>#REF!</v>
      </c>
      <c r="AX312" s="1" t="e">
        <v>#REF!</v>
      </c>
      <c r="AY312" s="1" t="e">
        <v>#REF!</v>
      </c>
      <c r="AZ312" s="1" t="e">
        <v>#REF!</v>
      </c>
      <c r="BA312" s="1" t="e">
        <v>#REF!</v>
      </c>
      <c r="BB312" s="1" t="e">
        <v>#REF!</v>
      </c>
    </row>
    <row r="313" spans="2:54" ht="17.5">
      <c r="B313" s="629"/>
      <c r="C313" s="172"/>
      <c r="D313" s="131"/>
      <c r="E313" s="131"/>
      <c r="F313" s="131"/>
      <c r="G313" s="131"/>
      <c r="H313" s="643"/>
      <c r="I313" s="645"/>
      <c r="J313" s="646"/>
      <c r="K313" s="131"/>
      <c r="L313" s="132"/>
      <c r="M313" s="131"/>
      <c r="N313" s="629"/>
      <c r="O313" s="131"/>
      <c r="P313" s="147"/>
      <c r="Q313" s="161"/>
      <c r="AM313" s="1" t="e">
        <v>#REF!</v>
      </c>
      <c r="AN313" s="1" t="e">
        <v>#REF!</v>
      </c>
      <c r="AO313" s="1" t="e">
        <v>#REF!</v>
      </c>
      <c r="AP313" s="1" t="e">
        <v>#REF!</v>
      </c>
      <c r="AQ313" s="1" t="e">
        <v>#REF!</v>
      </c>
      <c r="AR313" s="1" t="e">
        <v>#REF!</v>
      </c>
      <c r="AS313" s="1" t="e">
        <v>#REF!</v>
      </c>
      <c r="AT313" s="2" t="e">
        <v>#REF!</v>
      </c>
      <c r="AU313" s="1" t="e">
        <v>#REF!</v>
      </c>
      <c r="AV313" s="2" t="e">
        <v>#REF!</v>
      </c>
      <c r="AW313" s="1" t="e">
        <v>#REF!</v>
      </c>
      <c r="AX313" s="1" t="e">
        <v>#REF!</v>
      </c>
      <c r="AY313" s="1" t="e">
        <v>#REF!</v>
      </c>
      <c r="AZ313" s="1" t="e">
        <v>#REF!</v>
      </c>
      <c r="BA313" s="1" t="e">
        <v>#REF!</v>
      </c>
      <c r="BB313" s="1" t="e">
        <v>#REF!</v>
      </c>
    </row>
    <row r="314" spans="2:54" ht="17.5">
      <c r="B314" s="629"/>
      <c r="C314" s="172"/>
      <c r="D314" s="131"/>
      <c r="E314" s="131"/>
      <c r="F314" s="131"/>
      <c r="G314" s="131"/>
      <c r="H314" s="643"/>
      <c r="I314" s="645"/>
      <c r="J314" s="646"/>
      <c r="K314" s="131"/>
      <c r="L314" s="132"/>
      <c r="M314" s="131"/>
      <c r="N314" s="629"/>
      <c r="O314" s="131"/>
      <c r="P314" s="147"/>
      <c r="Q314" s="161"/>
      <c r="AM314" s="1" t="e">
        <v>#REF!</v>
      </c>
      <c r="AN314" s="1" t="e">
        <v>#REF!</v>
      </c>
      <c r="AO314" s="1" t="e">
        <v>#REF!</v>
      </c>
      <c r="AP314" s="1" t="e">
        <v>#REF!</v>
      </c>
      <c r="AQ314" s="1" t="e">
        <v>#REF!</v>
      </c>
      <c r="AR314" s="1" t="e">
        <v>#REF!</v>
      </c>
      <c r="AS314" s="1" t="e">
        <v>#REF!</v>
      </c>
      <c r="AT314" s="2" t="e">
        <v>#REF!</v>
      </c>
      <c r="AU314" s="1" t="e">
        <v>#REF!</v>
      </c>
      <c r="AV314" s="2" t="e">
        <v>#REF!</v>
      </c>
      <c r="AW314" s="1" t="e">
        <v>#REF!</v>
      </c>
      <c r="AX314" s="1" t="e">
        <v>#REF!</v>
      </c>
      <c r="AY314" s="1" t="e">
        <v>#REF!</v>
      </c>
      <c r="AZ314" s="1" t="e">
        <v>#REF!</v>
      </c>
      <c r="BA314" s="1" t="e">
        <v>#REF!</v>
      </c>
      <c r="BB314" s="1" t="e">
        <v>#REF!</v>
      </c>
    </row>
    <row r="315" spans="2:54" ht="17.5">
      <c r="B315" s="629"/>
      <c r="C315" s="172"/>
      <c r="D315" s="131"/>
      <c r="E315" s="131"/>
      <c r="F315" s="131"/>
      <c r="G315" s="131"/>
      <c r="H315" s="131"/>
      <c r="I315" s="645"/>
      <c r="J315" s="646"/>
      <c r="K315" s="131"/>
      <c r="L315" s="132"/>
      <c r="M315" s="131"/>
      <c r="N315" s="629"/>
      <c r="O315" s="131"/>
      <c r="P315" s="147"/>
      <c r="Q315" s="161"/>
      <c r="AM315" s="1" t="e">
        <v>#REF!</v>
      </c>
      <c r="AN315" s="1" t="e">
        <v>#REF!</v>
      </c>
      <c r="AO315" s="1" t="e">
        <v>#REF!</v>
      </c>
      <c r="AP315" s="1" t="e">
        <v>#REF!</v>
      </c>
      <c r="AQ315" s="1" t="e">
        <v>#REF!</v>
      </c>
      <c r="AR315" s="1" t="e">
        <v>#REF!</v>
      </c>
      <c r="AS315" s="1" t="e">
        <v>#REF!</v>
      </c>
      <c r="AT315" s="2" t="e">
        <v>#REF!</v>
      </c>
      <c r="AU315" s="1" t="e">
        <v>#REF!</v>
      </c>
      <c r="AV315" s="2" t="e">
        <v>#REF!</v>
      </c>
      <c r="AW315" s="1" t="e">
        <v>#REF!</v>
      </c>
      <c r="AX315" s="1" t="e">
        <v>#REF!</v>
      </c>
      <c r="AY315" s="1" t="e">
        <v>#REF!</v>
      </c>
      <c r="AZ315" s="1" t="e">
        <v>#REF!</v>
      </c>
      <c r="BA315" s="1" t="e">
        <v>#REF!</v>
      </c>
      <c r="BB315" s="1" t="e">
        <v>#REF!</v>
      </c>
    </row>
    <row r="316" spans="2:54" ht="17.5">
      <c r="B316" s="629"/>
      <c r="C316" s="172"/>
      <c r="D316" s="131"/>
      <c r="E316" s="131"/>
      <c r="F316" s="131"/>
      <c r="G316" s="131"/>
      <c r="H316" s="643"/>
      <c r="I316" s="645"/>
      <c r="J316" s="646"/>
      <c r="K316" s="131"/>
      <c r="L316" s="132"/>
      <c r="M316" s="131"/>
      <c r="N316" s="629"/>
      <c r="O316" s="131"/>
      <c r="P316" s="147"/>
      <c r="Q316" s="161"/>
      <c r="AM316" s="1" t="e">
        <v>#REF!</v>
      </c>
      <c r="AN316" s="1" t="e">
        <v>#REF!</v>
      </c>
      <c r="AO316" s="1" t="e">
        <v>#REF!</v>
      </c>
      <c r="AP316" s="1" t="e">
        <v>#REF!</v>
      </c>
      <c r="AQ316" s="1" t="e">
        <v>#REF!</v>
      </c>
      <c r="AR316" s="1" t="e">
        <v>#REF!</v>
      </c>
      <c r="AS316" s="1" t="e">
        <v>#REF!</v>
      </c>
      <c r="AT316" s="2" t="e">
        <v>#REF!</v>
      </c>
      <c r="AU316" s="1" t="e">
        <v>#REF!</v>
      </c>
      <c r="AV316" s="2" t="e">
        <v>#REF!</v>
      </c>
      <c r="AW316" s="1" t="e">
        <v>#REF!</v>
      </c>
      <c r="AX316" s="1" t="e">
        <v>#REF!</v>
      </c>
      <c r="AY316" s="1" t="e">
        <v>#REF!</v>
      </c>
      <c r="AZ316" s="1" t="e">
        <v>#REF!</v>
      </c>
      <c r="BA316" s="1" t="e">
        <v>#REF!</v>
      </c>
      <c r="BB316" s="1" t="e">
        <v>#REF!</v>
      </c>
    </row>
    <row r="317" spans="2:54" ht="17.5">
      <c r="B317" s="629"/>
      <c r="C317" s="172"/>
      <c r="D317" s="131"/>
      <c r="E317" s="131"/>
      <c r="F317" s="131"/>
      <c r="G317" s="131"/>
      <c r="H317" s="131"/>
      <c r="I317" s="645"/>
      <c r="J317" s="646"/>
      <c r="K317" s="131"/>
      <c r="L317" s="132"/>
      <c r="M317" s="131"/>
      <c r="N317" s="629"/>
      <c r="O317" s="131"/>
      <c r="P317" s="147"/>
      <c r="Q317" s="161"/>
      <c r="AM317" s="1" t="e">
        <v>#REF!</v>
      </c>
      <c r="AN317" s="1" t="e">
        <v>#REF!</v>
      </c>
      <c r="AO317" s="1" t="e">
        <v>#REF!</v>
      </c>
      <c r="AP317" s="1" t="e">
        <v>#REF!</v>
      </c>
      <c r="AQ317" s="1" t="e">
        <v>#REF!</v>
      </c>
      <c r="AR317" s="1" t="e">
        <v>#REF!</v>
      </c>
      <c r="AS317" s="1" t="e">
        <v>#REF!</v>
      </c>
      <c r="AT317" s="2" t="e">
        <v>#REF!</v>
      </c>
      <c r="AU317" s="1" t="e">
        <v>#REF!</v>
      </c>
      <c r="AV317" s="2" t="e">
        <v>#REF!</v>
      </c>
      <c r="AW317" s="1" t="e">
        <v>#REF!</v>
      </c>
      <c r="AX317" s="1" t="e">
        <v>#REF!</v>
      </c>
      <c r="AY317" s="1" t="e">
        <v>#REF!</v>
      </c>
      <c r="AZ317" s="1" t="e">
        <v>#REF!</v>
      </c>
      <c r="BA317" s="1" t="e">
        <v>#REF!</v>
      </c>
      <c r="BB317" s="1" t="e">
        <v>#REF!</v>
      </c>
    </row>
    <row r="318" spans="2:54" ht="17.5">
      <c r="B318" s="629"/>
      <c r="C318" s="370"/>
      <c r="D318" s="131"/>
      <c r="E318" s="654"/>
      <c r="F318" s="131"/>
      <c r="G318" s="131"/>
      <c r="H318" s="643"/>
      <c r="I318" s="645"/>
      <c r="J318" s="646"/>
      <c r="K318" s="131"/>
      <c r="L318" s="132"/>
      <c r="M318" s="131"/>
      <c r="N318" s="629"/>
      <c r="O318" s="131"/>
      <c r="P318" s="147"/>
      <c r="Q318" s="161"/>
      <c r="AM318" s="1" t="e">
        <v>#REF!</v>
      </c>
      <c r="AN318" s="1" t="e">
        <v>#REF!</v>
      </c>
      <c r="AO318" s="1" t="e">
        <v>#REF!</v>
      </c>
      <c r="AP318" s="1" t="e">
        <v>#REF!</v>
      </c>
      <c r="AQ318" s="1" t="e">
        <v>#REF!</v>
      </c>
      <c r="AR318" s="1" t="e">
        <v>#REF!</v>
      </c>
      <c r="AS318" s="1" t="e">
        <v>#REF!</v>
      </c>
      <c r="AT318" s="2" t="e">
        <v>#REF!</v>
      </c>
      <c r="AU318" s="1" t="e">
        <v>#REF!</v>
      </c>
      <c r="AV318" s="2" t="e">
        <v>#REF!</v>
      </c>
      <c r="AW318" s="1" t="e">
        <v>#REF!</v>
      </c>
      <c r="AX318" s="1" t="e">
        <v>#REF!</v>
      </c>
      <c r="AY318" s="1" t="e">
        <v>#REF!</v>
      </c>
      <c r="AZ318" s="1" t="e">
        <v>#REF!</v>
      </c>
      <c r="BA318" s="1" t="e">
        <v>#REF!</v>
      </c>
      <c r="BB318" s="1" t="e">
        <v>#REF!</v>
      </c>
    </row>
    <row r="319" spans="2:54" ht="17.5">
      <c r="B319" s="629"/>
      <c r="C319" s="172"/>
      <c r="D319" s="131"/>
      <c r="E319" s="131"/>
      <c r="F319" s="131"/>
      <c r="G319" s="131"/>
      <c r="H319" s="131"/>
      <c r="I319" s="645"/>
      <c r="J319" s="646"/>
      <c r="K319" s="131"/>
      <c r="L319" s="132"/>
      <c r="M319" s="131"/>
      <c r="N319" s="629"/>
      <c r="O319" s="131"/>
      <c r="P319" s="147"/>
      <c r="Q319" s="161"/>
      <c r="AM319" s="1" t="e">
        <v>#REF!</v>
      </c>
      <c r="AN319" s="1" t="e">
        <v>#REF!</v>
      </c>
      <c r="AO319" s="1" t="e">
        <v>#REF!</v>
      </c>
      <c r="AP319" s="1" t="e">
        <v>#REF!</v>
      </c>
      <c r="AQ319" s="1" t="e">
        <v>#REF!</v>
      </c>
      <c r="AR319" s="1" t="e">
        <v>#REF!</v>
      </c>
      <c r="AS319" s="1" t="e">
        <v>#REF!</v>
      </c>
      <c r="AT319" s="2" t="e">
        <v>#REF!</v>
      </c>
      <c r="AU319" s="1" t="e">
        <v>#REF!</v>
      </c>
      <c r="AV319" s="2" t="e">
        <v>#REF!</v>
      </c>
      <c r="AW319" s="1" t="e">
        <v>#REF!</v>
      </c>
      <c r="AX319" s="1" t="e">
        <v>#REF!</v>
      </c>
      <c r="AY319" s="1" t="e">
        <v>#REF!</v>
      </c>
      <c r="AZ319" s="1" t="e">
        <v>#REF!</v>
      </c>
      <c r="BA319" s="1" t="e">
        <v>#REF!</v>
      </c>
      <c r="BB319" s="1" t="e">
        <v>#REF!</v>
      </c>
    </row>
    <row r="320" spans="2:54" ht="17.5">
      <c r="B320" s="629"/>
      <c r="C320" s="172"/>
      <c r="D320" s="131"/>
      <c r="E320" s="131"/>
      <c r="F320" s="131"/>
      <c r="G320" s="131"/>
      <c r="H320" s="131"/>
      <c r="I320" s="645"/>
      <c r="J320" s="646"/>
      <c r="K320" s="131"/>
      <c r="L320" s="132"/>
      <c r="M320" s="131"/>
      <c r="N320" s="629"/>
      <c r="O320" s="131"/>
      <c r="P320" s="147"/>
      <c r="Q320" s="161"/>
      <c r="AM320" s="1" t="e">
        <v>#REF!</v>
      </c>
      <c r="AN320" s="1" t="e">
        <v>#REF!</v>
      </c>
      <c r="AO320" s="1" t="e">
        <v>#REF!</v>
      </c>
      <c r="AP320" s="1" t="e">
        <v>#REF!</v>
      </c>
      <c r="AQ320" s="1" t="e">
        <v>#REF!</v>
      </c>
      <c r="AR320" s="1" t="e">
        <v>#REF!</v>
      </c>
      <c r="AS320" s="1" t="e">
        <v>#REF!</v>
      </c>
      <c r="AT320" s="2" t="e">
        <v>#REF!</v>
      </c>
      <c r="AU320" s="1" t="e">
        <v>#REF!</v>
      </c>
      <c r="AV320" s="2" t="e">
        <v>#REF!</v>
      </c>
      <c r="AW320" s="1" t="e">
        <v>#REF!</v>
      </c>
      <c r="AX320" s="1" t="e">
        <v>#REF!</v>
      </c>
      <c r="AY320" s="1" t="e">
        <v>#REF!</v>
      </c>
      <c r="AZ320" s="1" t="e">
        <v>#REF!</v>
      </c>
      <c r="BA320" s="1" t="e">
        <v>#REF!</v>
      </c>
      <c r="BB320" s="1" t="e">
        <v>#REF!</v>
      </c>
    </row>
    <row r="321" spans="2:54" ht="17.5">
      <c r="B321" s="629"/>
      <c r="C321" s="172"/>
      <c r="D321" s="131"/>
      <c r="E321" s="131"/>
      <c r="F321" s="131"/>
      <c r="G321" s="131"/>
      <c r="H321" s="131"/>
      <c r="I321" s="645"/>
      <c r="J321" s="646"/>
      <c r="K321" s="131"/>
      <c r="L321" s="132"/>
      <c r="M321" s="131"/>
      <c r="N321" s="629"/>
      <c r="O321" s="131"/>
      <c r="P321" s="133"/>
      <c r="Q321" s="161"/>
      <c r="AM321" s="1" t="e">
        <v>#REF!</v>
      </c>
      <c r="AN321" s="1" t="e">
        <v>#REF!</v>
      </c>
      <c r="AO321" s="1" t="e">
        <v>#REF!</v>
      </c>
      <c r="AP321" s="1" t="e">
        <v>#REF!</v>
      </c>
      <c r="AQ321" s="1" t="e">
        <v>#REF!</v>
      </c>
      <c r="AR321" s="1" t="e">
        <v>#REF!</v>
      </c>
      <c r="AS321" s="1" t="e">
        <v>#REF!</v>
      </c>
      <c r="AT321" s="2" t="e">
        <v>#REF!</v>
      </c>
      <c r="AU321" s="1" t="e">
        <v>#REF!</v>
      </c>
      <c r="AV321" s="2" t="e">
        <v>#REF!</v>
      </c>
      <c r="AW321" s="1" t="e">
        <v>#REF!</v>
      </c>
      <c r="AX321" s="1" t="e">
        <v>#REF!</v>
      </c>
      <c r="AY321" s="1" t="e">
        <v>#REF!</v>
      </c>
      <c r="AZ321" s="1" t="e">
        <v>#REF!</v>
      </c>
      <c r="BA321" s="1" t="e">
        <v>#REF!</v>
      </c>
      <c r="BB321" s="1" t="e">
        <v>#REF!</v>
      </c>
    </row>
    <row r="322" spans="2:54" ht="17.5">
      <c r="B322" s="629"/>
      <c r="C322" s="172"/>
      <c r="D322" s="131"/>
      <c r="E322" s="131"/>
      <c r="F322" s="131"/>
      <c r="G322" s="131"/>
      <c r="H322" s="131"/>
      <c r="I322" s="645"/>
      <c r="J322" s="646"/>
      <c r="K322" s="131"/>
      <c r="L322" s="132"/>
      <c r="M322" s="131"/>
      <c r="N322" s="629"/>
      <c r="O322" s="131"/>
      <c r="P322" s="133"/>
      <c r="Q322" s="161"/>
      <c r="AM322" s="1" t="e">
        <v>#REF!</v>
      </c>
      <c r="AN322" s="1" t="e">
        <v>#REF!</v>
      </c>
      <c r="AO322" s="1" t="e">
        <v>#REF!</v>
      </c>
      <c r="AP322" s="1" t="e">
        <v>#REF!</v>
      </c>
      <c r="AQ322" s="1" t="e">
        <v>#REF!</v>
      </c>
      <c r="AR322" s="1" t="e">
        <v>#REF!</v>
      </c>
      <c r="AS322" s="1" t="e">
        <v>#REF!</v>
      </c>
      <c r="AT322" s="2" t="e">
        <v>#REF!</v>
      </c>
      <c r="AU322" s="1" t="e">
        <v>#REF!</v>
      </c>
      <c r="AV322" s="2" t="e">
        <v>#REF!</v>
      </c>
      <c r="AW322" s="1" t="e">
        <v>#REF!</v>
      </c>
      <c r="AX322" s="1" t="e">
        <v>#REF!</v>
      </c>
      <c r="AY322" s="1" t="e">
        <v>#REF!</v>
      </c>
      <c r="AZ322" s="1" t="e">
        <v>#REF!</v>
      </c>
      <c r="BA322" s="1" t="e">
        <v>#REF!</v>
      </c>
      <c r="BB322" s="1" t="e">
        <v>#REF!</v>
      </c>
    </row>
    <row r="323" spans="2:54" ht="17.5">
      <c r="B323" s="629"/>
      <c r="C323" s="172"/>
      <c r="D323" s="131"/>
      <c r="E323" s="131"/>
      <c r="F323" s="131"/>
      <c r="G323" s="131"/>
      <c r="H323" s="131"/>
      <c r="I323" s="645"/>
      <c r="J323" s="646"/>
      <c r="K323" s="131"/>
      <c r="L323" s="132"/>
      <c r="M323" s="131"/>
      <c r="N323" s="629"/>
      <c r="O323" s="131"/>
      <c r="P323" s="133"/>
      <c r="Q323" s="161"/>
      <c r="AM323" s="1" t="e">
        <v>#REF!</v>
      </c>
      <c r="AN323" s="1" t="e">
        <v>#REF!</v>
      </c>
      <c r="AO323" s="1" t="e">
        <v>#REF!</v>
      </c>
      <c r="AP323" s="1" t="e">
        <v>#REF!</v>
      </c>
      <c r="AQ323" s="1" t="e">
        <v>#REF!</v>
      </c>
      <c r="AR323" s="1" t="e">
        <v>#REF!</v>
      </c>
      <c r="AS323" s="1" t="e">
        <v>#REF!</v>
      </c>
      <c r="AT323" s="2" t="e">
        <v>#REF!</v>
      </c>
      <c r="AU323" s="1" t="e">
        <v>#REF!</v>
      </c>
      <c r="AV323" s="2" t="e">
        <v>#REF!</v>
      </c>
      <c r="AW323" s="1" t="e">
        <v>#REF!</v>
      </c>
      <c r="AX323" s="1" t="e">
        <v>#REF!</v>
      </c>
      <c r="AY323" s="1" t="e">
        <v>#REF!</v>
      </c>
      <c r="AZ323" s="1" t="e">
        <v>#REF!</v>
      </c>
      <c r="BA323" s="1" t="e">
        <v>#REF!</v>
      </c>
      <c r="BB323" s="1" t="e">
        <v>#REF!</v>
      </c>
    </row>
    <row r="324" spans="2:54" ht="17.5">
      <c r="B324" s="629"/>
      <c r="C324" s="655"/>
      <c r="D324" s="131"/>
      <c r="E324" s="654"/>
      <c r="F324" s="131"/>
      <c r="G324" s="131"/>
      <c r="H324" s="131"/>
      <c r="I324" s="645"/>
      <c r="J324" s="646"/>
      <c r="K324" s="131"/>
      <c r="L324" s="132"/>
      <c r="M324" s="131"/>
      <c r="N324" s="629"/>
      <c r="O324" s="131"/>
      <c r="P324" s="133"/>
      <c r="Q324" s="161"/>
      <c r="AM324" s="1" t="e">
        <v>#REF!</v>
      </c>
      <c r="AN324" s="1" t="e">
        <v>#REF!</v>
      </c>
      <c r="AO324" s="1" t="e">
        <v>#REF!</v>
      </c>
      <c r="AP324" s="1" t="e">
        <v>#REF!</v>
      </c>
      <c r="AQ324" s="1" t="e">
        <v>#REF!</v>
      </c>
      <c r="AR324" s="1" t="e">
        <v>#REF!</v>
      </c>
      <c r="AS324" s="1" t="e">
        <v>#REF!</v>
      </c>
      <c r="AT324" s="2" t="e">
        <v>#REF!</v>
      </c>
      <c r="AU324" s="1" t="e">
        <v>#REF!</v>
      </c>
      <c r="AV324" s="2" t="e">
        <v>#REF!</v>
      </c>
      <c r="AW324" s="1" t="e">
        <v>#REF!</v>
      </c>
      <c r="AX324" s="1" t="e">
        <v>#REF!</v>
      </c>
      <c r="AY324" s="1" t="e">
        <v>#REF!</v>
      </c>
      <c r="AZ324" s="1" t="e">
        <v>#REF!</v>
      </c>
      <c r="BA324" s="1" t="e">
        <v>#REF!</v>
      </c>
      <c r="BB324" s="1" t="e">
        <v>#REF!</v>
      </c>
    </row>
    <row r="325" spans="2:54" ht="17.5">
      <c r="B325" s="629"/>
      <c r="C325" s="172"/>
      <c r="D325" s="131"/>
      <c r="E325" s="131"/>
      <c r="F325" s="131"/>
      <c r="G325" s="131"/>
      <c r="H325" s="131"/>
      <c r="I325" s="645"/>
      <c r="J325" s="646"/>
      <c r="K325" s="131"/>
      <c r="L325" s="132"/>
      <c r="M325" s="131"/>
      <c r="N325" s="629"/>
      <c r="O325" s="131"/>
      <c r="P325" s="133"/>
      <c r="Q325" s="161"/>
      <c r="AM325" s="1" t="e">
        <v>#REF!</v>
      </c>
      <c r="AN325" s="1" t="e">
        <v>#REF!</v>
      </c>
      <c r="AO325" s="1" t="e">
        <v>#REF!</v>
      </c>
      <c r="AP325" s="1" t="e">
        <v>#REF!</v>
      </c>
      <c r="AQ325" s="1" t="e">
        <v>#REF!</v>
      </c>
      <c r="AR325" s="1" t="e">
        <v>#REF!</v>
      </c>
      <c r="AS325" s="1" t="e">
        <v>#REF!</v>
      </c>
      <c r="AT325" s="2" t="e">
        <v>#REF!</v>
      </c>
      <c r="AU325" s="1" t="e">
        <v>#REF!</v>
      </c>
      <c r="AV325" s="2" t="e">
        <v>#REF!</v>
      </c>
      <c r="AW325" s="1" t="e">
        <v>#REF!</v>
      </c>
      <c r="AX325" s="1" t="e">
        <v>#REF!</v>
      </c>
      <c r="AY325" s="1" t="e">
        <v>#REF!</v>
      </c>
      <c r="AZ325" s="1" t="e">
        <v>#REF!</v>
      </c>
      <c r="BA325" s="1" t="e">
        <v>#REF!</v>
      </c>
      <c r="BB325" s="1" t="e">
        <v>#REF!</v>
      </c>
    </row>
    <row r="326" spans="2:54" ht="17.5">
      <c r="B326" s="629"/>
      <c r="C326" s="655"/>
      <c r="D326" s="131"/>
      <c r="E326" s="131"/>
      <c r="F326" s="131"/>
      <c r="G326" s="131"/>
      <c r="H326" s="131"/>
      <c r="I326" s="645"/>
      <c r="J326" s="646"/>
      <c r="K326" s="131"/>
      <c r="L326" s="132"/>
      <c r="M326" s="131"/>
      <c r="N326" s="629"/>
      <c r="O326" s="131"/>
      <c r="P326" s="133"/>
      <c r="Q326" s="161"/>
      <c r="AM326" s="1" t="e">
        <v>#REF!</v>
      </c>
      <c r="AN326" s="1" t="e">
        <v>#REF!</v>
      </c>
      <c r="AO326" s="1" t="e">
        <v>#REF!</v>
      </c>
      <c r="AP326" s="1" t="e">
        <v>#REF!</v>
      </c>
      <c r="AQ326" s="1" t="e">
        <v>#REF!</v>
      </c>
      <c r="AR326" s="1" t="e">
        <v>#REF!</v>
      </c>
      <c r="AS326" s="1" t="e">
        <v>#REF!</v>
      </c>
      <c r="AT326" s="2" t="e">
        <v>#REF!</v>
      </c>
      <c r="AU326" s="1" t="e">
        <v>#REF!</v>
      </c>
      <c r="AV326" s="2" t="e">
        <v>#REF!</v>
      </c>
      <c r="AW326" s="1" t="e">
        <v>#REF!</v>
      </c>
      <c r="AX326" s="1" t="e">
        <v>#REF!</v>
      </c>
      <c r="AY326" s="1" t="e">
        <v>#REF!</v>
      </c>
      <c r="AZ326" s="1" t="e">
        <v>#REF!</v>
      </c>
      <c r="BA326" s="1" t="e">
        <v>#REF!</v>
      </c>
      <c r="BB326" s="1" t="e">
        <v>#REF!</v>
      </c>
    </row>
    <row r="327" spans="2:54" ht="17.5">
      <c r="B327" s="629"/>
      <c r="C327" s="172"/>
      <c r="D327" s="131"/>
      <c r="E327" s="131"/>
      <c r="F327" s="131"/>
      <c r="G327" s="131"/>
      <c r="H327" s="131"/>
      <c r="I327" s="645"/>
      <c r="J327" s="646"/>
      <c r="K327" s="131"/>
      <c r="L327" s="132"/>
      <c r="M327" s="131"/>
      <c r="N327" s="629"/>
      <c r="O327" s="131"/>
      <c r="P327" s="133"/>
      <c r="Q327" s="161"/>
      <c r="AM327" s="1" t="e">
        <v>#REF!</v>
      </c>
      <c r="AN327" s="1" t="e">
        <v>#REF!</v>
      </c>
      <c r="AO327" s="1" t="e">
        <v>#REF!</v>
      </c>
      <c r="AP327" s="1" t="e">
        <v>#REF!</v>
      </c>
      <c r="AQ327" s="1" t="e">
        <v>#REF!</v>
      </c>
      <c r="AR327" s="1" t="e">
        <v>#REF!</v>
      </c>
      <c r="AS327" s="1" t="e">
        <v>#REF!</v>
      </c>
      <c r="AT327" s="2" t="e">
        <v>#REF!</v>
      </c>
      <c r="AU327" s="1" t="e">
        <v>#REF!</v>
      </c>
      <c r="AV327" s="2" t="e">
        <v>#REF!</v>
      </c>
      <c r="AW327" s="1" t="e">
        <v>#REF!</v>
      </c>
      <c r="AX327" s="1" t="e">
        <v>#REF!</v>
      </c>
      <c r="AY327" s="1" t="e">
        <v>#REF!</v>
      </c>
      <c r="AZ327" s="1" t="e">
        <v>#REF!</v>
      </c>
      <c r="BA327" s="1" t="e">
        <v>#REF!</v>
      </c>
      <c r="BB327" s="1" t="e">
        <v>#REF!</v>
      </c>
    </row>
    <row r="328" spans="2:54" ht="17.5">
      <c r="B328" s="629"/>
      <c r="C328" s="652"/>
      <c r="D328" s="131"/>
      <c r="E328" s="653"/>
      <c r="F328" s="131"/>
      <c r="G328" s="131"/>
      <c r="H328" s="131"/>
      <c r="I328" s="645"/>
      <c r="J328" s="646"/>
      <c r="K328" s="131"/>
      <c r="L328" s="132"/>
      <c r="M328" s="131"/>
      <c r="N328" s="629"/>
      <c r="O328" s="131"/>
      <c r="P328" s="147"/>
      <c r="Q328" s="161"/>
      <c r="AM328" s="1" t="e">
        <v>#REF!</v>
      </c>
      <c r="AN328" s="1" t="e">
        <v>#REF!</v>
      </c>
      <c r="AO328" s="1" t="e">
        <v>#REF!</v>
      </c>
      <c r="AP328" s="1" t="e">
        <v>#REF!</v>
      </c>
      <c r="AQ328" s="1" t="e">
        <v>#REF!</v>
      </c>
      <c r="AR328" s="1" t="e">
        <v>#REF!</v>
      </c>
      <c r="AS328" s="1" t="e">
        <v>#REF!</v>
      </c>
      <c r="AT328" s="2" t="e">
        <v>#REF!</v>
      </c>
      <c r="AU328" s="1" t="e">
        <v>#REF!</v>
      </c>
      <c r="AV328" s="2" t="e">
        <v>#REF!</v>
      </c>
      <c r="AW328" s="1" t="e">
        <v>#REF!</v>
      </c>
      <c r="AX328" s="1" t="e">
        <v>#REF!</v>
      </c>
      <c r="AY328" s="1" t="e">
        <v>#REF!</v>
      </c>
      <c r="AZ328" s="1" t="e">
        <v>#REF!</v>
      </c>
      <c r="BA328" s="1" t="e">
        <v>#REF!</v>
      </c>
      <c r="BB328" s="1" t="e">
        <v>#REF!</v>
      </c>
    </row>
    <row r="329" spans="2:54" ht="17.5">
      <c r="B329" s="131"/>
      <c r="C329" s="172"/>
      <c r="D329" s="131"/>
      <c r="E329" s="131"/>
      <c r="F329" s="131"/>
      <c r="G329" s="131"/>
      <c r="H329" s="131"/>
      <c r="I329" s="645"/>
      <c r="J329" s="646"/>
      <c r="K329" s="131"/>
      <c r="L329" s="132"/>
      <c r="M329" s="131"/>
      <c r="N329" s="629"/>
      <c r="O329" s="131"/>
      <c r="P329" s="147"/>
      <c r="Q329" s="161"/>
      <c r="AM329" s="1" t="e">
        <v>#REF!</v>
      </c>
      <c r="AN329" s="1" t="e">
        <v>#REF!</v>
      </c>
      <c r="AO329" s="1" t="e">
        <v>#REF!</v>
      </c>
      <c r="AP329" s="1" t="e">
        <v>#REF!</v>
      </c>
      <c r="AQ329" s="1" t="e">
        <v>#REF!</v>
      </c>
      <c r="AR329" s="1" t="e">
        <v>#REF!</v>
      </c>
      <c r="AS329" s="1" t="e">
        <v>#REF!</v>
      </c>
      <c r="AT329" s="2" t="e">
        <v>#REF!</v>
      </c>
      <c r="AU329" s="1" t="e">
        <v>#REF!</v>
      </c>
      <c r="AV329" s="2" t="e">
        <v>#REF!</v>
      </c>
      <c r="AW329" s="1" t="e">
        <v>#REF!</v>
      </c>
      <c r="AX329" s="1" t="e">
        <v>#REF!</v>
      </c>
      <c r="AY329" s="1" t="e">
        <v>#REF!</v>
      </c>
      <c r="AZ329" s="1" t="e">
        <v>#REF!</v>
      </c>
      <c r="BA329" s="1" t="e">
        <v>#REF!</v>
      </c>
      <c r="BB329" s="1" t="e">
        <v>#REF!</v>
      </c>
    </row>
    <row r="330" spans="2:54" ht="17.5">
      <c r="B330" s="131"/>
      <c r="C330" s="172"/>
      <c r="D330" s="131"/>
      <c r="E330" s="131"/>
      <c r="F330" s="131"/>
      <c r="G330" s="131"/>
      <c r="H330" s="131"/>
      <c r="I330" s="645"/>
      <c r="J330" s="646"/>
      <c r="K330" s="131"/>
      <c r="L330" s="132"/>
      <c r="M330" s="131"/>
      <c r="N330" s="629"/>
      <c r="O330" s="131"/>
      <c r="P330" s="147"/>
      <c r="Q330" s="161"/>
      <c r="AM330" s="1" t="e">
        <v>#REF!</v>
      </c>
      <c r="AN330" s="1" t="e">
        <v>#REF!</v>
      </c>
      <c r="AO330" s="1" t="e">
        <v>#REF!</v>
      </c>
      <c r="AP330" s="1" t="e">
        <v>#REF!</v>
      </c>
      <c r="AQ330" s="1" t="e">
        <v>#REF!</v>
      </c>
      <c r="AR330" s="1" t="e">
        <v>#REF!</v>
      </c>
      <c r="AS330" s="1" t="e">
        <v>#REF!</v>
      </c>
      <c r="AT330" s="2" t="e">
        <v>#REF!</v>
      </c>
      <c r="AU330" s="1" t="e">
        <v>#REF!</v>
      </c>
      <c r="AV330" s="2" t="e">
        <v>#REF!</v>
      </c>
      <c r="AW330" s="1" t="e">
        <v>#REF!</v>
      </c>
      <c r="AX330" s="1" t="e">
        <v>#REF!</v>
      </c>
      <c r="AY330" s="1" t="e">
        <v>#REF!</v>
      </c>
      <c r="AZ330" s="1" t="e">
        <v>#REF!</v>
      </c>
      <c r="BA330" s="1" t="e">
        <v>#REF!</v>
      </c>
      <c r="BB330" s="1" t="e">
        <v>#REF!</v>
      </c>
    </row>
    <row r="331" spans="2:54" ht="17.5">
      <c r="B331" s="131"/>
      <c r="C331" s="172"/>
      <c r="D331" s="131"/>
      <c r="E331" s="131"/>
      <c r="F331" s="131"/>
      <c r="G331" s="131"/>
      <c r="H331" s="131"/>
      <c r="I331" s="645"/>
      <c r="J331" s="646"/>
      <c r="K331" s="131"/>
      <c r="L331" s="132"/>
      <c r="M331" s="131"/>
      <c r="N331" s="629"/>
      <c r="O331" s="131"/>
      <c r="P331" s="147"/>
      <c r="Q331" s="161"/>
      <c r="AM331" s="1" t="e">
        <v>#REF!</v>
      </c>
      <c r="AN331" s="1" t="e">
        <v>#REF!</v>
      </c>
      <c r="AO331" s="1" t="e">
        <v>#REF!</v>
      </c>
      <c r="AP331" s="1" t="e">
        <v>#REF!</v>
      </c>
      <c r="AQ331" s="1" t="e">
        <v>#REF!</v>
      </c>
      <c r="AR331" s="1" t="e">
        <v>#REF!</v>
      </c>
      <c r="AS331" s="1" t="e">
        <v>#REF!</v>
      </c>
      <c r="AT331" s="2" t="e">
        <v>#REF!</v>
      </c>
      <c r="AU331" s="1" t="e">
        <v>#REF!</v>
      </c>
      <c r="AV331" s="2" t="e">
        <v>#REF!</v>
      </c>
      <c r="AW331" s="1" t="e">
        <v>#REF!</v>
      </c>
      <c r="AX331" s="1" t="e">
        <v>#REF!</v>
      </c>
      <c r="AY331" s="1" t="e">
        <v>#REF!</v>
      </c>
      <c r="AZ331" s="1" t="e">
        <v>#REF!</v>
      </c>
      <c r="BA331" s="1" t="e">
        <v>#REF!</v>
      </c>
      <c r="BB331" s="1" t="e">
        <v>#REF!</v>
      </c>
    </row>
    <row r="332" spans="2:54" ht="17.5">
      <c r="B332" s="131"/>
      <c r="C332" s="172"/>
      <c r="D332" s="131"/>
      <c r="E332" s="131"/>
      <c r="F332" s="131"/>
      <c r="G332" s="131"/>
      <c r="H332" s="131"/>
      <c r="I332" s="645"/>
      <c r="J332" s="646"/>
      <c r="K332" s="131"/>
      <c r="L332" s="132"/>
      <c r="M332" s="131"/>
      <c r="N332" s="629"/>
      <c r="O332" s="131"/>
      <c r="P332" s="147"/>
      <c r="Q332" s="161"/>
      <c r="AM332" s="1" t="e">
        <v>#REF!</v>
      </c>
      <c r="AN332" s="1" t="e">
        <v>#REF!</v>
      </c>
      <c r="AO332" s="1" t="e">
        <v>#REF!</v>
      </c>
      <c r="AP332" s="1" t="e">
        <v>#REF!</v>
      </c>
      <c r="AQ332" s="1" t="e">
        <v>#REF!</v>
      </c>
      <c r="AR332" s="1" t="e">
        <v>#REF!</v>
      </c>
      <c r="AS332" s="1" t="e">
        <v>#REF!</v>
      </c>
      <c r="AT332" s="2" t="e">
        <v>#REF!</v>
      </c>
      <c r="AU332" s="1" t="e">
        <v>#REF!</v>
      </c>
      <c r="AV332" s="2" t="e">
        <v>#REF!</v>
      </c>
      <c r="AW332" s="1" t="e">
        <v>#REF!</v>
      </c>
      <c r="AX332" s="1" t="e">
        <v>#REF!</v>
      </c>
      <c r="AY332" s="1" t="e">
        <v>#REF!</v>
      </c>
      <c r="AZ332" s="1" t="e">
        <v>#REF!</v>
      </c>
      <c r="BA332" s="1" t="e">
        <v>#REF!</v>
      </c>
      <c r="BB332" s="1" t="e">
        <v>#REF!</v>
      </c>
    </row>
    <row r="333" spans="2:54" ht="17.5">
      <c r="B333" s="131"/>
      <c r="C333" s="172"/>
      <c r="D333" s="131"/>
      <c r="E333" s="131"/>
      <c r="F333" s="131"/>
      <c r="G333" s="131"/>
      <c r="H333" s="131"/>
      <c r="I333" s="645"/>
      <c r="J333" s="646"/>
      <c r="K333" s="131"/>
      <c r="L333" s="132"/>
      <c r="M333" s="131"/>
      <c r="N333" s="629"/>
      <c r="O333" s="656"/>
      <c r="P333" s="147"/>
      <c r="Q333" s="161"/>
      <c r="AM333" s="1" t="e">
        <v>#REF!</v>
      </c>
      <c r="AN333" s="1" t="e">
        <v>#REF!</v>
      </c>
      <c r="AO333" s="1" t="e">
        <v>#REF!</v>
      </c>
      <c r="AP333" s="1" t="e">
        <v>#REF!</v>
      </c>
      <c r="AQ333" s="1" t="e">
        <v>#REF!</v>
      </c>
      <c r="AR333" s="1" t="e">
        <v>#REF!</v>
      </c>
      <c r="AS333" s="1" t="e">
        <v>#REF!</v>
      </c>
      <c r="AT333" s="2" t="e">
        <v>#REF!</v>
      </c>
      <c r="AU333" s="1" t="e">
        <v>#REF!</v>
      </c>
      <c r="AV333" s="2" t="e">
        <v>#REF!</v>
      </c>
      <c r="AW333" s="1" t="e">
        <v>#REF!</v>
      </c>
      <c r="AX333" s="1" t="e">
        <v>#REF!</v>
      </c>
      <c r="AY333" s="1" t="e">
        <v>#REF!</v>
      </c>
      <c r="AZ333" s="1" t="e">
        <v>#REF!</v>
      </c>
      <c r="BA333" s="1" t="e">
        <v>#REF!</v>
      </c>
      <c r="BB333" s="1" t="e">
        <v>#REF!</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ورقة13"/>
  <dimension ref="A3:W88"/>
  <sheetViews>
    <sheetView rightToLeft="1" workbookViewId="0"/>
  </sheetViews>
  <sheetFormatPr defaultRowHeight="15.5"/>
  <cols>
    <col min="1" max="1" width="9.61328125" customWidth="1"/>
    <col min="11" max="11" width="14.61328125" customWidth="1"/>
    <col min="12" max="12" width="9.69140625" customWidth="1"/>
    <col min="13" max="13" width="10.921875" customWidth="1"/>
    <col min="16" max="17" width="11.07421875" customWidth="1"/>
    <col min="22" max="22" width="9.3046875" customWidth="1"/>
  </cols>
  <sheetData>
    <row r="3" spans="1:23" ht="46.5">
      <c r="A3" s="96" t="s">
        <v>43</v>
      </c>
      <c r="B3" s="96" t="s">
        <v>421</v>
      </c>
      <c r="C3" s="96" t="s">
        <v>4</v>
      </c>
      <c r="D3" s="96" t="s">
        <v>246</v>
      </c>
      <c r="E3" s="96" t="s">
        <v>247</v>
      </c>
      <c r="F3" s="96" t="s">
        <v>88</v>
      </c>
      <c r="G3" s="96" t="s">
        <v>248</v>
      </c>
      <c r="H3" s="97" t="s">
        <v>238</v>
      </c>
      <c r="I3" s="98" t="s">
        <v>217</v>
      </c>
      <c r="J3" s="96" t="s">
        <v>269</v>
      </c>
      <c r="K3" s="96" t="s">
        <v>652</v>
      </c>
      <c r="L3" s="96" t="s">
        <v>75</v>
      </c>
      <c r="M3" s="96" t="s">
        <v>296</v>
      </c>
      <c r="N3" s="96" t="s">
        <v>297</v>
      </c>
      <c r="O3" s="96" t="s">
        <v>303</v>
      </c>
      <c r="P3" s="96" t="s">
        <v>420</v>
      </c>
      <c r="Q3" s="96" t="s">
        <v>54</v>
      </c>
      <c r="R3" s="96" t="s">
        <v>428</v>
      </c>
      <c r="S3" s="96" t="s">
        <v>828</v>
      </c>
      <c r="T3" s="96" t="s">
        <v>829</v>
      </c>
      <c r="U3" s="96" t="s">
        <v>815</v>
      </c>
      <c r="V3" s="96" t="s">
        <v>833</v>
      </c>
      <c r="W3" s="96" t="s">
        <v>798</v>
      </c>
    </row>
    <row r="4" spans="1:23" ht="60">
      <c r="A4" s="3" t="s">
        <v>41</v>
      </c>
      <c r="B4" s="3" t="s">
        <v>995</v>
      </c>
      <c r="C4" s="379" t="s">
        <v>963</v>
      </c>
      <c r="D4" s="94" t="s">
        <v>255</v>
      </c>
      <c r="E4" s="94" t="s">
        <v>253</v>
      </c>
      <c r="F4" s="94" t="s">
        <v>251</v>
      </c>
      <c r="G4" s="90" t="s">
        <v>250</v>
      </c>
      <c r="H4" s="3" t="s">
        <v>256</v>
      </c>
      <c r="I4" s="3" t="s">
        <v>405</v>
      </c>
      <c r="J4" s="379" t="s">
        <v>896</v>
      </c>
      <c r="K4" s="3">
        <v>103</v>
      </c>
      <c r="L4" s="3" t="s">
        <v>279</v>
      </c>
      <c r="M4" s="3" t="s">
        <v>896</v>
      </c>
      <c r="N4" s="90" t="s">
        <v>225</v>
      </c>
      <c r="O4" s="113" t="s">
        <v>135</v>
      </c>
      <c r="P4" s="3" t="s">
        <v>414</v>
      </c>
      <c r="Q4" s="3" t="s">
        <v>197</v>
      </c>
      <c r="R4" s="90" t="s">
        <v>222</v>
      </c>
      <c r="S4" s="3" t="s">
        <v>896</v>
      </c>
      <c r="T4" s="3" t="s">
        <v>295</v>
      </c>
      <c r="U4" s="3" t="s">
        <v>284</v>
      </c>
      <c r="V4" s="3" t="s">
        <v>834</v>
      </c>
      <c r="W4" s="3" t="s">
        <v>910</v>
      </c>
    </row>
    <row r="5" spans="1:23" ht="20">
      <c r="A5" s="731"/>
      <c r="B5" s="731"/>
      <c r="C5" s="379" t="s">
        <v>655</v>
      </c>
      <c r="D5" s="94"/>
      <c r="E5" s="94"/>
      <c r="F5" s="94"/>
      <c r="G5" s="732"/>
      <c r="H5" s="731"/>
      <c r="I5" s="731"/>
      <c r="J5" s="379" t="s">
        <v>897</v>
      </c>
      <c r="K5" s="379"/>
      <c r="L5" s="731"/>
      <c r="M5" s="731"/>
      <c r="N5" s="732"/>
      <c r="O5" s="117"/>
      <c r="P5" s="731"/>
      <c r="Q5" s="731"/>
      <c r="R5" s="732"/>
      <c r="S5" s="731"/>
      <c r="T5" s="731"/>
      <c r="U5" s="731"/>
      <c r="V5" s="731"/>
      <c r="W5" s="731"/>
    </row>
    <row r="6" spans="1:23" ht="100">
      <c r="A6" s="3" t="s">
        <v>48</v>
      </c>
      <c r="B6" s="3" t="s">
        <v>996</v>
      </c>
      <c r="C6" s="379" t="s">
        <v>656</v>
      </c>
      <c r="D6" s="95" t="s">
        <v>254</v>
      </c>
      <c r="E6" s="94" t="s">
        <v>439</v>
      </c>
      <c r="F6" s="94" t="s">
        <v>252</v>
      </c>
      <c r="G6" s="3">
        <v>1</v>
      </c>
      <c r="H6" s="3">
        <v>1</v>
      </c>
      <c r="I6" s="3" t="s">
        <v>406</v>
      </c>
      <c r="J6" s="379" t="s">
        <v>65</v>
      </c>
      <c r="K6" s="3">
        <v>103</v>
      </c>
      <c r="L6" s="3" t="s">
        <v>280</v>
      </c>
      <c r="M6" s="3" t="s">
        <v>897</v>
      </c>
      <c r="N6" s="90" t="s">
        <v>218</v>
      </c>
      <c r="O6" s="113" t="s">
        <v>626</v>
      </c>
      <c r="P6" s="3" t="s">
        <v>415</v>
      </c>
      <c r="Q6" s="3" t="s">
        <v>181</v>
      </c>
      <c r="R6" s="90" t="s">
        <v>219</v>
      </c>
      <c r="S6" s="3" t="s">
        <v>897</v>
      </c>
      <c r="T6" s="3" t="s">
        <v>292</v>
      </c>
      <c r="V6" s="3" t="s">
        <v>838</v>
      </c>
      <c r="W6" s="5" t="s">
        <v>912</v>
      </c>
    </row>
    <row r="7" spans="1:23" ht="100">
      <c r="A7" s="3" t="s">
        <v>49</v>
      </c>
      <c r="B7" s="3" t="s">
        <v>896</v>
      </c>
      <c r="C7" s="379" t="s">
        <v>654</v>
      </c>
      <c r="D7" s="3" t="s">
        <v>409</v>
      </c>
      <c r="E7" s="95" t="s">
        <v>468</v>
      </c>
      <c r="F7" s="95" t="s">
        <v>299</v>
      </c>
      <c r="G7" s="3">
        <v>2</v>
      </c>
      <c r="H7" s="3">
        <v>2</v>
      </c>
      <c r="I7" s="3" t="s">
        <v>407</v>
      </c>
      <c r="J7" s="379" t="s">
        <v>66</v>
      </c>
      <c r="K7" s="3">
        <v>103</v>
      </c>
      <c r="L7" s="3" t="s">
        <v>281</v>
      </c>
      <c r="N7" s="90" t="s">
        <v>221</v>
      </c>
      <c r="O7" s="3" t="s">
        <v>636</v>
      </c>
      <c r="T7" s="3" t="s">
        <v>268</v>
      </c>
      <c r="V7" s="3" t="s">
        <v>837</v>
      </c>
      <c r="W7" s="3" t="s">
        <v>911</v>
      </c>
    </row>
    <row r="8" spans="1:23" ht="180">
      <c r="B8" s="3" t="s">
        <v>897</v>
      </c>
      <c r="C8" s="379" t="s">
        <v>653</v>
      </c>
      <c r="D8" s="3" t="s">
        <v>436</v>
      </c>
      <c r="E8" s="3" t="s">
        <v>485</v>
      </c>
      <c r="F8" s="3" t="s">
        <v>410</v>
      </c>
      <c r="G8" s="3">
        <v>3</v>
      </c>
      <c r="H8" s="3">
        <v>3</v>
      </c>
      <c r="I8" s="3" t="s">
        <v>408</v>
      </c>
      <c r="J8" s="379" t="s">
        <v>944</v>
      </c>
      <c r="K8" s="3">
        <v>103</v>
      </c>
      <c r="L8" s="3" t="s">
        <v>144</v>
      </c>
      <c r="N8" s="90" t="s">
        <v>223</v>
      </c>
      <c r="O8" s="113"/>
      <c r="V8" s="3" t="s">
        <v>836</v>
      </c>
      <c r="W8" s="3" t="s">
        <v>913</v>
      </c>
    </row>
    <row r="9" spans="1:23" ht="217">
      <c r="B9" s="3">
        <v>102</v>
      </c>
      <c r="C9" s="379" t="s">
        <v>657</v>
      </c>
      <c r="D9" s="3" t="s">
        <v>437</v>
      </c>
      <c r="E9" s="3" t="s">
        <v>501</v>
      </c>
      <c r="F9" s="3" t="s">
        <v>411</v>
      </c>
      <c r="G9" s="3">
        <v>4</v>
      </c>
      <c r="H9" s="3">
        <v>4</v>
      </c>
      <c r="I9" s="3" t="s">
        <v>435</v>
      </c>
      <c r="J9" s="379" t="s">
        <v>945</v>
      </c>
      <c r="K9" s="3">
        <v>103</v>
      </c>
      <c r="N9" s="3" t="s">
        <v>298</v>
      </c>
      <c r="O9" s="113"/>
      <c r="V9" s="3" t="s">
        <v>835</v>
      </c>
      <c r="W9" s="3" t="s">
        <v>914</v>
      </c>
    </row>
    <row r="10" spans="1:23" ht="217">
      <c r="C10" s="379" t="s">
        <v>658</v>
      </c>
      <c r="D10" s="3" t="s">
        <v>458</v>
      </c>
      <c r="E10" s="3" t="s">
        <v>502</v>
      </c>
      <c r="F10" s="3" t="s">
        <v>412</v>
      </c>
      <c r="G10" s="3">
        <v>5</v>
      </c>
      <c r="H10" s="3">
        <v>5</v>
      </c>
      <c r="I10" s="3" t="s">
        <v>465</v>
      </c>
      <c r="J10" s="379" t="s">
        <v>946</v>
      </c>
      <c r="K10" s="3">
        <v>103</v>
      </c>
      <c r="N10" s="3" t="s">
        <v>427</v>
      </c>
      <c r="O10" s="113"/>
      <c r="V10" s="3" t="s">
        <v>839</v>
      </c>
    </row>
    <row r="11" spans="1:23" ht="31">
      <c r="C11" s="379" t="s">
        <v>659</v>
      </c>
      <c r="D11" s="3" t="s">
        <v>466</v>
      </c>
      <c r="E11" s="3" t="s">
        <v>503</v>
      </c>
      <c r="F11" s="3" t="s">
        <v>438</v>
      </c>
      <c r="G11" s="3">
        <v>6</v>
      </c>
      <c r="H11" s="3">
        <v>6</v>
      </c>
      <c r="I11" s="3" t="s">
        <v>499</v>
      </c>
      <c r="J11" s="379" t="s">
        <v>947</v>
      </c>
      <c r="K11" s="3">
        <v>103</v>
      </c>
      <c r="O11" s="113"/>
    </row>
    <row r="12" spans="1:23" ht="46.5">
      <c r="C12" s="379" t="s">
        <v>266</v>
      </c>
      <c r="D12" s="3" t="s">
        <v>471</v>
      </c>
      <c r="E12" s="3" t="s">
        <v>504</v>
      </c>
      <c r="F12" s="3" t="s">
        <v>220</v>
      </c>
      <c r="G12" s="3">
        <v>7</v>
      </c>
      <c r="J12" s="379" t="s">
        <v>975</v>
      </c>
      <c r="K12" s="3">
        <v>103</v>
      </c>
      <c r="O12" s="113"/>
    </row>
    <row r="13" spans="1:23" ht="46.5">
      <c r="C13" s="379" t="s">
        <v>170</v>
      </c>
      <c r="D13" s="3" t="s">
        <v>474</v>
      </c>
      <c r="F13" s="3" t="s">
        <v>441</v>
      </c>
      <c r="G13" s="3">
        <v>8</v>
      </c>
      <c r="J13" s="379" t="s">
        <v>976</v>
      </c>
      <c r="K13" s="3">
        <v>103</v>
      </c>
      <c r="O13" s="113"/>
    </row>
    <row r="14" spans="1:23" ht="46.5">
      <c r="C14" s="379" t="s">
        <v>261</v>
      </c>
      <c r="D14" s="3" t="s">
        <v>480</v>
      </c>
      <c r="F14" s="3" t="s">
        <v>440</v>
      </c>
      <c r="G14" s="3">
        <v>9</v>
      </c>
      <c r="J14" s="379" t="s">
        <v>977</v>
      </c>
      <c r="K14" s="3">
        <v>103</v>
      </c>
      <c r="O14" s="113"/>
    </row>
    <row r="15" spans="1:23" ht="46.5">
      <c r="C15" s="379" t="s">
        <v>151</v>
      </c>
      <c r="D15" s="3" t="s">
        <v>483</v>
      </c>
      <c r="F15" s="3" t="s">
        <v>442</v>
      </c>
      <c r="G15" s="3">
        <v>10</v>
      </c>
      <c r="J15" s="379" t="s">
        <v>992</v>
      </c>
      <c r="K15" s="3">
        <v>103</v>
      </c>
      <c r="O15" s="113"/>
    </row>
    <row r="16" spans="1:23">
      <c r="A16" s="731"/>
      <c r="B16" s="731"/>
      <c r="C16" s="379"/>
      <c r="D16" s="731"/>
      <c r="E16" s="731"/>
      <c r="F16" s="731"/>
      <c r="G16" s="731"/>
      <c r="H16" s="731"/>
      <c r="I16" s="731"/>
      <c r="J16" s="379" t="s">
        <v>920</v>
      </c>
      <c r="K16" s="379"/>
      <c r="L16" s="731"/>
      <c r="M16" s="731"/>
      <c r="N16" s="731"/>
      <c r="O16" s="117"/>
      <c r="P16" s="731"/>
      <c r="Q16" s="731"/>
      <c r="R16" s="731"/>
      <c r="S16" s="731"/>
      <c r="T16" s="731"/>
      <c r="U16" s="731"/>
      <c r="V16" s="731"/>
      <c r="W16" s="731"/>
    </row>
    <row r="17" spans="1:23">
      <c r="A17" s="731"/>
      <c r="B17" s="731"/>
      <c r="C17" s="379"/>
      <c r="D17" s="731"/>
      <c r="E17" s="731"/>
      <c r="F17" s="731"/>
      <c r="G17" s="731"/>
      <c r="H17" s="731"/>
      <c r="I17" s="731"/>
      <c r="J17" s="379" t="s">
        <v>918</v>
      </c>
      <c r="K17" s="379"/>
      <c r="L17" s="731"/>
      <c r="M17" s="731"/>
      <c r="N17" s="731"/>
      <c r="O17" s="117"/>
      <c r="P17" s="731"/>
      <c r="Q17" s="731"/>
      <c r="R17" s="731"/>
      <c r="S17" s="731"/>
      <c r="T17" s="731"/>
      <c r="U17" s="731"/>
      <c r="V17" s="731"/>
      <c r="W17" s="731"/>
    </row>
    <row r="18" spans="1:23" ht="46.5">
      <c r="C18" s="379" t="s">
        <v>143</v>
      </c>
      <c r="D18" s="3" t="s">
        <v>645</v>
      </c>
      <c r="F18" s="3" t="s">
        <v>443</v>
      </c>
      <c r="G18" s="3">
        <v>11</v>
      </c>
      <c r="J18" s="379" t="s">
        <v>978</v>
      </c>
      <c r="K18" s="3">
        <v>103</v>
      </c>
    </row>
    <row r="19" spans="1:23" ht="46.5">
      <c r="C19" s="379" t="s">
        <v>74</v>
      </c>
      <c r="D19" s="3" t="s">
        <v>830</v>
      </c>
      <c r="F19" s="3" t="s">
        <v>444</v>
      </c>
      <c r="G19" s="3">
        <v>12</v>
      </c>
      <c r="J19" s="379" t="s">
        <v>979</v>
      </c>
      <c r="K19" s="3">
        <v>103</v>
      </c>
    </row>
    <row r="20" spans="1:23" ht="31">
      <c r="C20" s="379" t="s">
        <v>145</v>
      </c>
      <c r="F20" s="3" t="s">
        <v>456</v>
      </c>
      <c r="G20" s="3">
        <v>13</v>
      </c>
      <c r="J20" s="379" t="s">
        <v>919</v>
      </c>
      <c r="K20" s="3">
        <v>103</v>
      </c>
    </row>
    <row r="21" spans="1:23" ht="31">
      <c r="C21" s="379" t="s">
        <v>146</v>
      </c>
      <c r="F21" s="3" t="s">
        <v>467</v>
      </c>
      <c r="G21" s="3">
        <v>14</v>
      </c>
      <c r="J21" s="379" t="s">
        <v>980</v>
      </c>
      <c r="K21" s="3">
        <v>103</v>
      </c>
    </row>
    <row r="22" spans="1:23" ht="46.5">
      <c r="C22" s="379" t="s">
        <v>147</v>
      </c>
      <c r="F22" s="3" t="s">
        <v>469</v>
      </c>
      <c r="G22" s="3">
        <v>15</v>
      </c>
      <c r="J22" s="379" t="s">
        <v>28</v>
      </c>
      <c r="K22" s="3">
        <v>103</v>
      </c>
    </row>
    <row r="23" spans="1:23" ht="46.5">
      <c r="C23" s="379" t="s">
        <v>165</v>
      </c>
      <c r="F23" s="3" t="s">
        <v>472</v>
      </c>
      <c r="G23" s="3">
        <v>16</v>
      </c>
      <c r="J23" s="379" t="s">
        <v>29</v>
      </c>
      <c r="K23" s="3">
        <v>103</v>
      </c>
    </row>
    <row r="24" spans="1:23" ht="31">
      <c r="C24" s="379" t="s">
        <v>259</v>
      </c>
      <c r="F24" s="3" t="s">
        <v>473</v>
      </c>
      <c r="G24" s="3">
        <v>17</v>
      </c>
      <c r="J24" s="379" t="s">
        <v>30</v>
      </c>
      <c r="K24" s="3">
        <v>103</v>
      </c>
    </row>
    <row r="25" spans="1:23" ht="31">
      <c r="C25" s="379" t="s">
        <v>263</v>
      </c>
      <c r="F25" s="3" t="s">
        <v>479</v>
      </c>
      <c r="G25" s="3">
        <v>18</v>
      </c>
      <c r="J25" s="379" t="s">
        <v>31</v>
      </c>
      <c r="K25" s="3">
        <v>103</v>
      </c>
    </row>
    <row r="26" spans="1:23" ht="31">
      <c r="C26" s="379" t="s">
        <v>262</v>
      </c>
      <c r="F26" s="3" t="s">
        <v>481</v>
      </c>
      <c r="G26" s="3">
        <v>19</v>
      </c>
      <c r="J26" s="379" t="s">
        <v>32</v>
      </c>
      <c r="K26" s="3">
        <v>103</v>
      </c>
    </row>
    <row r="27" spans="1:23" ht="31">
      <c r="C27" s="379" t="s">
        <v>270</v>
      </c>
      <c r="F27" s="3" t="s">
        <v>482</v>
      </c>
      <c r="G27" s="3">
        <v>20</v>
      </c>
      <c r="J27" s="379" t="s">
        <v>33</v>
      </c>
      <c r="K27" s="3">
        <v>102</v>
      </c>
    </row>
    <row r="28" spans="1:23" ht="46.5">
      <c r="C28" s="379" t="s">
        <v>271</v>
      </c>
      <c r="F28" s="3" t="s">
        <v>484</v>
      </c>
      <c r="G28" s="3">
        <v>21</v>
      </c>
      <c r="J28" s="379" t="s">
        <v>34</v>
      </c>
      <c r="K28" s="3">
        <v>102</v>
      </c>
    </row>
    <row r="29" spans="1:23" ht="31">
      <c r="C29" s="379" t="s">
        <v>272</v>
      </c>
      <c r="F29" s="3" t="s">
        <v>486</v>
      </c>
      <c r="G29" s="3">
        <v>22</v>
      </c>
      <c r="J29" s="379" t="s">
        <v>35</v>
      </c>
      <c r="K29" s="3">
        <v>102</v>
      </c>
    </row>
    <row r="30" spans="1:23" ht="31">
      <c r="C30" s="379" t="s">
        <v>273</v>
      </c>
      <c r="F30" s="3" t="s">
        <v>487</v>
      </c>
      <c r="G30" s="3">
        <v>23</v>
      </c>
      <c r="J30" s="379" t="s">
        <v>36</v>
      </c>
      <c r="K30" s="3">
        <v>102</v>
      </c>
    </row>
    <row r="31" spans="1:23" ht="31">
      <c r="C31" s="379" t="s">
        <v>274</v>
      </c>
      <c r="F31" s="3" t="s">
        <v>488</v>
      </c>
      <c r="G31" s="3">
        <v>24</v>
      </c>
      <c r="J31" s="379" t="s">
        <v>37</v>
      </c>
      <c r="K31" s="3">
        <v>102</v>
      </c>
    </row>
    <row r="32" spans="1:23" ht="31">
      <c r="C32" s="379" t="s">
        <v>275</v>
      </c>
      <c r="F32" s="3" t="s">
        <v>489</v>
      </c>
      <c r="G32" s="3">
        <v>25</v>
      </c>
      <c r="J32" s="379" t="s">
        <v>38</v>
      </c>
      <c r="K32" s="3">
        <v>102</v>
      </c>
    </row>
    <row r="33" spans="3:11" ht="77.5">
      <c r="C33" s="379" t="s">
        <v>276</v>
      </c>
      <c r="F33" s="3" t="s">
        <v>490</v>
      </c>
      <c r="G33" s="3" t="s">
        <v>249</v>
      </c>
      <c r="J33" s="379" t="s">
        <v>39</v>
      </c>
      <c r="K33" s="3">
        <v>102</v>
      </c>
    </row>
    <row r="34" spans="3:11" ht="31">
      <c r="C34" s="379" t="s">
        <v>277</v>
      </c>
      <c r="F34" s="3" t="s">
        <v>491</v>
      </c>
      <c r="J34" s="379" t="s">
        <v>40</v>
      </c>
      <c r="K34" s="3">
        <v>102</v>
      </c>
    </row>
    <row r="35" spans="3:11" ht="31">
      <c r="C35" s="379" t="s">
        <v>328</v>
      </c>
      <c r="F35" s="3" t="s">
        <v>505</v>
      </c>
      <c r="J35" s="379" t="s">
        <v>1024</v>
      </c>
      <c r="K35" s="3">
        <v>102</v>
      </c>
    </row>
    <row r="36" spans="3:11" ht="46.5">
      <c r="C36" s="379" t="s">
        <v>331</v>
      </c>
      <c r="F36" s="3" t="s">
        <v>506</v>
      </c>
      <c r="J36" s="379" t="s">
        <v>1027</v>
      </c>
      <c r="K36" s="3">
        <v>102</v>
      </c>
    </row>
    <row r="37" spans="3:11" ht="46.5">
      <c r="C37" s="379" t="s">
        <v>332</v>
      </c>
      <c r="F37" s="3" t="s">
        <v>507</v>
      </c>
      <c r="J37" s="379" t="s">
        <v>1015</v>
      </c>
      <c r="K37" s="3">
        <v>102</v>
      </c>
    </row>
    <row r="38" spans="3:11" ht="31">
      <c r="C38" s="379" t="s">
        <v>333</v>
      </c>
      <c r="F38" s="3" t="s">
        <v>508</v>
      </c>
      <c r="J38" s="379"/>
      <c r="K38" s="3">
        <v>102</v>
      </c>
    </row>
    <row r="39" spans="3:11" ht="77.5">
      <c r="C39" s="379" t="s">
        <v>637</v>
      </c>
      <c r="F39" s="3" t="s">
        <v>509</v>
      </c>
      <c r="J39" s="379"/>
      <c r="K39" s="3">
        <v>102</v>
      </c>
    </row>
    <row r="40" spans="3:11" ht="31">
      <c r="C40" s="379" t="s">
        <v>334</v>
      </c>
      <c r="F40" s="3" t="s">
        <v>510</v>
      </c>
      <c r="J40" s="379"/>
      <c r="K40" s="3">
        <v>102</v>
      </c>
    </row>
    <row r="41" spans="3:11" ht="31">
      <c r="C41" s="379" t="s">
        <v>335</v>
      </c>
      <c r="F41" s="3" t="s">
        <v>511</v>
      </c>
      <c r="J41" s="379"/>
      <c r="K41" s="3">
        <v>102</v>
      </c>
    </row>
    <row r="42" spans="3:11" ht="31">
      <c r="C42" s="379" t="s">
        <v>336</v>
      </c>
      <c r="F42" s="3" t="s">
        <v>512</v>
      </c>
      <c r="J42" s="379"/>
      <c r="K42" s="3">
        <v>102</v>
      </c>
    </row>
    <row r="43" spans="3:11" ht="46.5">
      <c r="C43" s="379" t="s">
        <v>337</v>
      </c>
      <c r="F43" s="3" t="s">
        <v>513</v>
      </c>
      <c r="J43" s="379"/>
      <c r="K43" s="3">
        <v>102</v>
      </c>
    </row>
    <row r="44" spans="3:11" ht="46.5">
      <c r="C44" s="379" t="s">
        <v>338</v>
      </c>
      <c r="F44" s="3" t="s">
        <v>514</v>
      </c>
      <c r="J44" s="379"/>
      <c r="K44" s="3">
        <v>101</v>
      </c>
    </row>
    <row r="45" spans="3:11" ht="62">
      <c r="C45" s="379" t="s">
        <v>339</v>
      </c>
      <c r="F45" s="3" t="s">
        <v>515</v>
      </c>
      <c r="J45" s="379"/>
      <c r="K45" s="3">
        <v>101</v>
      </c>
    </row>
    <row r="46" spans="3:11" ht="80">
      <c r="C46" s="379" t="s">
        <v>340</v>
      </c>
      <c r="F46" s="246" t="s">
        <v>521</v>
      </c>
      <c r="J46" s="379"/>
      <c r="K46" s="3">
        <v>101</v>
      </c>
    </row>
    <row r="47" spans="3:11" ht="46.5">
      <c r="C47" s="379" t="s">
        <v>341</v>
      </c>
      <c r="F47" s="3" t="s">
        <v>532</v>
      </c>
      <c r="J47" s="379"/>
      <c r="K47" s="3">
        <v>101</v>
      </c>
    </row>
    <row r="48" spans="3:11" ht="31">
      <c r="C48" s="379" t="s">
        <v>342</v>
      </c>
      <c r="F48" s="3" t="s">
        <v>611</v>
      </c>
      <c r="J48" s="379"/>
      <c r="K48" s="3">
        <v>101</v>
      </c>
    </row>
    <row r="49" spans="3:11" ht="46.5">
      <c r="C49" s="379" t="s">
        <v>343</v>
      </c>
      <c r="F49" s="3" t="s">
        <v>642</v>
      </c>
      <c r="J49" s="379"/>
      <c r="K49" s="3">
        <v>12</v>
      </c>
    </row>
    <row r="50" spans="3:11" ht="31">
      <c r="C50" s="379" t="s">
        <v>344</v>
      </c>
      <c r="F50" s="3" t="s">
        <v>641</v>
      </c>
      <c r="J50" s="379"/>
      <c r="K50" s="3">
        <v>12</v>
      </c>
    </row>
    <row r="51" spans="3:11" ht="31">
      <c r="C51" s="379" t="s">
        <v>638</v>
      </c>
      <c r="F51" s="3" t="s">
        <v>643</v>
      </c>
      <c r="J51" s="379"/>
      <c r="K51" s="3">
        <v>12</v>
      </c>
    </row>
    <row r="52" spans="3:11" ht="46.5">
      <c r="C52" s="379" t="s">
        <v>345</v>
      </c>
      <c r="F52" s="3" t="s">
        <v>644</v>
      </c>
      <c r="J52" s="379"/>
      <c r="K52" s="3">
        <v>12</v>
      </c>
    </row>
    <row r="53" spans="3:11" ht="46.5">
      <c r="C53" s="379" t="s">
        <v>346</v>
      </c>
      <c r="F53" s="3" t="s">
        <v>646</v>
      </c>
      <c r="J53" s="379"/>
      <c r="K53" s="3">
        <v>12</v>
      </c>
    </row>
    <row r="54" spans="3:11" ht="31">
      <c r="C54" s="379" t="s">
        <v>347</v>
      </c>
      <c r="F54" s="3" t="s">
        <v>734</v>
      </c>
      <c r="J54" s="379"/>
      <c r="K54" s="3">
        <v>12</v>
      </c>
    </row>
    <row r="55" spans="3:11" ht="31">
      <c r="C55" s="379" t="s">
        <v>348</v>
      </c>
      <c r="F55" s="3" t="s">
        <v>831</v>
      </c>
      <c r="J55" s="379"/>
      <c r="K55" s="3">
        <v>11</v>
      </c>
    </row>
    <row r="56" spans="3:11" ht="62">
      <c r="C56" s="379" t="s">
        <v>349</v>
      </c>
      <c r="F56" s="3" t="s">
        <v>832</v>
      </c>
      <c r="J56" s="379"/>
      <c r="K56" s="3">
        <v>11</v>
      </c>
    </row>
    <row r="57" spans="3:11" ht="31">
      <c r="C57" s="379" t="s">
        <v>350</v>
      </c>
      <c r="F57" s="3" t="s">
        <v>861</v>
      </c>
      <c r="J57" s="379"/>
      <c r="K57" s="3">
        <v>11</v>
      </c>
    </row>
    <row r="58" spans="3:11">
      <c r="C58" s="379" t="s">
        <v>351</v>
      </c>
      <c r="J58" s="379"/>
      <c r="K58" s="3">
        <v>11</v>
      </c>
    </row>
    <row r="59" spans="3:11">
      <c r="C59" s="379" t="s">
        <v>352</v>
      </c>
      <c r="J59" s="379"/>
      <c r="K59" s="3">
        <v>11</v>
      </c>
    </row>
    <row r="60" spans="3:11">
      <c r="C60" s="379" t="s">
        <v>353</v>
      </c>
      <c r="K60" s="3">
        <v>1</v>
      </c>
    </row>
    <row r="61" spans="3:11">
      <c r="C61" s="379" t="s">
        <v>354</v>
      </c>
      <c r="J61" s="379"/>
      <c r="K61" s="379"/>
    </row>
    <row r="62" spans="3:11">
      <c r="C62" s="379" t="s">
        <v>355</v>
      </c>
      <c r="J62" s="379"/>
      <c r="K62" s="379"/>
    </row>
    <row r="63" spans="3:11">
      <c r="C63" s="379" t="s">
        <v>639</v>
      </c>
      <c r="J63" s="379"/>
      <c r="K63" s="379"/>
    </row>
    <row r="64" spans="3:11">
      <c r="C64" s="379" t="s">
        <v>356</v>
      </c>
      <c r="J64" s="379"/>
      <c r="K64" s="379"/>
    </row>
    <row r="65" spans="3:13">
      <c r="C65" s="379" t="s">
        <v>357</v>
      </c>
      <c r="J65" s="379"/>
      <c r="K65" s="379"/>
    </row>
    <row r="66" spans="3:13">
      <c r="C66" s="379" t="s">
        <v>358</v>
      </c>
      <c r="J66" s="379"/>
      <c r="K66" s="379"/>
    </row>
    <row r="67" spans="3:13">
      <c r="C67" s="379" t="s">
        <v>359</v>
      </c>
      <c r="J67" s="379"/>
      <c r="K67" s="379"/>
    </row>
    <row r="68" spans="3:13">
      <c r="C68" s="379" t="s">
        <v>360</v>
      </c>
      <c r="J68" s="379"/>
      <c r="K68" s="379"/>
    </row>
    <row r="69" spans="3:13">
      <c r="C69" s="379" t="s">
        <v>361</v>
      </c>
      <c r="J69" s="379"/>
      <c r="K69" s="379"/>
    </row>
    <row r="70" spans="3:13">
      <c r="C70" s="379" t="s">
        <v>362</v>
      </c>
      <c r="J70" s="379"/>
      <c r="K70" s="379"/>
    </row>
    <row r="71" spans="3:13">
      <c r="C71" s="379" t="s">
        <v>363</v>
      </c>
      <c r="J71" s="379"/>
      <c r="K71" s="379"/>
      <c r="M71" s="1"/>
    </row>
    <row r="72" spans="3:13">
      <c r="C72" s="379" t="s">
        <v>364</v>
      </c>
      <c r="J72" s="379"/>
      <c r="K72" s="379"/>
      <c r="M72" s="1"/>
    </row>
    <row r="73" spans="3:13">
      <c r="C73" s="379" t="s">
        <v>365</v>
      </c>
      <c r="J73" s="379"/>
      <c r="K73" s="379"/>
    </row>
    <row r="74" spans="3:13">
      <c r="C74" s="379" t="s">
        <v>366</v>
      </c>
      <c r="J74" s="379"/>
      <c r="K74" s="379"/>
    </row>
    <row r="75" spans="3:13">
      <c r="C75" s="379" t="s">
        <v>640</v>
      </c>
      <c r="J75" s="379"/>
      <c r="K75" s="379"/>
    </row>
    <row r="76" spans="3:13">
      <c r="C76" s="379" t="s">
        <v>367</v>
      </c>
      <c r="J76" s="379"/>
      <c r="K76" s="379"/>
    </row>
    <row r="77" spans="3:13">
      <c r="C77" s="379" t="s">
        <v>368</v>
      </c>
      <c r="J77" s="379"/>
      <c r="K77" s="379"/>
    </row>
    <row r="78" spans="3:13">
      <c r="C78" s="379" t="s">
        <v>369</v>
      </c>
      <c r="J78" s="379"/>
      <c r="K78" s="379"/>
    </row>
    <row r="79" spans="3:13">
      <c r="C79" s="379" t="s">
        <v>370</v>
      </c>
      <c r="J79" s="379"/>
      <c r="K79" s="379"/>
    </row>
    <row r="80" spans="3:13">
      <c r="C80" s="379" t="s">
        <v>371</v>
      </c>
      <c r="J80" s="379"/>
      <c r="K80" s="379"/>
    </row>
    <row r="81" spans="3:11">
      <c r="C81" s="379" t="s">
        <v>372</v>
      </c>
      <c r="J81" s="379"/>
      <c r="K81" s="379"/>
    </row>
    <row r="82" spans="3:11">
      <c r="C82" s="379" t="s">
        <v>373</v>
      </c>
      <c r="J82" s="379"/>
      <c r="K82" s="379"/>
    </row>
    <row r="83" spans="3:11">
      <c r="C83" s="379" t="s">
        <v>374</v>
      </c>
      <c r="J83" s="379"/>
      <c r="K83" s="379"/>
    </row>
    <row r="84" spans="3:11">
      <c r="C84" s="379" t="s">
        <v>375</v>
      </c>
      <c r="J84" s="379"/>
      <c r="K84" s="379"/>
    </row>
    <row r="85" spans="3:11">
      <c r="C85" s="379" t="s">
        <v>376</v>
      </c>
      <c r="J85" s="379"/>
      <c r="K85" s="379"/>
    </row>
    <row r="86" spans="3:11">
      <c r="C86" s="379" t="s">
        <v>377</v>
      </c>
      <c r="J86" s="379"/>
      <c r="K86" s="379"/>
    </row>
    <row r="87" spans="3:11">
      <c r="C87" s="379" t="s">
        <v>942</v>
      </c>
      <c r="J87" s="379"/>
      <c r="K87" s="379"/>
    </row>
    <row r="88" spans="3:11">
      <c r="C88" s="379" t="s">
        <v>943</v>
      </c>
      <c r="J88" s="379"/>
      <c r="K88" s="379"/>
    </row>
  </sheetData>
  <phoneticPr fontId="84"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ورقة14"/>
  <dimension ref="A1:AF985"/>
  <sheetViews>
    <sheetView rightToLeft="1" workbookViewId="0"/>
  </sheetViews>
  <sheetFormatPr defaultRowHeight="15.5"/>
  <sheetData>
    <row r="1" spans="1:31">
      <c r="A1" s="2"/>
      <c r="E1" s="1"/>
    </row>
    <row r="2" spans="1:31">
      <c r="B2" s="424"/>
      <c r="C2" s="424"/>
      <c r="D2" s="424"/>
      <c r="E2" s="425"/>
      <c r="F2" s="425"/>
      <c r="G2" s="425"/>
      <c r="H2" s="425"/>
      <c r="I2" s="425"/>
      <c r="J2" s="425"/>
      <c r="K2" s="425"/>
      <c r="L2" s="425"/>
      <c r="M2" s="425"/>
      <c r="N2" s="376"/>
      <c r="O2" s="376"/>
      <c r="P2" s="376"/>
      <c r="Q2" s="376"/>
      <c r="R2" s="376"/>
      <c r="S2" s="376"/>
      <c r="T2" s="376"/>
      <c r="U2" s="376"/>
      <c r="V2" s="376"/>
      <c r="W2" s="376"/>
      <c r="X2" s="376"/>
      <c r="Y2" s="376"/>
      <c r="Z2" s="376"/>
      <c r="AA2" s="376"/>
      <c r="AB2" s="376"/>
      <c r="AC2" s="376"/>
      <c r="AD2" s="376"/>
      <c r="AE2" s="376"/>
    </row>
    <row r="3" spans="1:31">
      <c r="B3" s="377"/>
      <c r="C3" s="377"/>
      <c r="D3" s="377"/>
      <c r="E3" s="378"/>
      <c r="F3" s="378"/>
      <c r="G3" s="378"/>
      <c r="H3" s="378"/>
      <c r="I3" s="378"/>
      <c r="J3" s="378"/>
      <c r="K3" s="378"/>
      <c r="L3" s="378"/>
      <c r="M3" s="378"/>
      <c r="N3" s="378"/>
      <c r="O3" s="378"/>
      <c r="P3" s="378"/>
      <c r="Q3" s="378"/>
      <c r="R3" s="378"/>
      <c r="S3" s="378"/>
      <c r="T3" s="378"/>
      <c r="U3" s="378"/>
      <c r="V3" s="378"/>
      <c r="W3" s="378"/>
      <c r="X3" s="378"/>
      <c r="Y3" s="378"/>
      <c r="Z3" s="378"/>
      <c r="AA3" s="378"/>
      <c r="AB3" s="378"/>
      <c r="AC3" s="378"/>
      <c r="AD3" s="378"/>
      <c r="AE3" s="378"/>
    </row>
    <row r="4" spans="1:31">
      <c r="B4" s="377"/>
      <c r="C4" s="377"/>
      <c r="D4" s="377"/>
      <c r="E4" s="378"/>
      <c r="F4" s="378"/>
      <c r="G4" s="378"/>
      <c r="H4" s="378"/>
      <c r="I4" s="378"/>
      <c r="J4" s="378"/>
      <c r="K4" s="378"/>
      <c r="L4" s="378"/>
      <c r="M4" s="378"/>
      <c r="N4" s="378"/>
      <c r="O4" s="378"/>
      <c r="P4" s="378"/>
      <c r="Q4" s="378"/>
      <c r="R4" s="378"/>
      <c r="S4" s="378"/>
      <c r="T4" s="378"/>
      <c r="U4" s="378"/>
      <c r="V4" s="378"/>
      <c r="W4" s="378"/>
      <c r="X4" s="378"/>
      <c r="Y4" s="378"/>
      <c r="Z4" s="378"/>
      <c r="AA4" s="378"/>
      <c r="AB4" s="378"/>
      <c r="AC4" s="378"/>
    </row>
    <row r="5" spans="1:31">
      <c r="B5" s="377"/>
      <c r="C5" s="377"/>
      <c r="D5" s="377"/>
      <c r="E5" s="378"/>
      <c r="F5" s="378"/>
      <c r="G5" s="378"/>
      <c r="H5" s="378"/>
      <c r="I5" s="378"/>
      <c r="J5" s="378"/>
      <c r="K5" s="378"/>
      <c r="L5" s="378"/>
      <c r="M5" s="378"/>
      <c r="N5" s="378"/>
      <c r="O5" s="378"/>
      <c r="P5" s="378"/>
      <c r="Q5" s="378"/>
      <c r="R5" s="378"/>
      <c r="S5" s="378"/>
      <c r="T5" s="378"/>
      <c r="U5" s="378"/>
      <c r="V5" s="378"/>
      <c r="W5" s="378"/>
      <c r="X5" s="378"/>
      <c r="Y5" s="378"/>
      <c r="Z5" s="378"/>
      <c r="AA5" s="378"/>
      <c r="AB5" s="378"/>
      <c r="AC5" s="378"/>
      <c r="AD5" s="378"/>
      <c r="AE5" s="378"/>
    </row>
    <row r="6" spans="1:31">
      <c r="A6" s="378" t="s">
        <v>5</v>
      </c>
      <c r="B6" s="378" t="s">
        <v>60</v>
      </c>
      <c r="C6" s="378" t="s">
        <v>892</v>
      </c>
      <c r="D6" s="378" t="s">
        <v>9</v>
      </c>
      <c r="E6" s="378" t="s">
        <v>17</v>
      </c>
      <c r="F6" s="378" t="s">
        <v>893</v>
      </c>
      <c r="G6" s="378" t="s">
        <v>18</v>
      </c>
      <c r="H6" s="1" t="s">
        <v>895</v>
      </c>
      <c r="I6" s="378" t="s">
        <v>894</v>
      </c>
      <c r="J6" s="378"/>
      <c r="K6" s="378"/>
      <c r="L6" s="378"/>
      <c r="M6" s="378"/>
      <c r="N6" s="378"/>
      <c r="O6" s="378"/>
      <c r="P6" s="378"/>
      <c r="Q6" s="378"/>
      <c r="R6" s="378"/>
    </row>
    <row r="7" spans="1:31">
      <c r="A7" s="1">
        <v>1</v>
      </c>
      <c r="B7" s="377" t="e">
        <f ca="1">IF(#REF!="", "ادخل بيانات الوسيط", IF((#REF! - TODAY()) &lt;= 0, "منتهي منذ " &amp; ABS(#REF! - TODAY()) &amp; " يوم",#REF! - TODAY()))</f>
        <v>#REF!</v>
      </c>
      <c r="C7" s="377" t="s">
        <v>295</v>
      </c>
      <c r="D7" s="377">
        <v>541666787</v>
      </c>
      <c r="E7" s="447">
        <v>46023</v>
      </c>
      <c r="F7" s="378">
        <v>12</v>
      </c>
      <c r="G7" s="447" t="e">
        <f>EDATE(#REF!,#REF!)-1</f>
        <v>#REF!</v>
      </c>
      <c r="H7" s="378"/>
      <c r="I7" s="378"/>
      <c r="J7" s="378"/>
      <c r="K7" s="378"/>
      <c r="L7" s="378"/>
      <c r="M7" s="378"/>
      <c r="N7" s="378"/>
      <c r="O7" s="378"/>
      <c r="P7" s="378"/>
      <c r="Q7" s="378"/>
      <c r="R7" s="378"/>
    </row>
    <row r="8" spans="1:31">
      <c r="A8" s="1">
        <v>2</v>
      </c>
      <c r="B8" s="377" t="e">
        <f ca="1">IF(#REF!="", "ادخل بيانات الوسيط", IF((#REF! - TODAY()) &lt;= 0, "منتهي منذ " &amp; ABS(#REF! - TODAY()) &amp; " يوم",#REF! - TODAY()))</f>
        <v>#REF!</v>
      </c>
      <c r="C8" s="377" t="s">
        <v>292</v>
      </c>
      <c r="D8" s="377">
        <v>534196947</v>
      </c>
      <c r="E8" s="447">
        <v>46023</v>
      </c>
      <c r="F8" s="378">
        <v>12</v>
      </c>
      <c r="G8" s="447" t="e">
        <f>EDATE(#REF!,#REF!)-1</f>
        <v>#REF!</v>
      </c>
      <c r="H8" s="378"/>
      <c r="I8" s="378"/>
      <c r="J8" s="378"/>
      <c r="K8" s="378"/>
      <c r="L8" s="378"/>
      <c r="M8" s="378"/>
      <c r="N8" s="378"/>
      <c r="O8" s="378"/>
      <c r="P8" s="378"/>
      <c r="Q8" s="378"/>
      <c r="R8" s="378"/>
      <c r="S8" s="378"/>
      <c r="T8" s="378"/>
      <c r="U8" s="378"/>
      <c r="V8" s="378"/>
      <c r="W8" s="378"/>
      <c r="X8" s="378"/>
      <c r="Y8" s="378"/>
      <c r="Z8" s="378"/>
      <c r="AA8" s="378"/>
      <c r="AB8" s="378"/>
      <c r="AC8" s="378"/>
      <c r="AD8" s="378"/>
    </row>
    <row r="9" spans="1:31">
      <c r="A9" s="1">
        <v>3</v>
      </c>
      <c r="B9" s="377" t="e">
        <f ca="1">IF(#REF!="", "ادخل بيانات الوسيط", IF((#REF! - TODAY()) &lt;= 0, "منتهي منذ " &amp; ABS(#REF! - TODAY()) &amp; " يوم",#REF! - TODAY()))</f>
        <v>#REF!</v>
      </c>
      <c r="C9" s="377" t="s">
        <v>268</v>
      </c>
      <c r="D9" s="377">
        <v>575980095</v>
      </c>
      <c r="E9" s="447">
        <v>46023</v>
      </c>
      <c r="F9" s="378">
        <v>12</v>
      </c>
      <c r="G9" s="447" t="e">
        <f>EDATE(#REF!,#REF!)-1</f>
        <v>#REF!</v>
      </c>
      <c r="H9" s="378"/>
      <c r="I9" s="378"/>
      <c r="J9" s="378"/>
      <c r="K9" s="378"/>
      <c r="L9" s="378"/>
      <c r="M9" s="378"/>
      <c r="N9" s="378"/>
      <c r="O9" s="378"/>
      <c r="P9" s="378"/>
      <c r="Q9" s="378"/>
      <c r="R9" s="378"/>
      <c r="S9" s="378"/>
      <c r="T9" s="378"/>
      <c r="U9" s="378"/>
      <c r="V9" s="378"/>
      <c r="W9" s="378"/>
      <c r="X9" s="378"/>
      <c r="Y9" s="378"/>
      <c r="Z9" s="378"/>
      <c r="AA9" s="378"/>
      <c r="AB9" s="378"/>
      <c r="AC9" s="378"/>
      <c r="AD9" s="378"/>
    </row>
    <row r="10" spans="1:31">
      <c r="B10" s="377"/>
      <c r="C10" s="377"/>
      <c r="D10" s="377"/>
      <c r="F10" s="378"/>
      <c r="G10" s="378"/>
      <c r="H10" s="378"/>
      <c r="I10" s="378"/>
      <c r="J10" s="378"/>
      <c r="K10" s="378"/>
      <c r="L10" s="378"/>
      <c r="M10" s="378"/>
      <c r="N10" s="378"/>
      <c r="O10" s="378"/>
      <c r="P10" s="378"/>
      <c r="Q10" s="378"/>
      <c r="R10" s="378"/>
      <c r="S10" s="378"/>
      <c r="T10" s="378"/>
      <c r="U10" s="378"/>
      <c r="V10" s="378"/>
      <c r="W10" s="378"/>
      <c r="X10" s="378"/>
      <c r="Y10" s="378"/>
      <c r="Z10" s="378"/>
      <c r="AA10" s="378"/>
      <c r="AB10" s="378"/>
      <c r="AC10" s="378"/>
      <c r="AD10" s="378"/>
    </row>
    <row r="11" spans="1:31">
      <c r="B11" s="377"/>
      <c r="C11" s="377"/>
      <c r="D11" s="377"/>
      <c r="F11" s="378"/>
      <c r="G11" s="378"/>
      <c r="H11" s="378"/>
      <c r="I11" s="378"/>
      <c r="J11" s="378"/>
      <c r="K11" s="378"/>
      <c r="L11" s="378"/>
      <c r="M11" s="378"/>
      <c r="N11" s="378"/>
      <c r="O11" s="378"/>
      <c r="P11" s="378"/>
      <c r="Q11" s="378"/>
      <c r="R11" s="378"/>
      <c r="S11" s="378"/>
      <c r="T11" s="378"/>
      <c r="U11" s="378"/>
      <c r="V11" s="378"/>
      <c r="W11" s="378"/>
      <c r="X11" s="378"/>
      <c r="Y11" s="378"/>
      <c r="Z11" s="378"/>
      <c r="AA11" s="378"/>
      <c r="AB11" s="378"/>
      <c r="AC11" s="378"/>
      <c r="AD11" s="378"/>
    </row>
    <row r="12" spans="1:31">
      <c r="B12" s="377"/>
      <c r="C12" s="377"/>
      <c r="D12" s="377"/>
      <c r="F12" s="378"/>
      <c r="G12" s="378"/>
      <c r="H12" s="378"/>
      <c r="I12" s="378"/>
      <c r="J12" s="378"/>
      <c r="K12" s="378"/>
      <c r="L12" s="378"/>
      <c r="M12" s="378"/>
      <c r="N12" s="378"/>
      <c r="O12" s="378"/>
      <c r="P12" s="378"/>
      <c r="Q12" s="378"/>
      <c r="R12" s="378"/>
      <c r="S12" s="378"/>
      <c r="T12" s="378"/>
      <c r="U12" s="378"/>
      <c r="V12" s="378"/>
      <c r="W12" s="378"/>
      <c r="X12" s="378"/>
      <c r="Y12" s="378"/>
      <c r="Z12" s="378"/>
      <c r="AA12" s="378"/>
      <c r="AB12" s="378"/>
      <c r="AC12" s="378"/>
      <c r="AD12" s="378"/>
    </row>
    <row r="13" spans="1:31">
      <c r="B13" s="377"/>
      <c r="C13" s="377"/>
      <c r="D13" s="377"/>
      <c r="F13" s="378"/>
      <c r="G13" s="378"/>
      <c r="H13" s="378"/>
      <c r="I13" s="378"/>
      <c r="J13" s="378"/>
      <c r="K13" s="378"/>
      <c r="L13" s="378"/>
      <c r="M13" s="378"/>
      <c r="N13" s="378"/>
      <c r="O13" s="378"/>
      <c r="P13" s="378"/>
      <c r="Q13" s="378"/>
      <c r="R13" s="378"/>
      <c r="S13" s="378"/>
      <c r="T13" s="378"/>
      <c r="U13" s="378"/>
      <c r="V13" s="378"/>
      <c r="W13" s="378"/>
      <c r="X13" s="378"/>
      <c r="Y13" s="378"/>
      <c r="Z13" s="378"/>
      <c r="AA13" s="378"/>
      <c r="AB13" s="378"/>
      <c r="AC13" s="378"/>
      <c r="AD13" s="378"/>
    </row>
    <row r="14" spans="1:31">
      <c r="B14" s="377"/>
      <c r="C14" s="377"/>
      <c r="D14" s="378"/>
      <c r="F14" s="378"/>
      <c r="G14" s="378"/>
      <c r="H14" s="378"/>
      <c r="I14" s="378"/>
      <c r="J14" s="378"/>
      <c r="K14" s="378"/>
      <c r="L14" s="378"/>
      <c r="M14" s="378"/>
      <c r="N14" s="378"/>
      <c r="O14" s="378"/>
      <c r="P14" s="378"/>
      <c r="Q14" s="378"/>
      <c r="R14" s="378"/>
      <c r="S14" s="378"/>
      <c r="T14" s="378"/>
      <c r="U14" s="378"/>
      <c r="V14" s="378"/>
      <c r="W14" s="378"/>
      <c r="X14" s="378"/>
      <c r="Y14" s="378"/>
      <c r="Z14" s="378"/>
      <c r="AA14" s="378"/>
      <c r="AB14" s="378"/>
      <c r="AC14" s="378"/>
      <c r="AD14" s="378"/>
    </row>
    <row r="15" spans="1:31">
      <c r="B15" s="377"/>
      <c r="C15" s="377"/>
      <c r="D15" s="377"/>
      <c r="F15" s="378"/>
      <c r="G15" s="378"/>
      <c r="H15" s="378"/>
      <c r="I15" s="378"/>
      <c r="J15" s="378"/>
      <c r="K15" s="378"/>
      <c r="L15" s="378"/>
      <c r="M15" s="378"/>
      <c r="N15" s="378"/>
      <c r="O15" s="378"/>
      <c r="P15" s="378"/>
      <c r="Q15" s="378"/>
      <c r="R15" s="378"/>
      <c r="S15" s="378"/>
      <c r="T15" s="378"/>
      <c r="U15" s="378"/>
      <c r="V15" s="378"/>
      <c r="W15" s="378"/>
      <c r="X15" s="378"/>
      <c r="Y15" s="378"/>
      <c r="Z15" s="378"/>
      <c r="AA15" s="378"/>
      <c r="AB15" s="378"/>
      <c r="AC15" s="378"/>
      <c r="AD15" s="378"/>
    </row>
    <row r="16" spans="1:31">
      <c r="B16" s="377"/>
      <c r="C16" s="377"/>
      <c r="D16" s="377"/>
      <c r="F16" s="378"/>
      <c r="G16" s="378"/>
      <c r="H16" s="378"/>
      <c r="I16" s="378"/>
      <c r="J16" s="378"/>
      <c r="K16" s="378"/>
      <c r="L16" s="378"/>
      <c r="M16" s="378"/>
      <c r="N16" s="378"/>
      <c r="O16" s="378"/>
      <c r="P16" s="378"/>
      <c r="Q16" s="378"/>
      <c r="R16" s="378"/>
      <c r="S16" s="378"/>
      <c r="T16" s="378"/>
      <c r="U16" s="378"/>
      <c r="V16" s="378"/>
      <c r="W16" s="378"/>
      <c r="X16" s="378"/>
      <c r="Y16" s="378"/>
      <c r="Z16" s="378"/>
      <c r="AA16" s="378"/>
      <c r="AB16" s="378"/>
      <c r="AC16" s="378"/>
      <c r="AD16" s="378"/>
    </row>
    <row r="17" spans="2:32">
      <c r="B17" s="377"/>
      <c r="C17" s="377"/>
      <c r="D17" s="377"/>
      <c r="F17" s="378"/>
      <c r="G17" s="378"/>
      <c r="H17" s="378"/>
      <c r="I17" s="378"/>
      <c r="J17" s="378"/>
      <c r="K17" s="378"/>
      <c r="L17" s="378"/>
      <c r="M17" s="378"/>
      <c r="N17" s="378"/>
      <c r="O17" s="378"/>
      <c r="P17" s="378"/>
      <c r="Q17" s="378"/>
      <c r="R17" s="378"/>
      <c r="S17" s="378"/>
      <c r="T17" s="378"/>
      <c r="U17" s="378"/>
      <c r="V17" s="378"/>
      <c r="W17" s="378"/>
      <c r="X17" s="378"/>
      <c r="Y17" s="378"/>
      <c r="Z17" s="378"/>
      <c r="AA17" s="378"/>
      <c r="AB17" s="378"/>
      <c r="AC17" s="378"/>
      <c r="AD17" s="378"/>
    </row>
    <row r="18" spans="2:32">
      <c r="B18" s="377"/>
      <c r="C18" s="377"/>
      <c r="D18" s="377"/>
      <c r="F18" s="378"/>
      <c r="G18" s="378"/>
      <c r="H18" s="378"/>
      <c r="I18" s="378"/>
      <c r="J18" s="378"/>
      <c r="K18" s="378"/>
      <c r="L18" s="378"/>
      <c r="M18" s="378"/>
      <c r="N18" s="378"/>
      <c r="O18" s="378"/>
      <c r="P18" s="378"/>
      <c r="Q18" s="378"/>
      <c r="R18" s="378"/>
      <c r="S18" s="378"/>
      <c r="T18" s="378"/>
      <c r="U18" s="378"/>
      <c r="V18" s="378"/>
      <c r="W18" s="378"/>
      <c r="X18" s="378"/>
      <c r="Y18" s="378"/>
      <c r="Z18" s="378"/>
      <c r="AA18" s="378"/>
      <c r="AB18" s="378"/>
      <c r="AC18" s="378"/>
      <c r="AD18" s="378"/>
    </row>
    <row r="19" spans="2:32">
      <c r="B19" s="377"/>
      <c r="C19" s="377"/>
      <c r="D19" s="377"/>
      <c r="F19" s="378"/>
      <c r="G19" s="378"/>
      <c r="H19" s="378"/>
      <c r="I19" s="378"/>
      <c r="J19" s="378"/>
      <c r="K19" s="378"/>
      <c r="L19" s="378"/>
      <c r="M19" s="378"/>
      <c r="N19" s="378"/>
      <c r="O19" s="378"/>
      <c r="P19" s="378"/>
      <c r="Q19" s="378"/>
      <c r="R19" s="378"/>
      <c r="S19" s="378"/>
      <c r="T19" s="378"/>
      <c r="U19" s="378"/>
      <c r="V19" s="378"/>
      <c r="W19" s="378"/>
      <c r="X19" s="378"/>
      <c r="Y19" s="378"/>
      <c r="Z19" s="378"/>
      <c r="AA19" s="378"/>
      <c r="AB19" s="378"/>
      <c r="AC19" s="378"/>
      <c r="AD19" s="378"/>
    </row>
    <row r="20" spans="2:32">
      <c r="B20" s="377"/>
      <c r="C20" s="377"/>
      <c r="D20" s="377"/>
      <c r="F20" s="378"/>
      <c r="G20" s="378"/>
      <c r="H20" s="378"/>
      <c r="I20" s="378"/>
      <c r="J20" s="378"/>
      <c r="K20" s="378"/>
      <c r="L20" s="378"/>
      <c r="M20" s="378"/>
      <c r="N20" s="378"/>
      <c r="O20" s="378"/>
      <c r="P20" s="378"/>
      <c r="Q20" s="378"/>
      <c r="R20" s="378"/>
      <c r="S20" s="378"/>
      <c r="T20" s="378"/>
      <c r="U20" s="378"/>
      <c r="V20" s="378"/>
      <c r="W20" s="378"/>
      <c r="X20" s="378"/>
      <c r="Y20" s="378"/>
      <c r="Z20" s="378"/>
      <c r="AA20" s="378"/>
      <c r="AB20" s="378"/>
      <c r="AC20" s="378"/>
      <c r="AD20" s="378"/>
    </row>
    <row r="21" spans="2:32">
      <c r="B21" s="377"/>
      <c r="C21" s="377"/>
      <c r="D21" s="377"/>
      <c r="F21" s="378"/>
      <c r="G21" s="378"/>
      <c r="H21" s="378"/>
      <c r="I21" s="378"/>
      <c r="J21" s="378"/>
      <c r="K21" s="378"/>
      <c r="L21" s="378"/>
      <c r="M21" s="378"/>
      <c r="N21" s="378"/>
      <c r="O21" s="378"/>
      <c r="P21" s="378"/>
      <c r="Q21" s="378"/>
      <c r="R21" s="378"/>
      <c r="S21" s="378"/>
      <c r="T21" s="378"/>
      <c r="U21" s="378"/>
      <c r="V21" s="378"/>
      <c r="W21" s="378"/>
      <c r="X21" s="378"/>
      <c r="Y21" s="378"/>
      <c r="Z21" s="378"/>
      <c r="AA21" s="378"/>
      <c r="AB21" s="378"/>
      <c r="AC21" s="378"/>
      <c r="AD21" s="378"/>
      <c r="AE21" s="378"/>
      <c r="AF21" s="378"/>
    </row>
    <row r="22" spans="2:32">
      <c r="B22" s="377"/>
      <c r="C22" s="377"/>
      <c r="D22" s="377"/>
      <c r="F22" s="378"/>
      <c r="G22" s="378"/>
      <c r="H22" s="378"/>
      <c r="I22" s="378"/>
      <c r="J22" s="378"/>
      <c r="K22" s="378"/>
      <c r="L22" s="378"/>
      <c r="M22" s="378"/>
      <c r="N22" s="378"/>
      <c r="O22" s="378"/>
      <c r="P22" s="378"/>
      <c r="Q22" s="378"/>
      <c r="R22" s="378"/>
      <c r="S22" s="378"/>
      <c r="T22" s="378"/>
      <c r="U22" s="378"/>
      <c r="V22" s="378"/>
      <c r="W22" s="378"/>
      <c r="X22" s="378"/>
      <c r="Y22" s="378"/>
      <c r="Z22" s="378"/>
      <c r="AA22" s="378"/>
      <c r="AB22" s="378"/>
      <c r="AC22" s="378"/>
      <c r="AD22" s="378"/>
      <c r="AE22" s="378"/>
      <c r="AF22" s="378"/>
    </row>
    <row r="23" spans="2:32">
      <c r="B23" s="377"/>
      <c r="C23" s="377"/>
      <c r="D23" s="377"/>
      <c r="F23" s="378"/>
      <c r="G23" s="378"/>
      <c r="H23" s="378"/>
      <c r="I23" s="378"/>
      <c r="J23" s="378"/>
      <c r="K23" s="378"/>
      <c r="L23" s="378"/>
      <c r="M23" s="378"/>
      <c r="N23" s="378"/>
      <c r="O23" s="378"/>
      <c r="P23" s="378"/>
      <c r="Q23" s="378"/>
      <c r="R23" s="378"/>
      <c r="S23" s="378"/>
      <c r="T23" s="378"/>
      <c r="U23" s="378"/>
      <c r="V23" s="378"/>
      <c r="W23" s="378"/>
      <c r="X23" s="378"/>
      <c r="Y23" s="378"/>
      <c r="Z23" s="378"/>
      <c r="AA23" s="378"/>
      <c r="AB23" s="378"/>
      <c r="AC23" s="378"/>
      <c r="AD23" s="378"/>
      <c r="AE23" s="378"/>
      <c r="AF23" s="378"/>
    </row>
    <row r="24" spans="2:32">
      <c r="B24" s="377"/>
      <c r="C24" s="377"/>
      <c r="D24" s="377"/>
      <c r="F24" s="378"/>
      <c r="G24" s="378"/>
      <c r="H24" s="378"/>
      <c r="I24" s="378"/>
      <c r="J24" s="378"/>
      <c r="K24" s="378"/>
      <c r="L24" s="378"/>
      <c r="M24" s="378"/>
      <c r="N24" s="378"/>
      <c r="O24" s="378"/>
      <c r="P24" s="378"/>
      <c r="Q24" s="378"/>
      <c r="R24" s="378"/>
      <c r="S24" s="378"/>
      <c r="T24" s="378"/>
      <c r="U24" s="378"/>
      <c r="V24" s="378"/>
      <c r="W24" s="378"/>
      <c r="X24" s="378"/>
      <c r="Y24" s="378"/>
      <c r="Z24" s="378"/>
      <c r="AA24" s="378"/>
      <c r="AB24" s="378"/>
      <c r="AC24" s="378"/>
      <c r="AD24" s="378"/>
      <c r="AE24" s="378"/>
      <c r="AF24" s="378"/>
    </row>
    <row r="25" spans="2:32">
      <c r="B25" s="377"/>
      <c r="C25" s="377"/>
      <c r="D25" s="377"/>
      <c r="F25" s="378"/>
      <c r="G25" s="378"/>
      <c r="H25" s="378"/>
      <c r="I25" s="378"/>
      <c r="J25" s="378"/>
      <c r="K25" s="378"/>
      <c r="L25" s="378"/>
      <c r="M25" s="378"/>
      <c r="N25" s="378"/>
      <c r="O25" s="378"/>
      <c r="P25" s="378"/>
      <c r="Q25" s="378"/>
      <c r="R25" s="378"/>
      <c r="S25" s="378"/>
      <c r="T25" s="378"/>
      <c r="U25" s="378"/>
      <c r="V25" s="378"/>
      <c r="W25" s="378"/>
      <c r="X25" s="378"/>
      <c r="Y25" s="378"/>
      <c r="Z25" s="378"/>
      <c r="AA25" s="378"/>
      <c r="AB25" s="378"/>
      <c r="AC25" s="378"/>
      <c r="AD25" s="378"/>
      <c r="AE25" s="378"/>
      <c r="AF25" s="378"/>
    </row>
    <row r="26" spans="2:32">
      <c r="B26" s="377"/>
      <c r="C26" s="377"/>
      <c r="D26" s="377"/>
      <c r="F26" s="378"/>
      <c r="G26" s="378"/>
      <c r="H26" s="378"/>
      <c r="I26" s="378"/>
      <c r="J26" s="378"/>
      <c r="K26" s="378"/>
      <c r="L26" s="378"/>
      <c r="M26" s="378"/>
      <c r="N26" s="378"/>
      <c r="O26" s="378"/>
      <c r="P26" s="378"/>
      <c r="Q26" s="378"/>
      <c r="R26" s="378"/>
      <c r="S26" s="378"/>
      <c r="T26" s="378"/>
      <c r="U26" s="378"/>
      <c r="V26" s="378"/>
      <c r="W26" s="378"/>
      <c r="X26" s="378"/>
      <c r="Y26" s="378"/>
      <c r="Z26" s="378"/>
      <c r="AA26" s="378"/>
      <c r="AB26" s="378"/>
      <c r="AC26" s="378"/>
      <c r="AD26" s="378"/>
      <c r="AE26" s="378"/>
      <c r="AF26" s="378"/>
    </row>
    <row r="27" spans="2:32">
      <c r="B27" s="377"/>
      <c r="C27" s="377"/>
      <c r="D27" s="377"/>
      <c r="F27" s="378"/>
      <c r="G27" s="378"/>
      <c r="H27" s="378"/>
      <c r="I27" s="378"/>
      <c r="J27" s="378"/>
      <c r="K27" s="378"/>
      <c r="L27" s="378"/>
      <c r="M27" s="378"/>
      <c r="N27" s="378"/>
      <c r="O27" s="378"/>
      <c r="P27" s="378"/>
      <c r="Q27" s="378"/>
      <c r="R27" s="378"/>
      <c r="S27" s="378"/>
      <c r="T27" s="378"/>
      <c r="U27" s="378"/>
      <c r="V27" s="378"/>
      <c r="W27" s="378"/>
      <c r="X27" s="378"/>
      <c r="Y27" s="378"/>
      <c r="Z27" s="378"/>
      <c r="AA27" s="378"/>
      <c r="AB27" s="378"/>
      <c r="AC27" s="378"/>
      <c r="AD27" s="378"/>
      <c r="AE27" s="378"/>
      <c r="AF27" s="378"/>
    </row>
    <row r="28" spans="2:32">
      <c r="B28" s="420"/>
      <c r="C28" s="421"/>
      <c r="D28" s="421"/>
      <c r="F28" s="420"/>
      <c r="G28" s="420"/>
      <c r="H28" s="420"/>
      <c r="I28" s="420"/>
      <c r="J28" s="420"/>
      <c r="K28" s="420"/>
      <c r="L28" s="420"/>
      <c r="M28" s="420"/>
      <c r="N28" s="420"/>
      <c r="O28" s="420"/>
      <c r="P28" s="420"/>
      <c r="Q28" s="420"/>
      <c r="R28" s="420"/>
      <c r="S28" s="420"/>
      <c r="T28" s="420"/>
      <c r="U28" s="420"/>
      <c r="V28" s="420"/>
      <c r="W28" s="420"/>
      <c r="X28" s="420"/>
      <c r="Y28" s="420"/>
      <c r="Z28" s="420"/>
      <c r="AA28" s="420"/>
      <c r="AB28" s="420"/>
      <c r="AC28" s="420"/>
      <c r="AD28" s="420"/>
      <c r="AE28" s="420"/>
      <c r="AF28" s="420"/>
    </row>
    <row r="29" spans="2:32">
      <c r="B29" s="378"/>
      <c r="C29" s="378"/>
      <c r="D29" s="377"/>
      <c r="F29" s="378"/>
      <c r="G29" s="378"/>
      <c r="H29" s="378"/>
      <c r="I29" s="378"/>
      <c r="J29" s="378"/>
      <c r="K29" s="378"/>
      <c r="L29" s="378"/>
      <c r="M29" s="378"/>
      <c r="N29" s="378"/>
      <c r="O29" s="378"/>
      <c r="P29" s="378"/>
      <c r="Q29" s="378"/>
      <c r="R29" s="378"/>
      <c r="S29" s="378"/>
      <c r="T29" s="378"/>
      <c r="U29" s="378"/>
      <c r="V29" s="378"/>
      <c r="W29" s="378"/>
      <c r="X29" s="378"/>
      <c r="Y29" s="378"/>
      <c r="Z29" s="378"/>
      <c r="AA29" s="378"/>
      <c r="AB29" s="378"/>
      <c r="AC29" s="378"/>
      <c r="AD29" s="378"/>
      <c r="AE29" s="378"/>
      <c r="AF29" s="378"/>
    </row>
    <row r="30" spans="2:32">
      <c r="B30" s="378"/>
      <c r="C30" s="378"/>
      <c r="D30" s="378"/>
      <c r="F30" s="378"/>
      <c r="G30" s="378"/>
      <c r="H30" s="378"/>
      <c r="I30" s="378"/>
      <c r="J30" s="378"/>
      <c r="K30" s="378"/>
      <c r="L30" s="378"/>
      <c r="M30" s="378"/>
      <c r="N30" s="378"/>
      <c r="O30" s="378"/>
      <c r="P30" s="378"/>
      <c r="Q30" s="378"/>
      <c r="R30" s="378"/>
      <c r="S30" s="378"/>
      <c r="T30" s="378"/>
      <c r="U30" s="378"/>
      <c r="V30" s="378"/>
      <c r="W30" s="378"/>
      <c r="X30" s="378"/>
      <c r="Y30" s="378"/>
      <c r="Z30" s="378"/>
      <c r="AA30" s="378"/>
      <c r="AB30" s="378"/>
      <c r="AC30" s="378"/>
      <c r="AD30" s="378"/>
      <c r="AE30" s="378"/>
      <c r="AF30" s="378"/>
    </row>
    <row r="31" spans="2:32">
      <c r="B31" s="378"/>
      <c r="C31" s="378"/>
      <c r="D31" s="378"/>
      <c r="F31" s="378"/>
      <c r="G31" s="378"/>
      <c r="H31" s="378"/>
      <c r="I31" s="378"/>
      <c r="J31" s="378"/>
      <c r="K31" s="378"/>
      <c r="L31" s="378"/>
      <c r="M31" s="378"/>
      <c r="N31" s="378"/>
      <c r="O31" s="378"/>
      <c r="P31" s="378"/>
      <c r="Q31" s="378"/>
      <c r="R31" s="378"/>
      <c r="S31" s="378"/>
      <c r="T31" s="378"/>
      <c r="U31" s="378"/>
      <c r="V31" s="378"/>
      <c r="W31" s="378"/>
      <c r="X31" s="378"/>
      <c r="Y31" s="378"/>
      <c r="Z31" s="378"/>
      <c r="AA31" s="378"/>
      <c r="AB31" s="378"/>
      <c r="AC31" s="378"/>
      <c r="AD31" s="378"/>
      <c r="AE31" s="378"/>
      <c r="AF31" s="378"/>
    </row>
    <row r="32" spans="2:32">
      <c r="B32" s="378"/>
      <c r="C32" s="378"/>
      <c r="D32" s="378"/>
      <c r="F32" s="378"/>
      <c r="G32" s="378"/>
      <c r="H32" s="378"/>
      <c r="I32" s="378"/>
      <c r="J32" s="378"/>
      <c r="K32" s="378"/>
      <c r="L32" s="378"/>
      <c r="M32" s="378"/>
      <c r="N32" s="378"/>
      <c r="O32" s="378"/>
      <c r="P32" s="378"/>
      <c r="Q32" s="378"/>
      <c r="R32" s="378"/>
      <c r="S32" s="378"/>
      <c r="T32" s="378"/>
      <c r="U32" s="378"/>
      <c r="V32" s="378"/>
      <c r="W32" s="378"/>
      <c r="X32" s="378"/>
      <c r="Y32" s="378"/>
      <c r="Z32" s="378"/>
      <c r="AA32" s="378"/>
      <c r="AB32" s="378"/>
      <c r="AC32" s="378"/>
      <c r="AD32" s="378"/>
      <c r="AE32" s="378"/>
      <c r="AF32" s="378"/>
    </row>
    <row r="33" spans="2:32">
      <c r="B33" s="378"/>
      <c r="C33" s="378"/>
      <c r="D33" s="378"/>
      <c r="F33" s="378"/>
      <c r="G33" s="378"/>
      <c r="H33" s="378"/>
      <c r="I33" s="378"/>
      <c r="J33" s="378"/>
      <c r="K33" s="378"/>
      <c r="L33" s="378"/>
      <c r="M33" s="378"/>
      <c r="N33" s="378"/>
      <c r="O33" s="378"/>
      <c r="P33" s="378"/>
      <c r="Q33" s="378"/>
      <c r="R33" s="378"/>
      <c r="S33" s="378"/>
      <c r="T33" s="378"/>
      <c r="U33" s="378"/>
      <c r="V33" s="378"/>
      <c r="W33" s="378"/>
      <c r="X33" s="378"/>
      <c r="Y33" s="378"/>
      <c r="Z33" s="378"/>
      <c r="AA33" s="378"/>
      <c r="AB33" s="378"/>
      <c r="AC33" s="378"/>
      <c r="AD33" s="378"/>
      <c r="AE33" s="378"/>
      <c r="AF33" s="378"/>
    </row>
    <row r="34" spans="2:32">
      <c r="B34" s="378"/>
      <c r="C34" s="378"/>
      <c r="D34" s="378"/>
      <c r="F34" s="378"/>
      <c r="G34" s="378"/>
      <c r="H34" s="378"/>
      <c r="I34" s="378"/>
      <c r="J34" s="378"/>
      <c r="K34" s="378"/>
      <c r="L34" s="378"/>
      <c r="M34" s="378"/>
      <c r="N34" s="378"/>
      <c r="O34" s="378"/>
      <c r="P34" s="378"/>
      <c r="Q34" s="378"/>
      <c r="R34" s="378"/>
      <c r="S34" s="378"/>
      <c r="T34" s="378"/>
      <c r="U34" s="378"/>
      <c r="V34" s="378"/>
      <c r="W34" s="378"/>
      <c r="X34" s="378"/>
      <c r="Y34" s="378"/>
      <c r="Z34" s="378"/>
      <c r="AA34" s="378"/>
      <c r="AB34" s="378"/>
      <c r="AC34" s="378"/>
      <c r="AD34" s="378"/>
      <c r="AE34" s="378"/>
      <c r="AF34" s="378"/>
    </row>
    <row r="35" spans="2:32">
      <c r="B35" s="378"/>
      <c r="C35" s="378"/>
      <c r="D35" s="378"/>
      <c r="F35" s="378"/>
      <c r="G35" s="378"/>
      <c r="H35" s="378"/>
      <c r="I35" s="378"/>
      <c r="J35" s="378"/>
      <c r="K35" s="378"/>
      <c r="L35" s="378"/>
      <c r="M35" s="378"/>
      <c r="N35" s="378"/>
      <c r="O35" s="378"/>
      <c r="P35" s="378"/>
      <c r="Q35" s="378"/>
      <c r="R35" s="378"/>
      <c r="S35" s="378"/>
      <c r="T35" s="378"/>
      <c r="U35" s="378"/>
      <c r="V35" s="378"/>
      <c r="W35" s="378"/>
      <c r="X35" s="378"/>
      <c r="Y35" s="378"/>
      <c r="Z35" s="378"/>
      <c r="AA35" s="378"/>
      <c r="AB35" s="378"/>
      <c r="AC35" s="378"/>
      <c r="AD35" s="378"/>
      <c r="AE35" s="378"/>
      <c r="AF35" s="378"/>
    </row>
    <row r="36" spans="2:32">
      <c r="B36" s="378"/>
      <c r="C36" s="378"/>
      <c r="D36" s="378"/>
      <c r="F36" s="378"/>
      <c r="G36" s="378"/>
      <c r="H36" s="378"/>
      <c r="I36" s="378"/>
      <c r="J36" s="378"/>
      <c r="K36" s="378"/>
      <c r="L36" s="378"/>
      <c r="M36" s="378"/>
      <c r="N36" s="378"/>
      <c r="O36" s="378"/>
      <c r="P36" s="378"/>
      <c r="Q36" s="378"/>
      <c r="R36" s="378"/>
      <c r="S36" s="378"/>
      <c r="T36" s="378"/>
      <c r="U36" s="378"/>
      <c r="V36" s="378"/>
      <c r="W36" s="378"/>
      <c r="X36" s="378"/>
      <c r="Y36" s="378"/>
      <c r="Z36" s="378"/>
      <c r="AA36" s="378"/>
      <c r="AB36" s="378"/>
      <c r="AC36" s="378"/>
      <c r="AD36" s="378"/>
      <c r="AE36" s="378"/>
      <c r="AF36" s="378"/>
    </row>
    <row r="37" spans="2:32">
      <c r="B37" s="378"/>
      <c r="C37" s="378"/>
      <c r="D37" s="378"/>
      <c r="F37" s="378"/>
      <c r="G37" s="378"/>
      <c r="H37" s="378"/>
      <c r="I37" s="378"/>
      <c r="J37" s="378"/>
      <c r="K37" s="378"/>
      <c r="L37" s="378"/>
      <c r="M37" s="378"/>
      <c r="N37" s="378"/>
      <c r="O37" s="378"/>
      <c r="P37" s="378"/>
      <c r="Q37" s="378"/>
      <c r="R37" s="378"/>
      <c r="S37" s="378"/>
      <c r="T37" s="378"/>
      <c r="U37" s="378"/>
      <c r="V37" s="378"/>
      <c r="W37" s="378"/>
      <c r="X37" s="378"/>
      <c r="Y37" s="378"/>
      <c r="Z37" s="378"/>
      <c r="AA37" s="378"/>
      <c r="AB37" s="378"/>
      <c r="AC37" s="378"/>
      <c r="AD37" s="378"/>
      <c r="AE37" s="378"/>
      <c r="AF37" s="378"/>
    </row>
    <row r="38" spans="2:32">
      <c r="B38" s="378"/>
      <c r="C38" s="378"/>
      <c r="D38" s="378"/>
      <c r="F38" s="378"/>
      <c r="G38" s="378"/>
      <c r="H38" s="378"/>
      <c r="I38" s="378"/>
      <c r="J38" s="378"/>
      <c r="K38" s="378"/>
      <c r="L38" s="378"/>
      <c r="M38" s="378"/>
      <c r="N38" s="378"/>
      <c r="O38" s="378"/>
      <c r="P38" s="378"/>
      <c r="Q38" s="378"/>
      <c r="R38" s="378"/>
      <c r="S38" s="378"/>
      <c r="T38" s="378"/>
      <c r="U38" s="378"/>
      <c r="V38" s="378"/>
      <c r="W38" s="378"/>
      <c r="X38" s="378"/>
      <c r="Y38" s="378"/>
      <c r="Z38" s="378"/>
      <c r="AA38" s="378"/>
      <c r="AB38" s="378"/>
      <c r="AC38" s="378"/>
      <c r="AD38" s="378"/>
      <c r="AE38" s="378"/>
      <c r="AF38" s="378"/>
    </row>
    <row r="39" spans="2:32">
      <c r="B39" s="378"/>
      <c r="C39" s="378"/>
      <c r="D39" s="378"/>
      <c r="F39" s="378"/>
      <c r="G39" s="378"/>
      <c r="H39" s="378"/>
      <c r="I39" s="378"/>
      <c r="J39" s="378"/>
      <c r="K39" s="378"/>
      <c r="L39" s="378"/>
      <c r="M39" s="378"/>
      <c r="N39" s="378"/>
      <c r="O39" s="378"/>
      <c r="P39" s="378"/>
      <c r="Q39" s="378"/>
      <c r="R39" s="378"/>
      <c r="S39" s="378"/>
      <c r="T39" s="378"/>
      <c r="U39" s="378"/>
      <c r="V39" s="378"/>
      <c r="W39" s="378"/>
      <c r="X39" s="378"/>
      <c r="Y39" s="378"/>
      <c r="Z39" s="378"/>
      <c r="AA39" s="378"/>
      <c r="AB39" s="378"/>
      <c r="AC39" s="378"/>
      <c r="AD39" s="378"/>
      <c r="AE39" s="378"/>
      <c r="AF39" s="378"/>
    </row>
    <row r="40" spans="2:32">
      <c r="B40" s="378"/>
      <c r="C40" s="378"/>
      <c r="D40" s="378"/>
      <c r="F40" s="378"/>
      <c r="G40" s="378"/>
      <c r="H40" s="378"/>
      <c r="I40" s="378"/>
      <c r="J40" s="378"/>
      <c r="K40" s="378"/>
      <c r="L40" s="378"/>
      <c r="M40" s="378"/>
      <c r="N40" s="378"/>
      <c r="O40" s="378"/>
      <c r="P40" s="378"/>
      <c r="Q40" s="378"/>
      <c r="R40" s="378"/>
      <c r="S40" s="378"/>
      <c r="T40" s="378"/>
      <c r="U40" s="378"/>
      <c r="V40" s="378"/>
      <c r="W40" s="378"/>
      <c r="X40" s="378"/>
      <c r="Y40" s="378"/>
      <c r="Z40" s="378"/>
      <c r="AA40" s="378"/>
      <c r="AB40" s="378"/>
      <c r="AC40" s="378"/>
      <c r="AD40" s="378"/>
      <c r="AE40" s="378"/>
      <c r="AF40" s="378"/>
    </row>
    <row r="41" spans="2:32">
      <c r="B41" s="378"/>
      <c r="C41" s="378"/>
      <c r="D41" s="378"/>
      <c r="F41" s="378"/>
      <c r="G41" s="378"/>
      <c r="H41" s="378"/>
      <c r="I41" s="378"/>
      <c r="J41" s="378"/>
      <c r="K41" s="378"/>
      <c r="L41" s="378"/>
      <c r="M41" s="378"/>
      <c r="N41" s="378"/>
      <c r="O41" s="378"/>
      <c r="P41" s="378"/>
      <c r="Q41" s="378"/>
      <c r="R41" s="378"/>
      <c r="S41" s="378"/>
      <c r="T41" s="378"/>
      <c r="U41" s="378"/>
      <c r="V41" s="378"/>
      <c r="W41" s="378"/>
      <c r="X41" s="378"/>
      <c r="Y41" s="378"/>
      <c r="Z41" s="378"/>
      <c r="AA41" s="378"/>
      <c r="AB41" s="378"/>
      <c r="AC41" s="378"/>
      <c r="AD41" s="378"/>
      <c r="AE41" s="378"/>
      <c r="AF41" s="378"/>
    </row>
    <row r="42" spans="2:32">
      <c r="B42" s="378"/>
      <c r="C42" s="378"/>
      <c r="D42" s="378"/>
      <c r="F42" s="378"/>
      <c r="G42" s="378"/>
      <c r="H42" s="378"/>
      <c r="I42" s="378"/>
      <c r="J42" s="378"/>
      <c r="K42" s="378"/>
      <c r="L42" s="378"/>
      <c r="M42" s="378"/>
      <c r="N42" s="378"/>
      <c r="O42" s="378"/>
      <c r="P42" s="378"/>
      <c r="Q42" s="378"/>
      <c r="R42" s="378"/>
      <c r="S42" s="378"/>
      <c r="T42" s="378"/>
      <c r="U42" s="378"/>
      <c r="V42" s="378"/>
      <c r="W42" s="378"/>
      <c r="X42" s="378"/>
      <c r="Y42" s="378"/>
      <c r="Z42" s="378"/>
      <c r="AA42" s="378"/>
      <c r="AB42" s="378"/>
      <c r="AC42" s="378"/>
      <c r="AD42" s="378"/>
      <c r="AE42" s="378"/>
      <c r="AF42" s="378"/>
    </row>
    <row r="43" spans="2:32">
      <c r="B43" s="378"/>
      <c r="C43" s="378"/>
      <c r="D43" s="378"/>
      <c r="F43" s="378"/>
      <c r="G43" s="378"/>
      <c r="H43" s="378"/>
      <c r="I43" s="378"/>
      <c r="J43" s="378"/>
      <c r="K43" s="378"/>
      <c r="L43" s="378"/>
      <c r="M43" s="378"/>
      <c r="N43" s="378"/>
      <c r="O43" s="378"/>
      <c r="P43" s="378"/>
      <c r="Q43" s="378"/>
      <c r="R43" s="378"/>
      <c r="S43" s="378"/>
      <c r="T43" s="378"/>
      <c r="U43" s="378"/>
      <c r="V43" s="378"/>
      <c r="W43" s="378"/>
      <c r="X43" s="378"/>
      <c r="Y43" s="378"/>
      <c r="Z43" s="378"/>
      <c r="AA43" s="378"/>
      <c r="AB43" s="378"/>
      <c r="AC43" s="378"/>
      <c r="AD43" s="378"/>
      <c r="AE43" s="378"/>
      <c r="AF43" s="378"/>
    </row>
    <row r="44" spans="2:32">
      <c r="B44" s="378"/>
      <c r="C44" s="378"/>
      <c r="D44" s="378"/>
      <c r="F44" s="378"/>
      <c r="G44" s="378"/>
      <c r="H44" s="378"/>
      <c r="I44" s="378"/>
      <c r="J44" s="378"/>
      <c r="K44" s="378"/>
      <c r="L44" s="378"/>
      <c r="M44" s="378"/>
      <c r="N44" s="378"/>
      <c r="O44" s="378"/>
      <c r="P44" s="378"/>
      <c r="Q44" s="378"/>
      <c r="R44" s="378"/>
      <c r="S44" s="378"/>
      <c r="T44" s="378"/>
      <c r="U44" s="378"/>
      <c r="V44" s="378"/>
      <c r="W44" s="378"/>
      <c r="X44" s="378"/>
      <c r="Y44" s="378"/>
      <c r="Z44" s="378"/>
      <c r="AA44" s="378"/>
      <c r="AB44" s="378"/>
      <c r="AC44" s="378"/>
      <c r="AD44" s="378"/>
      <c r="AE44" s="378"/>
      <c r="AF44" s="378"/>
    </row>
    <row r="45" spans="2:32">
      <c r="B45" s="378"/>
      <c r="C45" s="378"/>
      <c r="D45" s="378"/>
      <c r="F45" s="378"/>
      <c r="G45" s="378"/>
      <c r="H45" s="378"/>
      <c r="I45" s="378"/>
      <c r="J45" s="378"/>
      <c r="K45" s="378"/>
      <c r="L45" s="378"/>
      <c r="M45" s="378"/>
      <c r="N45" s="378"/>
      <c r="O45" s="378"/>
      <c r="P45" s="378"/>
      <c r="Q45" s="378"/>
      <c r="R45" s="378"/>
      <c r="S45" s="378"/>
      <c r="T45" s="378"/>
      <c r="U45" s="378"/>
      <c r="V45" s="378"/>
      <c r="W45" s="378"/>
      <c r="X45" s="378"/>
      <c r="Y45" s="378"/>
      <c r="Z45" s="378"/>
      <c r="AA45" s="378"/>
      <c r="AB45" s="378"/>
      <c r="AC45" s="378"/>
      <c r="AD45" s="378"/>
      <c r="AE45" s="378"/>
      <c r="AF45" s="378"/>
    </row>
    <row r="46" spans="2:32">
      <c r="B46" s="378"/>
      <c r="C46" s="378"/>
      <c r="D46" s="378"/>
      <c r="F46" s="378"/>
      <c r="G46" s="378"/>
      <c r="H46" s="378"/>
      <c r="I46" s="378"/>
      <c r="J46" s="378"/>
      <c r="K46" s="378"/>
      <c r="L46" s="378"/>
      <c r="M46" s="378"/>
      <c r="N46" s="378"/>
      <c r="O46" s="378"/>
      <c r="P46" s="378"/>
      <c r="Q46" s="378"/>
      <c r="R46" s="378"/>
      <c r="S46" s="378"/>
      <c r="T46" s="378"/>
      <c r="U46" s="378"/>
      <c r="V46" s="378"/>
      <c r="W46" s="378"/>
      <c r="X46" s="378"/>
      <c r="Y46" s="378"/>
      <c r="Z46" s="378"/>
      <c r="AA46" s="378"/>
      <c r="AB46" s="378"/>
      <c r="AC46" s="378"/>
      <c r="AD46" s="378"/>
      <c r="AE46" s="378"/>
      <c r="AF46" s="378"/>
    </row>
    <row r="47" spans="2:32">
      <c r="B47" s="378"/>
      <c r="C47" s="378"/>
      <c r="D47" s="378"/>
      <c r="F47" s="378"/>
      <c r="G47" s="378"/>
      <c r="H47" s="378"/>
      <c r="I47" s="378"/>
      <c r="J47" s="378"/>
      <c r="K47" s="378"/>
      <c r="L47" s="378"/>
      <c r="M47" s="378"/>
      <c r="N47" s="378"/>
      <c r="O47" s="378"/>
      <c r="P47" s="378"/>
      <c r="Q47" s="378"/>
      <c r="R47" s="378"/>
      <c r="S47" s="378"/>
      <c r="T47" s="378"/>
      <c r="U47" s="378"/>
      <c r="V47" s="378"/>
      <c r="W47" s="378"/>
      <c r="X47" s="378"/>
      <c r="Y47" s="378"/>
      <c r="Z47" s="378"/>
      <c r="AA47" s="378"/>
      <c r="AB47" s="378"/>
      <c r="AC47" s="378"/>
      <c r="AD47" s="378"/>
      <c r="AE47" s="378"/>
      <c r="AF47" s="378"/>
    </row>
    <row r="48" spans="2:32">
      <c r="B48" s="378"/>
      <c r="C48" s="378"/>
      <c r="D48" s="378"/>
      <c r="F48" s="378"/>
      <c r="G48" s="378"/>
      <c r="H48" s="378"/>
      <c r="I48" s="378"/>
      <c r="J48" s="378"/>
      <c r="K48" s="378"/>
      <c r="L48" s="378"/>
      <c r="M48" s="378"/>
      <c r="N48" s="378"/>
      <c r="O48" s="378"/>
      <c r="P48" s="378"/>
      <c r="Q48" s="378"/>
      <c r="R48" s="378"/>
      <c r="S48" s="378"/>
      <c r="T48" s="378"/>
      <c r="U48" s="378"/>
      <c r="V48" s="378"/>
      <c r="W48" s="378"/>
      <c r="X48" s="378"/>
      <c r="Y48" s="378"/>
      <c r="Z48" s="378"/>
      <c r="AA48" s="378"/>
      <c r="AB48" s="378"/>
      <c r="AC48" s="378"/>
      <c r="AD48" s="378"/>
      <c r="AE48" s="378"/>
      <c r="AF48" s="378"/>
    </row>
    <row r="49" spans="2:32">
      <c r="B49" s="378"/>
      <c r="C49" s="378"/>
      <c r="D49" s="378"/>
      <c r="F49" s="378"/>
      <c r="G49" s="378"/>
      <c r="H49" s="378"/>
      <c r="I49" s="378"/>
      <c r="J49" s="378"/>
      <c r="K49" s="378"/>
      <c r="L49" s="378"/>
      <c r="M49" s="378"/>
      <c r="N49" s="378"/>
      <c r="O49" s="378"/>
      <c r="P49" s="378"/>
      <c r="Q49" s="378"/>
      <c r="R49" s="378"/>
      <c r="S49" s="378"/>
      <c r="T49" s="378"/>
      <c r="U49" s="378"/>
      <c r="V49" s="378"/>
      <c r="W49" s="378"/>
      <c r="X49" s="378"/>
      <c r="Y49" s="378"/>
      <c r="Z49" s="378"/>
      <c r="AA49" s="378"/>
      <c r="AB49" s="378"/>
      <c r="AC49" s="378"/>
      <c r="AD49" s="378"/>
      <c r="AE49" s="378"/>
      <c r="AF49" s="378"/>
    </row>
    <row r="50" spans="2:32">
      <c r="B50" s="378"/>
      <c r="C50" s="378"/>
      <c r="D50" s="378"/>
      <c r="F50" s="378"/>
      <c r="G50" s="378"/>
      <c r="H50" s="378"/>
      <c r="I50" s="378"/>
      <c r="J50" s="378"/>
      <c r="K50" s="378"/>
      <c r="L50" s="378"/>
      <c r="M50" s="378"/>
      <c r="N50" s="378"/>
      <c r="O50" s="378"/>
      <c r="P50" s="378"/>
      <c r="Q50" s="378"/>
      <c r="R50" s="378"/>
      <c r="S50" s="378"/>
      <c r="T50" s="378"/>
      <c r="U50" s="378"/>
      <c r="V50" s="378"/>
      <c r="W50" s="378"/>
      <c r="X50" s="378"/>
      <c r="Y50" s="378"/>
      <c r="Z50" s="378"/>
      <c r="AA50" s="378"/>
      <c r="AB50" s="378"/>
      <c r="AC50" s="378"/>
      <c r="AD50" s="378"/>
      <c r="AE50" s="378"/>
      <c r="AF50" s="378"/>
    </row>
    <row r="51" spans="2:32">
      <c r="B51" s="378"/>
      <c r="C51" s="378"/>
      <c r="D51" s="378"/>
      <c r="F51" s="378"/>
      <c r="G51" s="378"/>
      <c r="H51" s="378"/>
      <c r="I51" s="378"/>
      <c r="J51" s="378"/>
      <c r="K51" s="378"/>
      <c r="L51" s="378"/>
      <c r="M51" s="378"/>
      <c r="N51" s="378"/>
      <c r="O51" s="378"/>
      <c r="P51" s="378"/>
      <c r="Q51" s="378"/>
      <c r="R51" s="378"/>
      <c r="S51" s="378"/>
      <c r="T51" s="378"/>
      <c r="U51" s="378"/>
      <c r="V51" s="378"/>
      <c r="W51" s="378"/>
      <c r="X51" s="378"/>
      <c r="Y51" s="378"/>
      <c r="Z51" s="378"/>
      <c r="AA51" s="378"/>
      <c r="AB51" s="378"/>
      <c r="AC51" s="378"/>
      <c r="AD51" s="378"/>
      <c r="AE51" s="378"/>
      <c r="AF51" s="378"/>
    </row>
    <row r="52" spans="2:32">
      <c r="B52" s="378"/>
      <c r="C52" s="378"/>
      <c r="D52" s="378"/>
      <c r="F52" s="378"/>
      <c r="G52" s="378"/>
      <c r="H52" s="378"/>
      <c r="I52" s="378"/>
      <c r="J52" s="378"/>
      <c r="K52" s="378"/>
      <c r="L52" s="378"/>
      <c r="M52" s="378"/>
      <c r="N52" s="378"/>
      <c r="O52" s="378"/>
      <c r="P52" s="378"/>
      <c r="Q52" s="378"/>
      <c r="R52" s="378"/>
      <c r="S52" s="378"/>
      <c r="T52" s="378"/>
      <c r="U52" s="378"/>
      <c r="V52" s="378"/>
      <c r="W52" s="378"/>
      <c r="X52" s="378"/>
      <c r="Y52" s="378"/>
      <c r="Z52" s="378"/>
      <c r="AA52" s="378"/>
      <c r="AB52" s="378"/>
      <c r="AC52" s="378"/>
      <c r="AD52" s="378"/>
      <c r="AE52" s="378"/>
      <c r="AF52" s="378"/>
    </row>
    <row r="53" spans="2:32">
      <c r="B53" s="378"/>
      <c r="C53" s="378"/>
      <c r="D53" s="378"/>
      <c r="F53" s="378"/>
      <c r="G53" s="378"/>
      <c r="H53" s="378"/>
      <c r="I53" s="378"/>
      <c r="J53" s="378"/>
      <c r="K53" s="378"/>
      <c r="L53" s="378"/>
      <c r="M53" s="378"/>
      <c r="N53" s="378"/>
      <c r="O53" s="378"/>
      <c r="P53" s="378"/>
      <c r="Q53" s="378"/>
      <c r="R53" s="378"/>
      <c r="S53" s="378"/>
      <c r="T53" s="378"/>
      <c r="U53" s="378"/>
      <c r="V53" s="378"/>
      <c r="W53" s="378"/>
      <c r="X53" s="378"/>
      <c r="Y53" s="378"/>
      <c r="Z53" s="378"/>
      <c r="AA53" s="378"/>
      <c r="AB53" s="378"/>
      <c r="AC53" s="378"/>
      <c r="AD53" s="378"/>
      <c r="AE53" s="378"/>
      <c r="AF53" s="378"/>
    </row>
    <row r="54" spans="2:32">
      <c r="B54" s="378"/>
      <c r="C54" s="378"/>
      <c r="D54" s="378"/>
      <c r="F54" s="378"/>
      <c r="G54" s="378"/>
      <c r="H54" s="378"/>
      <c r="I54" s="378"/>
      <c r="J54" s="378"/>
      <c r="K54" s="378"/>
      <c r="L54" s="378"/>
      <c r="M54" s="378"/>
      <c r="N54" s="378"/>
      <c r="O54" s="378"/>
      <c r="P54" s="378"/>
      <c r="Q54" s="378"/>
      <c r="R54" s="378"/>
      <c r="S54" s="378"/>
      <c r="T54" s="378"/>
      <c r="U54" s="378"/>
      <c r="V54" s="378"/>
      <c r="W54" s="378"/>
      <c r="X54" s="378"/>
      <c r="Y54" s="378"/>
      <c r="Z54" s="378"/>
      <c r="AA54" s="378"/>
      <c r="AB54" s="378"/>
      <c r="AC54" s="378"/>
      <c r="AD54" s="378"/>
      <c r="AE54" s="378"/>
      <c r="AF54" s="378"/>
    </row>
    <row r="55" spans="2:32">
      <c r="B55" s="378"/>
      <c r="C55" s="378"/>
      <c r="D55" s="378"/>
      <c r="F55" s="378"/>
      <c r="G55" s="378"/>
      <c r="H55" s="378"/>
      <c r="I55" s="378"/>
      <c r="J55" s="378"/>
      <c r="K55" s="378"/>
      <c r="L55" s="378"/>
      <c r="M55" s="378"/>
      <c r="N55" s="378"/>
      <c r="O55" s="378"/>
      <c r="P55" s="378"/>
      <c r="Q55" s="378"/>
      <c r="R55" s="378"/>
      <c r="S55" s="378"/>
      <c r="T55" s="378"/>
      <c r="U55" s="378"/>
      <c r="V55" s="378"/>
      <c r="W55" s="378"/>
      <c r="X55" s="378"/>
      <c r="Y55" s="378"/>
      <c r="Z55" s="378"/>
      <c r="AA55" s="378"/>
      <c r="AB55" s="378"/>
      <c r="AC55" s="378"/>
      <c r="AD55" s="378"/>
      <c r="AE55" s="378"/>
      <c r="AF55" s="378"/>
    </row>
    <row r="56" spans="2:32">
      <c r="B56" s="378"/>
      <c r="C56" s="378"/>
      <c r="D56" s="378"/>
      <c r="F56" s="378"/>
      <c r="G56" s="378"/>
      <c r="H56" s="378"/>
      <c r="I56" s="378"/>
      <c r="J56" s="378"/>
      <c r="K56" s="378"/>
      <c r="L56" s="378"/>
      <c r="M56" s="378"/>
      <c r="N56" s="378"/>
      <c r="O56" s="378"/>
      <c r="P56" s="378"/>
      <c r="Q56" s="378"/>
      <c r="R56" s="378"/>
      <c r="S56" s="378"/>
      <c r="T56" s="378"/>
      <c r="U56" s="378"/>
      <c r="V56" s="378"/>
      <c r="W56" s="378"/>
      <c r="X56" s="378"/>
      <c r="Y56" s="378"/>
      <c r="Z56" s="378"/>
      <c r="AA56" s="378"/>
      <c r="AB56" s="378"/>
      <c r="AC56" s="378"/>
      <c r="AD56" s="378"/>
      <c r="AE56" s="378"/>
      <c r="AF56" s="378"/>
    </row>
    <row r="57" spans="2:32">
      <c r="B57" s="378"/>
      <c r="C57" s="378"/>
      <c r="D57" s="378"/>
      <c r="F57" s="378"/>
      <c r="G57" s="378"/>
      <c r="H57" s="378"/>
      <c r="I57" s="378"/>
      <c r="J57" s="378"/>
      <c r="K57" s="378"/>
      <c r="L57" s="378"/>
      <c r="M57" s="378"/>
      <c r="N57" s="378"/>
      <c r="O57" s="378"/>
      <c r="P57" s="378"/>
      <c r="Q57" s="378"/>
      <c r="R57" s="378"/>
      <c r="S57" s="378"/>
      <c r="T57" s="378"/>
      <c r="U57" s="378"/>
      <c r="V57" s="378"/>
      <c r="W57" s="378"/>
      <c r="X57" s="378"/>
      <c r="Y57" s="378"/>
      <c r="Z57" s="378"/>
      <c r="AA57" s="378"/>
      <c r="AB57" s="378"/>
      <c r="AC57" s="378"/>
      <c r="AD57" s="378"/>
      <c r="AE57" s="378"/>
      <c r="AF57" s="378"/>
    </row>
    <row r="58" spans="2:32">
      <c r="B58" s="378"/>
      <c r="C58" s="378"/>
      <c r="D58" s="378"/>
      <c r="F58" s="378"/>
      <c r="G58" s="378"/>
      <c r="H58" s="378"/>
      <c r="I58" s="378"/>
      <c r="J58" s="378"/>
      <c r="K58" s="378"/>
      <c r="L58" s="378"/>
      <c r="M58" s="378"/>
      <c r="N58" s="378"/>
      <c r="O58" s="378"/>
      <c r="P58" s="378"/>
      <c r="Q58" s="378"/>
      <c r="R58" s="378"/>
      <c r="S58" s="378"/>
      <c r="T58" s="378"/>
      <c r="U58" s="378"/>
      <c r="V58" s="378"/>
      <c r="W58" s="378"/>
      <c r="X58" s="378"/>
      <c r="Y58" s="378"/>
      <c r="Z58" s="378"/>
      <c r="AA58" s="378"/>
      <c r="AB58" s="378"/>
      <c r="AC58" s="378"/>
      <c r="AD58" s="378"/>
      <c r="AE58" s="378"/>
      <c r="AF58" s="378"/>
    </row>
    <row r="59" spans="2:32">
      <c r="B59" s="378"/>
      <c r="C59" s="378"/>
      <c r="D59" s="378"/>
      <c r="F59" s="378"/>
      <c r="G59" s="378"/>
      <c r="H59" s="378"/>
      <c r="I59" s="378"/>
      <c r="J59" s="378"/>
      <c r="K59" s="378"/>
      <c r="L59" s="378"/>
      <c r="M59" s="378"/>
      <c r="N59" s="378"/>
      <c r="O59" s="378"/>
      <c r="P59" s="378"/>
      <c r="Q59" s="378"/>
      <c r="R59" s="378"/>
      <c r="S59" s="378"/>
      <c r="T59" s="378"/>
      <c r="U59" s="378"/>
      <c r="V59" s="378"/>
      <c r="W59" s="378"/>
      <c r="X59" s="378"/>
      <c r="Y59" s="378"/>
      <c r="Z59" s="378"/>
      <c r="AA59" s="378"/>
      <c r="AB59" s="378"/>
      <c r="AC59" s="378"/>
      <c r="AD59" s="378"/>
      <c r="AE59" s="378"/>
      <c r="AF59" s="378"/>
    </row>
    <row r="60" spans="2:32">
      <c r="B60" s="378"/>
      <c r="C60" s="378"/>
      <c r="D60" s="378"/>
      <c r="F60" s="378"/>
      <c r="G60" s="378"/>
      <c r="H60" s="378"/>
      <c r="I60" s="378"/>
      <c r="J60" s="378"/>
      <c r="K60" s="378"/>
      <c r="L60" s="378"/>
      <c r="M60" s="378"/>
      <c r="N60" s="378"/>
      <c r="O60" s="378"/>
      <c r="P60" s="378"/>
      <c r="Q60" s="378"/>
      <c r="R60" s="378"/>
      <c r="S60" s="378"/>
      <c r="T60" s="378"/>
      <c r="U60" s="378"/>
      <c r="V60" s="378"/>
      <c r="W60" s="378"/>
      <c r="X60" s="378"/>
      <c r="Y60" s="378"/>
      <c r="Z60" s="378"/>
      <c r="AA60" s="378"/>
      <c r="AB60" s="378"/>
      <c r="AC60" s="378"/>
      <c r="AD60" s="378"/>
      <c r="AE60" s="378"/>
      <c r="AF60" s="378"/>
    </row>
    <row r="61" spans="2:32">
      <c r="B61" s="378"/>
      <c r="C61" s="378"/>
      <c r="D61" s="378"/>
      <c r="F61" s="378"/>
      <c r="G61" s="378"/>
      <c r="H61" s="378"/>
      <c r="I61" s="378"/>
      <c r="J61" s="378"/>
      <c r="K61" s="378"/>
      <c r="L61" s="378"/>
      <c r="M61" s="378"/>
      <c r="N61" s="378"/>
      <c r="O61" s="378"/>
      <c r="P61" s="378"/>
      <c r="Q61" s="378"/>
      <c r="R61" s="378"/>
      <c r="S61" s="378"/>
      <c r="T61" s="378"/>
      <c r="U61" s="378"/>
      <c r="V61" s="378"/>
      <c r="W61" s="378"/>
      <c r="X61" s="378"/>
      <c r="Y61" s="378"/>
      <c r="Z61" s="378"/>
      <c r="AA61" s="378"/>
      <c r="AB61" s="378"/>
      <c r="AC61" s="378"/>
      <c r="AD61" s="378"/>
      <c r="AE61" s="378"/>
      <c r="AF61" s="378"/>
    </row>
    <row r="62" spans="2:32">
      <c r="B62" s="378"/>
      <c r="C62" s="378"/>
      <c r="D62" s="378"/>
      <c r="F62" s="378"/>
      <c r="G62" s="378"/>
      <c r="H62" s="378"/>
      <c r="I62" s="378"/>
      <c r="J62" s="378"/>
      <c r="K62" s="378"/>
      <c r="L62" s="378"/>
      <c r="M62" s="378"/>
      <c r="N62" s="378"/>
      <c r="O62" s="378"/>
      <c r="P62" s="378"/>
      <c r="Q62" s="378"/>
      <c r="R62" s="378"/>
      <c r="S62" s="378"/>
      <c r="T62" s="378"/>
      <c r="U62" s="378"/>
      <c r="V62" s="378"/>
      <c r="W62" s="378"/>
      <c r="X62" s="378"/>
      <c r="Y62" s="378"/>
      <c r="Z62" s="378"/>
      <c r="AA62" s="378"/>
      <c r="AB62" s="378"/>
      <c r="AC62" s="378"/>
      <c r="AD62" s="378"/>
      <c r="AE62" s="378"/>
      <c r="AF62" s="378"/>
    </row>
    <row r="63" spans="2:32">
      <c r="B63" s="378"/>
      <c r="C63" s="378"/>
      <c r="D63" s="378"/>
      <c r="F63" s="378"/>
      <c r="G63" s="378"/>
      <c r="H63" s="378"/>
      <c r="I63" s="378"/>
      <c r="J63" s="378"/>
      <c r="K63" s="378"/>
      <c r="L63" s="378"/>
      <c r="M63" s="378"/>
      <c r="N63" s="378"/>
      <c r="O63" s="378"/>
      <c r="P63" s="378"/>
      <c r="Q63" s="378"/>
      <c r="R63" s="378"/>
      <c r="S63" s="378"/>
      <c r="T63" s="378"/>
      <c r="U63" s="378"/>
      <c r="V63" s="378"/>
      <c r="W63" s="378"/>
      <c r="X63" s="378"/>
      <c r="Y63" s="378"/>
      <c r="Z63" s="378"/>
      <c r="AA63" s="378"/>
      <c r="AB63" s="378"/>
      <c r="AC63" s="378"/>
      <c r="AD63" s="378"/>
      <c r="AE63" s="378"/>
      <c r="AF63" s="378"/>
    </row>
    <row r="64" spans="2:32">
      <c r="B64" s="378"/>
      <c r="C64" s="378"/>
      <c r="D64" s="378"/>
      <c r="F64" s="378"/>
      <c r="G64" s="378"/>
      <c r="H64" s="378"/>
      <c r="I64" s="378"/>
      <c r="J64" s="378"/>
      <c r="K64" s="378"/>
      <c r="L64" s="378"/>
      <c r="M64" s="378"/>
      <c r="N64" s="378"/>
      <c r="O64" s="378"/>
      <c r="P64" s="378"/>
      <c r="Q64" s="378"/>
      <c r="R64" s="378"/>
      <c r="S64" s="378"/>
      <c r="T64" s="378"/>
      <c r="U64" s="378"/>
      <c r="V64" s="378"/>
      <c r="W64" s="378"/>
      <c r="X64" s="378"/>
      <c r="Y64" s="378"/>
      <c r="Z64" s="378"/>
      <c r="AA64" s="378"/>
      <c r="AB64" s="378"/>
      <c r="AC64" s="378"/>
      <c r="AD64" s="378"/>
      <c r="AE64" s="378"/>
      <c r="AF64" s="378"/>
    </row>
    <row r="65" spans="2:32">
      <c r="B65" s="378"/>
      <c r="C65" s="378"/>
      <c r="D65" s="378"/>
      <c r="F65" s="378"/>
      <c r="G65" s="378"/>
      <c r="H65" s="378"/>
      <c r="I65" s="378"/>
      <c r="J65" s="378"/>
      <c r="K65" s="378"/>
      <c r="L65" s="378"/>
      <c r="M65" s="378"/>
      <c r="N65" s="378"/>
      <c r="O65" s="378"/>
      <c r="P65" s="378"/>
      <c r="Q65" s="378"/>
      <c r="R65" s="378"/>
      <c r="S65" s="378"/>
      <c r="T65" s="378"/>
      <c r="U65" s="378"/>
      <c r="V65" s="378"/>
      <c r="W65" s="378"/>
      <c r="X65" s="378"/>
      <c r="Y65" s="378"/>
      <c r="Z65" s="378"/>
      <c r="AA65" s="378"/>
      <c r="AB65" s="378"/>
      <c r="AC65" s="378"/>
      <c r="AD65" s="378"/>
      <c r="AE65" s="378"/>
      <c r="AF65" s="378"/>
    </row>
    <row r="66" spans="2:32">
      <c r="B66" s="378"/>
      <c r="C66" s="378"/>
      <c r="D66" s="378"/>
      <c r="F66" s="378"/>
      <c r="G66" s="378"/>
      <c r="H66" s="378"/>
      <c r="I66" s="378"/>
      <c r="J66" s="378"/>
      <c r="K66" s="378"/>
      <c r="L66" s="378"/>
      <c r="M66" s="378"/>
      <c r="N66" s="378"/>
      <c r="O66" s="378"/>
      <c r="P66" s="378"/>
      <c r="Q66" s="378"/>
      <c r="R66" s="378"/>
      <c r="S66" s="378"/>
      <c r="T66" s="378"/>
      <c r="U66" s="378"/>
      <c r="V66" s="378"/>
      <c r="W66" s="378"/>
      <c r="X66" s="378"/>
      <c r="Y66" s="378"/>
      <c r="Z66" s="378"/>
      <c r="AA66" s="378"/>
      <c r="AB66" s="378"/>
      <c r="AC66" s="378"/>
      <c r="AD66" s="378"/>
      <c r="AE66" s="378"/>
      <c r="AF66" s="378"/>
    </row>
    <row r="67" spans="2:32">
      <c r="B67" s="378"/>
      <c r="C67" s="378"/>
      <c r="D67" s="378"/>
      <c r="F67" s="378"/>
      <c r="G67" s="378"/>
      <c r="H67" s="378"/>
      <c r="I67" s="378"/>
      <c r="J67" s="378"/>
      <c r="K67" s="378"/>
      <c r="L67" s="378"/>
      <c r="M67" s="378"/>
      <c r="N67" s="378"/>
      <c r="O67" s="378"/>
      <c r="P67" s="378"/>
      <c r="Q67" s="378"/>
      <c r="R67" s="378"/>
      <c r="S67" s="378"/>
      <c r="T67" s="378"/>
      <c r="U67" s="378"/>
      <c r="V67" s="378"/>
      <c r="W67" s="378"/>
      <c r="X67" s="378"/>
      <c r="Y67" s="378"/>
      <c r="Z67" s="378"/>
      <c r="AA67" s="378"/>
      <c r="AB67" s="378"/>
      <c r="AC67" s="378"/>
      <c r="AD67" s="378"/>
      <c r="AE67" s="378"/>
      <c r="AF67" s="378"/>
    </row>
    <row r="68" spans="2:32">
      <c r="B68" s="378"/>
      <c r="C68" s="378"/>
      <c r="D68" s="378"/>
      <c r="F68" s="378"/>
      <c r="G68" s="378"/>
      <c r="H68" s="378"/>
      <c r="I68" s="378"/>
      <c r="J68" s="378"/>
      <c r="K68" s="378"/>
      <c r="L68" s="378"/>
      <c r="M68" s="378"/>
      <c r="N68" s="378"/>
      <c r="O68" s="378"/>
      <c r="P68" s="378"/>
      <c r="Q68" s="378"/>
      <c r="R68" s="378"/>
      <c r="S68" s="378"/>
      <c r="T68" s="378"/>
      <c r="U68" s="378"/>
      <c r="V68" s="378"/>
      <c r="W68" s="378"/>
      <c r="X68" s="378"/>
      <c r="Y68" s="378"/>
      <c r="Z68" s="378"/>
      <c r="AA68" s="378"/>
      <c r="AB68" s="378"/>
      <c r="AC68" s="378"/>
      <c r="AD68" s="378"/>
      <c r="AE68" s="378"/>
      <c r="AF68" s="378"/>
    </row>
    <row r="69" spans="2:32">
      <c r="B69" s="378"/>
      <c r="C69" s="378"/>
      <c r="D69" s="378"/>
      <c r="F69" s="378"/>
      <c r="G69" s="378"/>
      <c r="H69" s="378"/>
      <c r="I69" s="378"/>
      <c r="J69" s="378"/>
      <c r="K69" s="378"/>
      <c r="L69" s="378"/>
      <c r="M69" s="378"/>
      <c r="N69" s="378"/>
      <c r="O69" s="378"/>
      <c r="P69" s="378"/>
      <c r="Q69" s="378"/>
      <c r="R69" s="378"/>
      <c r="S69" s="378"/>
      <c r="T69" s="378"/>
      <c r="U69" s="378"/>
      <c r="V69" s="378"/>
      <c r="W69" s="378"/>
      <c r="X69" s="378"/>
      <c r="Y69" s="378"/>
      <c r="Z69" s="378"/>
      <c r="AA69" s="378"/>
      <c r="AB69" s="378"/>
      <c r="AC69" s="378"/>
      <c r="AD69" s="378"/>
      <c r="AE69" s="378"/>
      <c r="AF69" s="378"/>
    </row>
    <row r="70" spans="2:32">
      <c r="B70" s="378"/>
      <c r="C70" s="422"/>
      <c r="D70" s="378"/>
      <c r="F70" s="378"/>
      <c r="G70" s="378"/>
      <c r="H70" s="378"/>
      <c r="I70" s="378"/>
      <c r="J70" s="378"/>
      <c r="K70" s="378"/>
      <c r="L70" s="378"/>
      <c r="M70" s="378"/>
      <c r="N70" s="378"/>
      <c r="O70" s="378"/>
      <c r="P70" s="378"/>
      <c r="Q70" s="378"/>
      <c r="R70" s="378"/>
      <c r="S70" s="378"/>
      <c r="T70" s="378"/>
      <c r="U70" s="378"/>
      <c r="V70" s="378"/>
      <c r="W70" s="378"/>
      <c r="X70" s="378"/>
      <c r="Y70" s="378"/>
      <c r="Z70" s="378"/>
      <c r="AA70" s="378"/>
      <c r="AB70" s="378"/>
      <c r="AC70" s="378"/>
      <c r="AD70" s="378"/>
      <c r="AE70" s="378"/>
      <c r="AF70" s="378"/>
    </row>
    <row r="71" spans="2:32">
      <c r="B71" s="378"/>
      <c r="C71" s="378"/>
      <c r="D71" s="378"/>
      <c r="F71" s="378"/>
      <c r="G71" s="378"/>
      <c r="H71" s="378"/>
      <c r="I71" s="378"/>
      <c r="J71" s="378"/>
      <c r="K71" s="378"/>
      <c r="L71" s="378"/>
      <c r="M71" s="378"/>
      <c r="N71" s="378"/>
      <c r="O71" s="378"/>
      <c r="P71" s="378"/>
      <c r="Q71" s="378"/>
      <c r="R71" s="378"/>
      <c r="S71" s="378"/>
      <c r="T71" s="378"/>
      <c r="U71" s="378"/>
      <c r="V71" s="378"/>
      <c r="W71" s="378"/>
      <c r="X71" s="378"/>
      <c r="Y71" s="378"/>
      <c r="Z71" s="378"/>
      <c r="AA71" s="378"/>
      <c r="AB71" s="378"/>
      <c r="AC71" s="378"/>
      <c r="AD71" s="378"/>
      <c r="AE71" s="378"/>
      <c r="AF71" s="378"/>
    </row>
    <row r="72" spans="2:32">
      <c r="B72" s="378"/>
      <c r="C72" s="378"/>
      <c r="D72" s="378"/>
      <c r="F72" s="378"/>
      <c r="G72" s="378"/>
      <c r="H72" s="378"/>
      <c r="I72" s="378"/>
      <c r="J72" s="378"/>
      <c r="K72" s="378"/>
      <c r="L72" s="378"/>
      <c r="M72" s="378"/>
      <c r="N72" s="378"/>
      <c r="O72" s="378"/>
      <c r="P72" s="378"/>
      <c r="Q72" s="378"/>
      <c r="R72" s="378"/>
      <c r="S72" s="378"/>
      <c r="T72" s="378"/>
      <c r="U72" s="378"/>
      <c r="V72" s="378"/>
      <c r="W72" s="378"/>
      <c r="X72" s="378"/>
      <c r="Y72" s="378"/>
      <c r="Z72" s="378"/>
      <c r="AA72" s="378"/>
      <c r="AB72" s="378"/>
      <c r="AC72" s="378"/>
      <c r="AD72" s="378"/>
      <c r="AE72" s="378"/>
      <c r="AF72" s="378"/>
    </row>
    <row r="73" spans="2:32">
      <c r="B73" s="378"/>
      <c r="C73" s="378"/>
      <c r="D73" s="378"/>
      <c r="F73" s="378"/>
      <c r="G73" s="378"/>
      <c r="H73" s="378"/>
      <c r="I73" s="378"/>
      <c r="J73" s="378"/>
      <c r="K73" s="378"/>
      <c r="L73" s="378"/>
      <c r="M73" s="378"/>
      <c r="N73" s="378"/>
      <c r="O73" s="378"/>
      <c r="P73" s="378"/>
      <c r="Q73" s="378"/>
      <c r="R73" s="378"/>
      <c r="S73" s="378"/>
      <c r="T73" s="378"/>
      <c r="U73" s="378"/>
      <c r="V73" s="378"/>
      <c r="W73" s="378"/>
      <c r="X73" s="378"/>
      <c r="Y73" s="378"/>
      <c r="Z73" s="378"/>
      <c r="AA73" s="378"/>
      <c r="AB73" s="378"/>
      <c r="AC73" s="378"/>
      <c r="AD73" s="378"/>
      <c r="AE73" s="378"/>
      <c r="AF73" s="378"/>
    </row>
    <row r="74" spans="2:32">
      <c r="B74" s="378"/>
      <c r="C74" s="378"/>
      <c r="D74" s="378"/>
      <c r="F74" s="378"/>
      <c r="G74" s="378"/>
      <c r="H74" s="378"/>
      <c r="I74" s="378"/>
      <c r="J74" s="378"/>
      <c r="K74" s="378"/>
      <c r="L74" s="378"/>
      <c r="M74" s="378"/>
      <c r="N74" s="378"/>
      <c r="O74" s="378"/>
      <c r="P74" s="378"/>
      <c r="Q74" s="378"/>
      <c r="R74" s="378"/>
      <c r="S74" s="378"/>
      <c r="T74" s="378"/>
      <c r="U74" s="378"/>
      <c r="V74" s="378"/>
      <c r="W74" s="378"/>
      <c r="X74" s="378"/>
      <c r="Y74" s="378"/>
      <c r="Z74" s="378"/>
      <c r="AA74" s="378"/>
      <c r="AB74" s="378"/>
      <c r="AC74" s="378"/>
      <c r="AD74" s="378"/>
      <c r="AE74" s="378"/>
      <c r="AF74" s="378"/>
    </row>
    <row r="75" spans="2:32">
      <c r="B75" s="378"/>
      <c r="C75" s="378"/>
      <c r="D75" s="378"/>
      <c r="F75" s="378"/>
      <c r="G75" s="378"/>
      <c r="H75" s="378"/>
      <c r="I75" s="378"/>
      <c r="J75" s="378"/>
      <c r="K75" s="378"/>
      <c r="L75" s="378"/>
      <c r="M75" s="378"/>
      <c r="N75" s="378"/>
      <c r="O75" s="378"/>
      <c r="P75" s="378"/>
      <c r="Q75" s="378"/>
      <c r="R75" s="378"/>
      <c r="S75" s="378"/>
      <c r="T75" s="378"/>
      <c r="U75" s="378"/>
      <c r="V75" s="378"/>
      <c r="W75" s="378"/>
      <c r="X75" s="378"/>
      <c r="Y75" s="378"/>
      <c r="Z75" s="378"/>
      <c r="AA75" s="378"/>
      <c r="AB75" s="378"/>
      <c r="AC75" s="378"/>
      <c r="AD75" s="378"/>
      <c r="AE75" s="378"/>
      <c r="AF75" s="378"/>
    </row>
    <row r="76" spans="2:32">
      <c r="B76" s="378"/>
      <c r="C76" s="378"/>
      <c r="D76" s="378"/>
      <c r="F76" s="378"/>
      <c r="G76" s="378"/>
      <c r="H76" s="378"/>
      <c r="I76" s="378"/>
      <c r="J76" s="378"/>
      <c r="K76" s="378"/>
      <c r="L76" s="378"/>
      <c r="M76" s="378"/>
      <c r="N76" s="378"/>
      <c r="O76" s="378"/>
      <c r="P76" s="378"/>
      <c r="Q76" s="378"/>
      <c r="R76" s="378"/>
      <c r="S76" s="378"/>
      <c r="T76" s="378"/>
      <c r="U76" s="378"/>
      <c r="V76" s="378"/>
      <c r="W76" s="378"/>
      <c r="X76" s="378"/>
      <c r="Y76" s="378"/>
      <c r="Z76" s="378"/>
      <c r="AA76" s="378"/>
      <c r="AB76" s="378"/>
      <c r="AC76" s="378"/>
      <c r="AD76" s="378"/>
      <c r="AE76" s="378"/>
      <c r="AF76" s="378"/>
    </row>
    <row r="77" spans="2:32">
      <c r="B77" s="378"/>
      <c r="C77" s="378"/>
      <c r="D77" s="378"/>
      <c r="F77" s="378"/>
      <c r="G77" s="378"/>
      <c r="H77" s="378"/>
      <c r="I77" s="378"/>
      <c r="J77" s="378"/>
      <c r="K77" s="378"/>
      <c r="L77" s="378"/>
      <c r="M77" s="378"/>
      <c r="N77" s="378"/>
      <c r="O77" s="378"/>
      <c r="P77" s="378"/>
      <c r="Q77" s="378"/>
      <c r="R77" s="378"/>
      <c r="S77" s="378"/>
      <c r="T77" s="378"/>
      <c r="U77" s="378"/>
      <c r="V77" s="378"/>
      <c r="W77" s="378"/>
      <c r="X77" s="378"/>
      <c r="Y77" s="378"/>
      <c r="Z77" s="378"/>
      <c r="AA77" s="378"/>
      <c r="AB77" s="378"/>
      <c r="AC77" s="378"/>
      <c r="AD77" s="378"/>
      <c r="AE77" s="378"/>
      <c r="AF77" s="378"/>
    </row>
    <row r="78" spans="2:32">
      <c r="B78" s="378"/>
      <c r="C78" s="378"/>
      <c r="D78" s="378"/>
      <c r="F78" s="378"/>
      <c r="G78" s="378"/>
      <c r="H78" s="378"/>
      <c r="I78" s="378"/>
      <c r="J78" s="378"/>
      <c r="K78" s="378"/>
      <c r="L78" s="378"/>
      <c r="M78" s="378"/>
      <c r="N78" s="378"/>
      <c r="O78" s="378"/>
      <c r="P78" s="378"/>
      <c r="Q78" s="378"/>
      <c r="R78" s="378"/>
      <c r="S78" s="378"/>
      <c r="T78" s="378"/>
      <c r="U78" s="378"/>
      <c r="V78" s="378"/>
      <c r="W78" s="378"/>
      <c r="X78" s="378"/>
      <c r="Y78" s="378"/>
      <c r="Z78" s="378"/>
      <c r="AA78" s="378"/>
      <c r="AB78" s="378"/>
      <c r="AC78" s="378"/>
      <c r="AD78" s="378"/>
      <c r="AE78" s="378"/>
      <c r="AF78" s="378"/>
    </row>
    <row r="79" spans="2:32">
      <c r="B79" s="378"/>
      <c r="C79" s="378"/>
      <c r="D79" s="378"/>
      <c r="F79" s="378"/>
      <c r="G79" s="378"/>
      <c r="H79" s="378"/>
      <c r="I79" s="378"/>
      <c r="J79" s="378"/>
      <c r="K79" s="378"/>
      <c r="L79" s="378"/>
      <c r="M79" s="378"/>
      <c r="N79" s="378"/>
      <c r="O79" s="378"/>
      <c r="P79" s="378"/>
      <c r="Q79" s="378"/>
      <c r="R79" s="378"/>
      <c r="S79" s="378"/>
      <c r="T79" s="378"/>
      <c r="U79" s="378"/>
      <c r="V79" s="378"/>
      <c r="W79" s="378"/>
      <c r="X79" s="378"/>
      <c r="Y79" s="378"/>
      <c r="Z79" s="378"/>
      <c r="AA79" s="378"/>
      <c r="AB79" s="378"/>
      <c r="AC79" s="378"/>
      <c r="AD79" s="378"/>
      <c r="AE79" s="378"/>
      <c r="AF79" s="378"/>
    </row>
    <row r="80" spans="2:32">
      <c r="B80" s="378"/>
      <c r="C80" s="378"/>
      <c r="D80" s="378"/>
      <c r="F80" s="378"/>
      <c r="G80" s="378"/>
      <c r="H80" s="378"/>
      <c r="I80" s="378"/>
      <c r="J80" s="378"/>
      <c r="K80" s="378"/>
      <c r="L80" s="378"/>
      <c r="M80" s="378"/>
      <c r="N80" s="378"/>
      <c r="O80" s="378"/>
      <c r="P80" s="378"/>
      <c r="Q80" s="378"/>
      <c r="R80" s="378"/>
      <c r="S80" s="378"/>
      <c r="T80" s="378"/>
      <c r="U80" s="378"/>
      <c r="V80" s="378"/>
      <c r="W80" s="378"/>
      <c r="X80" s="378"/>
      <c r="Y80" s="378"/>
      <c r="Z80" s="378"/>
      <c r="AA80" s="378"/>
      <c r="AB80" s="378"/>
      <c r="AC80" s="378"/>
      <c r="AD80" s="378"/>
      <c r="AE80" s="378"/>
      <c r="AF80" s="378"/>
    </row>
    <row r="81" spans="2:32">
      <c r="B81" s="378"/>
      <c r="C81" s="378"/>
      <c r="D81" s="378"/>
      <c r="F81" s="378"/>
      <c r="G81" s="378"/>
      <c r="H81" s="378"/>
      <c r="I81" s="378"/>
      <c r="J81" s="378"/>
      <c r="K81" s="378"/>
      <c r="L81" s="378"/>
      <c r="M81" s="378"/>
      <c r="N81" s="378"/>
      <c r="O81" s="378"/>
      <c r="P81" s="378"/>
      <c r="Q81" s="378"/>
      <c r="R81" s="378"/>
      <c r="S81" s="378"/>
      <c r="T81" s="378"/>
      <c r="U81" s="378"/>
      <c r="V81" s="378"/>
      <c r="W81" s="378"/>
      <c r="X81" s="378"/>
      <c r="Y81" s="378"/>
      <c r="Z81" s="378"/>
      <c r="AA81" s="378"/>
      <c r="AB81" s="378"/>
      <c r="AC81" s="378"/>
      <c r="AD81" s="378"/>
      <c r="AE81" s="378"/>
      <c r="AF81" s="378"/>
    </row>
    <row r="82" spans="2:32">
      <c r="B82" s="378"/>
      <c r="C82" s="378"/>
      <c r="D82" s="378"/>
      <c r="F82" s="378"/>
      <c r="G82" s="378"/>
      <c r="H82" s="378"/>
      <c r="I82" s="378"/>
      <c r="J82" s="378"/>
      <c r="K82" s="378"/>
      <c r="L82" s="378"/>
      <c r="M82" s="378"/>
      <c r="N82" s="378"/>
      <c r="O82" s="378"/>
      <c r="P82" s="378"/>
      <c r="Q82" s="378"/>
      <c r="R82" s="378"/>
      <c r="S82" s="378"/>
      <c r="T82" s="378"/>
      <c r="U82" s="378"/>
      <c r="V82" s="378"/>
      <c r="W82" s="378"/>
      <c r="X82" s="378"/>
      <c r="Y82" s="378"/>
      <c r="Z82" s="378"/>
      <c r="AA82" s="378"/>
      <c r="AB82" s="378"/>
      <c r="AC82" s="378"/>
      <c r="AD82" s="378"/>
      <c r="AE82" s="378"/>
      <c r="AF82" s="378"/>
    </row>
    <row r="83" spans="2:32">
      <c r="B83" s="378"/>
      <c r="C83" s="378"/>
      <c r="D83" s="378"/>
      <c r="F83" s="378"/>
      <c r="G83" s="378"/>
      <c r="H83" s="378"/>
      <c r="I83" s="378"/>
      <c r="J83" s="378"/>
      <c r="K83" s="378"/>
      <c r="L83" s="378"/>
      <c r="M83" s="378"/>
      <c r="N83" s="378"/>
      <c r="O83" s="378"/>
      <c r="P83" s="378"/>
      <c r="Q83" s="378"/>
      <c r="R83" s="378"/>
      <c r="S83" s="378"/>
      <c r="T83" s="378"/>
      <c r="U83" s="378"/>
      <c r="V83" s="378"/>
      <c r="W83" s="378"/>
      <c r="X83" s="378"/>
      <c r="Y83" s="378"/>
      <c r="Z83" s="378"/>
      <c r="AA83" s="378"/>
      <c r="AB83" s="378"/>
      <c r="AC83" s="378"/>
      <c r="AD83" s="378"/>
      <c r="AE83" s="378"/>
      <c r="AF83" s="378"/>
    </row>
    <row r="84" spans="2:32">
      <c r="B84" s="378"/>
      <c r="C84" s="378"/>
      <c r="D84" s="378"/>
      <c r="F84" s="378"/>
      <c r="G84" s="378"/>
      <c r="H84" s="378"/>
      <c r="I84" s="378"/>
      <c r="J84" s="378"/>
      <c r="K84" s="378"/>
      <c r="L84" s="378"/>
      <c r="M84" s="378"/>
      <c r="N84" s="378"/>
      <c r="O84" s="378"/>
      <c r="P84" s="378"/>
      <c r="Q84" s="378"/>
      <c r="R84" s="378"/>
      <c r="S84" s="378"/>
      <c r="T84" s="378"/>
      <c r="U84" s="378"/>
      <c r="V84" s="378"/>
      <c r="W84" s="378"/>
      <c r="X84" s="378"/>
      <c r="Y84" s="378"/>
      <c r="Z84" s="378"/>
      <c r="AA84" s="378"/>
      <c r="AB84" s="378"/>
      <c r="AC84" s="378"/>
      <c r="AD84" s="378"/>
      <c r="AE84" s="378"/>
      <c r="AF84" s="378"/>
    </row>
    <row r="85" spans="2:32">
      <c r="B85" s="378"/>
      <c r="C85" s="378"/>
      <c r="D85" s="378"/>
      <c r="F85" s="378"/>
      <c r="G85" s="378"/>
      <c r="H85" s="378"/>
      <c r="I85" s="378"/>
      <c r="J85" s="378"/>
      <c r="K85" s="378"/>
      <c r="L85" s="378"/>
      <c r="M85" s="378"/>
      <c r="N85" s="378"/>
      <c r="O85" s="378"/>
      <c r="P85" s="378"/>
      <c r="Q85" s="378"/>
      <c r="R85" s="378"/>
      <c r="S85" s="378"/>
      <c r="T85" s="378"/>
      <c r="U85" s="378"/>
      <c r="V85" s="378"/>
      <c r="W85" s="378"/>
      <c r="X85" s="378"/>
      <c r="Y85" s="378"/>
      <c r="Z85" s="378"/>
      <c r="AA85" s="378"/>
      <c r="AB85" s="378"/>
      <c r="AC85" s="378"/>
      <c r="AD85" s="378"/>
      <c r="AE85" s="378"/>
      <c r="AF85" s="378"/>
    </row>
    <row r="86" spans="2:32">
      <c r="B86" s="378"/>
      <c r="C86" s="378"/>
      <c r="D86" s="378"/>
      <c r="F86" s="378"/>
      <c r="G86" s="378"/>
      <c r="H86" s="378"/>
      <c r="I86" s="378"/>
      <c r="J86" s="378"/>
      <c r="K86" s="378"/>
      <c r="L86" s="378"/>
      <c r="M86" s="378"/>
      <c r="N86" s="378"/>
      <c r="O86" s="378"/>
      <c r="P86" s="378"/>
      <c r="Q86" s="378"/>
      <c r="R86" s="378"/>
      <c r="S86" s="378"/>
      <c r="T86" s="378"/>
      <c r="U86" s="378"/>
      <c r="V86" s="378"/>
      <c r="W86" s="378"/>
      <c r="X86" s="378"/>
      <c r="Y86" s="378"/>
      <c r="Z86" s="378"/>
      <c r="AA86" s="378"/>
      <c r="AB86" s="378"/>
      <c r="AC86" s="378"/>
      <c r="AD86" s="378"/>
      <c r="AE86" s="378"/>
      <c r="AF86" s="378"/>
    </row>
    <row r="87" spans="2:32">
      <c r="B87" s="378"/>
      <c r="C87" s="378"/>
      <c r="D87" s="378"/>
      <c r="F87" s="378"/>
      <c r="G87" s="378"/>
      <c r="H87" s="378"/>
      <c r="I87" s="378"/>
      <c r="J87" s="378"/>
      <c r="K87" s="378"/>
      <c r="L87" s="378"/>
      <c r="M87" s="378"/>
      <c r="N87" s="378"/>
      <c r="O87" s="378"/>
      <c r="P87" s="378"/>
      <c r="Q87" s="378"/>
      <c r="R87" s="378"/>
      <c r="S87" s="378"/>
      <c r="T87" s="378"/>
      <c r="U87" s="378"/>
      <c r="V87" s="378"/>
      <c r="W87" s="378"/>
      <c r="X87" s="378"/>
      <c r="Y87" s="378"/>
      <c r="Z87" s="378"/>
      <c r="AA87" s="378"/>
      <c r="AB87" s="378"/>
      <c r="AC87" s="378"/>
      <c r="AD87" s="378"/>
      <c r="AE87" s="378"/>
      <c r="AF87" s="378"/>
    </row>
    <row r="88" spans="2:32">
      <c r="B88" s="378"/>
      <c r="C88" s="378"/>
      <c r="D88" s="378"/>
      <c r="F88" s="378"/>
      <c r="G88" s="378"/>
      <c r="H88" s="378"/>
      <c r="I88" s="378"/>
      <c r="J88" s="378"/>
      <c r="K88" s="378"/>
      <c r="L88" s="378"/>
      <c r="M88" s="378"/>
      <c r="N88" s="378"/>
      <c r="O88" s="378"/>
      <c r="P88" s="378"/>
      <c r="Q88" s="378"/>
      <c r="R88" s="378"/>
      <c r="S88" s="378"/>
      <c r="T88" s="378"/>
      <c r="U88" s="378"/>
      <c r="V88" s="378"/>
      <c r="W88" s="378"/>
      <c r="X88" s="378"/>
      <c r="Y88" s="378"/>
      <c r="Z88" s="378"/>
      <c r="AA88" s="378"/>
      <c r="AB88" s="378"/>
      <c r="AC88" s="378"/>
      <c r="AD88" s="378"/>
      <c r="AE88" s="378"/>
      <c r="AF88" s="378"/>
    </row>
    <row r="89" spans="2:32">
      <c r="B89" s="378"/>
      <c r="C89" s="378"/>
      <c r="D89" s="378"/>
      <c r="F89" s="378"/>
      <c r="G89" s="378"/>
      <c r="H89" s="378"/>
      <c r="I89" s="378"/>
      <c r="J89" s="378"/>
      <c r="K89" s="378"/>
      <c r="L89" s="378"/>
      <c r="M89" s="378"/>
      <c r="N89" s="378"/>
      <c r="O89" s="378"/>
      <c r="P89" s="378"/>
      <c r="Q89" s="378"/>
      <c r="R89" s="378"/>
      <c r="S89" s="378"/>
      <c r="T89" s="378"/>
      <c r="U89" s="378"/>
      <c r="V89" s="378"/>
      <c r="W89" s="378"/>
      <c r="X89" s="378"/>
      <c r="Y89" s="378"/>
      <c r="Z89" s="378"/>
      <c r="AA89" s="378"/>
      <c r="AB89" s="378"/>
      <c r="AC89" s="378"/>
      <c r="AD89" s="378"/>
      <c r="AE89" s="378"/>
      <c r="AF89" s="378"/>
    </row>
    <row r="90" spans="2:32">
      <c r="B90" s="378"/>
      <c r="C90" s="378"/>
      <c r="D90" s="378"/>
      <c r="F90" s="378"/>
      <c r="G90" s="378"/>
      <c r="H90" s="378"/>
      <c r="I90" s="378"/>
      <c r="J90" s="378"/>
      <c r="K90" s="378"/>
      <c r="L90" s="378"/>
      <c r="M90" s="378"/>
      <c r="N90" s="378"/>
      <c r="O90" s="378"/>
      <c r="P90" s="378"/>
      <c r="Q90" s="378"/>
      <c r="R90" s="378"/>
      <c r="S90" s="378"/>
      <c r="T90" s="378"/>
      <c r="U90" s="378"/>
      <c r="V90" s="378"/>
      <c r="W90" s="378"/>
      <c r="X90" s="378"/>
      <c r="Y90" s="378"/>
      <c r="Z90" s="378"/>
      <c r="AA90" s="378"/>
      <c r="AB90" s="378"/>
      <c r="AC90" s="378"/>
      <c r="AD90" s="378"/>
      <c r="AE90" s="378"/>
      <c r="AF90" s="378"/>
    </row>
    <row r="91" spans="2:32">
      <c r="B91" s="378"/>
      <c r="C91" s="378"/>
      <c r="D91" s="378"/>
      <c r="F91" s="378"/>
      <c r="G91" s="378"/>
      <c r="H91" s="378"/>
      <c r="I91" s="378"/>
      <c r="J91" s="378"/>
      <c r="K91" s="378"/>
      <c r="L91" s="378"/>
      <c r="M91" s="378"/>
      <c r="N91" s="378"/>
      <c r="O91" s="378"/>
      <c r="P91" s="378"/>
      <c r="Q91" s="378"/>
      <c r="R91" s="378"/>
      <c r="S91" s="378"/>
      <c r="T91" s="378"/>
      <c r="U91" s="378"/>
      <c r="V91" s="378"/>
      <c r="W91" s="378"/>
      <c r="X91" s="378"/>
      <c r="Y91" s="378"/>
      <c r="Z91" s="378"/>
      <c r="AA91" s="378"/>
      <c r="AB91" s="378"/>
      <c r="AC91" s="378"/>
      <c r="AD91" s="378"/>
      <c r="AE91" s="378"/>
      <c r="AF91" s="378"/>
    </row>
    <row r="92" spans="2:32">
      <c r="B92" s="378"/>
      <c r="C92" s="378"/>
      <c r="D92" s="378"/>
      <c r="F92" s="378"/>
      <c r="G92" s="378"/>
      <c r="H92" s="378"/>
      <c r="I92" s="378"/>
      <c r="J92" s="378"/>
      <c r="K92" s="378"/>
      <c r="L92" s="378"/>
      <c r="M92" s="378"/>
      <c r="N92" s="378"/>
      <c r="O92" s="378"/>
      <c r="P92" s="378"/>
      <c r="Q92" s="378"/>
      <c r="R92" s="378"/>
      <c r="S92" s="378"/>
      <c r="T92" s="378"/>
      <c r="U92" s="378"/>
      <c r="V92" s="378"/>
      <c r="W92" s="378"/>
      <c r="X92" s="378"/>
      <c r="Y92" s="378"/>
      <c r="Z92" s="378"/>
      <c r="AA92" s="378"/>
      <c r="AB92" s="378"/>
      <c r="AC92" s="378"/>
      <c r="AD92" s="378"/>
      <c r="AE92" s="378"/>
      <c r="AF92" s="378"/>
    </row>
    <row r="93" spans="2:32">
      <c r="B93" s="378"/>
      <c r="C93" s="378"/>
      <c r="D93" s="378"/>
      <c r="F93" s="378"/>
      <c r="G93" s="378"/>
      <c r="H93" s="378"/>
      <c r="I93" s="378"/>
      <c r="J93" s="378"/>
      <c r="K93" s="378"/>
      <c r="L93" s="378"/>
      <c r="M93" s="378"/>
      <c r="N93" s="378"/>
      <c r="O93" s="378"/>
      <c r="P93" s="378"/>
      <c r="Q93" s="378"/>
      <c r="R93" s="378"/>
      <c r="S93" s="378"/>
      <c r="T93" s="378"/>
      <c r="U93" s="378"/>
      <c r="V93" s="378"/>
      <c r="W93" s="378"/>
      <c r="X93" s="378"/>
      <c r="Y93" s="378"/>
      <c r="Z93" s="378"/>
      <c r="AA93" s="378"/>
      <c r="AB93" s="378"/>
      <c r="AC93" s="378"/>
      <c r="AD93" s="378"/>
      <c r="AE93" s="378"/>
      <c r="AF93" s="378"/>
    </row>
    <row r="94" spans="2:32">
      <c r="B94" s="378"/>
      <c r="C94" s="378"/>
      <c r="D94" s="378"/>
      <c r="F94" s="378"/>
      <c r="G94" s="378"/>
      <c r="H94" s="378"/>
      <c r="I94" s="378"/>
      <c r="J94" s="378"/>
      <c r="K94" s="378"/>
      <c r="L94" s="378"/>
      <c r="M94" s="378"/>
      <c r="N94" s="378"/>
      <c r="O94" s="378"/>
      <c r="P94" s="378"/>
      <c r="Q94" s="378"/>
      <c r="R94" s="378"/>
      <c r="S94" s="378"/>
      <c r="T94" s="378"/>
      <c r="U94" s="378"/>
      <c r="V94" s="378"/>
      <c r="W94" s="378"/>
      <c r="X94" s="378"/>
      <c r="Y94" s="378"/>
      <c r="Z94" s="378"/>
      <c r="AA94" s="378"/>
      <c r="AB94" s="378"/>
      <c r="AC94" s="378"/>
      <c r="AD94" s="378"/>
      <c r="AE94" s="378"/>
      <c r="AF94" s="378"/>
    </row>
    <row r="95" spans="2:32">
      <c r="B95" s="378"/>
      <c r="C95" s="378"/>
      <c r="D95" s="378"/>
      <c r="F95" s="378"/>
      <c r="G95" s="378"/>
      <c r="H95" s="378"/>
      <c r="I95" s="378"/>
      <c r="J95" s="378"/>
      <c r="K95" s="378"/>
      <c r="L95" s="378"/>
      <c r="M95" s="378"/>
      <c r="N95" s="378"/>
      <c r="O95" s="378"/>
      <c r="P95" s="378"/>
      <c r="Q95" s="378"/>
      <c r="R95" s="378"/>
      <c r="S95" s="378"/>
      <c r="T95" s="378"/>
      <c r="U95" s="378"/>
      <c r="V95" s="378"/>
      <c r="W95" s="378"/>
      <c r="X95" s="378"/>
      <c r="Y95" s="378"/>
      <c r="Z95" s="378"/>
      <c r="AA95" s="378"/>
      <c r="AB95" s="378"/>
      <c r="AC95" s="378"/>
      <c r="AD95" s="378"/>
      <c r="AE95" s="378"/>
      <c r="AF95" s="378"/>
    </row>
    <row r="96" spans="2:32">
      <c r="B96" s="378"/>
      <c r="C96" s="378"/>
      <c r="D96" s="378"/>
      <c r="F96" s="378"/>
      <c r="G96" s="378"/>
      <c r="H96" s="378"/>
      <c r="I96" s="378"/>
      <c r="J96" s="378"/>
      <c r="K96" s="378"/>
      <c r="L96" s="378"/>
      <c r="M96" s="378"/>
      <c r="N96" s="378"/>
      <c r="O96" s="378"/>
      <c r="P96" s="378"/>
      <c r="Q96" s="378"/>
      <c r="R96" s="378"/>
      <c r="S96" s="378"/>
      <c r="T96" s="378"/>
      <c r="U96" s="378"/>
      <c r="V96" s="378"/>
      <c r="W96" s="378"/>
      <c r="X96" s="378"/>
      <c r="Y96" s="378"/>
      <c r="Z96" s="378"/>
      <c r="AA96" s="378"/>
      <c r="AB96" s="378"/>
      <c r="AC96" s="378"/>
      <c r="AD96" s="378"/>
      <c r="AE96" s="378"/>
      <c r="AF96" s="378"/>
    </row>
    <row r="97" spans="2:32">
      <c r="B97" s="378"/>
      <c r="C97" s="378"/>
      <c r="D97" s="378"/>
      <c r="F97" s="378"/>
      <c r="G97" s="378"/>
      <c r="H97" s="378"/>
      <c r="I97" s="378"/>
      <c r="J97" s="378"/>
      <c r="K97" s="378"/>
      <c r="L97" s="378"/>
      <c r="M97" s="378"/>
      <c r="N97" s="378"/>
      <c r="O97" s="378"/>
      <c r="P97" s="378"/>
      <c r="Q97" s="378"/>
      <c r="R97" s="378"/>
      <c r="S97" s="378"/>
      <c r="T97" s="378"/>
      <c r="U97" s="378"/>
      <c r="V97" s="378"/>
      <c r="W97" s="378"/>
      <c r="X97" s="378"/>
      <c r="Y97" s="378"/>
      <c r="Z97" s="378"/>
      <c r="AA97" s="378"/>
      <c r="AB97" s="378"/>
      <c r="AC97" s="378"/>
      <c r="AD97" s="378"/>
      <c r="AE97" s="378"/>
      <c r="AF97" s="378"/>
    </row>
    <row r="98" spans="2:32">
      <c r="B98" s="378"/>
      <c r="C98" s="378"/>
      <c r="D98" s="378"/>
      <c r="F98" s="378"/>
      <c r="G98" s="378"/>
      <c r="H98" s="378"/>
      <c r="I98" s="378"/>
      <c r="J98" s="378"/>
      <c r="K98" s="378"/>
      <c r="L98" s="378"/>
      <c r="M98" s="378"/>
      <c r="N98" s="378"/>
      <c r="O98" s="378"/>
      <c r="P98" s="378"/>
      <c r="Q98" s="378"/>
      <c r="R98" s="378"/>
      <c r="S98" s="378"/>
      <c r="T98" s="378"/>
      <c r="U98" s="378"/>
      <c r="V98" s="378"/>
      <c r="W98" s="378"/>
      <c r="X98" s="378"/>
      <c r="Y98" s="378"/>
      <c r="Z98" s="378"/>
      <c r="AA98" s="378"/>
      <c r="AB98" s="378"/>
      <c r="AC98" s="378"/>
      <c r="AD98" s="378"/>
      <c r="AE98" s="378"/>
      <c r="AF98" s="378"/>
    </row>
    <row r="99" spans="2:32">
      <c r="B99" s="378"/>
      <c r="C99" s="378"/>
      <c r="D99" s="378"/>
      <c r="F99" s="378"/>
      <c r="G99" s="378"/>
      <c r="H99" s="378"/>
      <c r="I99" s="378"/>
      <c r="J99" s="378"/>
      <c r="K99" s="378"/>
      <c r="L99" s="378"/>
      <c r="M99" s="378"/>
      <c r="N99" s="378"/>
      <c r="O99" s="378"/>
      <c r="P99" s="378"/>
      <c r="Q99" s="378"/>
      <c r="R99" s="378"/>
      <c r="S99" s="378"/>
      <c r="T99" s="378"/>
      <c r="U99" s="378"/>
      <c r="V99" s="378"/>
      <c r="W99" s="378"/>
      <c r="X99" s="378"/>
      <c r="Y99" s="378"/>
      <c r="Z99" s="378"/>
      <c r="AA99" s="378"/>
      <c r="AB99" s="378"/>
      <c r="AC99" s="378"/>
      <c r="AD99" s="378"/>
      <c r="AE99" s="378"/>
      <c r="AF99" s="378"/>
    </row>
    <row r="100" spans="2:32">
      <c r="B100" s="378"/>
      <c r="C100" s="378"/>
      <c r="D100" s="378"/>
      <c r="F100" s="378"/>
      <c r="G100" s="378"/>
      <c r="H100" s="378"/>
      <c r="I100" s="378"/>
      <c r="J100" s="378"/>
      <c r="K100" s="378"/>
      <c r="L100" s="378"/>
      <c r="M100" s="378"/>
      <c r="N100" s="378"/>
      <c r="O100" s="378"/>
      <c r="P100" s="378"/>
      <c r="Q100" s="378"/>
      <c r="R100" s="378"/>
      <c r="S100" s="378"/>
      <c r="T100" s="378"/>
      <c r="U100" s="378"/>
      <c r="V100" s="378"/>
      <c r="W100" s="378"/>
      <c r="X100" s="378"/>
      <c r="Y100" s="378"/>
      <c r="Z100" s="378"/>
      <c r="AA100" s="378"/>
      <c r="AB100" s="378"/>
      <c r="AC100" s="378"/>
      <c r="AD100" s="378"/>
      <c r="AE100" s="378"/>
      <c r="AF100" s="378"/>
    </row>
    <row r="101" spans="2:32">
      <c r="B101" s="378"/>
      <c r="C101" s="430"/>
      <c r="D101" s="427"/>
      <c r="F101" s="378"/>
      <c r="G101" s="378"/>
      <c r="H101" s="378"/>
      <c r="I101" s="378"/>
      <c r="J101" s="378"/>
      <c r="K101" s="378"/>
      <c r="L101" s="378"/>
      <c r="M101" s="378"/>
      <c r="N101" s="378"/>
      <c r="O101" s="378"/>
      <c r="P101" s="378"/>
      <c r="Q101" s="378"/>
      <c r="R101" s="426"/>
      <c r="S101" s="427"/>
      <c r="T101" s="428"/>
      <c r="U101" s="429"/>
      <c r="V101" s="378"/>
      <c r="W101" s="378"/>
      <c r="X101" s="378"/>
      <c r="Y101" s="378"/>
      <c r="Z101" s="378"/>
      <c r="AA101" s="378"/>
      <c r="AB101" s="378"/>
      <c r="AC101" s="378"/>
      <c r="AD101" s="378"/>
      <c r="AE101" s="378"/>
      <c r="AF101" s="378"/>
    </row>
    <row r="102" spans="2:32">
      <c r="B102" s="378"/>
      <c r="C102" s="430"/>
      <c r="D102" s="427"/>
      <c r="F102" s="378"/>
      <c r="G102" s="378"/>
      <c r="H102" s="378"/>
      <c r="I102" s="378"/>
      <c r="J102" s="378"/>
      <c r="K102" s="378"/>
      <c r="L102" s="378"/>
      <c r="M102" s="378"/>
      <c r="N102" s="378"/>
      <c r="O102" s="378"/>
      <c r="P102" s="378"/>
      <c r="Q102" s="378"/>
      <c r="R102" s="426"/>
      <c r="S102" s="427"/>
      <c r="T102" s="428"/>
      <c r="U102" s="429"/>
      <c r="V102" s="378"/>
      <c r="W102" s="378"/>
      <c r="X102" s="378"/>
      <c r="Y102" s="378"/>
      <c r="Z102" s="378"/>
      <c r="AA102" s="378"/>
      <c r="AB102" s="378"/>
      <c r="AC102" s="378"/>
      <c r="AD102" s="378"/>
      <c r="AE102" s="378"/>
      <c r="AF102" s="378"/>
    </row>
    <row r="103" spans="2:32">
      <c r="B103" s="378"/>
      <c r="C103" s="430"/>
      <c r="D103" s="427"/>
      <c r="F103" s="378"/>
      <c r="G103" s="378"/>
      <c r="H103" s="378"/>
      <c r="I103" s="378"/>
      <c r="J103" s="378"/>
      <c r="K103" s="378"/>
      <c r="L103" s="378"/>
      <c r="M103" s="378"/>
      <c r="N103" s="378"/>
      <c r="O103" s="378"/>
      <c r="P103" s="378"/>
      <c r="Q103" s="378"/>
      <c r="R103" s="426"/>
      <c r="S103" s="427"/>
      <c r="T103" s="428"/>
      <c r="U103" s="429"/>
      <c r="V103" s="378"/>
      <c r="W103" s="378"/>
      <c r="X103" s="378"/>
      <c r="Y103" s="378"/>
      <c r="Z103" s="378"/>
      <c r="AA103" s="378"/>
      <c r="AB103" s="378"/>
      <c r="AC103" s="378"/>
      <c r="AD103" s="378"/>
      <c r="AE103" s="378"/>
      <c r="AF103" s="378"/>
    </row>
    <row r="104" spans="2:32">
      <c r="B104" s="378"/>
      <c r="C104" s="430"/>
      <c r="D104" s="427"/>
      <c r="F104" s="378"/>
      <c r="G104" s="378"/>
      <c r="H104" s="378"/>
      <c r="I104" s="378"/>
      <c r="J104" s="378"/>
      <c r="K104" s="378"/>
      <c r="L104" s="378"/>
      <c r="M104" s="378"/>
      <c r="N104" s="378"/>
      <c r="O104" s="378"/>
      <c r="P104" s="378"/>
      <c r="Q104" s="378"/>
      <c r="R104" s="426"/>
      <c r="S104" s="427"/>
      <c r="T104" s="428"/>
      <c r="U104" s="429"/>
      <c r="V104" s="378"/>
      <c r="W104" s="378"/>
      <c r="X104" s="378"/>
      <c r="Y104" s="378"/>
      <c r="Z104" s="378"/>
      <c r="AA104" s="378"/>
      <c r="AB104" s="378"/>
      <c r="AC104" s="378"/>
      <c r="AD104" s="378"/>
      <c r="AE104" s="378"/>
      <c r="AF104" s="378"/>
    </row>
    <row r="105" spans="2:32">
      <c r="B105" s="378"/>
      <c r="C105" s="430"/>
      <c r="D105" s="427"/>
      <c r="F105" s="378"/>
      <c r="G105" s="378"/>
      <c r="H105" s="378"/>
      <c r="I105" s="378"/>
      <c r="J105" s="378"/>
      <c r="K105" s="378"/>
      <c r="L105" s="378"/>
      <c r="M105" s="378"/>
      <c r="N105" s="378"/>
      <c r="O105" s="378"/>
      <c r="P105" s="378"/>
      <c r="Q105" s="378"/>
      <c r="R105" s="426"/>
      <c r="S105" s="427"/>
      <c r="T105" s="428"/>
      <c r="U105" s="429"/>
      <c r="V105" s="378"/>
      <c r="W105" s="378"/>
      <c r="X105" s="378"/>
      <c r="Y105" s="378"/>
      <c r="Z105" s="378"/>
      <c r="AA105" s="378"/>
      <c r="AB105" s="378"/>
      <c r="AC105" s="378"/>
      <c r="AD105" s="378"/>
      <c r="AE105" s="378"/>
      <c r="AF105" s="378"/>
    </row>
    <row r="106" spans="2:32">
      <c r="B106" s="378"/>
      <c r="C106" s="430"/>
      <c r="D106" s="427"/>
      <c r="F106" s="378"/>
      <c r="G106" s="378"/>
      <c r="H106" s="378"/>
      <c r="I106" s="378"/>
      <c r="J106" s="378"/>
      <c r="K106" s="378"/>
      <c r="L106" s="378"/>
      <c r="M106" s="378"/>
      <c r="N106" s="378"/>
      <c r="O106" s="378"/>
      <c r="P106" s="378"/>
      <c r="Q106" s="378"/>
      <c r="R106" s="426"/>
      <c r="S106" s="427"/>
      <c r="T106" s="428"/>
      <c r="U106" s="429"/>
      <c r="V106" s="378"/>
      <c r="W106" s="378"/>
      <c r="X106" s="378"/>
      <c r="Y106" s="378"/>
      <c r="Z106" s="378"/>
      <c r="AA106" s="378"/>
      <c r="AB106" s="378"/>
      <c r="AC106" s="378"/>
      <c r="AD106" s="378"/>
      <c r="AE106" s="378"/>
      <c r="AF106" s="378"/>
    </row>
    <row r="107" spans="2:32">
      <c r="B107" s="378"/>
      <c r="C107" s="430"/>
      <c r="D107" s="427"/>
      <c r="F107" s="378"/>
      <c r="G107" s="378"/>
      <c r="H107" s="378"/>
      <c r="I107" s="378"/>
      <c r="J107" s="378"/>
      <c r="K107" s="378"/>
      <c r="L107" s="378"/>
      <c r="M107" s="378"/>
      <c r="N107" s="378"/>
      <c r="O107" s="378"/>
      <c r="P107" s="378"/>
      <c r="Q107" s="378"/>
      <c r="R107" s="426"/>
      <c r="S107" s="427"/>
      <c r="T107" s="428"/>
      <c r="U107" s="429"/>
      <c r="V107" s="378"/>
      <c r="W107" s="378"/>
      <c r="X107" s="378"/>
      <c r="Y107" s="378"/>
      <c r="Z107" s="378"/>
      <c r="AA107" s="378"/>
      <c r="AB107" s="378"/>
      <c r="AC107" s="378"/>
      <c r="AD107" s="378"/>
      <c r="AE107" s="378"/>
      <c r="AF107" s="378"/>
    </row>
    <row r="108" spans="2:32">
      <c r="B108" s="378"/>
      <c r="C108" s="430"/>
      <c r="D108" s="427"/>
      <c r="F108" s="378"/>
      <c r="G108" s="378"/>
      <c r="H108" s="378"/>
      <c r="I108" s="378"/>
      <c r="J108" s="378"/>
      <c r="K108" s="378"/>
      <c r="L108" s="378"/>
      <c r="M108" s="378"/>
      <c r="N108" s="378"/>
      <c r="O108" s="378"/>
      <c r="P108" s="378"/>
      <c r="Q108" s="378"/>
      <c r="R108" s="426"/>
      <c r="S108" s="427"/>
      <c r="T108" s="428"/>
      <c r="U108" s="429"/>
      <c r="V108" s="378"/>
      <c r="W108" s="378"/>
      <c r="X108" s="378"/>
      <c r="Y108" s="378"/>
      <c r="Z108" s="378"/>
      <c r="AA108" s="378"/>
      <c r="AB108" s="378"/>
      <c r="AC108" s="378"/>
      <c r="AD108" s="378"/>
      <c r="AE108" s="378"/>
      <c r="AF108" s="378"/>
    </row>
    <row r="109" spans="2:32">
      <c r="B109" s="378"/>
      <c r="C109" s="430"/>
      <c r="D109" s="427"/>
      <c r="F109" s="378"/>
      <c r="G109" s="378"/>
      <c r="H109" s="378"/>
      <c r="I109" s="378"/>
      <c r="J109" s="378"/>
      <c r="K109" s="378"/>
      <c r="L109" s="378"/>
      <c r="M109" s="378"/>
      <c r="N109" s="378"/>
      <c r="O109" s="378"/>
      <c r="P109" s="378"/>
      <c r="Q109" s="378"/>
      <c r="R109" s="426"/>
      <c r="S109" s="427"/>
      <c r="T109" s="428"/>
      <c r="U109" s="429"/>
      <c r="V109" s="378"/>
      <c r="W109" s="378"/>
      <c r="X109" s="378"/>
      <c r="Y109" s="378"/>
      <c r="Z109" s="378"/>
      <c r="AA109" s="378"/>
      <c r="AB109" s="378"/>
      <c r="AC109" s="378"/>
      <c r="AD109" s="378"/>
      <c r="AE109" s="378"/>
      <c r="AF109" s="378"/>
    </row>
    <row r="110" spans="2:32">
      <c r="B110" s="378"/>
      <c r="C110" s="430"/>
      <c r="D110" s="427"/>
      <c r="F110" s="378"/>
      <c r="G110" s="378"/>
      <c r="H110" s="378"/>
      <c r="I110" s="378"/>
      <c r="J110" s="378"/>
      <c r="K110" s="378"/>
      <c r="L110" s="378"/>
      <c r="M110" s="378"/>
      <c r="N110" s="378"/>
      <c r="O110" s="378"/>
      <c r="P110" s="378"/>
      <c r="Q110" s="378"/>
      <c r="R110" s="426"/>
      <c r="S110" s="427"/>
      <c r="T110" s="428"/>
      <c r="U110" s="429"/>
      <c r="V110" s="378"/>
      <c r="W110" s="378"/>
      <c r="X110" s="378"/>
      <c r="Y110" s="378"/>
      <c r="Z110" s="378"/>
      <c r="AA110" s="378"/>
      <c r="AB110" s="378"/>
      <c r="AC110" s="378"/>
      <c r="AD110" s="378"/>
      <c r="AE110" s="378"/>
      <c r="AF110" s="378"/>
    </row>
    <row r="111" spans="2:32">
      <c r="B111" s="378"/>
      <c r="C111" s="430"/>
      <c r="D111" s="427"/>
      <c r="F111" s="378"/>
      <c r="G111" s="378"/>
      <c r="H111" s="378"/>
      <c r="I111" s="378"/>
      <c r="J111" s="378"/>
      <c r="K111" s="378"/>
      <c r="L111" s="378"/>
      <c r="M111" s="378"/>
      <c r="N111" s="378"/>
      <c r="O111" s="378"/>
      <c r="P111" s="378"/>
      <c r="Q111" s="378"/>
      <c r="R111" s="426"/>
      <c r="S111" s="427"/>
      <c r="T111" s="428"/>
      <c r="U111" s="429"/>
      <c r="V111" s="378"/>
      <c r="W111" s="378"/>
      <c r="X111" s="378"/>
      <c r="Y111" s="378"/>
      <c r="Z111" s="378"/>
      <c r="AA111" s="378"/>
      <c r="AB111" s="378"/>
      <c r="AC111" s="378"/>
      <c r="AD111" s="378"/>
      <c r="AE111" s="378"/>
      <c r="AF111" s="378"/>
    </row>
    <row r="112" spans="2:32">
      <c r="B112" s="378"/>
      <c r="C112" s="430"/>
      <c r="D112" s="427"/>
      <c r="F112" s="378"/>
      <c r="G112" s="378"/>
      <c r="H112" s="378"/>
      <c r="I112" s="378"/>
      <c r="J112" s="378"/>
      <c r="K112" s="378"/>
      <c r="L112" s="378"/>
      <c r="M112" s="378"/>
      <c r="N112" s="378"/>
      <c r="O112" s="378"/>
      <c r="P112" s="378"/>
      <c r="Q112" s="378"/>
      <c r="R112" s="426"/>
      <c r="S112" s="427"/>
      <c r="T112" s="428"/>
      <c r="U112" s="429"/>
      <c r="V112" s="378"/>
      <c r="W112" s="378"/>
      <c r="X112" s="378"/>
      <c r="Y112" s="378"/>
      <c r="Z112" s="378"/>
      <c r="AA112" s="378"/>
      <c r="AB112" s="378"/>
      <c r="AC112" s="378"/>
      <c r="AD112" s="378"/>
      <c r="AE112" s="378"/>
      <c r="AF112" s="378"/>
    </row>
    <row r="113" spans="2:32">
      <c r="B113" s="378"/>
      <c r="C113" s="430"/>
      <c r="D113" s="427"/>
      <c r="F113" s="378"/>
      <c r="G113" s="378"/>
      <c r="H113" s="378"/>
      <c r="I113" s="378"/>
      <c r="J113" s="378"/>
      <c r="K113" s="378"/>
      <c r="L113" s="378"/>
      <c r="M113" s="378"/>
      <c r="N113" s="378"/>
      <c r="O113" s="378"/>
      <c r="P113" s="378"/>
      <c r="Q113" s="378"/>
      <c r="R113" s="426"/>
      <c r="S113" s="427"/>
      <c r="T113" s="428"/>
      <c r="U113" s="429"/>
      <c r="V113" s="378"/>
      <c r="W113" s="378"/>
      <c r="X113" s="378"/>
      <c r="Y113" s="378"/>
      <c r="Z113" s="378"/>
      <c r="AA113" s="378"/>
      <c r="AB113" s="378"/>
      <c r="AC113" s="378"/>
      <c r="AD113" s="378"/>
      <c r="AE113" s="378"/>
      <c r="AF113" s="378"/>
    </row>
    <row r="114" spans="2:32">
      <c r="B114" s="378"/>
      <c r="C114" s="430"/>
      <c r="D114" s="427"/>
      <c r="F114" s="378"/>
      <c r="G114" s="378"/>
      <c r="H114" s="378"/>
      <c r="I114" s="378"/>
      <c r="J114" s="378"/>
      <c r="K114" s="378"/>
      <c r="L114" s="378"/>
      <c r="M114" s="378"/>
      <c r="N114" s="378"/>
      <c r="O114" s="378"/>
      <c r="P114" s="378"/>
      <c r="Q114" s="378"/>
      <c r="R114" s="426"/>
      <c r="S114" s="427"/>
      <c r="T114" s="428"/>
      <c r="U114" s="429"/>
      <c r="V114" s="378"/>
      <c r="W114" s="378"/>
      <c r="X114" s="378"/>
      <c r="Y114" s="378"/>
      <c r="Z114" s="378"/>
      <c r="AA114" s="378"/>
      <c r="AB114" s="378"/>
      <c r="AC114" s="378"/>
      <c r="AD114" s="378"/>
      <c r="AE114" s="378"/>
      <c r="AF114" s="378"/>
    </row>
    <row r="115" spans="2:32">
      <c r="B115" s="378"/>
      <c r="C115" s="430"/>
      <c r="D115" s="427"/>
      <c r="F115" s="378"/>
      <c r="G115" s="378"/>
      <c r="H115" s="378"/>
      <c r="I115" s="378"/>
      <c r="J115" s="378"/>
      <c r="K115" s="378"/>
      <c r="L115" s="378"/>
      <c r="M115" s="378"/>
      <c r="N115" s="378"/>
      <c r="O115" s="378"/>
      <c r="P115" s="378"/>
      <c r="Q115" s="378"/>
      <c r="R115" s="426"/>
      <c r="S115" s="427"/>
      <c r="T115" s="428"/>
      <c r="U115" s="429"/>
      <c r="V115" s="378"/>
      <c r="W115" s="378"/>
      <c r="X115" s="378"/>
      <c r="Y115" s="378"/>
      <c r="Z115" s="378"/>
      <c r="AA115" s="378"/>
      <c r="AB115" s="378"/>
      <c r="AC115" s="378"/>
      <c r="AD115" s="378"/>
      <c r="AE115" s="378"/>
      <c r="AF115" s="378"/>
    </row>
    <row r="116" spans="2:32">
      <c r="B116" s="378"/>
      <c r="C116" s="430"/>
      <c r="D116" s="427"/>
      <c r="F116" s="378"/>
      <c r="G116" s="378"/>
      <c r="H116" s="378"/>
      <c r="I116" s="378"/>
      <c r="J116" s="378"/>
      <c r="K116" s="378"/>
      <c r="L116" s="378"/>
      <c r="M116" s="378"/>
      <c r="N116" s="378"/>
      <c r="O116" s="378"/>
      <c r="P116" s="378"/>
      <c r="Q116" s="378"/>
      <c r="R116" s="426"/>
      <c r="S116" s="427"/>
      <c r="T116" s="428"/>
      <c r="U116" s="429"/>
      <c r="V116" s="378"/>
      <c r="W116" s="378"/>
      <c r="X116" s="378"/>
      <c r="Y116" s="378"/>
      <c r="Z116" s="378"/>
      <c r="AA116" s="378"/>
      <c r="AB116" s="378"/>
      <c r="AC116" s="378"/>
      <c r="AD116" s="378"/>
      <c r="AE116" s="378"/>
      <c r="AF116" s="378"/>
    </row>
    <row r="117" spans="2:32">
      <c r="B117" s="378"/>
      <c r="C117" s="430"/>
      <c r="D117" s="427"/>
      <c r="F117" s="378"/>
      <c r="G117" s="378"/>
      <c r="H117" s="378"/>
      <c r="I117" s="378"/>
      <c r="J117" s="378"/>
      <c r="K117" s="378"/>
      <c r="L117" s="378"/>
      <c r="M117" s="378"/>
      <c r="N117" s="378"/>
      <c r="O117" s="378"/>
      <c r="P117" s="378"/>
      <c r="Q117" s="378"/>
      <c r="R117" s="426"/>
      <c r="S117" s="427"/>
      <c r="T117" s="428"/>
      <c r="U117" s="429"/>
      <c r="V117" s="378"/>
      <c r="W117" s="378"/>
      <c r="X117" s="378"/>
      <c r="Y117" s="378"/>
      <c r="Z117" s="378"/>
      <c r="AA117" s="378"/>
      <c r="AB117" s="378"/>
      <c r="AC117" s="378"/>
      <c r="AD117" s="378"/>
      <c r="AE117" s="378"/>
      <c r="AF117" s="378"/>
    </row>
    <row r="118" spans="2:32">
      <c r="B118" s="378"/>
      <c r="C118" s="430"/>
      <c r="D118" s="427"/>
      <c r="F118" s="378"/>
      <c r="G118" s="378"/>
      <c r="H118" s="378"/>
      <c r="I118" s="378"/>
      <c r="J118" s="378"/>
      <c r="K118" s="378"/>
      <c r="L118" s="378"/>
      <c r="M118" s="378"/>
      <c r="N118" s="378"/>
      <c r="O118" s="378"/>
      <c r="P118" s="378"/>
      <c r="Q118" s="378"/>
      <c r="R118" s="426"/>
      <c r="S118" s="427"/>
      <c r="T118" s="428"/>
      <c r="U118" s="429"/>
      <c r="V118" s="378"/>
      <c r="W118" s="378"/>
      <c r="X118" s="378"/>
      <c r="Y118" s="378"/>
      <c r="Z118" s="378"/>
      <c r="AA118" s="378"/>
      <c r="AB118" s="378"/>
      <c r="AC118" s="378"/>
      <c r="AD118" s="378"/>
      <c r="AE118" s="378"/>
      <c r="AF118" s="378"/>
    </row>
    <row r="119" spans="2:32">
      <c r="B119" s="378"/>
      <c r="C119" s="430"/>
      <c r="D119" s="427"/>
      <c r="F119" s="378"/>
      <c r="G119" s="378"/>
      <c r="H119" s="378"/>
      <c r="I119" s="378"/>
      <c r="J119" s="378"/>
      <c r="K119" s="378"/>
      <c r="L119" s="378"/>
      <c r="M119" s="378"/>
      <c r="N119" s="378"/>
      <c r="O119" s="378"/>
      <c r="P119" s="378"/>
      <c r="Q119" s="378"/>
      <c r="R119" s="426"/>
      <c r="S119" s="427"/>
      <c r="T119" s="428"/>
      <c r="U119" s="429"/>
      <c r="V119" s="378"/>
      <c r="W119" s="378"/>
      <c r="X119" s="378"/>
      <c r="Y119" s="378"/>
      <c r="Z119" s="378"/>
      <c r="AA119" s="378"/>
      <c r="AB119" s="378"/>
      <c r="AC119" s="378"/>
      <c r="AD119" s="378"/>
      <c r="AE119" s="378"/>
      <c r="AF119" s="378"/>
    </row>
    <row r="120" spans="2:32">
      <c r="B120" s="378"/>
      <c r="C120" s="430"/>
      <c r="D120" s="427"/>
      <c r="F120" s="378"/>
      <c r="G120" s="378"/>
      <c r="H120" s="378"/>
      <c r="I120" s="378"/>
      <c r="J120" s="378"/>
      <c r="K120" s="378"/>
      <c r="L120" s="378"/>
      <c r="M120" s="378"/>
      <c r="N120" s="378"/>
      <c r="O120" s="378"/>
      <c r="P120" s="378"/>
      <c r="Q120" s="378"/>
      <c r="R120" s="426"/>
      <c r="S120" s="427"/>
      <c r="T120" s="428"/>
      <c r="U120" s="429"/>
      <c r="V120" s="378"/>
      <c r="W120" s="378"/>
      <c r="X120" s="378"/>
      <c r="Y120" s="378"/>
      <c r="Z120" s="378"/>
      <c r="AA120" s="378"/>
      <c r="AB120" s="378"/>
      <c r="AC120" s="378"/>
      <c r="AD120" s="378"/>
      <c r="AE120" s="378"/>
      <c r="AF120" s="378"/>
    </row>
    <row r="121" spans="2:32">
      <c r="B121" s="378"/>
      <c r="C121" s="430"/>
      <c r="D121" s="427"/>
      <c r="F121" s="378"/>
      <c r="G121" s="378"/>
      <c r="H121" s="378"/>
      <c r="I121" s="378"/>
      <c r="J121" s="378"/>
      <c r="K121" s="378"/>
      <c r="L121" s="378"/>
      <c r="M121" s="378"/>
      <c r="N121" s="378"/>
      <c r="O121" s="378"/>
      <c r="P121" s="378"/>
      <c r="Q121" s="378"/>
      <c r="R121" s="426"/>
      <c r="S121" s="427"/>
      <c r="T121" s="428"/>
      <c r="U121" s="429"/>
      <c r="V121" s="378"/>
      <c r="W121" s="378"/>
      <c r="X121" s="378"/>
      <c r="Y121" s="378"/>
      <c r="Z121" s="378"/>
      <c r="AA121" s="378"/>
      <c r="AB121" s="378"/>
      <c r="AC121" s="378"/>
      <c r="AD121" s="378"/>
      <c r="AE121" s="378"/>
      <c r="AF121" s="378"/>
    </row>
    <row r="122" spans="2:32">
      <c r="B122" s="378"/>
      <c r="C122" s="430"/>
      <c r="D122" s="427"/>
      <c r="F122" s="378"/>
      <c r="G122" s="378"/>
      <c r="H122" s="378"/>
      <c r="I122" s="378"/>
      <c r="J122" s="378"/>
      <c r="K122" s="378"/>
      <c r="L122" s="378"/>
      <c r="M122" s="378"/>
      <c r="N122" s="378"/>
      <c r="O122" s="378"/>
      <c r="P122" s="378"/>
      <c r="Q122" s="378"/>
      <c r="R122" s="426"/>
      <c r="S122" s="427"/>
      <c r="T122" s="428"/>
      <c r="U122" s="429"/>
      <c r="V122" s="378"/>
      <c r="W122" s="378"/>
      <c r="X122" s="378"/>
      <c r="Y122" s="378"/>
      <c r="Z122" s="378"/>
      <c r="AA122" s="378"/>
      <c r="AB122" s="378"/>
      <c r="AC122" s="378"/>
      <c r="AD122" s="378"/>
      <c r="AE122" s="378"/>
      <c r="AF122" s="378"/>
    </row>
    <row r="123" spans="2:32">
      <c r="B123" s="378"/>
      <c r="C123" s="430"/>
      <c r="D123" s="427"/>
      <c r="F123" s="378"/>
      <c r="G123" s="378"/>
      <c r="H123" s="378"/>
      <c r="I123" s="378"/>
      <c r="J123" s="378"/>
      <c r="K123" s="378"/>
      <c r="L123" s="378"/>
      <c r="M123" s="378"/>
      <c r="N123" s="378"/>
      <c r="O123" s="378"/>
      <c r="P123" s="378"/>
      <c r="Q123" s="378"/>
      <c r="R123" s="426"/>
      <c r="S123" s="427"/>
      <c r="T123" s="428"/>
      <c r="U123" s="429"/>
      <c r="V123" s="378"/>
      <c r="W123" s="378"/>
      <c r="X123" s="378"/>
      <c r="Y123" s="378"/>
      <c r="Z123" s="378"/>
      <c r="AA123" s="378"/>
      <c r="AB123" s="378"/>
      <c r="AC123" s="378"/>
      <c r="AD123" s="378"/>
      <c r="AE123" s="378"/>
      <c r="AF123" s="378"/>
    </row>
    <row r="124" spans="2:32">
      <c r="B124" s="378"/>
      <c r="C124" s="430"/>
      <c r="D124" s="427"/>
      <c r="F124" s="378"/>
      <c r="G124" s="378"/>
      <c r="H124" s="378"/>
      <c r="I124" s="378"/>
      <c r="J124" s="378"/>
      <c r="K124" s="378"/>
      <c r="L124" s="378"/>
      <c r="M124" s="378"/>
      <c r="N124" s="378"/>
      <c r="O124" s="378"/>
      <c r="P124" s="378"/>
      <c r="Q124" s="378"/>
      <c r="R124" s="426"/>
      <c r="S124" s="427"/>
      <c r="T124" s="428"/>
      <c r="U124" s="429"/>
      <c r="V124" s="378"/>
      <c r="W124" s="378"/>
      <c r="X124" s="378"/>
      <c r="Y124" s="378"/>
      <c r="Z124" s="378"/>
      <c r="AA124" s="378"/>
      <c r="AB124" s="378"/>
      <c r="AC124" s="378"/>
      <c r="AD124" s="378"/>
      <c r="AE124" s="378"/>
      <c r="AF124" s="378"/>
    </row>
    <row r="125" spans="2:32">
      <c r="B125" s="378"/>
      <c r="C125" s="430"/>
      <c r="D125" s="427"/>
      <c r="F125" s="378"/>
      <c r="G125" s="378"/>
      <c r="H125" s="378"/>
      <c r="I125" s="378"/>
      <c r="J125" s="378"/>
      <c r="K125" s="378"/>
      <c r="L125" s="378"/>
      <c r="M125" s="378"/>
      <c r="N125" s="378"/>
      <c r="O125" s="378"/>
      <c r="P125" s="378"/>
      <c r="Q125" s="378"/>
      <c r="R125" s="426"/>
      <c r="S125" s="427"/>
      <c r="T125" s="428"/>
      <c r="U125" s="429"/>
      <c r="V125" s="378"/>
      <c r="W125" s="378"/>
      <c r="X125" s="378"/>
      <c r="Y125" s="378"/>
      <c r="Z125" s="378"/>
      <c r="AA125" s="378"/>
      <c r="AB125" s="378"/>
      <c r="AC125" s="378"/>
      <c r="AD125" s="378"/>
      <c r="AE125" s="378"/>
      <c r="AF125" s="378"/>
    </row>
    <row r="126" spans="2:32">
      <c r="B126" s="378"/>
      <c r="C126" s="430"/>
      <c r="D126" s="427"/>
      <c r="F126" s="378"/>
      <c r="G126" s="378"/>
      <c r="H126" s="378"/>
      <c r="I126" s="378"/>
      <c r="J126" s="378"/>
      <c r="K126" s="378"/>
      <c r="L126" s="378"/>
      <c r="M126" s="378"/>
      <c r="N126" s="378"/>
      <c r="O126" s="378"/>
      <c r="P126" s="378"/>
      <c r="Q126" s="378"/>
      <c r="R126" s="426"/>
      <c r="S126" s="427"/>
      <c r="T126" s="428"/>
      <c r="U126" s="429"/>
      <c r="V126" s="378"/>
      <c r="W126" s="378"/>
      <c r="X126" s="378"/>
      <c r="Y126" s="378"/>
      <c r="Z126" s="378"/>
      <c r="AA126" s="378"/>
      <c r="AB126" s="378"/>
      <c r="AC126" s="378"/>
      <c r="AD126" s="378"/>
      <c r="AE126" s="378"/>
      <c r="AF126" s="378"/>
    </row>
    <row r="127" spans="2:32">
      <c r="B127" s="378"/>
      <c r="C127" s="430"/>
      <c r="D127" s="427"/>
      <c r="F127" s="378"/>
      <c r="G127" s="378"/>
      <c r="H127" s="378"/>
      <c r="I127" s="378"/>
      <c r="J127" s="378"/>
      <c r="K127" s="378"/>
      <c r="L127" s="378"/>
      <c r="M127" s="378"/>
      <c r="N127" s="378"/>
      <c r="O127" s="378"/>
      <c r="P127" s="378"/>
      <c r="Q127" s="378"/>
      <c r="R127" s="426"/>
      <c r="S127" s="427"/>
      <c r="T127" s="428"/>
      <c r="U127" s="429"/>
      <c r="V127" s="378"/>
      <c r="W127" s="378"/>
      <c r="X127" s="378"/>
      <c r="Y127" s="378"/>
      <c r="Z127" s="378"/>
      <c r="AA127" s="378"/>
      <c r="AB127" s="378"/>
      <c r="AC127" s="378"/>
      <c r="AD127" s="378"/>
      <c r="AE127" s="378"/>
      <c r="AF127" s="378"/>
    </row>
    <row r="128" spans="2:32">
      <c r="B128" s="378"/>
      <c r="C128" s="430"/>
      <c r="D128" s="427"/>
      <c r="F128" s="378"/>
      <c r="G128" s="378"/>
      <c r="H128" s="378"/>
      <c r="I128" s="378"/>
      <c r="J128" s="378"/>
      <c r="K128" s="378"/>
      <c r="L128" s="378"/>
      <c r="M128" s="378"/>
      <c r="N128" s="378"/>
      <c r="O128" s="378"/>
      <c r="P128" s="378"/>
      <c r="Q128" s="378"/>
      <c r="R128" s="426"/>
      <c r="S128" s="427"/>
      <c r="T128" s="428"/>
      <c r="U128" s="429"/>
      <c r="V128" s="378"/>
      <c r="W128" s="378"/>
      <c r="X128" s="378"/>
      <c r="Y128" s="378"/>
      <c r="Z128" s="378"/>
      <c r="AA128" s="378"/>
      <c r="AB128" s="378"/>
      <c r="AC128" s="378"/>
      <c r="AD128" s="378"/>
      <c r="AE128" s="378"/>
      <c r="AF128" s="378"/>
    </row>
    <row r="129" spans="2:32">
      <c r="B129" s="378"/>
      <c r="C129" s="430"/>
      <c r="D129" s="427"/>
      <c r="F129" s="378"/>
      <c r="G129" s="378"/>
      <c r="H129" s="378"/>
      <c r="I129" s="378"/>
      <c r="J129" s="378"/>
      <c r="K129" s="378"/>
      <c r="L129" s="378"/>
      <c r="M129" s="378"/>
      <c r="N129" s="378"/>
      <c r="O129" s="378"/>
      <c r="P129" s="378"/>
      <c r="Q129" s="378"/>
      <c r="R129" s="426"/>
      <c r="S129" s="427"/>
      <c r="T129" s="428"/>
      <c r="U129" s="429"/>
      <c r="V129" s="378"/>
      <c r="W129" s="378"/>
      <c r="X129" s="378"/>
      <c r="Y129" s="378"/>
      <c r="Z129" s="378"/>
      <c r="AA129" s="378"/>
      <c r="AB129" s="378"/>
      <c r="AC129" s="378"/>
      <c r="AD129" s="378"/>
      <c r="AE129" s="378"/>
      <c r="AF129" s="378"/>
    </row>
    <row r="130" spans="2:32">
      <c r="B130" s="378"/>
      <c r="C130" s="430"/>
      <c r="D130" s="427"/>
      <c r="F130" s="378"/>
      <c r="G130" s="378"/>
      <c r="H130" s="378"/>
      <c r="I130" s="378"/>
      <c r="J130" s="378"/>
      <c r="K130" s="378"/>
      <c r="L130" s="378"/>
      <c r="M130" s="378"/>
      <c r="N130" s="378"/>
      <c r="O130" s="378"/>
      <c r="P130" s="378"/>
      <c r="Q130" s="378"/>
      <c r="R130" s="426"/>
      <c r="S130" s="427"/>
      <c r="T130" s="428"/>
      <c r="U130" s="429"/>
      <c r="V130" s="378"/>
      <c r="W130" s="378"/>
      <c r="X130" s="378"/>
      <c r="Y130" s="378"/>
      <c r="Z130" s="378"/>
      <c r="AA130" s="378"/>
      <c r="AB130" s="378"/>
      <c r="AC130" s="378"/>
      <c r="AD130" s="378"/>
      <c r="AE130" s="378"/>
      <c r="AF130" s="378"/>
    </row>
    <row r="131" spans="2:32">
      <c r="B131" s="378"/>
      <c r="C131" s="430"/>
      <c r="D131" s="427"/>
      <c r="F131" s="378"/>
      <c r="G131" s="378"/>
      <c r="H131" s="378"/>
      <c r="I131" s="378"/>
      <c r="J131" s="378"/>
      <c r="K131" s="378"/>
      <c r="L131" s="378"/>
      <c r="M131" s="378"/>
      <c r="N131" s="378"/>
      <c r="O131" s="378"/>
      <c r="P131" s="378"/>
      <c r="Q131" s="378"/>
      <c r="R131" s="426"/>
      <c r="S131" s="427"/>
      <c r="T131" s="428"/>
      <c r="U131" s="429"/>
      <c r="V131" s="378"/>
      <c r="W131" s="378"/>
      <c r="X131" s="378"/>
      <c r="Y131" s="378"/>
      <c r="Z131" s="378"/>
      <c r="AA131" s="378"/>
      <c r="AB131" s="378"/>
      <c r="AC131" s="378"/>
      <c r="AD131" s="378"/>
      <c r="AE131" s="378"/>
      <c r="AF131" s="378"/>
    </row>
    <row r="132" spans="2:32">
      <c r="B132" s="378"/>
      <c r="C132" s="430"/>
      <c r="D132" s="427"/>
      <c r="F132" s="378"/>
      <c r="G132" s="378"/>
      <c r="H132" s="378"/>
      <c r="I132" s="378"/>
      <c r="J132" s="378"/>
      <c r="K132" s="378"/>
      <c r="L132" s="378"/>
      <c r="M132" s="378"/>
      <c r="N132" s="378"/>
      <c r="O132" s="378"/>
      <c r="P132" s="378"/>
      <c r="Q132" s="378"/>
      <c r="R132" s="426"/>
      <c r="S132" s="427"/>
      <c r="T132" s="428"/>
      <c r="U132" s="429"/>
      <c r="V132" s="378"/>
      <c r="W132" s="378"/>
      <c r="X132" s="378"/>
      <c r="Y132" s="378"/>
      <c r="Z132" s="378"/>
      <c r="AA132" s="378"/>
      <c r="AB132" s="378"/>
      <c r="AC132" s="378"/>
      <c r="AD132" s="378"/>
      <c r="AE132" s="378"/>
      <c r="AF132" s="378"/>
    </row>
    <row r="133" spans="2:32">
      <c r="B133" s="378"/>
      <c r="C133" s="430"/>
      <c r="D133" s="427"/>
      <c r="F133" s="378"/>
      <c r="G133" s="378"/>
      <c r="H133" s="378"/>
      <c r="I133" s="378"/>
      <c r="J133" s="378"/>
      <c r="K133" s="378"/>
      <c r="L133" s="378"/>
      <c r="M133" s="378"/>
      <c r="N133" s="378"/>
      <c r="O133" s="378"/>
      <c r="P133" s="378"/>
      <c r="Q133" s="378"/>
      <c r="R133" s="426"/>
      <c r="S133" s="427"/>
      <c r="T133" s="428"/>
      <c r="U133" s="429"/>
      <c r="V133" s="378"/>
      <c r="W133" s="378"/>
      <c r="X133" s="378"/>
      <c r="Y133" s="378"/>
      <c r="Z133" s="378"/>
      <c r="AA133" s="378"/>
      <c r="AB133" s="378"/>
      <c r="AC133" s="378"/>
      <c r="AD133" s="378"/>
      <c r="AE133" s="378"/>
      <c r="AF133" s="378"/>
    </row>
    <row r="134" spans="2:32">
      <c r="B134" s="378"/>
      <c r="C134" s="430"/>
      <c r="D134" s="427"/>
      <c r="F134" s="378"/>
      <c r="G134" s="378"/>
      <c r="H134" s="378"/>
      <c r="I134" s="378"/>
      <c r="J134" s="378"/>
      <c r="K134" s="378"/>
      <c r="L134" s="378"/>
      <c r="M134" s="378"/>
      <c r="N134" s="378"/>
      <c r="O134" s="378"/>
      <c r="P134" s="378"/>
      <c r="Q134" s="378"/>
      <c r="R134" s="426"/>
      <c r="S134" s="427"/>
      <c r="T134" s="428"/>
      <c r="U134" s="429"/>
      <c r="V134" s="378"/>
      <c r="W134" s="378"/>
      <c r="X134" s="378"/>
      <c r="Y134" s="378"/>
      <c r="Z134" s="378"/>
      <c r="AA134" s="378"/>
      <c r="AB134" s="378"/>
      <c r="AC134" s="378"/>
      <c r="AD134" s="378"/>
      <c r="AE134" s="378"/>
      <c r="AF134" s="378"/>
    </row>
    <row r="135" spans="2:32">
      <c r="B135" s="378"/>
      <c r="C135" s="430"/>
      <c r="D135" s="427"/>
      <c r="F135" s="378"/>
      <c r="G135" s="378"/>
      <c r="H135" s="378"/>
      <c r="I135" s="378"/>
      <c r="J135" s="378"/>
      <c r="K135" s="378"/>
      <c r="L135" s="378"/>
      <c r="M135" s="378"/>
      <c r="N135" s="378"/>
      <c r="O135" s="378"/>
      <c r="P135" s="378"/>
      <c r="Q135" s="378"/>
      <c r="R135" s="426"/>
      <c r="S135" s="427"/>
      <c r="T135" s="428"/>
      <c r="U135" s="429"/>
      <c r="V135" s="378"/>
      <c r="W135" s="378"/>
      <c r="X135" s="378"/>
      <c r="Y135" s="378"/>
      <c r="Z135" s="378"/>
      <c r="AA135" s="378"/>
      <c r="AB135" s="378"/>
      <c r="AC135" s="378"/>
      <c r="AD135" s="378"/>
      <c r="AE135" s="378"/>
      <c r="AF135" s="378"/>
    </row>
    <row r="136" spans="2:32">
      <c r="B136" s="378"/>
      <c r="C136" s="430"/>
      <c r="D136" s="427"/>
      <c r="F136" s="378"/>
      <c r="G136" s="378"/>
      <c r="H136" s="378"/>
      <c r="I136" s="378"/>
      <c r="J136" s="378"/>
      <c r="K136" s="378"/>
      <c r="L136" s="378"/>
      <c r="M136" s="378"/>
      <c r="N136" s="378"/>
      <c r="O136" s="378"/>
      <c r="P136" s="378"/>
      <c r="Q136" s="378"/>
      <c r="R136" s="426"/>
      <c r="S136" s="427"/>
      <c r="T136" s="428"/>
      <c r="U136" s="429"/>
      <c r="V136" s="378"/>
      <c r="W136" s="378"/>
      <c r="X136" s="378"/>
      <c r="Y136" s="378"/>
      <c r="Z136" s="378"/>
      <c r="AA136" s="378"/>
      <c r="AB136" s="378"/>
      <c r="AC136" s="378"/>
      <c r="AD136" s="378"/>
      <c r="AE136" s="378"/>
      <c r="AF136" s="378"/>
    </row>
    <row r="137" spans="2:32">
      <c r="B137" s="378"/>
      <c r="C137" s="430"/>
      <c r="D137" s="427"/>
      <c r="F137" s="378"/>
      <c r="G137" s="378"/>
      <c r="H137" s="378"/>
      <c r="I137" s="378"/>
      <c r="J137" s="378"/>
      <c r="K137" s="378"/>
      <c r="L137" s="378"/>
      <c r="M137" s="378"/>
      <c r="N137" s="378"/>
      <c r="O137" s="378"/>
      <c r="P137" s="378"/>
      <c r="Q137" s="378"/>
      <c r="R137" s="426"/>
      <c r="S137" s="427"/>
      <c r="T137" s="428"/>
      <c r="U137" s="429"/>
      <c r="V137" s="378"/>
      <c r="W137" s="378"/>
      <c r="X137" s="378"/>
      <c r="Y137" s="378"/>
      <c r="Z137" s="378"/>
      <c r="AA137" s="378"/>
      <c r="AB137" s="378"/>
      <c r="AC137" s="378"/>
      <c r="AD137" s="378"/>
      <c r="AE137" s="378"/>
      <c r="AF137" s="378"/>
    </row>
    <row r="138" spans="2:32">
      <c r="B138" s="378"/>
      <c r="C138" s="430"/>
      <c r="D138" s="427"/>
      <c r="F138" s="378"/>
      <c r="G138" s="378"/>
      <c r="H138" s="378"/>
      <c r="I138" s="378"/>
      <c r="J138" s="378"/>
      <c r="K138" s="378"/>
      <c r="L138" s="378"/>
      <c r="M138" s="378"/>
      <c r="N138" s="378"/>
      <c r="O138" s="378"/>
      <c r="P138" s="378"/>
      <c r="Q138" s="378"/>
      <c r="R138" s="426"/>
      <c r="S138" s="427"/>
      <c r="T138" s="428"/>
      <c r="U138" s="429"/>
      <c r="V138" s="378"/>
      <c r="W138" s="378"/>
      <c r="X138" s="378"/>
      <c r="Y138" s="378"/>
      <c r="Z138" s="378"/>
      <c r="AA138" s="378"/>
      <c r="AB138" s="378"/>
      <c r="AC138" s="378"/>
      <c r="AD138" s="378"/>
      <c r="AE138" s="378"/>
      <c r="AF138" s="378"/>
    </row>
    <row r="139" spans="2:32">
      <c r="B139" s="378"/>
      <c r="C139" s="430"/>
      <c r="D139" s="427"/>
      <c r="F139" s="378"/>
      <c r="G139" s="378"/>
      <c r="H139" s="378"/>
      <c r="I139" s="378"/>
      <c r="J139" s="378"/>
      <c r="K139" s="378"/>
      <c r="L139" s="378"/>
      <c r="M139" s="378"/>
      <c r="N139" s="378"/>
      <c r="O139" s="378"/>
      <c r="P139" s="378"/>
      <c r="Q139" s="378"/>
      <c r="R139" s="426"/>
      <c r="S139" s="427"/>
      <c r="T139" s="428"/>
      <c r="U139" s="429"/>
      <c r="V139" s="378"/>
      <c r="W139" s="378"/>
      <c r="X139" s="378"/>
      <c r="Y139" s="378"/>
      <c r="Z139" s="378"/>
      <c r="AA139" s="378"/>
      <c r="AB139" s="378"/>
      <c r="AC139" s="378"/>
      <c r="AD139" s="378"/>
      <c r="AE139" s="378"/>
      <c r="AF139" s="378"/>
    </row>
    <row r="140" spans="2:32">
      <c r="B140" s="378"/>
      <c r="C140" s="430"/>
      <c r="D140" s="427"/>
      <c r="F140" s="378"/>
      <c r="G140" s="378"/>
      <c r="H140" s="378"/>
      <c r="I140" s="378"/>
      <c r="J140" s="378"/>
      <c r="K140" s="378"/>
      <c r="L140" s="378"/>
      <c r="M140" s="378"/>
      <c r="N140" s="378"/>
      <c r="O140" s="378"/>
      <c r="P140" s="378"/>
      <c r="Q140" s="378"/>
      <c r="R140" s="426"/>
      <c r="S140" s="427"/>
      <c r="T140" s="428"/>
      <c r="U140" s="429"/>
      <c r="V140" s="378"/>
      <c r="W140" s="378"/>
      <c r="X140" s="378"/>
      <c r="Y140" s="378"/>
      <c r="Z140" s="378"/>
      <c r="AA140" s="378"/>
      <c r="AB140" s="378"/>
      <c r="AC140" s="378"/>
      <c r="AD140" s="378"/>
      <c r="AE140" s="378"/>
      <c r="AF140" s="378"/>
    </row>
    <row r="141" spans="2:32">
      <c r="B141" s="378"/>
      <c r="C141" s="430"/>
      <c r="D141" s="427"/>
      <c r="F141" s="378"/>
      <c r="G141" s="378"/>
      <c r="H141" s="378"/>
      <c r="I141" s="378"/>
      <c r="J141" s="378"/>
      <c r="K141" s="378"/>
      <c r="L141" s="378"/>
      <c r="M141" s="378"/>
      <c r="N141" s="378"/>
      <c r="O141" s="378"/>
      <c r="P141" s="378"/>
      <c r="Q141" s="378"/>
      <c r="R141" s="426"/>
      <c r="S141" s="427"/>
      <c r="T141" s="428"/>
      <c r="U141" s="429"/>
      <c r="V141" s="378"/>
      <c r="W141" s="378"/>
      <c r="X141" s="378"/>
      <c r="Y141" s="378"/>
      <c r="Z141" s="378"/>
      <c r="AA141" s="378"/>
      <c r="AB141" s="378"/>
      <c r="AC141" s="378"/>
      <c r="AD141" s="378"/>
      <c r="AE141" s="378"/>
      <c r="AF141" s="378"/>
    </row>
    <row r="142" spans="2:32">
      <c r="B142" s="378"/>
      <c r="C142" s="430"/>
      <c r="D142" s="427"/>
      <c r="F142" s="378"/>
      <c r="G142" s="378"/>
      <c r="H142" s="378"/>
      <c r="I142" s="378"/>
      <c r="J142" s="378"/>
      <c r="K142" s="378"/>
      <c r="L142" s="378"/>
      <c r="M142" s="378"/>
      <c r="N142" s="378"/>
      <c r="O142" s="378"/>
      <c r="P142" s="378"/>
      <c r="Q142" s="378"/>
      <c r="R142" s="426"/>
      <c r="S142" s="427"/>
      <c r="T142" s="428"/>
      <c r="U142" s="429"/>
      <c r="V142" s="378"/>
      <c r="W142" s="378"/>
      <c r="X142" s="378"/>
      <c r="Y142" s="378"/>
      <c r="Z142" s="378"/>
      <c r="AA142" s="378"/>
      <c r="AB142" s="378"/>
      <c r="AC142" s="378"/>
      <c r="AD142" s="378"/>
      <c r="AE142" s="378"/>
      <c r="AF142" s="378"/>
    </row>
    <row r="143" spans="2:32">
      <c r="B143" s="378"/>
      <c r="C143" s="430"/>
      <c r="D143" s="427"/>
      <c r="F143" s="378"/>
      <c r="G143" s="378"/>
      <c r="H143" s="378"/>
      <c r="I143" s="378"/>
      <c r="J143" s="378"/>
      <c r="K143" s="378"/>
      <c r="L143" s="378"/>
      <c r="M143" s="378"/>
      <c r="N143" s="378"/>
      <c r="O143" s="378"/>
      <c r="P143" s="378"/>
      <c r="Q143" s="378"/>
      <c r="R143" s="426"/>
      <c r="S143" s="427"/>
      <c r="T143" s="428"/>
      <c r="U143" s="429"/>
      <c r="V143" s="378"/>
      <c r="W143" s="378"/>
      <c r="X143" s="378"/>
      <c r="Y143" s="378"/>
      <c r="Z143" s="378"/>
      <c r="AA143" s="378"/>
      <c r="AB143" s="378"/>
      <c r="AC143" s="378"/>
      <c r="AD143" s="378"/>
      <c r="AE143" s="378"/>
      <c r="AF143" s="378"/>
    </row>
    <row r="144" spans="2:32">
      <c r="B144" s="378"/>
      <c r="C144" s="430"/>
      <c r="D144" s="427"/>
      <c r="F144" s="378"/>
      <c r="G144" s="378"/>
      <c r="H144" s="378"/>
      <c r="I144" s="378"/>
      <c r="J144" s="378"/>
      <c r="K144" s="378"/>
      <c r="L144" s="378"/>
      <c r="M144" s="378"/>
      <c r="N144" s="378"/>
      <c r="O144" s="378"/>
      <c r="P144" s="378"/>
      <c r="Q144" s="378"/>
      <c r="R144" s="426"/>
      <c r="S144" s="427"/>
      <c r="T144" s="428"/>
      <c r="U144" s="429"/>
      <c r="V144" s="378"/>
      <c r="W144" s="378"/>
      <c r="X144" s="378"/>
      <c r="Y144" s="378"/>
      <c r="Z144" s="378"/>
      <c r="AA144" s="378"/>
      <c r="AB144" s="378"/>
      <c r="AC144" s="378"/>
      <c r="AD144" s="378"/>
      <c r="AE144" s="378"/>
      <c r="AF144" s="378"/>
    </row>
    <row r="145" spans="2:32">
      <c r="B145" s="378"/>
      <c r="C145" s="430"/>
      <c r="D145" s="427"/>
      <c r="F145" s="378"/>
      <c r="G145" s="378"/>
      <c r="H145" s="378"/>
      <c r="I145" s="378"/>
      <c r="J145" s="378"/>
      <c r="K145" s="378"/>
      <c r="L145" s="378"/>
      <c r="M145" s="378"/>
      <c r="N145" s="378"/>
      <c r="O145" s="378"/>
      <c r="P145" s="378"/>
      <c r="Q145" s="378"/>
      <c r="R145" s="426"/>
      <c r="S145" s="427"/>
      <c r="T145" s="428"/>
      <c r="U145" s="429"/>
      <c r="V145" s="378"/>
      <c r="W145" s="378"/>
      <c r="X145" s="378"/>
      <c r="Y145" s="378"/>
      <c r="Z145" s="378"/>
      <c r="AA145" s="378"/>
      <c r="AB145" s="378"/>
      <c r="AC145" s="378"/>
      <c r="AD145" s="378"/>
      <c r="AE145" s="378"/>
      <c r="AF145" s="378"/>
    </row>
    <row r="146" spans="2:32">
      <c r="B146" s="378"/>
      <c r="C146" s="430"/>
      <c r="D146" s="427"/>
      <c r="F146" s="378"/>
      <c r="G146" s="378"/>
      <c r="H146" s="378"/>
      <c r="I146" s="378"/>
      <c r="J146" s="378"/>
      <c r="K146" s="378"/>
      <c r="L146" s="378"/>
      <c r="M146" s="378"/>
      <c r="N146" s="378"/>
      <c r="O146" s="378"/>
      <c r="P146" s="378"/>
      <c r="Q146" s="378"/>
      <c r="R146" s="426"/>
      <c r="S146" s="427"/>
      <c r="T146" s="428"/>
      <c r="U146" s="429"/>
      <c r="V146" s="378"/>
      <c r="W146" s="378"/>
      <c r="X146" s="378"/>
      <c r="Y146" s="378"/>
      <c r="Z146" s="378"/>
      <c r="AA146" s="378"/>
      <c r="AB146" s="378"/>
      <c r="AC146" s="378"/>
      <c r="AD146" s="378"/>
      <c r="AE146" s="378"/>
      <c r="AF146" s="378"/>
    </row>
    <row r="147" spans="2:32">
      <c r="B147" s="378"/>
      <c r="C147" s="430"/>
      <c r="D147" s="427"/>
      <c r="F147" s="378"/>
      <c r="G147" s="378"/>
      <c r="H147" s="378"/>
      <c r="I147" s="378"/>
      <c r="J147" s="378"/>
      <c r="K147" s="378"/>
      <c r="L147" s="378"/>
      <c r="M147" s="378"/>
      <c r="N147" s="378"/>
      <c r="O147" s="378"/>
      <c r="P147" s="378"/>
      <c r="Q147" s="378"/>
      <c r="R147" s="426"/>
      <c r="S147" s="427"/>
      <c r="T147" s="428"/>
      <c r="U147" s="429"/>
      <c r="V147" s="378"/>
      <c r="W147" s="378"/>
      <c r="X147" s="378"/>
      <c r="Y147" s="378"/>
      <c r="Z147" s="378"/>
      <c r="AA147" s="378"/>
      <c r="AB147" s="378"/>
      <c r="AC147" s="378"/>
      <c r="AD147" s="378"/>
      <c r="AE147" s="378"/>
      <c r="AF147" s="378"/>
    </row>
    <row r="148" spans="2:32">
      <c r="B148" s="378"/>
      <c r="C148" s="430"/>
      <c r="D148" s="427"/>
      <c r="F148" s="378"/>
      <c r="G148" s="378"/>
      <c r="H148" s="378"/>
      <c r="I148" s="378"/>
      <c r="J148" s="378"/>
      <c r="K148" s="378"/>
      <c r="L148" s="378"/>
      <c r="M148" s="378"/>
      <c r="N148" s="378"/>
      <c r="O148" s="378"/>
      <c r="P148" s="378"/>
      <c r="Q148" s="378"/>
      <c r="R148" s="426"/>
      <c r="S148" s="427"/>
      <c r="T148" s="428"/>
      <c r="U148" s="429"/>
      <c r="V148" s="378"/>
      <c r="W148" s="378"/>
      <c r="X148" s="378"/>
      <c r="Y148" s="378"/>
      <c r="Z148" s="378"/>
      <c r="AA148" s="378"/>
      <c r="AB148" s="378"/>
      <c r="AC148" s="378"/>
      <c r="AD148" s="378"/>
      <c r="AE148" s="378"/>
      <c r="AF148" s="378"/>
    </row>
    <row r="149" spans="2:32">
      <c r="B149" s="378"/>
      <c r="C149" s="430"/>
      <c r="D149" s="427"/>
      <c r="F149" s="378"/>
      <c r="G149" s="378"/>
      <c r="H149" s="378"/>
      <c r="I149" s="378"/>
      <c r="J149" s="378"/>
      <c r="K149" s="378"/>
      <c r="L149" s="378"/>
      <c r="M149" s="378"/>
      <c r="N149" s="378"/>
      <c r="O149" s="378"/>
      <c r="P149" s="378"/>
      <c r="Q149" s="378"/>
      <c r="R149" s="426"/>
      <c r="S149" s="427"/>
      <c r="T149" s="428"/>
      <c r="U149" s="429"/>
      <c r="V149" s="378"/>
      <c r="W149" s="378"/>
      <c r="X149" s="378"/>
      <c r="Y149" s="378"/>
      <c r="Z149" s="378"/>
      <c r="AA149" s="378"/>
      <c r="AB149" s="378"/>
      <c r="AC149" s="378"/>
      <c r="AD149" s="378"/>
      <c r="AE149" s="378"/>
      <c r="AF149" s="378"/>
    </row>
    <row r="150" spans="2:32">
      <c r="B150" s="378"/>
      <c r="C150" s="430"/>
      <c r="D150" s="427"/>
      <c r="F150" s="378"/>
      <c r="G150" s="378"/>
      <c r="H150" s="378"/>
      <c r="I150" s="378"/>
      <c r="J150" s="378"/>
      <c r="K150" s="378"/>
      <c r="L150" s="378"/>
      <c r="M150" s="378"/>
      <c r="N150" s="378"/>
      <c r="O150" s="378"/>
      <c r="P150" s="378"/>
      <c r="Q150" s="378"/>
      <c r="R150" s="426"/>
      <c r="S150" s="427"/>
      <c r="T150" s="428"/>
      <c r="U150" s="429"/>
      <c r="V150" s="378"/>
      <c r="W150" s="378"/>
      <c r="X150" s="378"/>
      <c r="Y150" s="378"/>
      <c r="Z150" s="378"/>
      <c r="AA150" s="378"/>
      <c r="AB150" s="378"/>
      <c r="AC150" s="378"/>
      <c r="AD150" s="378"/>
      <c r="AE150" s="378"/>
      <c r="AF150" s="378"/>
    </row>
    <row r="151" spans="2:32">
      <c r="B151" s="378"/>
      <c r="C151" s="430"/>
      <c r="D151" s="427"/>
      <c r="F151" s="378"/>
      <c r="G151" s="378"/>
      <c r="H151" s="378"/>
      <c r="I151" s="378"/>
      <c r="J151" s="378"/>
      <c r="K151" s="378"/>
      <c r="L151" s="378"/>
      <c r="M151" s="378"/>
      <c r="N151" s="378"/>
      <c r="O151" s="378"/>
      <c r="P151" s="378"/>
      <c r="Q151" s="378"/>
      <c r="R151" s="426"/>
      <c r="S151" s="427"/>
      <c r="T151" s="428"/>
      <c r="U151" s="429"/>
      <c r="V151" s="378"/>
      <c r="W151" s="378"/>
      <c r="X151" s="378"/>
      <c r="Y151" s="378"/>
      <c r="Z151" s="378"/>
      <c r="AA151" s="378"/>
      <c r="AB151" s="378"/>
      <c r="AC151" s="378"/>
      <c r="AD151" s="378"/>
      <c r="AE151" s="378"/>
      <c r="AF151" s="378"/>
    </row>
    <row r="152" spans="2:32">
      <c r="B152" s="378"/>
      <c r="C152" s="430"/>
      <c r="D152" s="427"/>
      <c r="F152" s="378"/>
      <c r="G152" s="378"/>
      <c r="H152" s="378"/>
      <c r="I152" s="378"/>
      <c r="J152" s="378"/>
      <c r="K152" s="378"/>
      <c r="L152" s="378"/>
      <c r="M152" s="378"/>
      <c r="N152" s="378"/>
      <c r="O152" s="378"/>
      <c r="P152" s="378"/>
      <c r="Q152" s="378"/>
      <c r="R152" s="426"/>
      <c r="S152" s="427"/>
      <c r="T152" s="428"/>
      <c r="U152" s="429"/>
      <c r="V152" s="378"/>
      <c r="W152" s="378"/>
      <c r="X152" s="378"/>
      <c r="Y152" s="378"/>
      <c r="Z152" s="378"/>
      <c r="AA152" s="378"/>
      <c r="AB152" s="378"/>
      <c r="AC152" s="378"/>
      <c r="AD152" s="378"/>
      <c r="AE152" s="378"/>
      <c r="AF152" s="378"/>
    </row>
    <row r="153" spans="2:32">
      <c r="B153" s="378"/>
      <c r="C153" s="430"/>
      <c r="D153" s="427"/>
      <c r="F153" s="378"/>
      <c r="G153" s="378"/>
      <c r="H153" s="378"/>
      <c r="I153" s="378"/>
      <c r="J153" s="378"/>
      <c r="K153" s="378"/>
      <c r="L153" s="378"/>
      <c r="M153" s="378"/>
      <c r="N153" s="378"/>
      <c r="O153" s="378"/>
      <c r="P153" s="378"/>
      <c r="Q153" s="378"/>
      <c r="R153" s="426"/>
      <c r="S153" s="427"/>
      <c r="T153" s="428"/>
      <c r="U153" s="429"/>
      <c r="V153" s="378"/>
      <c r="W153" s="378"/>
      <c r="X153" s="378"/>
      <c r="Y153" s="378"/>
      <c r="Z153" s="378"/>
      <c r="AA153" s="378"/>
      <c r="AB153" s="378"/>
      <c r="AC153" s="378"/>
      <c r="AD153" s="378"/>
      <c r="AE153" s="378"/>
      <c r="AF153" s="378"/>
    </row>
    <row r="154" spans="2:32">
      <c r="B154" s="378"/>
      <c r="C154" s="430"/>
      <c r="D154" s="427"/>
      <c r="F154" s="378"/>
      <c r="G154" s="378"/>
      <c r="H154" s="378"/>
      <c r="I154" s="378"/>
      <c r="J154" s="378"/>
      <c r="K154" s="378"/>
      <c r="L154" s="378"/>
      <c r="M154" s="378"/>
      <c r="N154" s="378"/>
      <c r="O154" s="378"/>
      <c r="P154" s="378"/>
      <c r="Q154" s="378"/>
      <c r="R154" s="426"/>
      <c r="S154" s="427"/>
      <c r="T154" s="428"/>
      <c r="U154" s="429"/>
      <c r="V154" s="378"/>
      <c r="W154" s="378"/>
      <c r="X154" s="378"/>
      <c r="Y154" s="378"/>
      <c r="Z154" s="378"/>
      <c r="AA154" s="378"/>
      <c r="AB154" s="378"/>
      <c r="AC154" s="378"/>
      <c r="AD154" s="378"/>
      <c r="AE154" s="378"/>
      <c r="AF154" s="378"/>
    </row>
    <row r="155" spans="2:32">
      <c r="B155" s="378"/>
      <c r="C155" s="430"/>
      <c r="D155" s="427"/>
      <c r="F155" s="378"/>
      <c r="G155" s="378"/>
      <c r="H155" s="378"/>
      <c r="I155" s="378"/>
      <c r="J155" s="378"/>
      <c r="K155" s="378"/>
      <c r="L155" s="378"/>
      <c r="M155" s="378"/>
      <c r="N155" s="378"/>
      <c r="O155" s="378"/>
      <c r="P155" s="378"/>
      <c r="Q155" s="378"/>
      <c r="R155" s="426"/>
      <c r="S155" s="427"/>
      <c r="T155" s="428"/>
      <c r="U155" s="429"/>
      <c r="V155" s="378"/>
      <c r="W155" s="378"/>
      <c r="X155" s="378"/>
      <c r="Y155" s="378"/>
      <c r="Z155" s="378"/>
      <c r="AA155" s="378"/>
      <c r="AB155" s="378"/>
      <c r="AC155" s="378"/>
      <c r="AD155" s="378"/>
      <c r="AE155" s="378"/>
      <c r="AF155" s="378"/>
    </row>
    <row r="156" spans="2:32">
      <c r="B156" s="378"/>
      <c r="C156" s="430"/>
      <c r="D156" s="427"/>
      <c r="F156" s="378"/>
      <c r="G156" s="378"/>
      <c r="H156" s="378"/>
      <c r="I156" s="378"/>
      <c r="J156" s="378"/>
      <c r="K156" s="378"/>
      <c r="L156" s="378"/>
      <c r="M156" s="378"/>
      <c r="N156" s="378"/>
      <c r="O156" s="378"/>
      <c r="P156" s="378"/>
      <c r="Q156" s="378"/>
      <c r="R156" s="426"/>
      <c r="S156" s="427"/>
      <c r="T156" s="428"/>
      <c r="U156" s="429"/>
      <c r="V156" s="378"/>
      <c r="W156" s="378"/>
      <c r="X156" s="378"/>
      <c r="Y156" s="378"/>
      <c r="Z156" s="378"/>
      <c r="AA156" s="378"/>
      <c r="AB156" s="378"/>
      <c r="AC156" s="378"/>
      <c r="AD156" s="378"/>
      <c r="AE156" s="378"/>
      <c r="AF156" s="378"/>
    </row>
    <row r="157" spans="2:32">
      <c r="B157" s="378"/>
      <c r="C157" s="430"/>
      <c r="D157" s="427"/>
      <c r="F157" s="378"/>
      <c r="G157" s="378"/>
      <c r="H157" s="378"/>
      <c r="I157" s="378"/>
      <c r="J157" s="378"/>
      <c r="K157" s="378"/>
      <c r="L157" s="378"/>
      <c r="M157" s="378"/>
      <c r="N157" s="378"/>
      <c r="O157" s="378"/>
      <c r="P157" s="378"/>
      <c r="Q157" s="378"/>
      <c r="R157" s="426"/>
      <c r="S157" s="427"/>
      <c r="T157" s="428"/>
      <c r="U157" s="429"/>
      <c r="V157" s="378"/>
      <c r="W157" s="378"/>
      <c r="X157" s="378"/>
      <c r="Y157" s="378"/>
      <c r="Z157" s="378"/>
      <c r="AA157" s="378"/>
      <c r="AB157" s="378"/>
      <c r="AC157" s="378"/>
      <c r="AD157" s="378"/>
      <c r="AE157" s="378"/>
      <c r="AF157" s="378"/>
    </row>
    <row r="158" spans="2:32">
      <c r="B158" s="378"/>
      <c r="C158" s="430"/>
      <c r="D158" s="427"/>
      <c r="F158" s="378"/>
      <c r="G158" s="378"/>
      <c r="H158" s="378"/>
      <c r="I158" s="378"/>
      <c r="J158" s="378"/>
      <c r="K158" s="378"/>
      <c r="L158" s="378"/>
      <c r="M158" s="378"/>
      <c r="N158" s="378"/>
      <c r="O158" s="378"/>
      <c r="P158" s="378"/>
      <c r="Q158" s="378"/>
      <c r="R158" s="426"/>
      <c r="S158" s="427"/>
      <c r="T158" s="428"/>
      <c r="U158" s="429"/>
      <c r="V158" s="378"/>
      <c r="W158" s="378"/>
      <c r="X158" s="378"/>
      <c r="Y158" s="378"/>
      <c r="Z158" s="378"/>
      <c r="AA158" s="378"/>
      <c r="AB158" s="378"/>
      <c r="AC158" s="378"/>
      <c r="AD158" s="378"/>
      <c r="AE158" s="378"/>
      <c r="AF158" s="378"/>
    </row>
    <row r="159" spans="2:32">
      <c r="B159" s="378"/>
      <c r="C159" s="430"/>
      <c r="D159" s="427"/>
      <c r="F159" s="378"/>
      <c r="G159" s="378"/>
      <c r="H159" s="378"/>
      <c r="I159" s="378"/>
      <c r="J159" s="378"/>
      <c r="K159" s="378"/>
      <c r="L159" s="378"/>
      <c r="M159" s="378"/>
      <c r="N159" s="378"/>
      <c r="O159" s="378"/>
      <c r="P159" s="378"/>
      <c r="Q159" s="378"/>
      <c r="R159" s="426"/>
      <c r="S159" s="427"/>
      <c r="T159" s="428"/>
      <c r="U159" s="429"/>
      <c r="V159" s="378"/>
      <c r="W159" s="378"/>
      <c r="X159" s="378"/>
      <c r="Y159" s="378"/>
      <c r="Z159" s="378"/>
      <c r="AA159" s="378"/>
      <c r="AB159" s="378"/>
      <c r="AC159" s="378"/>
      <c r="AD159" s="378"/>
      <c r="AE159" s="378"/>
      <c r="AF159" s="378"/>
    </row>
    <row r="160" spans="2:32">
      <c r="B160" s="378"/>
      <c r="C160" s="430"/>
      <c r="D160" s="427"/>
      <c r="F160" s="378"/>
      <c r="G160" s="378"/>
      <c r="H160" s="378"/>
      <c r="I160" s="378"/>
      <c r="J160" s="378"/>
      <c r="K160" s="378"/>
      <c r="L160" s="378"/>
      <c r="M160" s="378"/>
      <c r="N160" s="378"/>
      <c r="O160" s="378"/>
      <c r="P160" s="378"/>
      <c r="Q160" s="378"/>
      <c r="R160" s="426"/>
      <c r="S160" s="427"/>
      <c r="T160" s="428"/>
      <c r="U160" s="429"/>
      <c r="V160" s="378"/>
      <c r="W160" s="378"/>
      <c r="X160" s="378"/>
      <c r="Y160" s="378"/>
      <c r="Z160" s="378"/>
      <c r="AA160" s="378"/>
      <c r="AB160" s="378"/>
      <c r="AC160" s="378"/>
      <c r="AD160" s="378"/>
      <c r="AE160" s="378"/>
      <c r="AF160" s="378"/>
    </row>
    <row r="161" spans="2:32">
      <c r="B161" s="378"/>
      <c r="C161" s="430"/>
      <c r="D161" s="427"/>
      <c r="F161" s="378"/>
      <c r="G161" s="378"/>
      <c r="H161" s="378"/>
      <c r="I161" s="378"/>
      <c r="J161" s="378"/>
      <c r="K161" s="378"/>
      <c r="L161" s="378"/>
      <c r="M161" s="378"/>
      <c r="N161" s="378"/>
      <c r="O161" s="378"/>
      <c r="P161" s="378"/>
      <c r="Q161" s="378"/>
      <c r="R161" s="426"/>
      <c r="S161" s="427"/>
      <c r="T161" s="428"/>
      <c r="U161" s="429"/>
      <c r="V161" s="378"/>
      <c r="W161" s="378"/>
      <c r="X161" s="378"/>
      <c r="Y161" s="378"/>
      <c r="Z161" s="378"/>
      <c r="AA161" s="378"/>
      <c r="AB161" s="378"/>
      <c r="AC161" s="378"/>
      <c r="AD161" s="378"/>
      <c r="AE161" s="378"/>
      <c r="AF161" s="378"/>
    </row>
    <row r="162" spans="2:32">
      <c r="B162" s="378"/>
      <c r="C162" s="430"/>
      <c r="D162" s="427"/>
      <c r="F162" s="378"/>
      <c r="G162" s="378"/>
      <c r="H162" s="378"/>
      <c r="I162" s="378"/>
      <c r="J162" s="378"/>
      <c r="K162" s="378"/>
      <c r="L162" s="378"/>
      <c r="M162" s="378"/>
      <c r="N162" s="378"/>
      <c r="O162" s="378"/>
      <c r="P162" s="378"/>
      <c r="Q162" s="378"/>
      <c r="R162" s="426"/>
      <c r="S162" s="427"/>
      <c r="T162" s="428"/>
      <c r="U162" s="429"/>
      <c r="V162" s="378"/>
      <c r="W162" s="378"/>
      <c r="X162" s="378"/>
      <c r="Y162" s="378"/>
      <c r="Z162" s="378"/>
      <c r="AA162" s="378"/>
      <c r="AB162" s="378"/>
      <c r="AC162" s="378"/>
      <c r="AD162" s="378"/>
      <c r="AE162" s="378"/>
      <c r="AF162" s="378"/>
    </row>
    <row r="163" spans="2:32">
      <c r="B163" s="378"/>
      <c r="C163" s="430"/>
      <c r="D163" s="427"/>
      <c r="F163" s="378"/>
      <c r="G163" s="378"/>
      <c r="H163" s="378"/>
      <c r="I163" s="378"/>
      <c r="J163" s="378"/>
      <c r="K163" s="378"/>
      <c r="L163" s="378"/>
      <c r="M163" s="378"/>
      <c r="N163" s="378"/>
      <c r="O163" s="378"/>
      <c r="P163" s="378"/>
      <c r="Q163" s="378"/>
      <c r="R163" s="426"/>
      <c r="S163" s="427"/>
      <c r="T163" s="428"/>
      <c r="U163" s="429"/>
      <c r="V163" s="378"/>
      <c r="W163" s="378"/>
      <c r="X163" s="378"/>
      <c r="Y163" s="378"/>
      <c r="Z163" s="378"/>
      <c r="AA163" s="378"/>
      <c r="AB163" s="378"/>
      <c r="AC163" s="378"/>
      <c r="AD163" s="378"/>
      <c r="AE163" s="378"/>
      <c r="AF163" s="378"/>
    </row>
    <row r="164" spans="2:32">
      <c r="B164" s="378"/>
      <c r="C164" s="430"/>
      <c r="D164" s="427"/>
      <c r="F164" s="378"/>
      <c r="G164" s="378"/>
      <c r="H164" s="378"/>
      <c r="I164" s="378"/>
      <c r="J164" s="378"/>
      <c r="K164" s="378"/>
      <c r="L164" s="378"/>
      <c r="M164" s="378"/>
      <c r="N164" s="378"/>
      <c r="O164" s="378"/>
      <c r="P164" s="378"/>
      <c r="Q164" s="378"/>
      <c r="R164" s="426"/>
      <c r="S164" s="427"/>
      <c r="T164" s="428"/>
      <c r="U164" s="429"/>
      <c r="V164" s="378"/>
      <c r="W164" s="378"/>
      <c r="X164" s="378"/>
      <c r="Y164" s="378"/>
      <c r="Z164" s="378"/>
      <c r="AA164" s="378"/>
      <c r="AB164" s="378"/>
      <c r="AC164" s="378"/>
      <c r="AD164" s="378"/>
      <c r="AE164" s="378"/>
      <c r="AF164" s="378"/>
    </row>
    <row r="165" spans="2:32">
      <c r="B165" s="378"/>
      <c r="C165" s="430"/>
      <c r="D165" s="427"/>
      <c r="F165" s="378"/>
      <c r="G165" s="378"/>
      <c r="H165" s="378"/>
      <c r="I165" s="378"/>
      <c r="J165" s="378"/>
      <c r="K165" s="378"/>
      <c r="L165" s="378"/>
      <c r="M165" s="378"/>
      <c r="N165" s="378"/>
      <c r="O165" s="378"/>
      <c r="P165" s="378"/>
      <c r="Q165" s="378"/>
      <c r="R165" s="426"/>
      <c r="S165" s="427"/>
      <c r="T165" s="428"/>
      <c r="U165" s="429"/>
      <c r="V165" s="378"/>
      <c r="W165" s="378"/>
      <c r="X165" s="378"/>
      <c r="Y165" s="378"/>
      <c r="Z165" s="378"/>
      <c r="AA165" s="378"/>
      <c r="AB165" s="378"/>
      <c r="AC165" s="378"/>
      <c r="AD165" s="378"/>
      <c r="AE165" s="378"/>
      <c r="AF165" s="378"/>
    </row>
    <row r="166" spans="2:32">
      <c r="B166" s="378"/>
      <c r="C166" s="430"/>
      <c r="D166" s="427"/>
      <c r="F166" s="378"/>
      <c r="G166" s="378"/>
      <c r="H166" s="378"/>
      <c r="I166" s="378"/>
      <c r="J166" s="378"/>
      <c r="K166" s="378"/>
      <c r="L166" s="378"/>
      <c r="M166" s="378"/>
      <c r="N166" s="378"/>
      <c r="O166" s="378"/>
      <c r="P166" s="378"/>
      <c r="Q166" s="378"/>
      <c r="R166" s="426"/>
      <c r="S166" s="427"/>
      <c r="T166" s="428"/>
      <c r="U166" s="429"/>
      <c r="V166" s="378"/>
      <c r="W166" s="378"/>
      <c r="X166" s="378"/>
      <c r="Y166" s="378"/>
      <c r="Z166" s="378"/>
      <c r="AA166" s="378"/>
      <c r="AB166" s="378"/>
      <c r="AC166" s="378"/>
      <c r="AD166" s="378"/>
      <c r="AE166" s="378"/>
      <c r="AF166" s="378"/>
    </row>
    <row r="167" spans="2:32">
      <c r="B167" s="378"/>
      <c r="C167" s="430"/>
      <c r="D167" s="427"/>
      <c r="F167" s="378"/>
      <c r="G167" s="378"/>
      <c r="H167" s="378"/>
      <c r="I167" s="378"/>
      <c r="J167" s="378"/>
      <c r="K167" s="378"/>
      <c r="L167" s="378"/>
      <c r="M167" s="378"/>
      <c r="N167" s="378"/>
      <c r="O167" s="378"/>
      <c r="P167" s="378"/>
      <c r="Q167" s="378"/>
      <c r="R167" s="426"/>
      <c r="S167" s="427"/>
      <c r="T167" s="428"/>
      <c r="U167" s="429"/>
      <c r="V167" s="378"/>
      <c r="W167" s="378"/>
      <c r="X167" s="378"/>
      <c r="Y167" s="378"/>
      <c r="Z167" s="378"/>
      <c r="AA167" s="378"/>
      <c r="AB167" s="378"/>
      <c r="AC167" s="378"/>
      <c r="AD167" s="378"/>
      <c r="AE167" s="378"/>
      <c r="AF167" s="378"/>
    </row>
    <row r="168" spans="2:32">
      <c r="B168" s="378"/>
      <c r="C168" s="430"/>
      <c r="D168" s="427"/>
      <c r="F168" s="378"/>
      <c r="G168" s="378"/>
      <c r="H168" s="378"/>
      <c r="I168" s="378"/>
      <c r="J168" s="378"/>
      <c r="K168" s="378"/>
      <c r="L168" s="378"/>
      <c r="M168" s="378"/>
      <c r="N168" s="378"/>
      <c r="O168" s="378"/>
      <c r="P168" s="378"/>
      <c r="Q168" s="378"/>
      <c r="R168" s="426"/>
      <c r="S168" s="427"/>
      <c r="T168" s="428"/>
      <c r="U168" s="429"/>
      <c r="V168" s="378"/>
      <c r="W168" s="378"/>
      <c r="X168" s="378"/>
      <c r="Y168" s="378"/>
      <c r="Z168" s="378"/>
      <c r="AA168" s="378"/>
      <c r="AB168" s="378"/>
      <c r="AC168" s="378"/>
      <c r="AD168" s="378"/>
      <c r="AE168" s="378"/>
      <c r="AF168" s="378"/>
    </row>
    <row r="169" spans="2:32">
      <c r="B169" s="378"/>
      <c r="C169" s="430"/>
      <c r="D169" s="427"/>
      <c r="F169" s="378"/>
      <c r="G169" s="378"/>
      <c r="H169" s="378"/>
      <c r="I169" s="378"/>
      <c r="J169" s="378"/>
      <c r="K169" s="378"/>
      <c r="L169" s="378"/>
      <c r="M169" s="378"/>
      <c r="N169" s="378"/>
      <c r="O169" s="378"/>
      <c r="P169" s="378"/>
      <c r="Q169" s="378"/>
      <c r="R169" s="426"/>
      <c r="S169" s="427"/>
      <c r="T169" s="428"/>
      <c r="U169" s="429"/>
      <c r="V169" s="378"/>
      <c r="W169" s="378"/>
      <c r="X169" s="378"/>
      <c r="Y169" s="378"/>
      <c r="Z169" s="378"/>
      <c r="AA169" s="378"/>
      <c r="AB169" s="378"/>
      <c r="AC169" s="378"/>
      <c r="AD169" s="378"/>
      <c r="AE169" s="378"/>
      <c r="AF169" s="378"/>
    </row>
    <row r="170" spans="2:32">
      <c r="B170" s="378"/>
      <c r="C170" s="430"/>
      <c r="D170" s="427"/>
      <c r="F170" s="378"/>
      <c r="G170" s="378"/>
      <c r="H170" s="378"/>
      <c r="I170" s="378"/>
      <c r="J170" s="378"/>
      <c r="K170" s="378"/>
      <c r="L170" s="378"/>
      <c r="M170" s="378"/>
      <c r="N170" s="378"/>
      <c r="O170" s="378"/>
      <c r="P170" s="378"/>
      <c r="Q170" s="378"/>
      <c r="R170" s="426"/>
      <c r="S170" s="427"/>
      <c r="T170" s="428"/>
      <c r="U170" s="429"/>
      <c r="V170" s="378"/>
      <c r="W170" s="378"/>
      <c r="X170" s="378"/>
      <c r="Y170" s="378"/>
      <c r="Z170" s="378"/>
      <c r="AA170" s="378"/>
      <c r="AB170" s="378"/>
      <c r="AC170" s="378"/>
      <c r="AD170" s="378"/>
      <c r="AE170" s="378"/>
      <c r="AF170" s="378"/>
    </row>
    <row r="171" spans="2:32">
      <c r="B171" s="378"/>
      <c r="C171" s="430"/>
      <c r="D171" s="427"/>
      <c r="F171" s="378"/>
      <c r="G171" s="378"/>
      <c r="H171" s="378"/>
      <c r="I171" s="378"/>
      <c r="J171" s="378"/>
      <c r="K171" s="378"/>
      <c r="L171" s="378"/>
      <c r="M171" s="378"/>
      <c r="N171" s="378"/>
      <c r="O171" s="378"/>
      <c r="P171" s="378"/>
      <c r="Q171" s="378"/>
      <c r="R171" s="426"/>
      <c r="S171" s="427"/>
      <c r="T171" s="428"/>
      <c r="U171" s="429"/>
      <c r="V171" s="378"/>
      <c r="W171" s="378"/>
      <c r="X171" s="378"/>
      <c r="Y171" s="378"/>
      <c r="Z171" s="378"/>
      <c r="AA171" s="378"/>
      <c r="AB171" s="378"/>
      <c r="AC171" s="378"/>
      <c r="AD171" s="378"/>
      <c r="AE171" s="378"/>
      <c r="AF171" s="378"/>
    </row>
    <row r="172" spans="2:32">
      <c r="B172" s="378"/>
      <c r="C172" s="430"/>
      <c r="D172" s="427"/>
      <c r="F172" s="378"/>
      <c r="G172" s="378"/>
      <c r="H172" s="378"/>
      <c r="I172" s="378"/>
      <c r="J172" s="378"/>
      <c r="K172" s="378"/>
      <c r="L172" s="378"/>
      <c r="M172" s="378"/>
      <c r="N172" s="378"/>
      <c r="O172" s="378"/>
      <c r="P172" s="378"/>
      <c r="Q172" s="378"/>
      <c r="R172" s="426"/>
      <c r="S172" s="427"/>
      <c r="T172" s="428"/>
      <c r="U172" s="429"/>
      <c r="V172" s="378"/>
      <c r="W172" s="378"/>
      <c r="X172" s="378"/>
      <c r="Y172" s="378"/>
      <c r="Z172" s="378"/>
      <c r="AA172" s="378"/>
      <c r="AB172" s="378"/>
      <c r="AC172" s="378"/>
      <c r="AD172" s="378"/>
      <c r="AE172" s="378"/>
      <c r="AF172" s="378"/>
    </row>
    <row r="173" spans="2:32">
      <c r="B173" s="378"/>
      <c r="C173" s="430"/>
      <c r="D173" s="427"/>
      <c r="F173" s="378"/>
      <c r="G173" s="378"/>
      <c r="H173" s="378"/>
      <c r="I173" s="378"/>
      <c r="J173" s="378"/>
      <c r="K173" s="378"/>
      <c r="L173" s="378"/>
      <c r="M173" s="378"/>
      <c r="N173" s="378"/>
      <c r="O173" s="378"/>
      <c r="P173" s="378"/>
      <c r="Q173" s="378"/>
      <c r="R173" s="426"/>
      <c r="S173" s="427"/>
      <c r="T173" s="428"/>
      <c r="U173" s="429"/>
      <c r="V173" s="378"/>
      <c r="W173" s="378"/>
      <c r="X173" s="378"/>
      <c r="Y173" s="378"/>
      <c r="Z173" s="378"/>
      <c r="AA173" s="378"/>
      <c r="AB173" s="378"/>
      <c r="AC173" s="378"/>
      <c r="AD173" s="378"/>
      <c r="AE173" s="378"/>
      <c r="AF173" s="378"/>
    </row>
    <row r="174" spans="2:32">
      <c r="B174" s="378"/>
      <c r="C174" s="430"/>
      <c r="D174" s="427"/>
      <c r="F174" s="378"/>
      <c r="G174" s="378"/>
      <c r="H174" s="378"/>
      <c r="I174" s="378"/>
      <c r="J174" s="378"/>
      <c r="K174" s="378"/>
      <c r="L174" s="378"/>
      <c r="M174" s="378"/>
      <c r="N174" s="378"/>
      <c r="O174" s="378"/>
      <c r="P174" s="378"/>
      <c r="Q174" s="378"/>
      <c r="R174" s="426"/>
      <c r="S174" s="427"/>
      <c r="T174" s="428"/>
      <c r="U174" s="429"/>
      <c r="V174" s="378"/>
      <c r="W174" s="378"/>
      <c r="X174" s="378"/>
      <c r="Y174" s="378"/>
      <c r="Z174" s="378"/>
      <c r="AA174" s="378"/>
      <c r="AB174" s="378"/>
      <c r="AC174" s="378"/>
      <c r="AD174" s="378"/>
      <c r="AE174" s="378"/>
      <c r="AF174" s="378"/>
    </row>
    <row r="175" spans="2:32">
      <c r="B175" s="378"/>
      <c r="C175" s="430"/>
      <c r="D175" s="427"/>
      <c r="F175" s="378"/>
      <c r="G175" s="378"/>
      <c r="H175" s="378"/>
      <c r="I175" s="378"/>
      <c r="J175" s="378"/>
      <c r="K175" s="378"/>
      <c r="L175" s="378"/>
      <c r="M175" s="378"/>
      <c r="N175" s="378"/>
      <c r="O175" s="378"/>
      <c r="P175" s="378"/>
      <c r="Q175" s="378"/>
      <c r="R175" s="426"/>
      <c r="S175" s="427"/>
      <c r="T175" s="428"/>
      <c r="U175" s="429"/>
      <c r="V175" s="378"/>
      <c r="W175" s="378"/>
      <c r="X175" s="378"/>
      <c r="Y175" s="378"/>
      <c r="Z175" s="378"/>
      <c r="AA175" s="378"/>
      <c r="AB175" s="378"/>
      <c r="AC175" s="378"/>
      <c r="AD175" s="378"/>
      <c r="AE175" s="378"/>
      <c r="AF175" s="378"/>
    </row>
    <row r="176" spans="2:32">
      <c r="B176" s="378"/>
      <c r="C176" s="430"/>
      <c r="D176" s="427"/>
      <c r="F176" s="378"/>
      <c r="G176" s="378"/>
      <c r="H176" s="378"/>
      <c r="I176" s="378"/>
      <c r="J176" s="378"/>
      <c r="K176" s="378"/>
      <c r="L176" s="378"/>
      <c r="M176" s="378"/>
      <c r="N176" s="378"/>
      <c r="O176" s="378"/>
      <c r="P176" s="378"/>
      <c r="Q176" s="378"/>
      <c r="R176" s="426"/>
      <c r="S176" s="427"/>
      <c r="T176" s="428"/>
      <c r="U176" s="429"/>
      <c r="V176" s="378"/>
      <c r="W176" s="378"/>
      <c r="X176" s="378"/>
      <c r="Y176" s="378"/>
      <c r="Z176" s="378"/>
      <c r="AA176" s="378"/>
      <c r="AB176" s="378"/>
      <c r="AC176" s="378"/>
      <c r="AD176" s="378"/>
      <c r="AE176" s="378"/>
      <c r="AF176" s="378"/>
    </row>
    <row r="177" spans="2:32">
      <c r="B177" s="378"/>
      <c r="C177" s="430"/>
      <c r="D177" s="427"/>
      <c r="F177" s="378"/>
      <c r="G177" s="378"/>
      <c r="H177" s="378"/>
      <c r="I177" s="378"/>
      <c r="J177" s="378"/>
      <c r="K177" s="378"/>
      <c r="L177" s="378"/>
      <c r="M177" s="378"/>
      <c r="N177" s="378"/>
      <c r="O177" s="378"/>
      <c r="P177" s="378"/>
      <c r="Q177" s="378"/>
      <c r="R177" s="426"/>
      <c r="S177" s="427"/>
      <c r="T177" s="428"/>
      <c r="U177" s="429"/>
      <c r="V177" s="378"/>
      <c r="W177" s="378"/>
      <c r="X177" s="378"/>
      <c r="Y177" s="378"/>
      <c r="Z177" s="378"/>
      <c r="AA177" s="378"/>
      <c r="AB177" s="378"/>
      <c r="AC177" s="378"/>
      <c r="AD177" s="378"/>
      <c r="AE177" s="378"/>
      <c r="AF177" s="378"/>
    </row>
    <row r="178" spans="2:32">
      <c r="B178" s="378"/>
      <c r="C178" s="430"/>
      <c r="D178" s="427"/>
      <c r="F178" s="378"/>
      <c r="G178" s="378"/>
      <c r="H178" s="378"/>
      <c r="I178" s="378"/>
      <c r="J178" s="378"/>
      <c r="K178" s="378"/>
      <c r="L178" s="378"/>
      <c r="M178" s="378"/>
      <c r="N178" s="378"/>
      <c r="O178" s="378"/>
      <c r="P178" s="378"/>
      <c r="Q178" s="378"/>
      <c r="R178" s="426"/>
      <c r="S178" s="427"/>
      <c r="T178" s="428"/>
      <c r="U178" s="429"/>
      <c r="V178" s="378"/>
      <c r="W178" s="378"/>
      <c r="X178" s="378"/>
      <c r="Y178" s="378"/>
      <c r="Z178" s="378"/>
      <c r="AA178" s="378"/>
      <c r="AB178" s="378"/>
      <c r="AC178" s="378"/>
      <c r="AD178" s="378"/>
      <c r="AE178" s="378"/>
      <c r="AF178" s="378"/>
    </row>
    <row r="179" spans="2:32">
      <c r="B179" s="378"/>
      <c r="C179" s="430"/>
      <c r="D179" s="427"/>
      <c r="F179" s="378"/>
      <c r="G179" s="378"/>
      <c r="H179" s="378"/>
      <c r="I179" s="378"/>
      <c r="J179" s="378"/>
      <c r="K179" s="378"/>
      <c r="L179" s="378"/>
      <c r="M179" s="378"/>
      <c r="N179" s="378"/>
      <c r="O179" s="378"/>
      <c r="P179" s="378"/>
      <c r="Q179" s="378"/>
      <c r="R179" s="426"/>
      <c r="S179" s="427"/>
      <c r="T179" s="428"/>
      <c r="U179" s="429"/>
      <c r="V179" s="378"/>
      <c r="W179" s="378"/>
      <c r="X179" s="378"/>
      <c r="Y179" s="378"/>
      <c r="Z179" s="378"/>
      <c r="AA179" s="378"/>
      <c r="AB179" s="378"/>
      <c r="AC179" s="378"/>
      <c r="AD179" s="378"/>
      <c r="AE179" s="378"/>
      <c r="AF179" s="378"/>
    </row>
    <row r="180" spans="2:32">
      <c r="B180" s="378"/>
      <c r="C180" s="430"/>
      <c r="D180" s="427"/>
      <c r="F180" s="378"/>
      <c r="G180" s="378"/>
      <c r="H180" s="378"/>
      <c r="I180" s="378"/>
      <c r="J180" s="378"/>
      <c r="K180" s="378"/>
      <c r="L180" s="378"/>
      <c r="M180" s="378"/>
      <c r="N180" s="378"/>
      <c r="O180" s="378"/>
      <c r="P180" s="378"/>
      <c r="Q180" s="378"/>
      <c r="R180" s="426"/>
      <c r="S180" s="427"/>
      <c r="T180" s="428"/>
      <c r="U180" s="429"/>
      <c r="V180" s="378"/>
      <c r="W180" s="378"/>
      <c r="X180" s="378"/>
      <c r="Y180" s="378"/>
      <c r="Z180" s="378"/>
      <c r="AA180" s="378"/>
      <c r="AB180" s="378"/>
      <c r="AC180" s="378"/>
      <c r="AD180" s="378"/>
      <c r="AE180" s="378"/>
      <c r="AF180" s="378"/>
    </row>
    <row r="181" spans="2:32">
      <c r="B181" s="378"/>
      <c r="C181" s="430"/>
      <c r="D181" s="427"/>
      <c r="F181" s="378"/>
      <c r="G181" s="378"/>
      <c r="H181" s="378"/>
      <c r="I181" s="378"/>
      <c r="J181" s="378"/>
      <c r="K181" s="378"/>
      <c r="L181" s="378"/>
      <c r="M181" s="378"/>
      <c r="N181" s="378"/>
      <c r="O181" s="378"/>
      <c r="P181" s="378"/>
      <c r="Q181" s="378"/>
      <c r="R181" s="426"/>
      <c r="S181" s="427"/>
      <c r="T181" s="428"/>
      <c r="U181" s="429"/>
      <c r="V181" s="378"/>
      <c r="W181" s="378"/>
      <c r="X181" s="378"/>
      <c r="Y181" s="378"/>
      <c r="Z181" s="378"/>
      <c r="AA181" s="378"/>
      <c r="AB181" s="378"/>
      <c r="AC181" s="378"/>
      <c r="AD181" s="378"/>
      <c r="AE181" s="378"/>
      <c r="AF181" s="378"/>
    </row>
    <row r="182" spans="2:32">
      <c r="B182" s="378"/>
      <c r="C182" s="430"/>
      <c r="D182" s="427"/>
      <c r="F182" s="378"/>
      <c r="G182" s="378"/>
      <c r="H182" s="378"/>
      <c r="I182" s="378"/>
      <c r="J182" s="378"/>
      <c r="K182" s="378"/>
      <c r="L182" s="378"/>
      <c r="M182" s="378"/>
      <c r="N182" s="378"/>
      <c r="O182" s="378"/>
      <c r="P182" s="378"/>
      <c r="Q182" s="378"/>
      <c r="R182" s="426"/>
      <c r="S182" s="427"/>
      <c r="T182" s="428"/>
      <c r="U182" s="429"/>
      <c r="V182" s="378"/>
      <c r="W182" s="378"/>
      <c r="X182" s="378"/>
      <c r="Y182" s="378"/>
      <c r="Z182" s="378"/>
      <c r="AA182" s="378"/>
      <c r="AB182" s="378"/>
      <c r="AC182" s="378"/>
      <c r="AD182" s="378"/>
      <c r="AE182" s="378"/>
      <c r="AF182" s="378"/>
    </row>
    <row r="183" spans="2:32">
      <c r="B183" s="378"/>
      <c r="C183" s="430"/>
      <c r="D183" s="427"/>
      <c r="F183" s="378"/>
      <c r="G183" s="378"/>
      <c r="H183" s="378"/>
      <c r="I183" s="378"/>
      <c r="J183" s="378"/>
      <c r="K183" s="378"/>
      <c r="L183" s="378"/>
      <c r="M183" s="378"/>
      <c r="N183" s="378"/>
      <c r="O183" s="378"/>
      <c r="P183" s="378"/>
      <c r="Q183" s="378"/>
      <c r="R183" s="426"/>
      <c r="S183" s="427"/>
      <c r="T183" s="428"/>
      <c r="U183" s="429"/>
      <c r="V183" s="378"/>
      <c r="W183" s="378"/>
      <c r="X183" s="378"/>
      <c r="Y183" s="378"/>
      <c r="Z183" s="378"/>
      <c r="AA183" s="378"/>
      <c r="AB183" s="378"/>
      <c r="AC183" s="378"/>
      <c r="AD183" s="378"/>
      <c r="AE183" s="378"/>
      <c r="AF183" s="378"/>
    </row>
    <row r="184" spans="2:32">
      <c r="B184" s="378"/>
      <c r="C184" s="430"/>
      <c r="D184" s="427"/>
      <c r="F184" s="378"/>
      <c r="G184" s="378"/>
      <c r="H184" s="378"/>
      <c r="I184" s="378"/>
      <c r="J184" s="378"/>
      <c r="K184" s="378"/>
      <c r="L184" s="378"/>
      <c r="M184" s="378"/>
      <c r="N184" s="378"/>
      <c r="O184" s="378"/>
      <c r="P184" s="378"/>
      <c r="Q184" s="378"/>
      <c r="R184" s="426"/>
      <c r="S184" s="427"/>
      <c r="T184" s="428"/>
      <c r="U184" s="429"/>
      <c r="V184" s="378"/>
      <c r="W184" s="378"/>
      <c r="X184" s="378"/>
      <c r="Y184" s="378"/>
      <c r="Z184" s="378"/>
      <c r="AA184" s="378"/>
      <c r="AB184" s="378"/>
      <c r="AC184" s="378"/>
      <c r="AD184" s="378"/>
      <c r="AE184" s="378"/>
      <c r="AF184" s="378"/>
    </row>
    <row r="185" spans="2:32">
      <c r="B185" s="378"/>
      <c r="C185" s="430"/>
      <c r="D185" s="427"/>
      <c r="F185" s="378"/>
      <c r="G185" s="378"/>
      <c r="H185" s="378"/>
      <c r="I185" s="378"/>
      <c r="J185" s="378"/>
      <c r="K185" s="378"/>
      <c r="L185" s="378"/>
      <c r="M185" s="378"/>
      <c r="N185" s="378"/>
      <c r="O185" s="378"/>
      <c r="P185" s="378"/>
      <c r="Q185" s="378"/>
      <c r="R185" s="426"/>
      <c r="S185" s="427"/>
      <c r="T185" s="428"/>
      <c r="U185" s="429"/>
      <c r="V185" s="378"/>
      <c r="W185" s="378"/>
      <c r="X185" s="378"/>
      <c r="Y185" s="378"/>
      <c r="Z185" s="378"/>
      <c r="AA185" s="378"/>
      <c r="AB185" s="378"/>
      <c r="AC185" s="378"/>
      <c r="AD185" s="378"/>
      <c r="AE185" s="378"/>
      <c r="AF185" s="378"/>
    </row>
    <row r="186" spans="2:32">
      <c r="B186" s="378"/>
      <c r="C186" s="430"/>
      <c r="D186" s="427"/>
      <c r="F186" s="378"/>
      <c r="G186" s="378"/>
      <c r="H186" s="378"/>
      <c r="I186" s="378"/>
      <c r="J186" s="378"/>
      <c r="K186" s="378"/>
      <c r="L186" s="378"/>
      <c r="M186" s="378"/>
      <c r="N186" s="378"/>
      <c r="O186" s="378"/>
      <c r="P186" s="378"/>
      <c r="Q186" s="378"/>
      <c r="R186" s="426"/>
      <c r="S186" s="427"/>
      <c r="T186" s="428"/>
      <c r="U186" s="429"/>
      <c r="V186" s="378"/>
      <c r="W186" s="378"/>
      <c r="X186" s="378"/>
      <c r="Y186" s="378"/>
      <c r="Z186" s="378"/>
      <c r="AA186" s="378"/>
      <c r="AB186" s="378"/>
      <c r="AC186" s="378"/>
      <c r="AD186" s="378"/>
      <c r="AE186" s="378"/>
      <c r="AF186" s="378"/>
    </row>
    <row r="187" spans="2:32">
      <c r="B187" s="378"/>
      <c r="C187" s="430"/>
      <c r="D187" s="427"/>
      <c r="F187" s="378"/>
      <c r="G187" s="378"/>
      <c r="H187" s="378"/>
      <c r="I187" s="378"/>
      <c r="J187" s="378"/>
      <c r="K187" s="378"/>
      <c r="L187" s="378"/>
      <c r="M187" s="378"/>
      <c r="N187" s="378"/>
      <c r="O187" s="378"/>
      <c r="P187" s="378"/>
      <c r="Q187" s="378"/>
      <c r="R187" s="426"/>
      <c r="S187" s="427"/>
      <c r="T187" s="428"/>
      <c r="U187" s="429"/>
      <c r="V187" s="378"/>
      <c r="W187" s="378"/>
      <c r="X187" s="378"/>
      <c r="Y187" s="378"/>
      <c r="Z187" s="378"/>
      <c r="AA187" s="378"/>
      <c r="AB187" s="378"/>
      <c r="AC187" s="378"/>
      <c r="AD187" s="378"/>
      <c r="AE187" s="378"/>
      <c r="AF187" s="378"/>
    </row>
    <row r="188" spans="2:32">
      <c r="B188" s="378"/>
      <c r="C188" s="430"/>
      <c r="D188" s="427"/>
      <c r="F188" s="378"/>
      <c r="G188" s="378"/>
      <c r="H188" s="378"/>
      <c r="I188" s="378"/>
      <c r="J188" s="378"/>
      <c r="K188" s="378"/>
      <c r="L188" s="378"/>
      <c r="M188" s="378"/>
      <c r="N188" s="378"/>
      <c r="O188" s="378"/>
      <c r="P188" s="378"/>
      <c r="Q188" s="378"/>
      <c r="R188" s="426"/>
      <c r="S188" s="427"/>
      <c r="T188" s="428"/>
      <c r="U188" s="429"/>
      <c r="V188" s="378"/>
      <c r="W188" s="378"/>
      <c r="X188" s="378"/>
      <c r="Y188" s="378"/>
      <c r="Z188" s="378"/>
      <c r="AA188" s="378"/>
      <c r="AB188" s="378"/>
      <c r="AC188" s="378"/>
      <c r="AD188" s="378"/>
      <c r="AE188" s="378"/>
      <c r="AF188" s="378"/>
    </row>
    <row r="189" spans="2:32">
      <c r="B189" s="378"/>
      <c r="C189" s="430"/>
      <c r="D189" s="427"/>
      <c r="F189" s="378"/>
      <c r="G189" s="378"/>
      <c r="H189" s="378"/>
      <c r="I189" s="378"/>
      <c r="J189" s="378"/>
      <c r="K189" s="378"/>
      <c r="L189" s="378"/>
      <c r="M189" s="378"/>
      <c r="N189" s="378"/>
      <c r="O189" s="378"/>
      <c r="P189" s="378"/>
      <c r="Q189" s="378"/>
      <c r="R189" s="426"/>
      <c r="S189" s="427"/>
      <c r="T189" s="428"/>
      <c r="U189" s="429"/>
      <c r="V189" s="378"/>
      <c r="W189" s="378"/>
      <c r="X189" s="378"/>
      <c r="Y189" s="378"/>
      <c r="Z189" s="378"/>
      <c r="AA189" s="378"/>
      <c r="AB189" s="378"/>
      <c r="AC189" s="378"/>
      <c r="AD189" s="378"/>
      <c r="AE189" s="378"/>
      <c r="AF189" s="378"/>
    </row>
    <row r="190" spans="2:32">
      <c r="B190" s="378"/>
      <c r="C190" s="430"/>
      <c r="D190" s="427"/>
      <c r="F190" s="378"/>
      <c r="G190" s="378"/>
      <c r="H190" s="378"/>
      <c r="I190" s="378"/>
      <c r="J190" s="378"/>
      <c r="K190" s="378"/>
      <c r="L190" s="378"/>
      <c r="M190" s="378"/>
      <c r="N190" s="378"/>
      <c r="O190" s="378"/>
      <c r="P190" s="378"/>
      <c r="Q190" s="378"/>
      <c r="R190" s="426"/>
      <c r="S190" s="427"/>
      <c r="T190" s="428"/>
      <c r="U190" s="429"/>
      <c r="V190" s="378"/>
      <c r="W190" s="378"/>
      <c r="X190" s="378"/>
      <c r="Y190" s="378"/>
      <c r="Z190" s="378"/>
      <c r="AA190" s="378"/>
      <c r="AB190" s="378"/>
      <c r="AC190" s="378"/>
      <c r="AD190" s="378"/>
      <c r="AE190" s="378"/>
      <c r="AF190" s="378"/>
    </row>
    <row r="191" spans="2:32">
      <c r="B191" s="378"/>
      <c r="C191" s="430"/>
      <c r="D191" s="427"/>
      <c r="F191" s="378"/>
      <c r="G191" s="378"/>
      <c r="H191" s="378"/>
      <c r="I191" s="378"/>
      <c r="J191" s="378"/>
      <c r="K191" s="378"/>
      <c r="L191" s="378"/>
      <c r="M191" s="378"/>
      <c r="N191" s="378"/>
      <c r="O191" s="378"/>
      <c r="P191" s="378"/>
      <c r="Q191" s="378"/>
      <c r="R191" s="426"/>
      <c r="S191" s="427"/>
      <c r="T191" s="428"/>
      <c r="U191" s="429"/>
      <c r="V191" s="378"/>
      <c r="W191" s="378"/>
      <c r="X191" s="378"/>
      <c r="Y191" s="378"/>
      <c r="Z191" s="378"/>
      <c r="AA191" s="378"/>
      <c r="AB191" s="378"/>
      <c r="AC191" s="378"/>
      <c r="AD191" s="378"/>
      <c r="AE191" s="378"/>
      <c r="AF191" s="378"/>
    </row>
    <row r="192" spans="2:32">
      <c r="B192" s="378"/>
      <c r="C192" s="430"/>
      <c r="D192" s="427"/>
      <c r="F192" s="378"/>
      <c r="G192" s="378"/>
      <c r="H192" s="378"/>
      <c r="I192" s="378"/>
      <c r="J192" s="378"/>
      <c r="K192" s="378"/>
      <c r="L192" s="378"/>
      <c r="M192" s="378"/>
      <c r="N192" s="378"/>
      <c r="O192" s="378"/>
      <c r="P192" s="378"/>
      <c r="Q192" s="378"/>
      <c r="R192" s="426"/>
      <c r="S192" s="427"/>
      <c r="T192" s="428"/>
      <c r="U192" s="429"/>
      <c r="V192" s="378"/>
      <c r="W192" s="378"/>
      <c r="X192" s="378"/>
      <c r="Y192" s="378"/>
      <c r="Z192" s="378"/>
      <c r="AA192" s="378"/>
      <c r="AB192" s="378"/>
      <c r="AC192" s="378"/>
      <c r="AD192" s="378"/>
      <c r="AE192" s="378"/>
      <c r="AF192" s="378"/>
    </row>
    <row r="193" spans="2:32">
      <c r="B193" s="378"/>
      <c r="C193" s="430"/>
      <c r="D193" s="427"/>
      <c r="F193" s="378"/>
      <c r="G193" s="378"/>
      <c r="H193" s="378"/>
      <c r="I193" s="378"/>
      <c r="J193" s="378"/>
      <c r="K193" s="378"/>
      <c r="L193" s="378"/>
      <c r="M193" s="378"/>
      <c r="N193" s="378"/>
      <c r="O193" s="378"/>
      <c r="P193" s="378"/>
      <c r="Q193" s="378"/>
      <c r="R193" s="426"/>
      <c r="S193" s="427"/>
      <c r="T193" s="428"/>
      <c r="U193" s="429"/>
      <c r="V193" s="378"/>
      <c r="W193" s="378"/>
      <c r="X193" s="378"/>
      <c r="Y193" s="378"/>
      <c r="Z193" s="378"/>
      <c r="AA193" s="378"/>
      <c r="AB193" s="378"/>
      <c r="AC193" s="378"/>
      <c r="AD193" s="378"/>
      <c r="AE193" s="378"/>
      <c r="AF193" s="378"/>
    </row>
    <row r="194" spans="2:32">
      <c r="B194" s="378"/>
      <c r="C194" s="431"/>
      <c r="D194" s="427"/>
      <c r="F194" s="378"/>
      <c r="G194" s="378"/>
      <c r="H194" s="378"/>
      <c r="I194" s="378"/>
      <c r="J194" s="378"/>
      <c r="K194" s="378"/>
      <c r="L194" s="378"/>
      <c r="M194" s="378"/>
      <c r="N194" s="378"/>
      <c r="O194" s="378"/>
      <c r="P194" s="378"/>
      <c r="Q194" s="378"/>
      <c r="R194" s="426"/>
      <c r="S194" s="427"/>
      <c r="T194" s="428"/>
      <c r="U194" s="429"/>
      <c r="V194" s="378"/>
      <c r="W194" s="378"/>
      <c r="X194" s="378"/>
      <c r="Y194" s="378"/>
      <c r="Z194" s="378"/>
      <c r="AA194" s="378"/>
      <c r="AB194" s="378"/>
      <c r="AC194" s="378"/>
      <c r="AD194" s="378"/>
      <c r="AE194" s="378"/>
      <c r="AF194" s="378"/>
    </row>
    <row r="195" spans="2:32">
      <c r="B195" s="378"/>
      <c r="C195" s="378"/>
      <c r="D195" s="378"/>
      <c r="F195" s="378"/>
      <c r="G195" s="378"/>
      <c r="H195" s="378"/>
      <c r="I195" s="378"/>
      <c r="J195" s="378"/>
      <c r="K195" s="378"/>
      <c r="L195" s="378"/>
      <c r="M195" s="378"/>
      <c r="N195" s="378"/>
      <c r="O195" s="378"/>
      <c r="P195" s="378"/>
      <c r="Q195" s="378"/>
      <c r="R195" s="378"/>
      <c r="S195" s="378"/>
      <c r="T195" s="378"/>
      <c r="U195" s="378"/>
      <c r="V195" s="378"/>
      <c r="W195" s="378"/>
      <c r="X195" s="378"/>
      <c r="Y195" s="378"/>
      <c r="Z195" s="378"/>
      <c r="AA195" s="378"/>
      <c r="AB195" s="378"/>
      <c r="AC195" s="378"/>
      <c r="AD195" s="378"/>
      <c r="AE195" s="378"/>
      <c r="AF195" s="378"/>
    </row>
    <row r="196" spans="2:32">
      <c r="B196" s="378"/>
      <c r="C196" s="434"/>
      <c r="D196" s="432"/>
      <c r="F196" s="378"/>
      <c r="G196" s="378"/>
      <c r="H196" s="378"/>
      <c r="I196" s="378"/>
      <c r="J196" s="378"/>
      <c r="K196" s="378"/>
      <c r="L196" s="378"/>
      <c r="M196" s="378"/>
      <c r="N196" s="378"/>
      <c r="O196" s="378"/>
      <c r="P196" s="378"/>
      <c r="Q196" s="378"/>
      <c r="R196" s="378"/>
      <c r="S196" s="378"/>
      <c r="T196" s="378"/>
      <c r="U196" s="378"/>
      <c r="V196" s="378"/>
      <c r="W196" s="378"/>
      <c r="X196" s="378"/>
      <c r="Y196" s="378"/>
      <c r="Z196" s="378"/>
      <c r="AA196" s="378"/>
      <c r="AB196" s="378"/>
      <c r="AC196" s="378"/>
      <c r="AD196" s="378"/>
      <c r="AE196" s="378"/>
      <c r="AF196" s="378"/>
    </row>
    <row r="197" spans="2:32">
      <c r="B197" s="378"/>
      <c r="C197" s="434"/>
      <c r="D197" s="432"/>
      <c r="F197" s="378"/>
      <c r="G197" s="378"/>
      <c r="H197" s="378"/>
      <c r="I197" s="378"/>
      <c r="J197" s="378"/>
      <c r="K197" s="378"/>
      <c r="L197" s="378"/>
      <c r="M197" s="378"/>
      <c r="N197" s="378"/>
      <c r="O197" s="378"/>
      <c r="P197" s="378"/>
      <c r="Q197" s="378"/>
      <c r="R197" s="378"/>
      <c r="S197" s="378"/>
      <c r="T197" s="378"/>
      <c r="U197" s="378"/>
      <c r="V197" s="378"/>
      <c r="W197" s="378"/>
      <c r="X197" s="378"/>
      <c r="Y197" s="378"/>
      <c r="Z197" s="378"/>
      <c r="AA197" s="378"/>
      <c r="AB197" s="378"/>
      <c r="AC197" s="378"/>
      <c r="AD197" s="378"/>
      <c r="AE197" s="378"/>
      <c r="AF197" s="378"/>
    </row>
    <row r="198" spans="2:32">
      <c r="B198" s="378"/>
      <c r="C198" s="434"/>
      <c r="D198" s="432"/>
      <c r="F198" s="378"/>
      <c r="G198" s="378"/>
      <c r="H198" s="378"/>
      <c r="I198" s="378"/>
      <c r="J198" s="378"/>
      <c r="K198" s="378"/>
      <c r="L198" s="378"/>
      <c r="M198" s="378"/>
      <c r="N198" s="378"/>
      <c r="O198" s="378"/>
      <c r="P198" s="378"/>
      <c r="Q198" s="378"/>
      <c r="R198" s="378"/>
      <c r="S198" s="378"/>
      <c r="T198" s="378"/>
      <c r="U198" s="378"/>
      <c r="V198" s="378"/>
      <c r="W198" s="378"/>
      <c r="X198" s="378"/>
      <c r="Y198" s="378"/>
      <c r="Z198" s="378"/>
      <c r="AA198" s="378"/>
      <c r="AB198" s="378"/>
      <c r="AC198" s="378"/>
      <c r="AD198" s="378"/>
      <c r="AE198" s="378"/>
      <c r="AF198" s="378"/>
    </row>
    <row r="199" spans="2:32">
      <c r="B199" s="378"/>
      <c r="C199" s="434"/>
      <c r="D199" s="432"/>
      <c r="F199" s="378"/>
      <c r="G199" s="378"/>
      <c r="H199" s="378"/>
      <c r="I199" s="378"/>
      <c r="J199" s="378"/>
      <c r="K199" s="378"/>
      <c r="L199" s="378"/>
      <c r="M199" s="378"/>
      <c r="N199" s="378"/>
      <c r="O199" s="378"/>
      <c r="P199" s="378"/>
      <c r="Q199" s="378"/>
      <c r="R199" s="378"/>
      <c r="S199" s="378"/>
      <c r="T199" s="378"/>
      <c r="U199" s="378"/>
      <c r="V199" s="378"/>
      <c r="W199" s="378"/>
      <c r="X199" s="378"/>
      <c r="Y199" s="378"/>
      <c r="Z199" s="378"/>
      <c r="AA199" s="378"/>
      <c r="AB199" s="378"/>
      <c r="AC199" s="378"/>
      <c r="AD199" s="378"/>
      <c r="AE199" s="378"/>
      <c r="AF199" s="378"/>
    </row>
    <row r="200" spans="2:32">
      <c r="B200" s="378"/>
      <c r="C200" s="434"/>
      <c r="D200" s="433"/>
      <c r="F200" s="378"/>
      <c r="G200" s="378"/>
      <c r="H200" s="378"/>
      <c r="I200" s="378"/>
      <c r="J200" s="378"/>
      <c r="K200" s="378"/>
      <c r="L200" s="378"/>
      <c r="M200" s="378"/>
      <c r="N200" s="378"/>
      <c r="O200" s="378"/>
      <c r="P200" s="378"/>
      <c r="Q200" s="378"/>
      <c r="R200" s="378"/>
      <c r="S200" s="378"/>
      <c r="T200" s="378"/>
      <c r="U200" s="378"/>
      <c r="V200" s="378"/>
      <c r="W200" s="378"/>
      <c r="X200" s="378"/>
      <c r="Y200" s="378"/>
      <c r="Z200" s="378"/>
      <c r="AA200" s="378"/>
      <c r="AB200" s="378"/>
      <c r="AC200" s="378"/>
      <c r="AD200" s="378"/>
      <c r="AE200" s="378"/>
      <c r="AF200" s="378"/>
    </row>
    <row r="201" spans="2:32">
      <c r="B201" s="378"/>
      <c r="C201" s="434"/>
      <c r="D201" s="432"/>
      <c r="F201" s="378"/>
      <c r="G201" s="378"/>
      <c r="H201" s="378"/>
      <c r="I201" s="378"/>
      <c r="J201" s="378"/>
      <c r="K201" s="378"/>
      <c r="L201" s="378"/>
      <c r="M201" s="378"/>
      <c r="N201" s="378"/>
      <c r="O201" s="378"/>
      <c r="P201" s="378"/>
      <c r="Q201" s="378"/>
      <c r="R201" s="378"/>
      <c r="S201" s="378"/>
      <c r="T201" s="378"/>
      <c r="U201" s="378"/>
      <c r="V201" s="378"/>
      <c r="W201" s="378"/>
      <c r="X201" s="378"/>
      <c r="Y201" s="378"/>
      <c r="Z201" s="378"/>
      <c r="AA201" s="378"/>
      <c r="AB201" s="378"/>
      <c r="AC201" s="378"/>
      <c r="AD201" s="378"/>
      <c r="AE201" s="378"/>
      <c r="AF201" s="378"/>
    </row>
    <row r="202" spans="2:32">
      <c r="B202" s="378"/>
      <c r="C202" s="434"/>
      <c r="D202" s="432"/>
      <c r="F202" s="378"/>
      <c r="G202" s="378"/>
      <c r="H202" s="378"/>
      <c r="I202" s="378"/>
      <c r="J202" s="378"/>
      <c r="K202" s="378"/>
      <c r="L202" s="378"/>
      <c r="M202" s="378"/>
      <c r="N202" s="378"/>
      <c r="O202" s="378"/>
      <c r="P202" s="378"/>
      <c r="Q202" s="378"/>
      <c r="R202" s="378"/>
      <c r="S202" s="378"/>
      <c r="T202" s="378"/>
      <c r="U202" s="378"/>
      <c r="V202" s="378"/>
      <c r="W202" s="378"/>
      <c r="X202" s="378"/>
      <c r="Y202" s="378"/>
      <c r="Z202" s="378"/>
      <c r="AA202" s="378"/>
      <c r="AB202" s="378"/>
      <c r="AC202" s="378"/>
      <c r="AD202" s="378"/>
      <c r="AE202" s="378"/>
      <c r="AF202" s="378"/>
    </row>
    <row r="203" spans="2:32">
      <c r="B203" s="378"/>
      <c r="C203" s="434"/>
      <c r="D203" s="432"/>
      <c r="F203" s="378"/>
      <c r="G203" s="378"/>
      <c r="H203" s="378"/>
      <c r="I203" s="378"/>
      <c r="J203" s="378"/>
      <c r="K203" s="378"/>
      <c r="L203" s="378"/>
      <c r="M203" s="378"/>
      <c r="N203" s="378"/>
      <c r="O203" s="378"/>
      <c r="P203" s="378"/>
      <c r="Q203" s="378"/>
      <c r="R203" s="378"/>
      <c r="S203" s="378"/>
      <c r="T203" s="378"/>
      <c r="U203" s="378"/>
      <c r="V203" s="378"/>
      <c r="W203" s="378"/>
      <c r="X203" s="378"/>
      <c r="Y203" s="378"/>
      <c r="Z203" s="378"/>
      <c r="AA203" s="378"/>
      <c r="AB203" s="378"/>
      <c r="AC203" s="378"/>
      <c r="AD203" s="378"/>
      <c r="AE203" s="378"/>
      <c r="AF203" s="378"/>
    </row>
    <row r="204" spans="2:32">
      <c r="B204" s="378"/>
      <c r="C204" s="434"/>
      <c r="D204" s="433"/>
      <c r="F204" s="378"/>
      <c r="G204" s="378"/>
      <c r="H204" s="378"/>
      <c r="I204" s="378"/>
      <c r="J204" s="378"/>
      <c r="K204" s="378"/>
      <c r="L204" s="378"/>
      <c r="M204" s="378"/>
      <c r="N204" s="378"/>
      <c r="O204" s="378"/>
      <c r="P204" s="378"/>
      <c r="Q204" s="378"/>
      <c r="R204" s="378"/>
      <c r="S204" s="378"/>
      <c r="T204" s="378"/>
      <c r="U204" s="378"/>
      <c r="V204" s="378"/>
      <c r="W204" s="378"/>
      <c r="X204" s="378"/>
      <c r="Y204" s="378"/>
      <c r="Z204" s="378"/>
      <c r="AA204" s="378"/>
      <c r="AB204" s="378"/>
      <c r="AC204" s="378"/>
      <c r="AD204" s="378"/>
      <c r="AE204" s="378"/>
      <c r="AF204" s="378"/>
    </row>
    <row r="205" spans="2:32">
      <c r="B205" s="378"/>
      <c r="C205" s="434"/>
      <c r="D205" s="432"/>
      <c r="F205" s="378"/>
      <c r="G205" s="378"/>
      <c r="H205" s="378"/>
      <c r="I205" s="378"/>
      <c r="J205" s="378"/>
      <c r="K205" s="378"/>
      <c r="L205" s="378"/>
      <c r="M205" s="378"/>
      <c r="N205" s="378"/>
      <c r="O205" s="378"/>
      <c r="P205" s="378"/>
      <c r="Q205" s="378"/>
      <c r="R205" s="378"/>
      <c r="S205" s="378"/>
      <c r="T205" s="378"/>
      <c r="U205" s="378"/>
      <c r="V205" s="378"/>
      <c r="W205" s="378"/>
      <c r="X205" s="378"/>
      <c r="Y205" s="378"/>
      <c r="Z205" s="378"/>
      <c r="AA205" s="378"/>
      <c r="AB205" s="378"/>
      <c r="AC205" s="378"/>
      <c r="AD205" s="378"/>
      <c r="AE205" s="378"/>
      <c r="AF205" s="378"/>
    </row>
    <row r="206" spans="2:32">
      <c r="B206" s="378"/>
      <c r="C206" s="434"/>
      <c r="D206" s="433"/>
      <c r="F206" s="378"/>
      <c r="G206" s="378"/>
      <c r="H206" s="378"/>
      <c r="I206" s="378"/>
      <c r="J206" s="378"/>
      <c r="K206" s="378"/>
      <c r="L206" s="378"/>
      <c r="M206" s="378"/>
      <c r="N206" s="378"/>
      <c r="O206" s="378"/>
      <c r="P206" s="378"/>
      <c r="Q206" s="378"/>
      <c r="R206" s="378"/>
      <c r="S206" s="378"/>
      <c r="T206" s="378"/>
      <c r="U206" s="378"/>
      <c r="V206" s="378"/>
      <c r="W206" s="378"/>
      <c r="X206" s="378"/>
      <c r="Y206" s="378"/>
      <c r="Z206" s="378"/>
      <c r="AA206" s="378"/>
      <c r="AB206" s="378"/>
      <c r="AC206" s="378"/>
      <c r="AD206" s="378"/>
      <c r="AE206" s="378"/>
      <c r="AF206" s="378"/>
    </row>
    <row r="207" spans="2:32">
      <c r="B207" s="378"/>
      <c r="C207" s="434"/>
      <c r="D207" s="432"/>
      <c r="F207" s="378"/>
      <c r="G207" s="378"/>
      <c r="H207" s="378"/>
      <c r="I207" s="378"/>
      <c r="J207" s="378"/>
      <c r="K207" s="378"/>
      <c r="L207" s="378"/>
      <c r="M207" s="378"/>
      <c r="N207" s="378"/>
      <c r="O207" s="378"/>
      <c r="P207" s="378"/>
      <c r="Q207" s="378"/>
      <c r="R207" s="378"/>
      <c r="S207" s="378"/>
      <c r="T207" s="378"/>
      <c r="U207" s="378"/>
      <c r="V207" s="378"/>
      <c r="W207" s="378"/>
      <c r="X207" s="378"/>
      <c r="Y207" s="378"/>
      <c r="Z207" s="378"/>
      <c r="AA207" s="378"/>
      <c r="AB207" s="378"/>
      <c r="AC207" s="378"/>
      <c r="AD207" s="378"/>
      <c r="AE207" s="378"/>
      <c r="AF207" s="378"/>
    </row>
    <row r="208" spans="2:32">
      <c r="B208" s="378"/>
      <c r="C208" s="434"/>
      <c r="D208" s="433"/>
      <c r="F208" s="378"/>
      <c r="G208" s="378"/>
      <c r="H208" s="378"/>
      <c r="I208" s="378"/>
      <c r="J208" s="378"/>
      <c r="K208" s="378"/>
      <c r="L208" s="378"/>
      <c r="M208" s="378"/>
      <c r="N208" s="378"/>
      <c r="O208" s="378"/>
      <c r="P208" s="378"/>
      <c r="Q208" s="378"/>
      <c r="R208" s="378"/>
      <c r="S208" s="378"/>
      <c r="T208" s="378"/>
      <c r="U208" s="378"/>
      <c r="V208" s="378"/>
      <c r="W208" s="378"/>
      <c r="X208" s="378"/>
      <c r="Y208" s="378"/>
      <c r="Z208" s="378"/>
      <c r="AA208" s="378"/>
      <c r="AB208" s="378"/>
      <c r="AC208" s="378"/>
      <c r="AD208" s="378"/>
      <c r="AE208" s="378"/>
      <c r="AF208" s="378"/>
    </row>
    <row r="209" spans="2:32">
      <c r="B209" s="378"/>
      <c r="C209" s="434"/>
      <c r="D209" s="432"/>
      <c r="F209" s="378"/>
      <c r="G209" s="378"/>
      <c r="H209" s="378"/>
      <c r="I209" s="378"/>
      <c r="J209" s="378"/>
      <c r="K209" s="378"/>
      <c r="L209" s="378"/>
      <c r="M209" s="378"/>
      <c r="N209" s="378"/>
      <c r="O209" s="378"/>
      <c r="P209" s="378"/>
      <c r="Q209" s="378"/>
      <c r="R209" s="378"/>
      <c r="S209" s="378"/>
      <c r="T209" s="378"/>
      <c r="U209" s="378"/>
      <c r="V209" s="378"/>
      <c r="W209" s="378"/>
      <c r="X209" s="378"/>
      <c r="Y209" s="378"/>
      <c r="Z209" s="378"/>
      <c r="AA209" s="378"/>
      <c r="AB209" s="378"/>
      <c r="AC209" s="378"/>
      <c r="AD209" s="378"/>
      <c r="AE209" s="378"/>
      <c r="AF209" s="378"/>
    </row>
    <row r="210" spans="2:32">
      <c r="B210" s="378"/>
      <c r="C210" s="434"/>
      <c r="D210" s="433"/>
      <c r="F210" s="378"/>
      <c r="G210" s="378"/>
      <c r="H210" s="378"/>
      <c r="I210" s="378"/>
      <c r="J210" s="378"/>
      <c r="K210" s="378"/>
      <c r="L210" s="378"/>
      <c r="M210" s="378"/>
      <c r="N210" s="378"/>
      <c r="O210" s="378"/>
      <c r="P210" s="378"/>
      <c r="Q210" s="378"/>
      <c r="R210" s="378"/>
      <c r="S210" s="378"/>
      <c r="T210" s="378"/>
      <c r="U210" s="378"/>
      <c r="V210" s="378"/>
      <c r="W210" s="378"/>
      <c r="X210" s="378"/>
      <c r="Y210" s="378"/>
      <c r="Z210" s="378"/>
      <c r="AA210" s="378"/>
      <c r="AB210" s="378"/>
      <c r="AC210" s="378"/>
      <c r="AD210" s="378"/>
      <c r="AE210" s="378"/>
      <c r="AF210" s="378"/>
    </row>
    <row r="211" spans="2:32">
      <c r="B211" s="378"/>
      <c r="C211" s="434"/>
      <c r="D211" s="433"/>
      <c r="F211" s="378"/>
      <c r="G211" s="378"/>
      <c r="H211" s="378"/>
      <c r="I211" s="378"/>
      <c r="J211" s="378"/>
      <c r="K211" s="378"/>
      <c r="L211" s="378"/>
      <c r="M211" s="378"/>
      <c r="N211" s="378"/>
      <c r="O211" s="378"/>
      <c r="P211" s="378"/>
      <c r="Q211" s="378"/>
      <c r="R211" s="378"/>
      <c r="S211" s="378"/>
      <c r="T211" s="378"/>
      <c r="U211" s="378"/>
      <c r="V211" s="378"/>
      <c r="W211" s="378"/>
      <c r="X211" s="378"/>
      <c r="Y211" s="378"/>
      <c r="Z211" s="378"/>
      <c r="AA211" s="378"/>
      <c r="AB211" s="378"/>
      <c r="AC211" s="378"/>
      <c r="AD211" s="378"/>
      <c r="AE211" s="378"/>
      <c r="AF211" s="378"/>
    </row>
    <row r="212" spans="2:32">
      <c r="B212" s="378"/>
      <c r="C212" s="434"/>
      <c r="D212" s="432"/>
      <c r="F212" s="378"/>
      <c r="G212" s="378"/>
      <c r="H212" s="378"/>
      <c r="I212" s="378"/>
      <c r="J212" s="378"/>
      <c r="K212" s="378"/>
      <c r="L212" s="378"/>
      <c r="M212" s="378"/>
      <c r="N212" s="378"/>
      <c r="O212" s="378"/>
      <c r="P212" s="378"/>
      <c r="Q212" s="378"/>
      <c r="R212" s="378"/>
      <c r="S212" s="378"/>
      <c r="T212" s="378"/>
      <c r="U212" s="378"/>
      <c r="V212" s="378"/>
      <c r="W212" s="378"/>
      <c r="X212" s="378"/>
      <c r="Y212" s="378"/>
      <c r="Z212" s="378"/>
      <c r="AA212" s="378"/>
      <c r="AB212" s="378"/>
      <c r="AC212" s="378"/>
      <c r="AD212" s="378"/>
      <c r="AE212" s="378"/>
      <c r="AF212" s="378"/>
    </row>
    <row r="213" spans="2:32">
      <c r="B213" s="378"/>
      <c r="C213" s="434"/>
      <c r="D213" s="432"/>
      <c r="F213" s="378"/>
      <c r="G213" s="378"/>
      <c r="H213" s="378"/>
      <c r="I213" s="378"/>
      <c r="J213" s="378"/>
      <c r="K213" s="378"/>
      <c r="L213" s="378"/>
      <c r="M213" s="378"/>
      <c r="N213" s="378"/>
      <c r="O213" s="378"/>
      <c r="P213" s="378"/>
      <c r="Q213" s="378"/>
      <c r="R213" s="378"/>
      <c r="S213" s="378"/>
      <c r="T213" s="378"/>
      <c r="U213" s="378"/>
      <c r="V213" s="378"/>
      <c r="W213" s="378"/>
      <c r="X213" s="378"/>
      <c r="Y213" s="378"/>
      <c r="Z213" s="378"/>
      <c r="AA213" s="378"/>
      <c r="AB213" s="378"/>
      <c r="AC213" s="378"/>
      <c r="AD213" s="378"/>
      <c r="AE213" s="378"/>
      <c r="AF213" s="378"/>
    </row>
    <row r="214" spans="2:32">
      <c r="B214" s="378"/>
      <c r="C214" s="434"/>
      <c r="D214" s="432"/>
      <c r="F214" s="378"/>
      <c r="G214" s="378"/>
      <c r="H214" s="378"/>
      <c r="I214" s="378"/>
      <c r="J214" s="378"/>
      <c r="K214" s="378"/>
      <c r="L214" s="378"/>
      <c r="M214" s="378"/>
      <c r="N214" s="378"/>
      <c r="O214" s="378"/>
      <c r="P214" s="378"/>
      <c r="Q214" s="378"/>
      <c r="R214" s="378"/>
      <c r="S214" s="378"/>
      <c r="T214" s="378"/>
      <c r="U214" s="378"/>
      <c r="V214" s="378"/>
      <c r="W214" s="378"/>
      <c r="X214" s="378"/>
      <c r="Y214" s="378"/>
      <c r="Z214" s="378"/>
      <c r="AA214" s="378"/>
      <c r="AB214" s="378"/>
      <c r="AC214" s="378"/>
      <c r="AD214" s="378"/>
      <c r="AE214" s="378"/>
      <c r="AF214" s="378"/>
    </row>
    <row r="215" spans="2:32">
      <c r="B215" s="378"/>
      <c r="C215" s="434"/>
      <c r="D215" s="432"/>
      <c r="F215" s="378"/>
      <c r="G215" s="378"/>
      <c r="H215" s="378"/>
      <c r="I215" s="378"/>
      <c r="J215" s="378"/>
      <c r="K215" s="378"/>
      <c r="L215" s="378"/>
      <c r="M215" s="378"/>
      <c r="N215" s="378"/>
      <c r="O215" s="378"/>
      <c r="P215" s="378"/>
      <c r="Q215" s="378"/>
      <c r="R215" s="378"/>
      <c r="S215" s="378"/>
      <c r="T215" s="378"/>
      <c r="U215" s="378"/>
      <c r="V215" s="378"/>
      <c r="W215" s="378"/>
      <c r="X215" s="378"/>
      <c r="Y215" s="378"/>
      <c r="Z215" s="378"/>
      <c r="AA215" s="378"/>
      <c r="AB215" s="378"/>
      <c r="AC215" s="378"/>
      <c r="AD215" s="378"/>
      <c r="AE215" s="378"/>
      <c r="AF215" s="378"/>
    </row>
    <row r="216" spans="2:32">
      <c r="B216" s="378"/>
      <c r="C216" s="434"/>
      <c r="D216" s="433"/>
      <c r="F216" s="378"/>
      <c r="G216" s="378"/>
      <c r="H216" s="378"/>
      <c r="I216" s="378"/>
      <c r="J216" s="378"/>
      <c r="K216" s="378"/>
      <c r="L216" s="378"/>
      <c r="M216" s="378"/>
      <c r="N216" s="378"/>
      <c r="O216" s="378"/>
      <c r="P216" s="378"/>
      <c r="Q216" s="378"/>
      <c r="R216" s="378"/>
      <c r="S216" s="378"/>
      <c r="T216" s="378"/>
      <c r="U216" s="378"/>
      <c r="V216" s="378"/>
      <c r="W216" s="378"/>
      <c r="X216" s="378"/>
      <c r="Y216" s="378"/>
      <c r="Z216" s="378"/>
      <c r="AA216" s="378"/>
      <c r="AB216" s="378"/>
      <c r="AC216" s="378"/>
      <c r="AD216" s="378"/>
      <c r="AE216" s="378"/>
      <c r="AF216" s="378"/>
    </row>
    <row r="217" spans="2:32">
      <c r="B217" s="378"/>
      <c r="C217" s="434"/>
      <c r="D217" s="432"/>
      <c r="F217" s="378"/>
      <c r="G217" s="378"/>
      <c r="H217" s="378"/>
      <c r="I217" s="378"/>
      <c r="J217" s="378"/>
      <c r="K217" s="378"/>
      <c r="L217" s="378"/>
      <c r="M217" s="378"/>
      <c r="N217" s="378"/>
      <c r="O217" s="378"/>
      <c r="P217" s="378"/>
      <c r="Q217" s="378"/>
      <c r="R217" s="378"/>
      <c r="S217" s="378"/>
      <c r="T217" s="378"/>
      <c r="U217" s="378"/>
      <c r="V217" s="378"/>
      <c r="W217" s="378"/>
      <c r="X217" s="378"/>
      <c r="Y217" s="378"/>
      <c r="Z217" s="378"/>
      <c r="AA217" s="378"/>
      <c r="AB217" s="378"/>
      <c r="AC217" s="378"/>
      <c r="AD217" s="378"/>
      <c r="AE217" s="378"/>
      <c r="AF217" s="378"/>
    </row>
    <row r="218" spans="2:32">
      <c r="B218" s="378"/>
      <c r="C218" s="434"/>
      <c r="D218" s="432"/>
      <c r="F218" s="378"/>
      <c r="G218" s="378"/>
      <c r="H218" s="378"/>
      <c r="I218" s="378"/>
      <c r="J218" s="378"/>
      <c r="K218" s="378"/>
      <c r="L218" s="378"/>
      <c r="M218" s="378"/>
      <c r="N218" s="378"/>
      <c r="O218" s="378"/>
      <c r="P218" s="378"/>
      <c r="Q218" s="378"/>
      <c r="R218" s="378"/>
      <c r="S218" s="378"/>
      <c r="T218" s="378"/>
      <c r="U218" s="378"/>
      <c r="V218" s="378"/>
      <c r="W218" s="378"/>
      <c r="X218" s="378"/>
      <c r="Y218" s="378"/>
      <c r="Z218" s="378"/>
      <c r="AA218" s="378"/>
      <c r="AB218" s="378"/>
      <c r="AC218" s="378"/>
      <c r="AD218" s="378"/>
      <c r="AE218" s="378"/>
      <c r="AF218" s="378"/>
    </row>
    <row r="219" spans="2:32">
      <c r="B219" s="378"/>
      <c r="C219" s="434"/>
      <c r="D219" s="432"/>
      <c r="F219" s="378"/>
      <c r="G219" s="378"/>
      <c r="H219" s="378"/>
      <c r="I219" s="378"/>
      <c r="J219" s="378"/>
      <c r="K219" s="378"/>
      <c r="L219" s="378"/>
      <c r="M219" s="378"/>
      <c r="N219" s="378"/>
      <c r="O219" s="378"/>
      <c r="P219" s="378"/>
      <c r="Q219" s="378"/>
      <c r="R219" s="378"/>
      <c r="S219" s="378"/>
      <c r="T219" s="378"/>
      <c r="U219" s="378"/>
      <c r="V219" s="378"/>
      <c r="W219" s="378"/>
      <c r="X219" s="378"/>
      <c r="Y219" s="378"/>
      <c r="Z219" s="378"/>
      <c r="AA219" s="378"/>
      <c r="AB219" s="378"/>
      <c r="AC219" s="378"/>
      <c r="AD219" s="378"/>
      <c r="AE219" s="378"/>
      <c r="AF219" s="378"/>
    </row>
    <row r="220" spans="2:32">
      <c r="B220" s="378"/>
      <c r="C220" s="434"/>
      <c r="D220" s="432"/>
      <c r="F220" s="378"/>
      <c r="G220" s="378"/>
      <c r="H220" s="378"/>
      <c r="I220" s="378"/>
      <c r="J220" s="378"/>
      <c r="K220" s="378"/>
      <c r="L220" s="378"/>
      <c r="M220" s="378"/>
      <c r="N220" s="378"/>
      <c r="O220" s="378"/>
      <c r="P220" s="378"/>
      <c r="Q220" s="378"/>
      <c r="R220" s="378"/>
      <c r="S220" s="378"/>
      <c r="T220" s="378"/>
      <c r="U220" s="378"/>
      <c r="V220" s="378"/>
      <c r="W220" s="378"/>
      <c r="X220" s="378"/>
      <c r="Y220" s="378"/>
      <c r="Z220" s="378"/>
      <c r="AA220" s="378"/>
      <c r="AB220" s="378"/>
      <c r="AC220" s="378"/>
      <c r="AD220" s="378"/>
      <c r="AE220" s="378"/>
      <c r="AF220" s="378"/>
    </row>
    <row r="221" spans="2:32">
      <c r="B221" s="378"/>
      <c r="C221" s="434"/>
      <c r="D221" s="432"/>
      <c r="F221" s="378"/>
      <c r="G221" s="378"/>
      <c r="H221" s="378"/>
      <c r="I221" s="378"/>
      <c r="J221" s="378"/>
      <c r="K221" s="378"/>
      <c r="L221" s="378"/>
      <c r="M221" s="378"/>
      <c r="N221" s="378"/>
      <c r="O221" s="378"/>
      <c r="P221" s="378"/>
      <c r="Q221" s="378"/>
      <c r="R221" s="378"/>
      <c r="S221" s="378"/>
      <c r="T221" s="378"/>
      <c r="U221" s="378"/>
      <c r="V221" s="378"/>
      <c r="W221" s="378"/>
      <c r="X221" s="378"/>
      <c r="Y221" s="378"/>
      <c r="Z221" s="378"/>
      <c r="AA221" s="378"/>
      <c r="AB221" s="378"/>
      <c r="AC221" s="378"/>
      <c r="AD221" s="378"/>
      <c r="AE221" s="378"/>
      <c r="AF221" s="378"/>
    </row>
    <row r="222" spans="2:32">
      <c r="B222" s="378"/>
      <c r="C222" s="434"/>
      <c r="D222" s="432"/>
      <c r="F222" s="378"/>
      <c r="G222" s="378"/>
      <c r="H222" s="378"/>
      <c r="I222" s="378"/>
      <c r="J222" s="378"/>
      <c r="K222" s="378"/>
      <c r="L222" s="378"/>
      <c r="M222" s="378"/>
      <c r="N222" s="378"/>
      <c r="O222" s="378"/>
      <c r="P222" s="378"/>
      <c r="Q222" s="378"/>
      <c r="R222" s="378"/>
      <c r="S222" s="378"/>
      <c r="T222" s="378"/>
      <c r="U222" s="378"/>
      <c r="V222" s="378"/>
      <c r="W222" s="378"/>
      <c r="X222" s="378"/>
      <c r="Y222" s="378"/>
      <c r="Z222" s="378"/>
      <c r="AA222" s="378"/>
      <c r="AB222" s="378"/>
      <c r="AC222" s="378"/>
      <c r="AD222" s="378"/>
      <c r="AE222" s="378"/>
      <c r="AF222" s="378"/>
    </row>
    <row r="223" spans="2:32">
      <c r="B223" s="378"/>
      <c r="C223" s="434"/>
      <c r="D223" s="432"/>
      <c r="F223" s="378"/>
      <c r="G223" s="378"/>
      <c r="H223" s="378"/>
      <c r="I223" s="378"/>
      <c r="J223" s="378"/>
      <c r="K223" s="378"/>
      <c r="L223" s="378"/>
      <c r="M223" s="378"/>
      <c r="N223" s="378"/>
      <c r="O223" s="378"/>
      <c r="P223" s="378"/>
      <c r="Q223" s="378"/>
      <c r="R223" s="378"/>
      <c r="S223" s="378"/>
      <c r="T223" s="378"/>
      <c r="U223" s="378"/>
      <c r="V223" s="378"/>
      <c r="W223" s="378"/>
      <c r="X223" s="378"/>
      <c r="Y223" s="378"/>
      <c r="Z223" s="378"/>
      <c r="AA223" s="378"/>
      <c r="AB223" s="378"/>
      <c r="AC223" s="378"/>
      <c r="AD223" s="378"/>
      <c r="AE223" s="378"/>
      <c r="AF223" s="378"/>
    </row>
    <row r="224" spans="2:32">
      <c r="B224" s="378"/>
      <c r="C224" s="434"/>
      <c r="D224" s="433"/>
      <c r="F224" s="378"/>
      <c r="G224" s="378"/>
      <c r="H224" s="378"/>
      <c r="I224" s="378"/>
      <c r="J224" s="378"/>
      <c r="K224" s="378"/>
      <c r="L224" s="378"/>
      <c r="M224" s="378"/>
      <c r="N224" s="378"/>
      <c r="O224" s="378"/>
      <c r="P224" s="378"/>
      <c r="Q224" s="378"/>
      <c r="R224" s="378"/>
      <c r="S224" s="378"/>
      <c r="T224" s="378"/>
      <c r="U224" s="378"/>
      <c r="V224" s="378"/>
      <c r="W224" s="378"/>
      <c r="X224" s="378"/>
      <c r="Y224" s="378"/>
      <c r="Z224" s="378"/>
      <c r="AA224" s="378"/>
      <c r="AB224" s="378"/>
      <c r="AC224" s="378"/>
      <c r="AD224" s="378"/>
      <c r="AE224" s="378"/>
      <c r="AF224" s="378"/>
    </row>
    <row r="225" spans="2:32">
      <c r="B225" s="378"/>
      <c r="C225" s="434"/>
      <c r="D225" s="432"/>
      <c r="F225" s="378"/>
      <c r="G225" s="378"/>
      <c r="H225" s="378"/>
      <c r="I225" s="378"/>
      <c r="J225" s="378"/>
      <c r="K225" s="378"/>
      <c r="L225" s="378"/>
      <c r="M225" s="378"/>
      <c r="N225" s="378"/>
      <c r="O225" s="378"/>
      <c r="P225" s="378"/>
      <c r="Q225" s="378"/>
      <c r="R225" s="378"/>
      <c r="S225" s="378"/>
      <c r="T225" s="378"/>
      <c r="U225" s="378"/>
      <c r="V225" s="378"/>
      <c r="W225" s="378"/>
      <c r="X225" s="378"/>
      <c r="Y225" s="378"/>
      <c r="Z225" s="378"/>
      <c r="AA225" s="378"/>
      <c r="AB225" s="378"/>
      <c r="AC225" s="378"/>
      <c r="AD225" s="378"/>
      <c r="AE225" s="378"/>
      <c r="AF225" s="378"/>
    </row>
    <row r="226" spans="2:32">
      <c r="B226" s="378"/>
      <c r="C226" s="434"/>
      <c r="D226" s="432"/>
      <c r="F226" s="378"/>
      <c r="G226" s="378"/>
      <c r="H226" s="378"/>
      <c r="I226" s="378"/>
      <c r="J226" s="378"/>
      <c r="K226" s="378"/>
      <c r="L226" s="378"/>
      <c r="M226" s="378"/>
      <c r="N226" s="378"/>
      <c r="O226" s="378"/>
      <c r="P226" s="378"/>
      <c r="Q226" s="378"/>
      <c r="R226" s="378"/>
      <c r="S226" s="378"/>
      <c r="T226" s="378"/>
      <c r="U226" s="378"/>
      <c r="V226" s="378"/>
      <c r="W226" s="378"/>
      <c r="X226" s="378"/>
      <c r="Y226" s="378"/>
      <c r="Z226" s="378"/>
      <c r="AA226" s="378"/>
      <c r="AB226" s="378"/>
      <c r="AC226" s="378"/>
      <c r="AD226" s="378"/>
      <c r="AE226" s="378"/>
      <c r="AF226" s="378"/>
    </row>
    <row r="227" spans="2:32">
      <c r="B227" s="378"/>
      <c r="C227" s="434"/>
      <c r="D227" s="432"/>
      <c r="F227" s="378"/>
      <c r="G227" s="378"/>
      <c r="H227" s="378"/>
      <c r="I227" s="378"/>
      <c r="J227" s="378"/>
      <c r="K227" s="378"/>
      <c r="L227" s="378"/>
      <c r="M227" s="378"/>
      <c r="N227" s="378"/>
      <c r="O227" s="378"/>
      <c r="P227" s="378"/>
      <c r="Q227" s="378"/>
      <c r="R227" s="378"/>
      <c r="S227" s="378"/>
      <c r="T227" s="378"/>
      <c r="U227" s="378"/>
      <c r="V227" s="378"/>
      <c r="W227" s="378"/>
      <c r="X227" s="378"/>
      <c r="Y227" s="378"/>
      <c r="Z227" s="378"/>
      <c r="AA227" s="378"/>
      <c r="AB227" s="378"/>
      <c r="AC227" s="378"/>
      <c r="AD227" s="378"/>
      <c r="AE227" s="378"/>
      <c r="AF227" s="378"/>
    </row>
    <row r="228" spans="2:32">
      <c r="B228" s="378"/>
      <c r="C228" s="434"/>
      <c r="D228" s="432"/>
      <c r="F228" s="378"/>
      <c r="G228" s="378"/>
      <c r="H228" s="378"/>
      <c r="I228" s="378"/>
      <c r="J228" s="378"/>
      <c r="K228" s="378"/>
      <c r="L228" s="378"/>
      <c r="M228" s="378"/>
      <c r="N228" s="378"/>
      <c r="O228" s="378"/>
      <c r="P228" s="378"/>
      <c r="Q228" s="378"/>
      <c r="R228" s="378"/>
      <c r="S228" s="378"/>
      <c r="T228" s="378"/>
      <c r="U228" s="378"/>
      <c r="V228" s="378"/>
      <c r="W228" s="378"/>
      <c r="X228" s="378"/>
      <c r="Y228" s="378"/>
      <c r="Z228" s="378"/>
      <c r="AA228" s="378"/>
      <c r="AB228" s="378"/>
      <c r="AC228" s="378"/>
      <c r="AD228" s="378"/>
      <c r="AE228" s="378"/>
      <c r="AF228" s="378"/>
    </row>
    <row r="229" spans="2:32">
      <c r="B229" s="378"/>
      <c r="C229" s="434"/>
      <c r="D229" s="432"/>
      <c r="F229" s="378"/>
      <c r="G229" s="378"/>
      <c r="H229" s="378"/>
      <c r="I229" s="378"/>
      <c r="J229" s="378"/>
      <c r="K229" s="378"/>
      <c r="L229" s="378"/>
      <c r="M229" s="378"/>
      <c r="N229" s="378"/>
      <c r="O229" s="378"/>
      <c r="P229" s="378"/>
      <c r="Q229" s="378"/>
      <c r="R229" s="378"/>
      <c r="S229" s="378"/>
      <c r="T229" s="378"/>
      <c r="U229" s="378"/>
      <c r="V229" s="378"/>
      <c r="W229" s="378"/>
      <c r="X229" s="378"/>
      <c r="Y229" s="378"/>
      <c r="Z229" s="378"/>
      <c r="AA229" s="378"/>
      <c r="AB229" s="378"/>
      <c r="AC229" s="378"/>
      <c r="AD229" s="378"/>
      <c r="AE229" s="378"/>
      <c r="AF229" s="378"/>
    </row>
    <row r="230" spans="2:32">
      <c r="B230" s="378"/>
      <c r="C230" s="434"/>
      <c r="D230" s="432"/>
      <c r="F230" s="378"/>
      <c r="G230" s="378"/>
      <c r="H230" s="378"/>
      <c r="I230" s="378"/>
      <c r="J230" s="378"/>
      <c r="K230" s="378"/>
      <c r="L230" s="378"/>
      <c r="M230" s="378"/>
      <c r="N230" s="378"/>
      <c r="O230" s="378"/>
      <c r="P230" s="378"/>
      <c r="Q230" s="378"/>
      <c r="R230" s="378"/>
      <c r="S230" s="378"/>
      <c r="T230" s="378"/>
      <c r="U230" s="378"/>
      <c r="V230" s="378"/>
      <c r="W230" s="378"/>
      <c r="X230" s="378"/>
      <c r="Y230" s="378"/>
      <c r="Z230" s="378"/>
      <c r="AA230" s="378"/>
      <c r="AB230" s="378"/>
      <c r="AC230" s="378"/>
      <c r="AD230" s="378"/>
      <c r="AE230" s="378"/>
      <c r="AF230" s="378"/>
    </row>
    <row r="231" spans="2:32">
      <c r="B231" s="378"/>
      <c r="C231" s="434"/>
      <c r="D231" s="432"/>
      <c r="F231" s="378"/>
      <c r="G231" s="378"/>
      <c r="H231" s="378"/>
      <c r="I231" s="378"/>
      <c r="J231" s="378"/>
      <c r="K231" s="378"/>
      <c r="L231" s="378"/>
      <c r="M231" s="378"/>
      <c r="N231" s="378"/>
      <c r="O231" s="378"/>
      <c r="P231" s="378"/>
      <c r="Q231" s="378"/>
      <c r="R231" s="378"/>
      <c r="S231" s="378"/>
      <c r="T231" s="378"/>
      <c r="U231" s="378"/>
      <c r="V231" s="378"/>
      <c r="W231" s="378"/>
      <c r="X231" s="378"/>
      <c r="Y231" s="378"/>
      <c r="Z231" s="378"/>
      <c r="AA231" s="378"/>
      <c r="AB231" s="378"/>
      <c r="AC231" s="378"/>
      <c r="AD231" s="378"/>
      <c r="AE231" s="378"/>
      <c r="AF231" s="378"/>
    </row>
    <row r="232" spans="2:32">
      <c r="B232" s="378"/>
      <c r="C232" s="434"/>
      <c r="D232" s="432"/>
      <c r="F232" s="378"/>
      <c r="G232" s="378"/>
      <c r="H232" s="378"/>
      <c r="I232" s="378"/>
      <c r="J232" s="378"/>
      <c r="K232" s="378"/>
      <c r="L232" s="378"/>
      <c r="M232" s="378"/>
      <c r="N232" s="378"/>
      <c r="O232" s="378"/>
      <c r="P232" s="378"/>
      <c r="Q232" s="378"/>
      <c r="R232" s="378"/>
      <c r="S232" s="378"/>
      <c r="T232" s="378"/>
      <c r="U232" s="378"/>
      <c r="V232" s="378"/>
      <c r="W232" s="378"/>
      <c r="X232" s="378"/>
      <c r="Y232" s="378"/>
      <c r="Z232" s="378"/>
      <c r="AA232" s="378"/>
      <c r="AB232" s="378"/>
      <c r="AC232" s="378"/>
      <c r="AD232" s="378"/>
      <c r="AE232" s="378"/>
      <c r="AF232" s="378"/>
    </row>
    <row r="233" spans="2:32">
      <c r="B233" s="378"/>
      <c r="C233" s="434"/>
      <c r="D233" s="432"/>
      <c r="F233" s="378"/>
      <c r="G233" s="378"/>
      <c r="H233" s="378"/>
      <c r="I233" s="378"/>
      <c r="J233" s="378"/>
      <c r="K233" s="378"/>
      <c r="L233" s="378"/>
      <c r="M233" s="378"/>
      <c r="N233" s="378"/>
      <c r="O233" s="378"/>
      <c r="P233" s="378"/>
      <c r="Q233" s="378"/>
      <c r="R233" s="378"/>
      <c r="S233" s="378"/>
      <c r="T233" s="378"/>
      <c r="U233" s="378"/>
      <c r="V233" s="378"/>
      <c r="W233" s="378"/>
      <c r="X233" s="378"/>
      <c r="Y233" s="378"/>
      <c r="Z233" s="378"/>
      <c r="AA233" s="378"/>
      <c r="AB233" s="378"/>
      <c r="AC233" s="378"/>
      <c r="AD233" s="378"/>
      <c r="AE233" s="378"/>
      <c r="AF233" s="378"/>
    </row>
    <row r="234" spans="2:32">
      <c r="B234" s="378"/>
      <c r="C234" s="434"/>
      <c r="D234" s="433"/>
      <c r="F234" s="378"/>
      <c r="G234" s="378"/>
      <c r="H234" s="378"/>
      <c r="I234" s="378"/>
      <c r="J234" s="378"/>
      <c r="K234" s="378"/>
      <c r="L234" s="378"/>
      <c r="M234" s="378"/>
      <c r="N234" s="378"/>
      <c r="O234" s="378"/>
      <c r="P234" s="378"/>
      <c r="Q234" s="378"/>
      <c r="R234" s="378"/>
      <c r="S234" s="378"/>
      <c r="T234" s="378"/>
      <c r="U234" s="378"/>
      <c r="V234" s="378"/>
      <c r="W234" s="378"/>
      <c r="X234" s="378"/>
      <c r="Y234" s="378"/>
      <c r="Z234" s="378"/>
      <c r="AA234" s="378"/>
      <c r="AB234" s="378"/>
      <c r="AC234" s="378"/>
      <c r="AD234" s="378"/>
      <c r="AE234" s="378"/>
      <c r="AF234" s="378"/>
    </row>
    <row r="235" spans="2:32">
      <c r="B235" s="378"/>
      <c r="C235" s="434"/>
      <c r="D235" s="432"/>
      <c r="F235" s="378"/>
      <c r="G235" s="378"/>
      <c r="H235" s="378"/>
      <c r="I235" s="378"/>
      <c r="J235" s="378"/>
      <c r="K235" s="378"/>
      <c r="L235" s="378"/>
      <c r="M235" s="378"/>
      <c r="N235" s="378"/>
      <c r="O235" s="378"/>
      <c r="P235" s="378"/>
      <c r="Q235" s="378"/>
      <c r="R235" s="378"/>
      <c r="S235" s="378"/>
      <c r="T235" s="378"/>
      <c r="U235" s="378"/>
      <c r="V235" s="378"/>
      <c r="W235" s="378"/>
      <c r="X235" s="378"/>
      <c r="Y235" s="378"/>
      <c r="Z235" s="378"/>
      <c r="AA235" s="378"/>
      <c r="AB235" s="378"/>
      <c r="AC235" s="378"/>
      <c r="AD235" s="378"/>
      <c r="AE235" s="378"/>
      <c r="AF235" s="378"/>
    </row>
    <row r="236" spans="2:32">
      <c r="B236" s="378"/>
      <c r="C236" s="434"/>
      <c r="D236" s="433"/>
      <c r="F236" s="378"/>
      <c r="G236" s="378"/>
      <c r="H236" s="378"/>
      <c r="I236" s="378"/>
      <c r="J236" s="378"/>
      <c r="K236" s="378"/>
      <c r="L236" s="378"/>
      <c r="M236" s="378"/>
      <c r="N236" s="378"/>
      <c r="O236" s="378"/>
      <c r="P236" s="378"/>
      <c r="Q236" s="378"/>
      <c r="R236" s="378"/>
      <c r="S236" s="378"/>
      <c r="T236" s="378"/>
      <c r="U236" s="378"/>
      <c r="V236" s="378"/>
      <c r="W236" s="378"/>
      <c r="X236" s="378"/>
      <c r="Y236" s="378"/>
      <c r="Z236" s="378"/>
      <c r="AA236" s="378"/>
      <c r="AB236" s="378"/>
      <c r="AC236" s="378"/>
      <c r="AD236" s="378"/>
      <c r="AE236" s="378"/>
      <c r="AF236" s="378"/>
    </row>
    <row r="237" spans="2:32">
      <c r="B237" s="378"/>
      <c r="C237" s="434"/>
      <c r="D237" s="432"/>
      <c r="F237" s="378"/>
      <c r="G237" s="378"/>
      <c r="H237" s="378"/>
      <c r="I237" s="378"/>
      <c r="J237" s="378"/>
      <c r="K237" s="378"/>
      <c r="L237" s="378"/>
      <c r="M237" s="378"/>
      <c r="N237" s="378"/>
      <c r="O237" s="378"/>
      <c r="P237" s="378"/>
      <c r="Q237" s="378"/>
      <c r="R237" s="378"/>
      <c r="S237" s="378"/>
      <c r="T237" s="378"/>
      <c r="U237" s="378"/>
      <c r="V237" s="378"/>
      <c r="W237" s="378"/>
      <c r="X237" s="378"/>
      <c r="Y237" s="378"/>
      <c r="Z237" s="378"/>
      <c r="AA237" s="378"/>
      <c r="AB237" s="378"/>
      <c r="AC237" s="378"/>
      <c r="AD237" s="378"/>
      <c r="AE237" s="378"/>
      <c r="AF237" s="378"/>
    </row>
    <row r="238" spans="2:32">
      <c r="B238" s="378"/>
      <c r="C238" s="434"/>
      <c r="D238" s="432"/>
      <c r="F238" s="378"/>
      <c r="G238" s="378"/>
      <c r="H238" s="378"/>
      <c r="I238" s="378"/>
      <c r="J238" s="378"/>
      <c r="K238" s="378"/>
      <c r="L238" s="378"/>
      <c r="M238" s="378"/>
      <c r="N238" s="378"/>
      <c r="O238" s="378"/>
      <c r="P238" s="378"/>
      <c r="Q238" s="378"/>
      <c r="R238" s="378"/>
      <c r="S238" s="378"/>
      <c r="T238" s="378"/>
      <c r="U238" s="378"/>
      <c r="V238" s="378"/>
      <c r="W238" s="378"/>
      <c r="X238" s="378"/>
      <c r="Y238" s="378"/>
      <c r="Z238" s="378"/>
      <c r="AA238" s="378"/>
      <c r="AB238" s="378"/>
      <c r="AC238" s="378"/>
      <c r="AD238" s="378"/>
      <c r="AE238" s="378"/>
      <c r="AF238" s="378"/>
    </row>
    <row r="239" spans="2:32">
      <c r="B239" s="378"/>
      <c r="C239" s="434"/>
      <c r="D239" s="432"/>
      <c r="F239" s="378"/>
      <c r="G239" s="378"/>
      <c r="H239" s="378"/>
      <c r="I239" s="378"/>
      <c r="J239" s="378"/>
      <c r="K239" s="378"/>
      <c r="L239" s="378"/>
      <c r="M239" s="378"/>
      <c r="N239" s="378"/>
      <c r="O239" s="378"/>
      <c r="P239" s="378"/>
      <c r="Q239" s="378"/>
      <c r="R239" s="378"/>
      <c r="S239" s="378"/>
      <c r="T239" s="378"/>
      <c r="U239" s="378"/>
      <c r="V239" s="378"/>
      <c r="W239" s="378"/>
      <c r="X239" s="378"/>
      <c r="Y239" s="378"/>
      <c r="Z239" s="378"/>
      <c r="AA239" s="378"/>
      <c r="AB239" s="378"/>
      <c r="AC239" s="378"/>
      <c r="AD239" s="378"/>
      <c r="AE239" s="378"/>
      <c r="AF239" s="378"/>
    </row>
    <row r="240" spans="2:32">
      <c r="B240" s="378"/>
      <c r="C240" s="434"/>
      <c r="D240" s="432"/>
      <c r="F240" s="378"/>
      <c r="G240" s="378"/>
      <c r="H240" s="378"/>
      <c r="I240" s="378"/>
      <c r="J240" s="378"/>
      <c r="K240" s="378"/>
      <c r="L240" s="378"/>
      <c r="M240" s="378"/>
      <c r="N240" s="378"/>
      <c r="O240" s="378"/>
      <c r="P240" s="378"/>
      <c r="Q240" s="378"/>
      <c r="R240" s="378"/>
      <c r="S240" s="378"/>
      <c r="T240" s="378"/>
      <c r="U240" s="378"/>
      <c r="V240" s="378"/>
      <c r="W240" s="378"/>
      <c r="X240" s="378"/>
      <c r="Y240" s="378"/>
      <c r="Z240" s="378"/>
      <c r="AA240" s="378"/>
      <c r="AB240" s="378"/>
      <c r="AC240" s="378"/>
      <c r="AD240" s="378"/>
      <c r="AE240" s="378"/>
      <c r="AF240" s="378"/>
    </row>
    <row r="241" spans="2:32">
      <c r="B241" s="378"/>
      <c r="C241" s="434"/>
      <c r="D241" s="432"/>
      <c r="F241" s="378"/>
      <c r="G241" s="378"/>
      <c r="H241" s="378"/>
      <c r="I241" s="378"/>
      <c r="J241" s="378"/>
      <c r="K241" s="378"/>
      <c r="L241" s="378"/>
      <c r="M241" s="378"/>
      <c r="N241" s="378"/>
      <c r="O241" s="378"/>
      <c r="P241" s="378"/>
      <c r="Q241" s="378"/>
      <c r="R241" s="378"/>
      <c r="S241" s="378"/>
      <c r="T241" s="378"/>
      <c r="U241" s="378"/>
      <c r="V241" s="378"/>
      <c r="W241" s="378"/>
      <c r="X241" s="378"/>
      <c r="Y241" s="378"/>
      <c r="Z241" s="378"/>
      <c r="AA241" s="378"/>
      <c r="AB241" s="378"/>
      <c r="AC241" s="378"/>
      <c r="AD241" s="378"/>
      <c r="AE241" s="378"/>
      <c r="AF241" s="378"/>
    </row>
    <row r="242" spans="2:32">
      <c r="B242" s="378"/>
      <c r="C242" s="434"/>
      <c r="D242" s="432"/>
      <c r="F242" s="378"/>
      <c r="G242" s="378"/>
      <c r="H242" s="378"/>
      <c r="I242" s="378"/>
      <c r="J242" s="378"/>
      <c r="K242" s="378"/>
      <c r="L242" s="378"/>
      <c r="M242" s="378"/>
      <c r="N242" s="378"/>
      <c r="O242" s="378"/>
      <c r="P242" s="378"/>
      <c r="Q242" s="378"/>
      <c r="R242" s="378"/>
      <c r="S242" s="378"/>
      <c r="T242" s="378"/>
      <c r="U242" s="378"/>
      <c r="V242" s="378"/>
      <c r="W242" s="378"/>
      <c r="X242" s="378"/>
      <c r="Y242" s="378"/>
      <c r="Z242" s="378"/>
      <c r="AA242" s="378"/>
      <c r="AB242" s="378"/>
      <c r="AC242" s="378"/>
      <c r="AD242" s="378"/>
      <c r="AE242" s="378"/>
      <c r="AF242" s="378"/>
    </row>
    <row r="243" spans="2:32">
      <c r="B243" s="378"/>
      <c r="C243" s="434"/>
      <c r="D243" s="432"/>
      <c r="F243" s="378"/>
      <c r="G243" s="378"/>
      <c r="H243" s="378"/>
      <c r="I243" s="378"/>
      <c r="J243" s="378"/>
      <c r="K243" s="378"/>
      <c r="L243" s="378"/>
      <c r="M243" s="378"/>
      <c r="N243" s="378"/>
      <c r="O243" s="378"/>
      <c r="P243" s="378"/>
      <c r="Q243" s="378"/>
      <c r="R243" s="378"/>
      <c r="S243" s="378"/>
      <c r="T243" s="378"/>
      <c r="U243" s="378"/>
      <c r="V243" s="378"/>
      <c r="W243" s="378"/>
      <c r="X243" s="378"/>
      <c r="Y243" s="378"/>
      <c r="Z243" s="378"/>
      <c r="AA243" s="378"/>
      <c r="AB243" s="378"/>
      <c r="AC243" s="378"/>
      <c r="AD243" s="378"/>
      <c r="AE243" s="378"/>
      <c r="AF243" s="378"/>
    </row>
    <row r="244" spans="2:32">
      <c r="B244" s="378"/>
      <c r="C244" s="434"/>
      <c r="D244" s="432"/>
      <c r="F244" s="378"/>
      <c r="G244" s="378"/>
      <c r="H244" s="378"/>
      <c r="I244" s="378"/>
      <c r="J244" s="378"/>
      <c r="K244" s="378"/>
      <c r="L244" s="378"/>
      <c r="M244" s="378"/>
      <c r="N244" s="378"/>
      <c r="O244" s="378"/>
      <c r="P244" s="378"/>
      <c r="Q244" s="378"/>
      <c r="R244" s="378"/>
      <c r="S244" s="378"/>
      <c r="T244" s="378"/>
      <c r="U244" s="378"/>
      <c r="V244" s="378"/>
      <c r="W244" s="378"/>
      <c r="X244" s="378"/>
      <c r="Y244" s="378"/>
      <c r="Z244" s="378"/>
      <c r="AA244" s="378"/>
      <c r="AB244" s="378"/>
      <c r="AC244" s="378"/>
      <c r="AD244" s="378"/>
      <c r="AE244" s="378"/>
      <c r="AF244" s="378"/>
    </row>
    <row r="245" spans="2:32">
      <c r="B245" s="378"/>
      <c r="C245" s="434"/>
      <c r="D245" s="432"/>
      <c r="F245" s="378"/>
      <c r="G245" s="378"/>
      <c r="H245" s="378"/>
      <c r="I245" s="378"/>
      <c r="J245" s="378"/>
      <c r="K245" s="378"/>
      <c r="L245" s="378"/>
      <c r="M245" s="378"/>
      <c r="N245" s="378"/>
      <c r="O245" s="378"/>
      <c r="P245" s="378"/>
      <c r="Q245" s="378"/>
      <c r="R245" s="378"/>
      <c r="S245" s="378"/>
      <c r="T245" s="378"/>
      <c r="U245" s="378"/>
      <c r="V245" s="378"/>
      <c r="W245" s="378"/>
      <c r="X245" s="378"/>
      <c r="Y245" s="378"/>
      <c r="Z245" s="378"/>
      <c r="AA245" s="378"/>
      <c r="AB245" s="378"/>
      <c r="AC245" s="378"/>
      <c r="AD245" s="378"/>
      <c r="AE245" s="378"/>
      <c r="AF245" s="378"/>
    </row>
    <row r="246" spans="2:32">
      <c r="B246" s="378"/>
      <c r="C246" s="434"/>
      <c r="D246" s="433"/>
      <c r="F246" s="378"/>
      <c r="G246" s="378"/>
      <c r="H246" s="378"/>
      <c r="I246" s="378"/>
      <c r="J246" s="378"/>
      <c r="K246" s="378"/>
      <c r="L246" s="378"/>
      <c r="M246" s="378"/>
      <c r="N246" s="378"/>
      <c r="O246" s="378"/>
      <c r="P246" s="378"/>
      <c r="Q246" s="378"/>
      <c r="R246" s="378"/>
      <c r="S246" s="378"/>
      <c r="T246" s="378"/>
      <c r="U246" s="378"/>
      <c r="V246" s="378"/>
      <c r="W246" s="378"/>
      <c r="X246" s="378"/>
      <c r="Y246" s="378"/>
      <c r="Z246" s="378"/>
      <c r="AA246" s="378"/>
      <c r="AB246" s="378"/>
      <c r="AC246" s="378"/>
      <c r="AD246" s="378"/>
      <c r="AE246" s="378"/>
      <c r="AF246" s="378"/>
    </row>
    <row r="247" spans="2:32">
      <c r="B247" s="378"/>
      <c r="C247" s="434"/>
      <c r="D247" s="432"/>
      <c r="F247" s="378"/>
      <c r="G247" s="378"/>
      <c r="H247" s="378"/>
      <c r="I247" s="378"/>
      <c r="J247" s="378"/>
      <c r="K247" s="378"/>
      <c r="L247" s="378"/>
      <c r="M247" s="378"/>
      <c r="N247" s="378"/>
      <c r="O247" s="378"/>
      <c r="P247" s="378"/>
      <c r="Q247" s="378"/>
      <c r="R247" s="378"/>
      <c r="S247" s="378"/>
      <c r="T247" s="378"/>
      <c r="U247" s="378"/>
      <c r="V247" s="378"/>
      <c r="W247" s="378"/>
      <c r="X247" s="378"/>
      <c r="Y247" s="378"/>
      <c r="Z247" s="378"/>
      <c r="AA247" s="378"/>
      <c r="AB247" s="378"/>
      <c r="AC247" s="378"/>
      <c r="AD247" s="378"/>
      <c r="AE247" s="378"/>
      <c r="AF247" s="378"/>
    </row>
    <row r="248" spans="2:32">
      <c r="B248" s="378"/>
      <c r="C248" s="434"/>
      <c r="D248" s="432"/>
      <c r="F248" s="378"/>
      <c r="G248" s="378"/>
      <c r="H248" s="378"/>
      <c r="I248" s="378"/>
      <c r="J248" s="378"/>
      <c r="K248" s="378"/>
      <c r="L248" s="378"/>
      <c r="M248" s="378"/>
      <c r="N248" s="378"/>
      <c r="O248" s="378"/>
      <c r="P248" s="378"/>
      <c r="Q248" s="378"/>
      <c r="R248" s="378"/>
      <c r="S248" s="378"/>
      <c r="T248" s="378"/>
      <c r="U248" s="378"/>
      <c r="V248" s="378"/>
      <c r="W248" s="378"/>
      <c r="X248" s="378"/>
      <c r="Y248" s="378"/>
      <c r="Z248" s="378"/>
      <c r="AA248" s="378"/>
      <c r="AB248" s="378"/>
      <c r="AC248" s="378"/>
      <c r="AD248" s="378"/>
      <c r="AE248" s="378"/>
      <c r="AF248" s="378"/>
    </row>
    <row r="249" spans="2:32">
      <c r="B249" s="378"/>
      <c r="C249" s="434"/>
      <c r="D249" s="427"/>
      <c r="F249" s="378"/>
      <c r="G249" s="378"/>
      <c r="H249" s="378"/>
      <c r="I249" s="378"/>
      <c r="J249" s="378"/>
      <c r="K249" s="378"/>
      <c r="L249" s="378"/>
      <c r="M249" s="378"/>
      <c r="N249" s="378"/>
      <c r="O249" s="378"/>
      <c r="P249" s="378"/>
      <c r="Q249" s="378"/>
      <c r="R249" s="378"/>
      <c r="S249" s="378"/>
      <c r="T249" s="378"/>
      <c r="U249" s="378"/>
      <c r="V249" s="378"/>
      <c r="W249" s="378"/>
      <c r="X249" s="378"/>
      <c r="Y249" s="378"/>
      <c r="Z249" s="378"/>
      <c r="AA249" s="378"/>
      <c r="AB249" s="378"/>
      <c r="AC249" s="378"/>
      <c r="AD249" s="378"/>
      <c r="AE249" s="378"/>
      <c r="AF249" s="378"/>
    </row>
    <row r="250" spans="2:32">
      <c r="B250" s="378"/>
      <c r="C250" s="434"/>
      <c r="D250" s="432"/>
      <c r="F250" s="378"/>
      <c r="G250" s="378"/>
      <c r="H250" s="378"/>
      <c r="I250" s="378"/>
      <c r="J250" s="378"/>
      <c r="K250" s="378"/>
      <c r="L250" s="378"/>
      <c r="M250" s="378"/>
      <c r="N250" s="378"/>
      <c r="O250" s="378"/>
      <c r="P250" s="378"/>
      <c r="Q250" s="378"/>
      <c r="R250" s="378"/>
      <c r="S250" s="378"/>
      <c r="T250" s="378"/>
      <c r="U250" s="378"/>
      <c r="V250" s="378"/>
      <c r="W250" s="378"/>
      <c r="X250" s="378"/>
      <c r="Y250" s="378"/>
      <c r="Z250" s="378"/>
      <c r="AA250" s="378"/>
      <c r="AB250" s="378"/>
      <c r="AC250" s="378"/>
      <c r="AD250" s="378"/>
      <c r="AE250" s="378"/>
      <c r="AF250" s="378"/>
    </row>
    <row r="251" spans="2:32">
      <c r="B251" s="378"/>
      <c r="C251" s="434"/>
      <c r="D251" s="427"/>
      <c r="F251" s="378"/>
      <c r="G251" s="378"/>
      <c r="H251" s="378"/>
      <c r="I251" s="378"/>
      <c r="J251" s="378"/>
      <c r="K251" s="378"/>
      <c r="L251" s="378"/>
      <c r="M251" s="378"/>
      <c r="N251" s="378"/>
      <c r="O251" s="378"/>
      <c r="P251" s="378"/>
      <c r="Q251" s="378"/>
      <c r="R251" s="378"/>
      <c r="S251" s="378"/>
      <c r="T251" s="378"/>
      <c r="U251" s="378"/>
      <c r="V251" s="378"/>
      <c r="W251" s="378"/>
      <c r="X251" s="378"/>
      <c r="Y251" s="378"/>
      <c r="Z251" s="378"/>
      <c r="AA251" s="378"/>
      <c r="AB251" s="378"/>
      <c r="AC251" s="378"/>
      <c r="AD251" s="378"/>
      <c r="AE251" s="378"/>
      <c r="AF251" s="378"/>
    </row>
    <row r="252" spans="2:32">
      <c r="B252" s="378"/>
      <c r="C252" s="434"/>
      <c r="D252" s="433"/>
      <c r="F252" s="378"/>
      <c r="G252" s="378"/>
      <c r="H252" s="378"/>
      <c r="I252" s="378"/>
      <c r="J252" s="378"/>
      <c r="K252" s="378"/>
      <c r="L252" s="378"/>
      <c r="M252" s="378"/>
      <c r="N252" s="378"/>
      <c r="O252" s="378"/>
      <c r="P252" s="378"/>
      <c r="Q252" s="378"/>
      <c r="R252" s="378"/>
      <c r="S252" s="378"/>
      <c r="T252" s="378"/>
      <c r="U252" s="378"/>
      <c r="V252" s="378"/>
      <c r="W252" s="378"/>
      <c r="X252" s="378"/>
      <c r="Y252" s="378"/>
      <c r="Z252" s="378"/>
      <c r="AA252" s="378"/>
      <c r="AB252" s="378"/>
      <c r="AC252" s="378"/>
      <c r="AD252" s="378"/>
      <c r="AE252" s="378"/>
      <c r="AF252" s="378"/>
    </row>
    <row r="253" spans="2:32">
      <c r="B253" s="378"/>
      <c r="C253" s="434"/>
      <c r="D253" s="432"/>
      <c r="F253" s="378"/>
      <c r="G253" s="378"/>
      <c r="H253" s="378"/>
      <c r="I253" s="378"/>
      <c r="J253" s="378"/>
      <c r="K253" s="378"/>
      <c r="L253" s="378"/>
      <c r="M253" s="378"/>
      <c r="N253" s="378"/>
      <c r="O253" s="378"/>
      <c r="P253" s="378"/>
      <c r="Q253" s="378"/>
      <c r="R253" s="378"/>
      <c r="S253" s="378"/>
      <c r="T253" s="378"/>
      <c r="U253" s="378"/>
      <c r="V253" s="378"/>
      <c r="W253" s="378"/>
      <c r="X253" s="378"/>
      <c r="Y253" s="378"/>
      <c r="Z253" s="378"/>
      <c r="AA253" s="378"/>
      <c r="AB253" s="378"/>
      <c r="AC253" s="378"/>
      <c r="AD253" s="378"/>
      <c r="AE253" s="378"/>
      <c r="AF253" s="378"/>
    </row>
    <row r="254" spans="2:32">
      <c r="B254" s="378"/>
      <c r="C254" s="434"/>
      <c r="D254" s="432"/>
      <c r="F254" s="378"/>
      <c r="G254" s="378"/>
      <c r="H254" s="378"/>
      <c r="I254" s="378"/>
      <c r="J254" s="378"/>
      <c r="K254" s="378"/>
      <c r="L254" s="378"/>
      <c r="M254" s="378"/>
      <c r="N254" s="378"/>
      <c r="O254" s="378"/>
      <c r="P254" s="378"/>
      <c r="Q254" s="378"/>
      <c r="R254" s="378"/>
      <c r="S254" s="378"/>
      <c r="T254" s="378"/>
      <c r="U254" s="378"/>
      <c r="V254" s="378"/>
      <c r="W254" s="378"/>
      <c r="X254" s="378"/>
      <c r="Y254" s="378"/>
      <c r="Z254" s="378"/>
      <c r="AA254" s="378"/>
      <c r="AB254" s="378"/>
      <c r="AC254" s="378"/>
      <c r="AD254" s="378"/>
      <c r="AE254" s="378"/>
      <c r="AF254" s="378"/>
    </row>
    <row r="255" spans="2:32">
      <c r="B255" s="378"/>
      <c r="C255" s="434"/>
      <c r="D255" s="433"/>
      <c r="F255" s="378"/>
      <c r="G255" s="378"/>
      <c r="H255" s="378"/>
      <c r="I255" s="378"/>
      <c r="J255" s="378"/>
      <c r="K255" s="378"/>
      <c r="L255" s="378"/>
      <c r="M255" s="378"/>
      <c r="N255" s="378"/>
      <c r="O255" s="378"/>
      <c r="P255" s="378"/>
      <c r="Q255" s="378"/>
      <c r="R255" s="378"/>
      <c r="S255" s="378"/>
      <c r="T255" s="378"/>
      <c r="U255" s="378"/>
      <c r="V255" s="378"/>
      <c r="W255" s="378"/>
      <c r="X255" s="378"/>
      <c r="Y255" s="378"/>
      <c r="Z255" s="378"/>
      <c r="AA255" s="378"/>
      <c r="AB255" s="378"/>
      <c r="AC255" s="378"/>
      <c r="AD255" s="378"/>
      <c r="AE255" s="378"/>
      <c r="AF255" s="378"/>
    </row>
    <row r="256" spans="2:32">
      <c r="B256" s="378"/>
      <c r="C256" s="434"/>
      <c r="D256" s="432"/>
      <c r="F256" s="378"/>
      <c r="G256" s="378"/>
      <c r="H256" s="378"/>
      <c r="I256" s="378"/>
      <c r="J256" s="378"/>
      <c r="K256" s="378"/>
      <c r="L256" s="378"/>
      <c r="M256" s="378"/>
      <c r="N256" s="378"/>
      <c r="O256" s="378"/>
      <c r="P256" s="378"/>
      <c r="Q256" s="378"/>
      <c r="R256" s="378"/>
      <c r="S256" s="378"/>
      <c r="T256" s="378"/>
      <c r="U256" s="378"/>
      <c r="V256" s="378"/>
      <c r="W256" s="378"/>
      <c r="X256" s="378"/>
      <c r="Y256" s="378"/>
      <c r="Z256" s="378"/>
      <c r="AA256" s="378"/>
      <c r="AB256" s="378"/>
      <c r="AC256" s="378"/>
      <c r="AD256" s="378"/>
      <c r="AE256" s="378"/>
      <c r="AF256" s="378"/>
    </row>
    <row r="257" spans="2:32">
      <c r="B257" s="378"/>
      <c r="C257" s="434"/>
      <c r="D257" s="432"/>
      <c r="F257" s="378"/>
      <c r="G257" s="378"/>
      <c r="H257" s="378"/>
      <c r="I257" s="378"/>
      <c r="J257" s="378"/>
      <c r="K257" s="378"/>
      <c r="L257" s="378"/>
      <c r="M257" s="378"/>
      <c r="N257" s="378"/>
      <c r="O257" s="378"/>
      <c r="P257" s="378"/>
      <c r="Q257" s="378"/>
      <c r="R257" s="378"/>
      <c r="S257" s="378"/>
      <c r="T257" s="378"/>
      <c r="U257" s="378"/>
      <c r="V257" s="378"/>
      <c r="W257" s="378"/>
      <c r="X257" s="378"/>
      <c r="Y257" s="378"/>
      <c r="Z257" s="378"/>
      <c r="AA257" s="378"/>
      <c r="AB257" s="378"/>
      <c r="AC257" s="378"/>
      <c r="AD257" s="378"/>
      <c r="AE257" s="378"/>
      <c r="AF257" s="378"/>
    </row>
    <row r="258" spans="2:32">
      <c r="B258" s="378"/>
      <c r="C258" s="434"/>
      <c r="D258" s="432"/>
      <c r="F258" s="378"/>
      <c r="G258" s="378"/>
      <c r="H258" s="378"/>
      <c r="I258" s="378"/>
      <c r="J258" s="378"/>
      <c r="K258" s="378"/>
      <c r="L258" s="378"/>
      <c r="M258" s="378"/>
      <c r="N258" s="378"/>
      <c r="O258" s="378"/>
      <c r="P258" s="378"/>
      <c r="Q258" s="378"/>
      <c r="R258" s="378"/>
      <c r="S258" s="378"/>
      <c r="T258" s="378"/>
      <c r="U258" s="378"/>
      <c r="V258" s="378"/>
      <c r="W258" s="378"/>
      <c r="X258" s="378"/>
      <c r="Y258" s="378"/>
      <c r="Z258" s="378"/>
      <c r="AA258" s="378"/>
      <c r="AB258" s="378"/>
      <c r="AC258" s="378"/>
      <c r="AD258" s="378"/>
      <c r="AE258" s="378"/>
      <c r="AF258" s="378"/>
    </row>
    <row r="259" spans="2:32">
      <c r="B259" s="378"/>
      <c r="C259" s="434"/>
      <c r="D259" s="433"/>
      <c r="F259" s="378"/>
      <c r="G259" s="378"/>
      <c r="H259" s="378"/>
      <c r="I259" s="378"/>
      <c r="J259" s="378"/>
      <c r="K259" s="378"/>
      <c r="L259" s="378"/>
      <c r="M259" s="378"/>
      <c r="N259" s="378"/>
      <c r="O259" s="378"/>
      <c r="P259" s="378"/>
      <c r="Q259" s="378"/>
      <c r="R259" s="378"/>
      <c r="S259" s="378"/>
      <c r="T259" s="378"/>
      <c r="U259" s="378"/>
      <c r="V259" s="378"/>
      <c r="W259" s="378"/>
      <c r="X259" s="378"/>
      <c r="Y259" s="378"/>
      <c r="Z259" s="378"/>
      <c r="AA259" s="378"/>
      <c r="AB259" s="378"/>
      <c r="AC259" s="378"/>
      <c r="AD259" s="378"/>
      <c r="AE259" s="378"/>
      <c r="AF259" s="378"/>
    </row>
    <row r="260" spans="2:32">
      <c r="B260" s="378"/>
      <c r="C260" s="434"/>
      <c r="D260" s="433"/>
      <c r="F260" s="378"/>
      <c r="G260" s="378"/>
      <c r="H260" s="378"/>
      <c r="I260" s="378"/>
      <c r="J260" s="378"/>
      <c r="K260" s="378"/>
      <c r="L260" s="378"/>
      <c r="M260" s="378"/>
      <c r="N260" s="378"/>
      <c r="O260" s="378"/>
      <c r="P260" s="378"/>
      <c r="Q260" s="378"/>
      <c r="R260" s="378"/>
      <c r="S260" s="378"/>
      <c r="T260" s="378"/>
      <c r="U260" s="378"/>
      <c r="V260" s="378"/>
      <c r="W260" s="378"/>
      <c r="X260" s="378"/>
      <c r="Y260" s="378"/>
      <c r="Z260" s="378"/>
      <c r="AA260" s="378"/>
      <c r="AB260" s="378"/>
      <c r="AC260" s="378"/>
      <c r="AD260" s="378"/>
      <c r="AE260" s="378"/>
      <c r="AF260" s="378"/>
    </row>
    <row r="261" spans="2:32">
      <c r="B261" s="378"/>
      <c r="C261" s="434"/>
      <c r="D261" s="433"/>
      <c r="F261" s="378"/>
      <c r="G261" s="378"/>
      <c r="H261" s="378"/>
      <c r="I261" s="378"/>
      <c r="J261" s="378"/>
      <c r="K261" s="378"/>
      <c r="L261" s="378"/>
      <c r="M261" s="378"/>
      <c r="N261" s="378"/>
      <c r="O261" s="378"/>
      <c r="P261" s="378"/>
      <c r="Q261" s="378"/>
      <c r="R261" s="378"/>
      <c r="S261" s="378"/>
      <c r="T261" s="378"/>
      <c r="U261" s="378"/>
      <c r="V261" s="378"/>
      <c r="W261" s="378"/>
      <c r="X261" s="378"/>
      <c r="Y261" s="378"/>
      <c r="Z261" s="378"/>
      <c r="AA261" s="378"/>
      <c r="AB261" s="378"/>
      <c r="AC261" s="378"/>
      <c r="AD261" s="378"/>
      <c r="AE261" s="378"/>
      <c r="AF261" s="378"/>
    </row>
    <row r="262" spans="2:32">
      <c r="B262" s="378"/>
      <c r="C262" s="434"/>
      <c r="D262" s="432"/>
      <c r="F262" s="378"/>
      <c r="G262" s="378"/>
      <c r="H262" s="378"/>
      <c r="I262" s="378"/>
      <c r="J262" s="378"/>
      <c r="K262" s="378"/>
      <c r="L262" s="378"/>
      <c r="M262" s="378"/>
      <c r="N262" s="378"/>
      <c r="O262" s="378"/>
      <c r="P262" s="378"/>
      <c r="Q262" s="378"/>
      <c r="R262" s="378"/>
      <c r="S262" s="378"/>
      <c r="T262" s="378"/>
      <c r="U262" s="378"/>
      <c r="V262" s="378"/>
      <c r="W262" s="378"/>
      <c r="X262" s="378"/>
      <c r="Y262" s="378"/>
      <c r="Z262" s="378"/>
      <c r="AA262" s="378"/>
      <c r="AB262" s="378"/>
      <c r="AC262" s="378"/>
      <c r="AD262" s="378"/>
      <c r="AE262" s="378"/>
      <c r="AF262" s="378"/>
    </row>
    <row r="263" spans="2:32">
      <c r="B263" s="378"/>
      <c r="C263" s="434"/>
      <c r="D263" s="432"/>
      <c r="F263" s="378"/>
      <c r="G263" s="378"/>
      <c r="H263" s="378"/>
      <c r="I263" s="378"/>
      <c r="J263" s="378"/>
      <c r="K263" s="378"/>
      <c r="L263" s="378"/>
      <c r="M263" s="378"/>
      <c r="N263" s="378"/>
      <c r="O263" s="378"/>
      <c r="P263" s="378"/>
      <c r="Q263" s="378"/>
      <c r="R263" s="378"/>
      <c r="S263" s="378"/>
      <c r="T263" s="378"/>
      <c r="U263" s="378"/>
      <c r="V263" s="378"/>
      <c r="W263" s="378"/>
      <c r="X263" s="378"/>
      <c r="Y263" s="378"/>
      <c r="Z263" s="378"/>
      <c r="AA263" s="378"/>
      <c r="AB263" s="378"/>
      <c r="AC263" s="378"/>
      <c r="AD263" s="378"/>
      <c r="AE263" s="378"/>
      <c r="AF263" s="378"/>
    </row>
    <row r="264" spans="2:32">
      <c r="B264" s="378"/>
      <c r="C264" s="434"/>
      <c r="D264" s="433"/>
      <c r="F264" s="378"/>
      <c r="G264" s="378"/>
      <c r="H264" s="378"/>
      <c r="I264" s="378"/>
      <c r="J264" s="378"/>
      <c r="K264" s="378"/>
      <c r="L264" s="378"/>
      <c r="M264" s="378"/>
      <c r="N264" s="378"/>
      <c r="O264" s="378"/>
      <c r="P264" s="378"/>
      <c r="Q264" s="378"/>
      <c r="R264" s="378"/>
      <c r="S264" s="378"/>
      <c r="T264" s="378"/>
      <c r="U264" s="378"/>
      <c r="V264" s="378"/>
      <c r="W264" s="378"/>
      <c r="X264" s="378"/>
      <c r="Y264" s="378"/>
      <c r="Z264" s="378"/>
      <c r="AA264" s="378"/>
      <c r="AB264" s="378"/>
      <c r="AC264" s="378"/>
      <c r="AD264" s="378"/>
      <c r="AE264" s="378"/>
      <c r="AF264" s="378"/>
    </row>
    <row r="265" spans="2:32">
      <c r="B265" s="378"/>
      <c r="C265" s="434"/>
      <c r="D265" s="432"/>
      <c r="F265" s="378"/>
      <c r="G265" s="378"/>
      <c r="H265" s="378"/>
      <c r="I265" s="378"/>
      <c r="J265" s="378"/>
      <c r="K265" s="378"/>
      <c r="L265" s="378"/>
      <c r="M265" s="378"/>
      <c r="N265" s="378"/>
      <c r="O265" s="378"/>
      <c r="P265" s="378"/>
      <c r="Q265" s="378"/>
      <c r="R265" s="378"/>
      <c r="S265" s="378"/>
      <c r="T265" s="378"/>
      <c r="U265" s="378"/>
      <c r="V265" s="378"/>
      <c r="W265" s="378"/>
      <c r="X265" s="378"/>
      <c r="Y265" s="378"/>
      <c r="Z265" s="378"/>
      <c r="AA265" s="378"/>
      <c r="AB265" s="378"/>
      <c r="AC265" s="378"/>
      <c r="AD265" s="378"/>
      <c r="AE265" s="378"/>
      <c r="AF265" s="378"/>
    </row>
    <row r="266" spans="2:32">
      <c r="B266" s="378"/>
      <c r="C266" s="434"/>
      <c r="D266" s="432"/>
      <c r="F266" s="378"/>
      <c r="G266" s="378"/>
      <c r="H266" s="378"/>
      <c r="I266" s="378"/>
      <c r="J266" s="378"/>
      <c r="K266" s="378"/>
      <c r="L266" s="378"/>
      <c r="M266" s="378"/>
      <c r="N266" s="378"/>
      <c r="O266" s="378"/>
      <c r="P266" s="378"/>
      <c r="Q266" s="378"/>
      <c r="R266" s="378"/>
      <c r="S266" s="378"/>
      <c r="T266" s="378"/>
      <c r="U266" s="378"/>
      <c r="V266" s="378"/>
      <c r="W266" s="378"/>
      <c r="X266" s="378"/>
      <c r="Y266" s="378"/>
      <c r="Z266" s="378"/>
      <c r="AA266" s="378"/>
      <c r="AB266" s="378"/>
      <c r="AC266" s="378"/>
      <c r="AD266" s="378"/>
      <c r="AE266" s="378"/>
      <c r="AF266" s="378"/>
    </row>
    <row r="267" spans="2:32">
      <c r="B267" s="378"/>
      <c r="C267" s="434"/>
      <c r="D267" s="433"/>
      <c r="F267" s="378"/>
      <c r="G267" s="378"/>
      <c r="H267" s="378"/>
      <c r="I267" s="378"/>
      <c r="J267" s="378"/>
      <c r="K267" s="378"/>
      <c r="L267" s="378"/>
      <c r="M267" s="378"/>
      <c r="N267" s="378"/>
      <c r="O267" s="378"/>
      <c r="P267" s="378"/>
      <c r="Q267" s="378"/>
      <c r="R267" s="378"/>
      <c r="S267" s="378"/>
      <c r="T267" s="378"/>
      <c r="U267" s="378"/>
      <c r="V267" s="378"/>
      <c r="W267" s="378"/>
      <c r="X267" s="378"/>
      <c r="Y267" s="378"/>
      <c r="Z267" s="378"/>
      <c r="AA267" s="378"/>
      <c r="AB267" s="378"/>
      <c r="AC267" s="378"/>
      <c r="AD267" s="378"/>
      <c r="AE267" s="378"/>
      <c r="AF267" s="378"/>
    </row>
    <row r="268" spans="2:32">
      <c r="B268" s="378"/>
      <c r="C268" s="434"/>
      <c r="D268" s="433"/>
      <c r="F268" s="378"/>
      <c r="G268" s="378"/>
      <c r="H268" s="378"/>
      <c r="I268" s="378"/>
      <c r="J268" s="378"/>
      <c r="K268" s="378"/>
      <c r="L268" s="378"/>
      <c r="M268" s="378"/>
      <c r="N268" s="378"/>
      <c r="O268" s="378"/>
      <c r="P268" s="378"/>
      <c r="Q268" s="378"/>
      <c r="R268" s="378"/>
      <c r="S268" s="378"/>
      <c r="T268" s="378"/>
      <c r="U268" s="378"/>
      <c r="V268" s="378"/>
      <c r="W268" s="378"/>
      <c r="X268" s="378"/>
      <c r="Y268" s="378"/>
      <c r="Z268" s="378"/>
      <c r="AA268" s="378"/>
      <c r="AB268" s="378"/>
      <c r="AC268" s="378"/>
      <c r="AD268" s="378"/>
      <c r="AE268" s="378"/>
      <c r="AF268" s="378"/>
    </row>
    <row r="269" spans="2:32">
      <c r="B269" s="378"/>
      <c r="C269" s="434"/>
      <c r="D269" s="433"/>
      <c r="F269" s="378"/>
      <c r="G269" s="378"/>
      <c r="H269" s="378"/>
      <c r="I269" s="378"/>
      <c r="J269" s="378"/>
      <c r="K269" s="378"/>
      <c r="L269" s="378"/>
      <c r="M269" s="378"/>
      <c r="N269" s="378"/>
      <c r="O269" s="378"/>
      <c r="P269" s="378"/>
      <c r="Q269" s="378"/>
      <c r="R269" s="378"/>
      <c r="S269" s="378"/>
      <c r="T269" s="378"/>
      <c r="U269" s="378"/>
      <c r="V269" s="378"/>
      <c r="W269" s="378"/>
      <c r="X269" s="378"/>
      <c r="Y269" s="378"/>
      <c r="Z269" s="378"/>
      <c r="AA269" s="378"/>
      <c r="AB269" s="378"/>
      <c r="AC269" s="378"/>
      <c r="AD269" s="378"/>
      <c r="AE269" s="378"/>
      <c r="AF269" s="378"/>
    </row>
    <row r="270" spans="2:32">
      <c r="B270" s="378"/>
      <c r="C270" s="434"/>
      <c r="D270" s="432"/>
      <c r="F270" s="378"/>
      <c r="G270" s="378"/>
      <c r="H270" s="378"/>
      <c r="I270" s="378"/>
      <c r="J270" s="378"/>
      <c r="K270" s="378"/>
      <c r="L270" s="378"/>
      <c r="M270" s="378"/>
      <c r="N270" s="378"/>
      <c r="O270" s="378"/>
      <c r="P270" s="378"/>
      <c r="Q270" s="378"/>
      <c r="R270" s="378"/>
      <c r="S270" s="378"/>
      <c r="T270" s="378"/>
      <c r="U270" s="378"/>
      <c r="V270" s="378"/>
      <c r="W270" s="378"/>
      <c r="X270" s="378"/>
      <c r="Y270" s="378"/>
      <c r="Z270" s="378"/>
      <c r="AA270" s="378"/>
      <c r="AB270" s="378"/>
      <c r="AC270" s="378"/>
      <c r="AD270" s="378"/>
      <c r="AE270" s="378"/>
      <c r="AF270" s="378"/>
    </row>
    <row r="271" spans="2:32">
      <c r="B271" s="378"/>
      <c r="C271" s="434"/>
      <c r="D271" s="433"/>
      <c r="F271" s="378"/>
      <c r="G271" s="378"/>
      <c r="H271" s="378"/>
      <c r="I271" s="378"/>
      <c r="J271" s="378"/>
      <c r="K271" s="378"/>
      <c r="L271" s="378"/>
      <c r="M271" s="378"/>
      <c r="N271" s="378"/>
      <c r="O271" s="378"/>
      <c r="P271" s="378"/>
      <c r="Q271" s="378"/>
      <c r="R271" s="378"/>
      <c r="S271" s="378"/>
      <c r="T271" s="378"/>
      <c r="U271" s="378"/>
      <c r="V271" s="378"/>
      <c r="W271" s="378"/>
      <c r="X271" s="378"/>
      <c r="Y271" s="378"/>
      <c r="Z271" s="378"/>
      <c r="AA271" s="378"/>
      <c r="AB271" s="378"/>
      <c r="AC271" s="378"/>
      <c r="AD271" s="378"/>
      <c r="AE271" s="378"/>
      <c r="AF271" s="378"/>
    </row>
    <row r="272" spans="2:32">
      <c r="B272" s="378"/>
      <c r="C272" s="434"/>
      <c r="D272" s="433"/>
      <c r="F272" s="378"/>
      <c r="G272" s="378"/>
      <c r="H272" s="378"/>
      <c r="I272" s="378"/>
      <c r="J272" s="378"/>
      <c r="K272" s="378"/>
      <c r="L272" s="378"/>
      <c r="M272" s="378"/>
      <c r="N272" s="378"/>
      <c r="O272" s="378"/>
      <c r="P272" s="378"/>
      <c r="Q272" s="378"/>
      <c r="R272" s="378"/>
      <c r="S272" s="378"/>
      <c r="T272" s="378"/>
      <c r="U272" s="378"/>
      <c r="V272" s="378"/>
      <c r="W272" s="378"/>
      <c r="X272" s="378"/>
      <c r="Y272" s="378"/>
      <c r="Z272" s="378"/>
      <c r="AA272" s="378"/>
      <c r="AB272" s="378"/>
      <c r="AC272" s="378"/>
      <c r="AD272" s="378"/>
      <c r="AE272" s="378"/>
      <c r="AF272" s="378"/>
    </row>
    <row r="273" spans="2:32">
      <c r="B273" s="378"/>
      <c r="C273" s="434"/>
      <c r="D273" s="433"/>
      <c r="F273" s="378"/>
      <c r="G273" s="378"/>
      <c r="H273" s="378"/>
      <c r="I273" s="378"/>
      <c r="J273" s="378"/>
      <c r="K273" s="378"/>
      <c r="L273" s="378"/>
      <c r="M273" s="378"/>
      <c r="N273" s="378"/>
      <c r="O273" s="378"/>
      <c r="P273" s="378"/>
      <c r="Q273" s="378"/>
      <c r="R273" s="378"/>
      <c r="S273" s="378"/>
      <c r="T273" s="378"/>
      <c r="U273" s="378"/>
      <c r="V273" s="378"/>
      <c r="W273" s="378"/>
      <c r="X273" s="378"/>
      <c r="Y273" s="378"/>
      <c r="Z273" s="378"/>
      <c r="AA273" s="378"/>
      <c r="AB273" s="378"/>
      <c r="AC273" s="378"/>
      <c r="AD273" s="378"/>
      <c r="AE273" s="378"/>
      <c r="AF273" s="378"/>
    </row>
    <row r="274" spans="2:32">
      <c r="B274" s="378"/>
      <c r="C274" s="434"/>
      <c r="D274" s="432"/>
      <c r="F274" s="378"/>
      <c r="G274" s="378"/>
      <c r="H274" s="378"/>
      <c r="I274" s="378"/>
      <c r="J274" s="378"/>
      <c r="K274" s="378"/>
      <c r="L274" s="378"/>
      <c r="M274" s="378"/>
      <c r="N274" s="378"/>
      <c r="O274" s="378"/>
      <c r="P274" s="378"/>
      <c r="Q274" s="378"/>
      <c r="R274" s="378"/>
      <c r="S274" s="378"/>
      <c r="T274" s="378"/>
      <c r="U274" s="378"/>
      <c r="V274" s="378"/>
      <c r="W274" s="378"/>
      <c r="X274" s="378"/>
      <c r="Y274" s="378"/>
      <c r="Z274" s="378"/>
      <c r="AA274" s="378"/>
      <c r="AB274" s="378"/>
      <c r="AC274" s="378"/>
      <c r="AD274" s="378"/>
      <c r="AE274" s="378"/>
      <c r="AF274" s="378"/>
    </row>
    <row r="275" spans="2:32">
      <c r="B275" s="378"/>
      <c r="C275" s="434"/>
      <c r="D275" s="432"/>
      <c r="F275" s="378"/>
      <c r="G275" s="378"/>
      <c r="H275" s="378"/>
      <c r="I275" s="378"/>
      <c r="J275" s="378"/>
      <c r="K275" s="378"/>
      <c r="L275" s="378"/>
      <c r="M275" s="378"/>
      <c r="N275" s="378"/>
      <c r="O275" s="378"/>
      <c r="P275" s="378"/>
      <c r="Q275" s="378"/>
      <c r="R275" s="378"/>
      <c r="S275" s="378"/>
      <c r="T275" s="378"/>
      <c r="U275" s="378"/>
      <c r="V275" s="378"/>
      <c r="W275" s="378"/>
      <c r="X275" s="378"/>
      <c r="Y275" s="378"/>
      <c r="Z275" s="378"/>
      <c r="AA275" s="378"/>
      <c r="AB275" s="378"/>
      <c r="AC275" s="378"/>
      <c r="AD275" s="378"/>
      <c r="AE275" s="378"/>
      <c r="AF275" s="378"/>
    </row>
    <row r="276" spans="2:32">
      <c r="B276" s="378"/>
      <c r="C276" s="434"/>
      <c r="D276" s="432"/>
      <c r="F276" s="378"/>
      <c r="G276" s="378"/>
      <c r="H276" s="378"/>
      <c r="I276" s="378"/>
      <c r="J276" s="378"/>
      <c r="K276" s="378"/>
      <c r="L276" s="378"/>
      <c r="M276" s="378"/>
      <c r="N276" s="378"/>
      <c r="O276" s="378"/>
      <c r="P276" s="378"/>
      <c r="Q276" s="378"/>
      <c r="R276" s="378"/>
      <c r="S276" s="378"/>
      <c r="T276" s="378"/>
      <c r="U276" s="378"/>
      <c r="V276" s="378"/>
      <c r="W276" s="378"/>
      <c r="X276" s="378"/>
      <c r="Y276" s="378"/>
      <c r="Z276" s="378"/>
      <c r="AA276" s="378"/>
      <c r="AB276" s="378"/>
      <c r="AC276" s="378"/>
      <c r="AD276" s="378"/>
      <c r="AE276" s="378"/>
      <c r="AF276" s="378"/>
    </row>
    <row r="277" spans="2:32">
      <c r="B277" s="378"/>
      <c r="C277" s="434"/>
      <c r="D277" s="432"/>
      <c r="F277" s="378"/>
      <c r="G277" s="378"/>
      <c r="H277" s="378"/>
      <c r="I277" s="378"/>
      <c r="J277" s="378"/>
      <c r="K277" s="378"/>
      <c r="L277" s="378"/>
      <c r="M277" s="378"/>
      <c r="N277" s="378"/>
      <c r="O277" s="378"/>
      <c r="P277" s="378"/>
      <c r="Q277" s="378"/>
      <c r="R277" s="378"/>
      <c r="S277" s="378"/>
      <c r="T277" s="378"/>
      <c r="U277" s="378"/>
      <c r="V277" s="378"/>
      <c r="W277" s="378"/>
      <c r="X277" s="378"/>
      <c r="Y277" s="378"/>
      <c r="Z277" s="378"/>
      <c r="AA277" s="378"/>
      <c r="AB277" s="378"/>
      <c r="AC277" s="378"/>
      <c r="AD277" s="378"/>
      <c r="AE277" s="378"/>
      <c r="AF277" s="378"/>
    </row>
    <row r="278" spans="2:32">
      <c r="B278" s="378"/>
      <c r="C278" s="434"/>
      <c r="D278" s="432"/>
      <c r="F278" s="378"/>
      <c r="G278" s="378"/>
      <c r="H278" s="378"/>
      <c r="I278" s="378"/>
      <c r="J278" s="378"/>
      <c r="K278" s="378"/>
      <c r="L278" s="378"/>
      <c r="M278" s="378"/>
      <c r="N278" s="378"/>
      <c r="O278" s="378"/>
      <c r="P278" s="378"/>
      <c r="Q278" s="378"/>
      <c r="R278" s="378"/>
      <c r="S278" s="378"/>
      <c r="T278" s="378"/>
      <c r="U278" s="378"/>
      <c r="V278" s="378"/>
      <c r="W278" s="378"/>
      <c r="X278" s="378"/>
      <c r="Y278" s="378"/>
      <c r="Z278" s="378"/>
      <c r="AA278" s="378"/>
      <c r="AB278" s="378"/>
      <c r="AC278" s="378"/>
      <c r="AD278" s="378"/>
      <c r="AE278" s="378"/>
      <c r="AF278" s="378"/>
    </row>
    <row r="279" spans="2:32">
      <c r="B279" s="378"/>
      <c r="C279" s="434"/>
      <c r="D279" s="432"/>
      <c r="F279" s="378"/>
      <c r="G279" s="378"/>
      <c r="H279" s="378"/>
      <c r="I279" s="378"/>
      <c r="J279" s="378"/>
      <c r="K279" s="378"/>
      <c r="L279" s="378"/>
      <c r="M279" s="378"/>
      <c r="N279" s="378"/>
      <c r="O279" s="378"/>
      <c r="P279" s="378"/>
      <c r="Q279" s="378"/>
      <c r="R279" s="378"/>
      <c r="S279" s="378"/>
      <c r="T279" s="378"/>
      <c r="U279" s="378"/>
      <c r="V279" s="378"/>
      <c r="W279" s="378"/>
      <c r="X279" s="378"/>
      <c r="Y279" s="378"/>
      <c r="Z279" s="378"/>
      <c r="AA279" s="378"/>
      <c r="AB279" s="378"/>
      <c r="AC279" s="378"/>
      <c r="AD279" s="378"/>
      <c r="AE279" s="378"/>
      <c r="AF279" s="378"/>
    </row>
    <row r="280" spans="2:32">
      <c r="B280" s="378"/>
      <c r="C280" s="434"/>
      <c r="D280" s="432"/>
      <c r="F280" s="378"/>
      <c r="G280" s="378"/>
      <c r="H280" s="378"/>
      <c r="I280" s="378"/>
      <c r="J280" s="378"/>
      <c r="K280" s="378"/>
      <c r="L280" s="378"/>
      <c r="M280" s="378"/>
      <c r="N280" s="378"/>
      <c r="O280" s="378"/>
      <c r="P280" s="378"/>
      <c r="Q280" s="378"/>
      <c r="R280" s="378"/>
      <c r="S280" s="378"/>
      <c r="T280" s="378"/>
      <c r="U280" s="378"/>
      <c r="V280" s="378"/>
      <c r="W280" s="378"/>
      <c r="X280" s="378"/>
      <c r="Y280" s="378"/>
      <c r="Z280" s="378"/>
      <c r="AA280" s="378"/>
      <c r="AB280" s="378"/>
      <c r="AC280" s="378"/>
      <c r="AD280" s="378"/>
      <c r="AE280" s="378"/>
      <c r="AF280" s="378"/>
    </row>
    <row r="281" spans="2:32">
      <c r="B281" s="378"/>
      <c r="C281" s="434"/>
      <c r="D281" s="432"/>
      <c r="F281" s="378"/>
      <c r="G281" s="378"/>
      <c r="H281" s="378"/>
      <c r="I281" s="378"/>
      <c r="J281" s="378"/>
      <c r="K281" s="378"/>
      <c r="L281" s="378"/>
      <c r="M281" s="378"/>
      <c r="N281" s="378"/>
      <c r="O281" s="378"/>
      <c r="P281" s="378"/>
      <c r="Q281" s="378"/>
      <c r="R281" s="378"/>
      <c r="S281" s="378"/>
      <c r="T281" s="378"/>
      <c r="U281" s="378"/>
      <c r="V281" s="378"/>
      <c r="W281" s="378"/>
      <c r="X281" s="378"/>
      <c r="Y281" s="378"/>
      <c r="Z281" s="378"/>
      <c r="AA281" s="378"/>
      <c r="AB281" s="378"/>
      <c r="AC281" s="378"/>
      <c r="AD281" s="378"/>
      <c r="AE281" s="378"/>
      <c r="AF281" s="378"/>
    </row>
    <row r="282" spans="2:32">
      <c r="B282" s="378"/>
      <c r="C282" s="434"/>
      <c r="D282" s="432"/>
      <c r="F282" s="378"/>
      <c r="G282" s="378"/>
      <c r="H282" s="378"/>
      <c r="I282" s="378"/>
      <c r="J282" s="378"/>
      <c r="K282" s="378"/>
      <c r="L282" s="378"/>
      <c r="M282" s="378"/>
      <c r="N282" s="378"/>
      <c r="O282" s="378"/>
      <c r="P282" s="378"/>
      <c r="Q282" s="378"/>
      <c r="R282" s="378"/>
      <c r="S282" s="378"/>
      <c r="T282" s="378"/>
      <c r="U282" s="378"/>
      <c r="V282" s="378"/>
      <c r="W282" s="378"/>
      <c r="X282" s="378"/>
      <c r="Y282" s="378"/>
      <c r="Z282" s="378"/>
      <c r="AA282" s="378"/>
      <c r="AB282" s="378"/>
      <c r="AC282" s="378"/>
      <c r="AD282" s="378"/>
      <c r="AE282" s="378"/>
      <c r="AF282" s="378"/>
    </row>
    <row r="283" spans="2:32">
      <c r="B283" s="378"/>
      <c r="C283" s="434"/>
      <c r="D283" s="432"/>
      <c r="F283" s="378"/>
      <c r="G283" s="378"/>
      <c r="H283" s="378"/>
      <c r="I283" s="378"/>
      <c r="J283" s="378"/>
      <c r="K283" s="378"/>
      <c r="L283" s="378"/>
      <c r="M283" s="378"/>
      <c r="N283" s="378"/>
      <c r="O283" s="378"/>
      <c r="P283" s="378"/>
      <c r="Q283" s="378"/>
      <c r="R283" s="378"/>
      <c r="S283" s="378"/>
      <c r="T283" s="378"/>
      <c r="U283" s="378"/>
      <c r="V283" s="378"/>
      <c r="W283" s="378"/>
      <c r="X283" s="378"/>
      <c r="Y283" s="378"/>
      <c r="Z283" s="378"/>
      <c r="AA283" s="378"/>
      <c r="AB283" s="378"/>
      <c r="AC283" s="378"/>
      <c r="AD283" s="378"/>
      <c r="AE283" s="378"/>
      <c r="AF283" s="378"/>
    </row>
    <row r="284" spans="2:32">
      <c r="B284" s="378"/>
      <c r="C284" s="434"/>
      <c r="D284" s="432"/>
      <c r="F284" s="378"/>
      <c r="G284" s="378"/>
      <c r="H284" s="378"/>
      <c r="I284" s="378"/>
      <c r="J284" s="378"/>
      <c r="K284" s="378"/>
      <c r="L284" s="378"/>
      <c r="M284" s="378"/>
      <c r="N284" s="378"/>
      <c r="O284" s="378"/>
      <c r="P284" s="378"/>
      <c r="Q284" s="378"/>
      <c r="R284" s="378"/>
      <c r="S284" s="378"/>
      <c r="T284" s="378"/>
      <c r="U284" s="378"/>
      <c r="V284" s="378"/>
      <c r="W284" s="378"/>
      <c r="X284" s="378"/>
      <c r="Y284" s="378"/>
      <c r="Z284" s="378"/>
      <c r="AA284" s="378"/>
      <c r="AB284" s="378"/>
      <c r="AC284" s="378"/>
      <c r="AD284" s="378"/>
      <c r="AE284" s="378"/>
      <c r="AF284" s="378"/>
    </row>
    <row r="285" spans="2:32">
      <c r="B285" s="378"/>
      <c r="C285" s="434"/>
      <c r="D285" s="432"/>
      <c r="F285" s="378"/>
      <c r="G285" s="378"/>
      <c r="H285" s="378"/>
      <c r="I285" s="378"/>
      <c r="J285" s="378"/>
      <c r="K285" s="378"/>
      <c r="L285" s="378"/>
      <c r="M285" s="378"/>
      <c r="N285" s="378"/>
      <c r="O285" s="378"/>
      <c r="P285" s="378"/>
      <c r="Q285" s="378"/>
      <c r="R285" s="378"/>
      <c r="S285" s="378"/>
      <c r="T285" s="378"/>
      <c r="U285" s="378"/>
      <c r="V285" s="378"/>
      <c r="W285" s="378"/>
      <c r="X285" s="378"/>
      <c r="Y285" s="378"/>
      <c r="Z285" s="378"/>
      <c r="AA285" s="378"/>
      <c r="AB285" s="378"/>
      <c r="AC285" s="378"/>
      <c r="AD285" s="378"/>
      <c r="AE285" s="378"/>
      <c r="AF285" s="378"/>
    </row>
    <row r="286" spans="2:32">
      <c r="B286" s="378"/>
      <c r="C286" s="434"/>
      <c r="D286" s="432"/>
      <c r="F286" s="378"/>
      <c r="G286" s="378"/>
      <c r="H286" s="378"/>
      <c r="I286" s="378"/>
      <c r="J286" s="378"/>
      <c r="K286" s="378"/>
      <c r="L286" s="378"/>
      <c r="M286" s="378"/>
      <c r="N286" s="378"/>
      <c r="O286" s="378"/>
      <c r="P286" s="378"/>
      <c r="Q286" s="378"/>
      <c r="R286" s="378"/>
      <c r="S286" s="378"/>
      <c r="T286" s="378"/>
      <c r="U286" s="378"/>
      <c r="V286" s="378"/>
      <c r="W286" s="378"/>
      <c r="X286" s="378"/>
      <c r="Y286" s="378"/>
      <c r="Z286" s="378"/>
      <c r="AA286" s="378"/>
      <c r="AB286" s="378"/>
      <c r="AC286" s="378"/>
      <c r="AD286" s="378"/>
      <c r="AE286" s="378"/>
      <c r="AF286" s="378"/>
    </row>
    <row r="287" spans="2:32">
      <c r="B287" s="378"/>
      <c r="C287" s="434"/>
      <c r="D287" s="432"/>
      <c r="F287" s="378"/>
      <c r="G287" s="378"/>
      <c r="H287" s="378"/>
      <c r="I287" s="378"/>
      <c r="J287" s="378"/>
      <c r="K287" s="378"/>
      <c r="L287" s="378"/>
      <c r="M287" s="378"/>
      <c r="N287" s="378"/>
      <c r="O287" s="378"/>
      <c r="P287" s="378"/>
      <c r="Q287" s="378"/>
      <c r="R287" s="378"/>
      <c r="S287" s="378"/>
      <c r="T287" s="378"/>
      <c r="U287" s="378"/>
      <c r="V287" s="378"/>
      <c r="W287" s="378"/>
      <c r="X287" s="378"/>
      <c r="Y287" s="378"/>
      <c r="Z287" s="378"/>
      <c r="AA287" s="378"/>
      <c r="AB287" s="378"/>
      <c r="AC287" s="378"/>
      <c r="AD287" s="378"/>
      <c r="AE287" s="378"/>
      <c r="AF287" s="378"/>
    </row>
    <row r="288" spans="2:32">
      <c r="B288" s="378"/>
      <c r="C288" s="434"/>
      <c r="D288" s="432"/>
      <c r="F288" s="378"/>
      <c r="G288" s="378"/>
      <c r="H288" s="378"/>
      <c r="I288" s="378"/>
      <c r="J288" s="378"/>
      <c r="K288" s="378"/>
      <c r="L288" s="378"/>
      <c r="M288" s="378"/>
      <c r="N288" s="378"/>
      <c r="O288" s="378"/>
      <c r="P288" s="378"/>
      <c r="Q288" s="378"/>
      <c r="R288" s="378"/>
      <c r="S288" s="378"/>
      <c r="T288" s="378"/>
      <c r="U288" s="378"/>
      <c r="V288" s="378"/>
      <c r="W288" s="378"/>
      <c r="X288" s="378"/>
      <c r="Y288" s="378"/>
      <c r="Z288" s="378"/>
      <c r="AA288" s="378"/>
      <c r="AB288" s="378"/>
      <c r="AC288" s="378"/>
      <c r="AD288" s="378"/>
      <c r="AE288" s="378"/>
      <c r="AF288" s="378"/>
    </row>
    <row r="289" spans="2:32">
      <c r="B289" s="378"/>
      <c r="C289" s="434"/>
      <c r="D289" s="432"/>
      <c r="F289" s="378"/>
      <c r="G289" s="378"/>
      <c r="H289" s="378"/>
      <c r="I289" s="378"/>
      <c r="J289" s="378"/>
      <c r="K289" s="378"/>
      <c r="L289" s="378"/>
      <c r="M289" s="378"/>
      <c r="N289" s="378"/>
      <c r="O289" s="378"/>
      <c r="P289" s="378"/>
      <c r="Q289" s="378"/>
      <c r="R289" s="378"/>
      <c r="S289" s="378"/>
      <c r="T289" s="378"/>
      <c r="U289" s="378"/>
      <c r="V289" s="378"/>
      <c r="W289" s="378"/>
      <c r="X289" s="378"/>
      <c r="Y289" s="378"/>
      <c r="Z289" s="378"/>
      <c r="AA289" s="378"/>
      <c r="AB289" s="378"/>
      <c r="AC289" s="378"/>
      <c r="AD289" s="378"/>
      <c r="AE289" s="378"/>
      <c r="AF289" s="378"/>
    </row>
    <row r="290" spans="2:32">
      <c r="B290" s="378"/>
      <c r="C290" s="378"/>
      <c r="D290" s="378"/>
      <c r="F290" s="378"/>
      <c r="G290" s="378"/>
      <c r="H290" s="378"/>
      <c r="I290" s="378"/>
      <c r="J290" s="378"/>
      <c r="K290" s="378"/>
      <c r="L290" s="378"/>
      <c r="M290" s="378"/>
      <c r="N290" s="378"/>
      <c r="O290" s="378"/>
      <c r="P290" s="378"/>
      <c r="Q290" s="378"/>
      <c r="R290" s="378"/>
      <c r="S290" s="378"/>
      <c r="T290" s="378"/>
      <c r="U290" s="378"/>
      <c r="V290" s="378"/>
      <c r="W290" s="378"/>
      <c r="X290" s="378"/>
      <c r="Y290" s="378"/>
      <c r="Z290" s="378"/>
      <c r="AA290" s="378"/>
      <c r="AB290" s="378"/>
      <c r="AC290" s="378"/>
      <c r="AD290" s="378"/>
      <c r="AE290" s="378"/>
      <c r="AF290" s="378"/>
    </row>
    <row r="291" spans="2:32">
      <c r="B291" s="378"/>
      <c r="C291" s="378"/>
      <c r="D291" s="378"/>
      <c r="F291" s="378"/>
      <c r="G291" s="378"/>
      <c r="H291" s="378"/>
      <c r="I291" s="378"/>
      <c r="J291" s="378"/>
      <c r="K291" s="378"/>
      <c r="L291" s="378"/>
      <c r="M291" s="378"/>
      <c r="N291" s="378"/>
      <c r="O291" s="378"/>
      <c r="P291" s="378"/>
      <c r="Q291" s="378"/>
      <c r="R291" s="378"/>
      <c r="S291" s="378"/>
      <c r="T291" s="378"/>
      <c r="U291" s="378"/>
      <c r="V291" s="378"/>
      <c r="W291" s="378"/>
      <c r="X291" s="378"/>
      <c r="Y291" s="378"/>
      <c r="Z291" s="378"/>
      <c r="AA291" s="378"/>
      <c r="AB291" s="378"/>
      <c r="AC291" s="378"/>
      <c r="AD291" s="378"/>
      <c r="AE291" s="378"/>
      <c r="AF291" s="378"/>
    </row>
    <row r="292" spans="2:32">
      <c r="B292" s="378"/>
      <c r="C292" s="378"/>
      <c r="D292" s="378"/>
      <c r="F292" s="378"/>
      <c r="G292" s="378"/>
      <c r="H292" s="378"/>
      <c r="I292" s="378"/>
      <c r="J292" s="378"/>
      <c r="K292" s="378"/>
      <c r="L292" s="378"/>
      <c r="M292" s="378"/>
      <c r="N292" s="378"/>
      <c r="O292" s="378"/>
      <c r="P292" s="378"/>
      <c r="Q292" s="378"/>
      <c r="R292" s="378"/>
      <c r="S292" s="378"/>
      <c r="T292" s="378"/>
      <c r="U292" s="378"/>
      <c r="V292" s="378"/>
      <c r="W292" s="378"/>
      <c r="X292" s="378"/>
      <c r="Y292" s="378"/>
      <c r="Z292" s="378"/>
      <c r="AA292" s="378"/>
      <c r="AB292" s="378"/>
      <c r="AC292" s="378"/>
      <c r="AD292" s="378"/>
      <c r="AE292" s="378"/>
      <c r="AF292" s="378"/>
    </row>
    <row r="293" spans="2:32">
      <c r="B293" s="378"/>
      <c r="C293" s="378"/>
      <c r="D293" s="378"/>
      <c r="F293" s="378"/>
      <c r="G293" s="378"/>
      <c r="H293" s="378"/>
      <c r="I293" s="378"/>
      <c r="J293" s="378"/>
      <c r="K293" s="378"/>
      <c r="L293" s="378"/>
      <c r="M293" s="378"/>
      <c r="N293" s="378"/>
      <c r="O293" s="378"/>
      <c r="P293" s="378"/>
      <c r="Q293" s="378"/>
      <c r="R293" s="378"/>
      <c r="S293" s="378"/>
      <c r="T293" s="378"/>
      <c r="U293" s="378"/>
      <c r="V293" s="378"/>
      <c r="W293" s="378"/>
      <c r="X293" s="378"/>
      <c r="Y293" s="378"/>
      <c r="Z293" s="378"/>
      <c r="AA293" s="378"/>
      <c r="AB293" s="378"/>
      <c r="AC293" s="378"/>
      <c r="AD293" s="378"/>
      <c r="AE293" s="378"/>
      <c r="AF293" s="378"/>
    </row>
    <row r="294" spans="2:32">
      <c r="B294" s="378"/>
      <c r="C294" s="378"/>
      <c r="D294" s="378"/>
      <c r="F294" s="378"/>
      <c r="G294" s="378"/>
      <c r="H294" s="378"/>
      <c r="I294" s="378"/>
      <c r="J294" s="378"/>
      <c r="K294" s="378"/>
      <c r="L294" s="378"/>
      <c r="M294" s="378"/>
      <c r="N294" s="378"/>
      <c r="O294" s="378"/>
      <c r="P294" s="378"/>
      <c r="Q294" s="378"/>
      <c r="R294" s="378"/>
      <c r="S294" s="378"/>
      <c r="T294" s="378"/>
      <c r="U294" s="378"/>
      <c r="V294" s="378"/>
      <c r="W294" s="378"/>
      <c r="X294" s="378"/>
      <c r="Y294" s="378"/>
      <c r="Z294" s="378"/>
      <c r="AA294" s="378"/>
      <c r="AB294" s="378"/>
      <c r="AC294" s="378"/>
      <c r="AD294" s="378"/>
      <c r="AE294" s="378"/>
      <c r="AF294" s="378"/>
    </row>
    <row r="295" spans="2:32">
      <c r="B295" s="378"/>
      <c r="C295" s="378"/>
      <c r="D295" s="378"/>
      <c r="F295" s="378"/>
      <c r="G295" s="378"/>
      <c r="H295" s="378"/>
      <c r="I295" s="378"/>
      <c r="J295" s="378"/>
      <c r="K295" s="378"/>
      <c r="L295" s="378"/>
      <c r="M295" s="378"/>
      <c r="N295" s="378"/>
      <c r="O295" s="378"/>
      <c r="P295" s="378"/>
      <c r="Q295" s="378"/>
      <c r="R295" s="378"/>
      <c r="S295" s="378"/>
      <c r="T295" s="378"/>
      <c r="U295" s="378"/>
      <c r="V295" s="378"/>
      <c r="W295" s="378"/>
      <c r="X295" s="378"/>
      <c r="Y295" s="378"/>
      <c r="Z295" s="378"/>
      <c r="AA295" s="378"/>
      <c r="AB295" s="378"/>
      <c r="AC295" s="378"/>
      <c r="AD295" s="378"/>
      <c r="AE295" s="378"/>
      <c r="AF295" s="378"/>
    </row>
    <row r="296" spans="2:32">
      <c r="B296" s="378"/>
      <c r="C296" s="378"/>
      <c r="D296" s="378"/>
      <c r="F296" s="378"/>
      <c r="G296" s="378"/>
      <c r="H296" s="378"/>
      <c r="I296" s="378"/>
      <c r="J296" s="378"/>
      <c r="K296" s="378"/>
      <c r="L296" s="378"/>
      <c r="M296" s="378"/>
      <c r="N296" s="378"/>
      <c r="O296" s="378"/>
      <c r="P296" s="378"/>
      <c r="Q296" s="378"/>
      <c r="R296" s="378"/>
      <c r="S296" s="378"/>
      <c r="T296" s="378"/>
      <c r="U296" s="378"/>
      <c r="V296" s="378"/>
      <c r="W296" s="378"/>
      <c r="X296" s="378"/>
      <c r="Y296" s="378"/>
      <c r="Z296" s="378"/>
      <c r="AA296" s="378"/>
      <c r="AB296" s="378"/>
      <c r="AC296" s="378"/>
      <c r="AD296" s="378"/>
      <c r="AE296" s="378"/>
      <c r="AF296" s="378"/>
    </row>
    <row r="297" spans="2:32">
      <c r="B297" s="378"/>
      <c r="C297" s="378"/>
      <c r="D297" s="378"/>
      <c r="F297" s="378"/>
      <c r="G297" s="378"/>
      <c r="H297" s="378"/>
      <c r="I297" s="378"/>
      <c r="J297" s="378"/>
      <c r="K297" s="378"/>
      <c r="L297" s="378"/>
      <c r="M297" s="378"/>
      <c r="N297" s="378"/>
      <c r="O297" s="378"/>
      <c r="P297" s="378"/>
      <c r="Q297" s="378"/>
      <c r="R297" s="378"/>
      <c r="S297" s="378"/>
      <c r="T297" s="378"/>
      <c r="U297" s="378"/>
      <c r="V297" s="378"/>
      <c r="W297" s="378"/>
      <c r="X297" s="378"/>
      <c r="Y297" s="378"/>
      <c r="Z297" s="378"/>
      <c r="AA297" s="378"/>
      <c r="AB297" s="378"/>
      <c r="AC297" s="378"/>
      <c r="AD297" s="378"/>
      <c r="AE297" s="378"/>
      <c r="AF297" s="378"/>
    </row>
    <row r="298" spans="2:32">
      <c r="B298" s="378"/>
      <c r="C298" s="378"/>
      <c r="D298" s="378"/>
      <c r="F298" s="378"/>
      <c r="G298" s="378"/>
      <c r="H298" s="378"/>
      <c r="I298" s="378"/>
      <c r="J298" s="378"/>
      <c r="K298" s="378"/>
      <c r="L298" s="378"/>
      <c r="M298" s="378"/>
      <c r="N298" s="378"/>
      <c r="O298" s="378"/>
      <c r="P298" s="378"/>
      <c r="Q298" s="378"/>
      <c r="R298" s="378"/>
      <c r="S298" s="378"/>
      <c r="T298" s="378"/>
      <c r="U298" s="378"/>
      <c r="V298" s="378"/>
      <c r="W298" s="378"/>
      <c r="X298" s="378"/>
      <c r="Y298" s="378"/>
      <c r="Z298" s="378"/>
      <c r="AA298" s="378"/>
      <c r="AB298" s="378"/>
      <c r="AC298" s="378"/>
      <c r="AD298" s="378"/>
      <c r="AE298" s="378"/>
      <c r="AF298" s="378"/>
    </row>
    <row r="299" spans="2:32">
      <c r="B299" s="378"/>
      <c r="C299" s="378"/>
      <c r="D299" s="378"/>
      <c r="F299" s="378"/>
      <c r="G299" s="378"/>
      <c r="H299" s="378"/>
      <c r="I299" s="378"/>
      <c r="J299" s="378"/>
      <c r="K299" s="378"/>
      <c r="L299" s="378"/>
      <c r="M299" s="378"/>
      <c r="N299" s="378"/>
      <c r="O299" s="378"/>
      <c r="P299" s="378"/>
      <c r="Q299" s="378"/>
      <c r="R299" s="378"/>
      <c r="S299" s="378"/>
      <c r="T299" s="378"/>
      <c r="U299" s="378"/>
      <c r="V299" s="378"/>
      <c r="W299" s="378"/>
      <c r="X299" s="378"/>
      <c r="Y299" s="378"/>
      <c r="Z299" s="378"/>
      <c r="AA299" s="378"/>
      <c r="AB299" s="378"/>
      <c r="AC299" s="378"/>
      <c r="AD299" s="378"/>
      <c r="AE299" s="378"/>
      <c r="AF299" s="378"/>
    </row>
    <row r="300" spans="2:32">
      <c r="B300" s="378"/>
      <c r="C300" s="378"/>
      <c r="D300" s="378"/>
      <c r="F300" s="378"/>
      <c r="G300" s="378"/>
      <c r="H300" s="378"/>
      <c r="I300" s="378"/>
      <c r="J300" s="378"/>
      <c r="K300" s="378"/>
      <c r="L300" s="378"/>
      <c r="M300" s="378"/>
      <c r="N300" s="378"/>
      <c r="O300" s="378"/>
      <c r="P300" s="378"/>
      <c r="Q300" s="378"/>
      <c r="R300" s="378"/>
      <c r="S300" s="378"/>
      <c r="T300" s="378"/>
      <c r="U300" s="378"/>
      <c r="V300" s="378"/>
      <c r="W300" s="378"/>
      <c r="X300" s="378"/>
      <c r="Y300" s="378"/>
      <c r="Z300" s="378"/>
      <c r="AA300" s="378"/>
      <c r="AB300" s="378"/>
      <c r="AC300" s="378"/>
      <c r="AD300" s="378"/>
      <c r="AE300" s="378"/>
      <c r="AF300" s="378"/>
    </row>
    <row r="301" spans="2:32">
      <c r="B301" s="378"/>
      <c r="C301" s="378"/>
      <c r="D301" s="378"/>
      <c r="F301" s="378"/>
      <c r="G301" s="378"/>
      <c r="H301" s="378"/>
      <c r="I301" s="378"/>
      <c r="J301" s="378"/>
      <c r="K301" s="378"/>
      <c r="L301" s="378"/>
      <c r="M301" s="378"/>
      <c r="N301" s="378"/>
      <c r="O301" s="378"/>
      <c r="P301" s="378"/>
      <c r="Q301" s="378"/>
      <c r="R301" s="378"/>
      <c r="S301" s="378"/>
      <c r="T301" s="378"/>
      <c r="U301" s="378"/>
      <c r="V301" s="378"/>
      <c r="W301" s="378"/>
      <c r="X301" s="378"/>
      <c r="Y301" s="378"/>
      <c r="Z301" s="378"/>
      <c r="AA301" s="378"/>
      <c r="AB301" s="378"/>
      <c r="AC301" s="378"/>
      <c r="AD301" s="378"/>
      <c r="AE301" s="378"/>
      <c r="AF301" s="378"/>
    </row>
    <row r="302" spans="2:32">
      <c r="B302" s="378"/>
      <c r="C302" s="378"/>
      <c r="D302" s="378"/>
      <c r="F302" s="378"/>
      <c r="G302" s="378"/>
      <c r="H302" s="378"/>
      <c r="I302" s="378"/>
      <c r="J302" s="378"/>
      <c r="K302" s="378"/>
      <c r="L302" s="378"/>
      <c r="M302" s="378"/>
      <c r="N302" s="378"/>
      <c r="O302" s="378"/>
      <c r="P302" s="378"/>
      <c r="Q302" s="378"/>
      <c r="R302" s="378"/>
      <c r="S302" s="378"/>
      <c r="T302" s="378"/>
      <c r="U302" s="378"/>
      <c r="V302" s="378"/>
      <c r="W302" s="378"/>
      <c r="X302" s="378"/>
      <c r="Y302" s="378"/>
      <c r="Z302" s="378"/>
      <c r="AA302" s="378"/>
      <c r="AB302" s="378"/>
      <c r="AC302" s="378"/>
      <c r="AD302" s="378"/>
      <c r="AE302" s="378"/>
      <c r="AF302" s="378"/>
    </row>
    <row r="303" spans="2:32">
      <c r="B303" s="378"/>
      <c r="C303" s="378"/>
      <c r="D303" s="378"/>
      <c r="F303" s="378"/>
      <c r="G303" s="378"/>
      <c r="H303" s="378"/>
      <c r="I303" s="378"/>
      <c r="J303" s="378"/>
      <c r="K303" s="378"/>
      <c r="L303" s="378"/>
      <c r="M303" s="378"/>
      <c r="N303" s="378"/>
      <c r="O303" s="378"/>
      <c r="P303" s="378"/>
      <c r="Q303" s="378"/>
      <c r="R303" s="378"/>
      <c r="S303" s="378"/>
      <c r="T303" s="378"/>
      <c r="U303" s="378"/>
      <c r="V303" s="378"/>
      <c r="W303" s="378"/>
      <c r="X303" s="378"/>
      <c r="Y303" s="378"/>
      <c r="Z303" s="378"/>
      <c r="AA303" s="378"/>
      <c r="AB303" s="378"/>
      <c r="AC303" s="378"/>
      <c r="AD303" s="378"/>
      <c r="AE303" s="378"/>
      <c r="AF303" s="378"/>
    </row>
    <row r="304" spans="2:32">
      <c r="B304" s="378"/>
      <c r="C304" s="378"/>
      <c r="D304" s="378"/>
      <c r="F304" s="378"/>
      <c r="G304" s="378"/>
      <c r="H304" s="378"/>
      <c r="I304" s="378"/>
      <c r="J304" s="378"/>
      <c r="K304" s="378"/>
      <c r="L304" s="378"/>
      <c r="M304" s="378"/>
      <c r="N304" s="378"/>
      <c r="O304" s="378"/>
      <c r="P304" s="378"/>
      <c r="Q304" s="378"/>
      <c r="R304" s="378"/>
      <c r="S304" s="378"/>
      <c r="T304" s="378"/>
      <c r="U304" s="378"/>
      <c r="V304" s="378"/>
      <c r="W304" s="378"/>
      <c r="X304" s="378"/>
      <c r="Y304" s="378"/>
      <c r="Z304" s="378"/>
      <c r="AA304" s="378"/>
      <c r="AB304" s="378"/>
      <c r="AC304" s="378"/>
      <c r="AD304" s="378"/>
      <c r="AE304" s="378"/>
      <c r="AF304" s="378"/>
    </row>
    <row r="305" spans="2:32">
      <c r="B305" s="378"/>
      <c r="C305" s="378"/>
      <c r="D305" s="378"/>
      <c r="F305" s="378"/>
      <c r="G305" s="378"/>
      <c r="H305" s="378"/>
      <c r="I305" s="378"/>
      <c r="J305" s="378"/>
      <c r="K305" s="378"/>
      <c r="L305" s="378"/>
      <c r="M305" s="378"/>
      <c r="N305" s="378"/>
      <c r="O305" s="378"/>
      <c r="P305" s="378"/>
      <c r="Q305" s="378"/>
      <c r="R305" s="378"/>
      <c r="S305" s="378"/>
      <c r="T305" s="378"/>
      <c r="U305" s="378"/>
      <c r="V305" s="378"/>
      <c r="W305" s="378"/>
      <c r="X305" s="378"/>
      <c r="Y305" s="378"/>
      <c r="Z305" s="378"/>
      <c r="AA305" s="378"/>
      <c r="AB305" s="378"/>
      <c r="AC305" s="378"/>
      <c r="AD305" s="378"/>
      <c r="AE305" s="378"/>
      <c r="AF305" s="378"/>
    </row>
    <row r="306" spans="2:32">
      <c r="B306" s="378"/>
      <c r="C306" s="378"/>
      <c r="D306" s="378"/>
      <c r="F306" s="378"/>
      <c r="G306" s="378"/>
      <c r="H306" s="378"/>
      <c r="I306" s="378"/>
      <c r="J306" s="378"/>
      <c r="K306" s="378"/>
      <c r="L306" s="378"/>
      <c r="M306" s="378"/>
      <c r="N306" s="378"/>
      <c r="O306" s="378"/>
      <c r="P306" s="378"/>
      <c r="Q306" s="378"/>
      <c r="R306" s="378"/>
      <c r="S306" s="378"/>
      <c r="T306" s="378"/>
      <c r="U306" s="378"/>
      <c r="V306" s="378"/>
      <c r="W306" s="378"/>
      <c r="X306" s="378"/>
      <c r="Y306" s="378"/>
      <c r="Z306" s="378"/>
      <c r="AA306" s="378"/>
      <c r="AB306" s="378"/>
      <c r="AC306" s="378"/>
      <c r="AD306" s="378"/>
      <c r="AE306" s="378"/>
      <c r="AF306" s="378"/>
    </row>
    <row r="307" spans="2:32">
      <c r="B307" s="378"/>
      <c r="C307" s="378"/>
      <c r="D307" s="378"/>
      <c r="F307" s="378"/>
      <c r="G307" s="378"/>
      <c r="H307" s="378"/>
      <c r="I307" s="378"/>
      <c r="J307" s="378"/>
      <c r="K307" s="378"/>
      <c r="L307" s="378"/>
      <c r="M307" s="378"/>
      <c r="N307" s="378"/>
      <c r="O307" s="378"/>
      <c r="P307" s="378"/>
      <c r="Q307" s="378"/>
      <c r="R307" s="378"/>
      <c r="S307" s="378"/>
      <c r="T307" s="378"/>
      <c r="U307" s="378"/>
      <c r="V307" s="378"/>
      <c r="W307" s="378"/>
      <c r="X307" s="378"/>
      <c r="Y307" s="378"/>
      <c r="Z307" s="378"/>
      <c r="AA307" s="378"/>
      <c r="AB307" s="378"/>
      <c r="AC307" s="378"/>
      <c r="AD307" s="378"/>
      <c r="AE307" s="378"/>
      <c r="AF307" s="378"/>
    </row>
    <row r="308" spans="2:32">
      <c r="B308" s="378"/>
      <c r="C308" s="378"/>
      <c r="D308" s="378"/>
      <c r="F308" s="378"/>
      <c r="G308" s="378"/>
      <c r="H308" s="378"/>
      <c r="I308" s="378"/>
      <c r="J308" s="378"/>
      <c r="K308" s="378"/>
      <c r="L308" s="378"/>
      <c r="M308" s="378"/>
      <c r="N308" s="378"/>
      <c r="O308" s="378"/>
      <c r="P308" s="378"/>
      <c r="Q308" s="378"/>
      <c r="R308" s="378"/>
      <c r="S308" s="378"/>
      <c r="T308" s="378"/>
      <c r="U308" s="378"/>
      <c r="V308" s="378"/>
      <c r="W308" s="378"/>
      <c r="X308" s="378"/>
      <c r="Y308" s="378"/>
      <c r="Z308" s="378"/>
      <c r="AA308" s="378"/>
      <c r="AB308" s="378"/>
      <c r="AC308" s="378"/>
      <c r="AD308" s="378"/>
      <c r="AE308" s="378"/>
      <c r="AF308" s="378"/>
    </row>
    <row r="309" spans="2:32">
      <c r="B309" s="378"/>
      <c r="C309" s="378"/>
      <c r="D309" s="378"/>
      <c r="F309" s="378"/>
      <c r="G309" s="378"/>
      <c r="H309" s="378"/>
      <c r="I309" s="378"/>
      <c r="J309" s="378"/>
      <c r="K309" s="378"/>
      <c r="L309" s="378"/>
      <c r="M309" s="378"/>
      <c r="N309" s="378"/>
      <c r="O309" s="378"/>
      <c r="P309" s="378"/>
      <c r="Q309" s="378"/>
      <c r="R309" s="378"/>
      <c r="S309" s="378"/>
      <c r="T309" s="378"/>
      <c r="U309" s="378"/>
      <c r="V309" s="378"/>
      <c r="W309" s="378"/>
      <c r="X309" s="378"/>
      <c r="Y309" s="378"/>
      <c r="Z309" s="378"/>
      <c r="AA309" s="378"/>
      <c r="AB309" s="378"/>
      <c r="AC309" s="378"/>
      <c r="AD309" s="378"/>
      <c r="AE309" s="378"/>
      <c r="AF309" s="378"/>
    </row>
    <row r="310" spans="2:32">
      <c r="B310" s="378"/>
      <c r="C310" s="378"/>
      <c r="D310" s="378"/>
      <c r="F310" s="378"/>
      <c r="G310" s="378"/>
      <c r="H310" s="378"/>
      <c r="I310" s="378"/>
      <c r="J310" s="378"/>
      <c r="K310" s="378"/>
      <c r="L310" s="378"/>
      <c r="M310" s="378"/>
      <c r="N310" s="378"/>
      <c r="O310" s="378"/>
      <c r="P310" s="378"/>
      <c r="Q310" s="378"/>
      <c r="R310" s="378"/>
      <c r="S310" s="378"/>
      <c r="T310" s="378"/>
      <c r="U310" s="378"/>
      <c r="V310" s="378"/>
      <c r="W310" s="378"/>
      <c r="X310" s="378"/>
      <c r="Y310" s="378"/>
      <c r="Z310" s="378"/>
      <c r="AA310" s="378"/>
      <c r="AB310" s="378"/>
      <c r="AC310" s="378"/>
      <c r="AD310" s="378"/>
      <c r="AE310" s="378"/>
      <c r="AF310" s="378"/>
    </row>
    <row r="311" spans="2:32">
      <c r="B311" s="378"/>
      <c r="C311" s="378"/>
      <c r="D311" s="378"/>
      <c r="F311" s="378"/>
      <c r="G311" s="378"/>
      <c r="H311" s="378"/>
      <c r="I311" s="378"/>
      <c r="J311" s="378"/>
      <c r="K311" s="378"/>
      <c r="L311" s="378"/>
      <c r="M311" s="378"/>
      <c r="N311" s="378"/>
      <c r="O311" s="378"/>
      <c r="P311" s="378"/>
      <c r="Q311" s="378"/>
      <c r="R311" s="378"/>
      <c r="S311" s="378"/>
      <c r="T311" s="378"/>
      <c r="U311" s="378"/>
      <c r="V311" s="378"/>
      <c r="W311" s="378"/>
      <c r="X311" s="378"/>
      <c r="Y311" s="378"/>
      <c r="Z311" s="378"/>
      <c r="AA311" s="378"/>
      <c r="AB311" s="378"/>
      <c r="AC311" s="378"/>
      <c r="AD311" s="378"/>
      <c r="AE311" s="378"/>
      <c r="AF311" s="378"/>
    </row>
    <row r="312" spans="2:32">
      <c r="B312" s="378"/>
      <c r="C312" s="378"/>
      <c r="D312" s="378"/>
      <c r="F312" s="378"/>
      <c r="G312" s="378"/>
      <c r="H312" s="378"/>
      <c r="I312" s="378"/>
      <c r="J312" s="378"/>
      <c r="K312" s="378"/>
      <c r="L312" s="378"/>
      <c r="M312" s="378"/>
      <c r="N312" s="378"/>
      <c r="O312" s="378"/>
      <c r="P312" s="378"/>
      <c r="Q312" s="378"/>
      <c r="R312" s="378"/>
      <c r="S312" s="378"/>
      <c r="T312" s="378"/>
      <c r="U312" s="378"/>
      <c r="V312" s="378"/>
      <c r="W312" s="378"/>
      <c r="X312" s="378"/>
      <c r="Y312" s="378"/>
      <c r="Z312" s="378"/>
      <c r="AA312" s="378"/>
      <c r="AB312" s="378"/>
      <c r="AC312" s="378"/>
      <c r="AD312" s="378"/>
      <c r="AE312" s="378"/>
      <c r="AF312" s="378"/>
    </row>
    <row r="313" spans="2:32">
      <c r="B313" s="378"/>
      <c r="C313" s="378"/>
      <c r="D313" s="378"/>
      <c r="F313" s="378"/>
      <c r="G313" s="378"/>
      <c r="H313" s="378"/>
      <c r="I313" s="378"/>
      <c r="J313" s="378"/>
      <c r="K313" s="378"/>
      <c r="L313" s="378"/>
      <c r="M313" s="378"/>
      <c r="N313" s="378"/>
      <c r="O313" s="378"/>
      <c r="P313" s="378"/>
      <c r="Q313" s="378"/>
      <c r="R313" s="378"/>
      <c r="S313" s="378"/>
      <c r="T313" s="378"/>
      <c r="U313" s="378"/>
      <c r="V313" s="378"/>
      <c r="W313" s="378"/>
      <c r="X313" s="378"/>
      <c r="Y313" s="378"/>
      <c r="Z313" s="378"/>
      <c r="AA313" s="378"/>
      <c r="AB313" s="378"/>
      <c r="AC313" s="378"/>
      <c r="AD313" s="378"/>
      <c r="AE313" s="378"/>
      <c r="AF313" s="378"/>
    </row>
    <row r="314" spans="2:32">
      <c r="B314" s="378"/>
      <c r="C314" s="378"/>
      <c r="D314" s="378"/>
      <c r="F314" s="378"/>
      <c r="G314" s="378"/>
      <c r="H314" s="378"/>
      <c r="I314" s="378"/>
      <c r="J314" s="378"/>
      <c r="K314" s="378"/>
      <c r="L314" s="378"/>
      <c r="M314" s="378"/>
      <c r="N314" s="378"/>
      <c r="O314" s="378"/>
      <c r="P314" s="378"/>
      <c r="Q314" s="378"/>
      <c r="R314" s="378"/>
      <c r="S314" s="378"/>
      <c r="T314" s="378"/>
      <c r="U314" s="378"/>
      <c r="V314" s="378"/>
      <c r="W314" s="378"/>
      <c r="X314" s="378"/>
      <c r="Y314" s="378"/>
      <c r="Z314" s="378"/>
      <c r="AA314" s="378"/>
      <c r="AB314" s="378"/>
      <c r="AC314" s="378"/>
      <c r="AD314" s="378"/>
      <c r="AE314" s="378"/>
      <c r="AF314" s="378"/>
    </row>
    <row r="315" spans="2:32">
      <c r="B315" s="378"/>
      <c r="C315" s="378"/>
      <c r="D315" s="378"/>
      <c r="F315" s="378"/>
      <c r="G315" s="378"/>
      <c r="H315" s="378"/>
      <c r="I315" s="378"/>
      <c r="J315" s="378"/>
      <c r="K315" s="378"/>
      <c r="L315" s="378"/>
      <c r="M315" s="378"/>
      <c r="N315" s="378"/>
      <c r="O315" s="378"/>
      <c r="P315" s="378"/>
      <c r="Q315" s="378"/>
      <c r="R315" s="378"/>
      <c r="S315" s="378"/>
      <c r="T315" s="378"/>
      <c r="U315" s="378"/>
      <c r="V315" s="378"/>
      <c r="W315" s="378"/>
      <c r="X315" s="378"/>
      <c r="Y315" s="378"/>
      <c r="Z315" s="378"/>
      <c r="AA315" s="378"/>
      <c r="AB315" s="378"/>
      <c r="AC315" s="378"/>
      <c r="AD315" s="378"/>
      <c r="AE315" s="378"/>
      <c r="AF315" s="378"/>
    </row>
    <row r="316" spans="2:32">
      <c r="B316" s="378"/>
      <c r="C316" s="378"/>
      <c r="D316" s="378"/>
      <c r="F316" s="378"/>
      <c r="G316" s="378"/>
      <c r="H316" s="378"/>
      <c r="I316" s="378"/>
      <c r="J316" s="378"/>
      <c r="K316" s="378"/>
      <c r="L316" s="378"/>
      <c r="M316" s="378"/>
      <c r="N316" s="378"/>
      <c r="O316" s="378"/>
      <c r="P316" s="378"/>
      <c r="Q316" s="378"/>
      <c r="R316" s="378"/>
      <c r="S316" s="378"/>
      <c r="T316" s="378"/>
      <c r="U316" s="378"/>
      <c r="V316" s="378"/>
      <c r="W316" s="378"/>
      <c r="X316" s="378"/>
      <c r="Y316" s="378"/>
      <c r="Z316" s="378"/>
      <c r="AA316" s="378"/>
      <c r="AB316" s="378"/>
      <c r="AC316" s="378"/>
      <c r="AD316" s="378"/>
      <c r="AE316" s="378"/>
      <c r="AF316" s="378"/>
    </row>
    <row r="317" spans="2:32">
      <c r="B317" s="378"/>
      <c r="C317" s="378"/>
      <c r="D317" s="378"/>
      <c r="F317" s="378"/>
      <c r="G317" s="378"/>
      <c r="H317" s="378"/>
      <c r="I317" s="378"/>
      <c r="J317" s="378"/>
      <c r="K317" s="378"/>
      <c r="L317" s="378"/>
      <c r="M317" s="378"/>
      <c r="N317" s="378"/>
      <c r="O317" s="378"/>
      <c r="P317" s="378"/>
      <c r="Q317" s="378"/>
      <c r="R317" s="378"/>
      <c r="S317" s="378"/>
      <c r="T317" s="378"/>
      <c r="U317" s="378"/>
      <c r="V317" s="378"/>
      <c r="W317" s="378"/>
      <c r="X317" s="378"/>
      <c r="Y317" s="378"/>
      <c r="Z317" s="378"/>
      <c r="AA317" s="378"/>
      <c r="AB317" s="378"/>
      <c r="AC317" s="378"/>
      <c r="AD317" s="378"/>
      <c r="AE317" s="378"/>
      <c r="AF317" s="378"/>
    </row>
    <row r="318" spans="2:32">
      <c r="B318" s="378"/>
      <c r="C318" s="378"/>
      <c r="D318" s="378"/>
      <c r="F318" s="378"/>
      <c r="G318" s="378"/>
      <c r="H318" s="378"/>
      <c r="I318" s="378"/>
      <c r="J318" s="378"/>
      <c r="K318" s="378"/>
      <c r="L318" s="378"/>
      <c r="M318" s="378"/>
      <c r="N318" s="378"/>
      <c r="O318" s="378"/>
      <c r="P318" s="378"/>
      <c r="Q318" s="378"/>
      <c r="R318" s="378"/>
      <c r="S318" s="378"/>
      <c r="T318" s="378"/>
      <c r="U318" s="378"/>
      <c r="V318" s="378"/>
      <c r="W318" s="378"/>
      <c r="X318" s="378"/>
      <c r="Y318" s="378"/>
      <c r="Z318" s="378"/>
      <c r="AA318" s="378"/>
      <c r="AB318" s="378"/>
      <c r="AC318" s="378"/>
      <c r="AD318" s="378"/>
      <c r="AE318" s="378"/>
      <c r="AF318" s="378"/>
    </row>
    <row r="319" spans="2:32">
      <c r="B319" s="378"/>
      <c r="C319" s="378"/>
      <c r="D319" s="378"/>
      <c r="F319" s="378"/>
      <c r="G319" s="378"/>
      <c r="H319" s="378"/>
      <c r="I319" s="378"/>
      <c r="J319" s="378"/>
      <c r="K319" s="378"/>
      <c r="L319" s="378"/>
      <c r="M319" s="378"/>
      <c r="N319" s="378"/>
      <c r="O319" s="378"/>
      <c r="P319" s="378"/>
      <c r="Q319" s="378"/>
      <c r="R319" s="378"/>
      <c r="S319" s="378"/>
      <c r="T319" s="378"/>
      <c r="U319" s="378"/>
      <c r="V319" s="378"/>
      <c r="W319" s="378"/>
      <c r="X319" s="378"/>
      <c r="Y319" s="378"/>
      <c r="Z319" s="378"/>
      <c r="AA319" s="378"/>
      <c r="AB319" s="378"/>
      <c r="AC319" s="378"/>
      <c r="AD319" s="378"/>
      <c r="AE319" s="378"/>
      <c r="AF319" s="378"/>
    </row>
    <row r="320" spans="2:32">
      <c r="B320" s="378"/>
      <c r="C320" s="378"/>
      <c r="D320" s="378"/>
      <c r="F320" s="378"/>
      <c r="G320" s="378"/>
      <c r="H320" s="378"/>
      <c r="I320" s="378"/>
      <c r="J320" s="378"/>
      <c r="K320" s="378"/>
      <c r="L320" s="378"/>
      <c r="M320" s="378"/>
      <c r="N320" s="378"/>
      <c r="O320" s="378"/>
      <c r="P320" s="378"/>
      <c r="Q320" s="378"/>
      <c r="R320" s="378"/>
      <c r="S320" s="378"/>
      <c r="T320" s="378"/>
      <c r="U320" s="378"/>
      <c r="V320" s="378"/>
      <c r="W320" s="378"/>
      <c r="X320" s="378"/>
      <c r="Y320" s="378"/>
      <c r="Z320" s="378"/>
      <c r="AA320" s="378"/>
      <c r="AB320" s="378"/>
      <c r="AC320" s="378"/>
      <c r="AD320" s="378"/>
      <c r="AE320" s="378"/>
      <c r="AF320" s="378"/>
    </row>
    <row r="321" spans="2:32">
      <c r="B321" s="378"/>
      <c r="C321" s="378"/>
      <c r="D321" s="378"/>
      <c r="F321" s="378"/>
      <c r="G321" s="378"/>
      <c r="H321" s="378"/>
      <c r="I321" s="378"/>
      <c r="J321" s="378"/>
      <c r="K321" s="378"/>
      <c r="L321" s="378"/>
      <c r="M321" s="378"/>
      <c r="N321" s="378"/>
      <c r="O321" s="378"/>
      <c r="P321" s="378"/>
      <c r="Q321" s="378"/>
      <c r="R321" s="378"/>
      <c r="S321" s="378"/>
      <c r="T321" s="378"/>
      <c r="U321" s="378"/>
      <c r="V321" s="378"/>
      <c r="W321" s="378"/>
      <c r="X321" s="378"/>
      <c r="Y321" s="378"/>
      <c r="Z321" s="378"/>
      <c r="AA321" s="378"/>
      <c r="AB321" s="378"/>
      <c r="AC321" s="378"/>
      <c r="AD321" s="378"/>
      <c r="AE321" s="378"/>
      <c r="AF321" s="378"/>
    </row>
    <row r="322" spans="2:32">
      <c r="B322" s="378"/>
      <c r="C322" s="378"/>
      <c r="D322" s="378"/>
      <c r="F322" s="378"/>
      <c r="G322" s="378"/>
      <c r="H322" s="378"/>
      <c r="I322" s="378"/>
      <c r="J322" s="378"/>
      <c r="K322" s="378"/>
      <c r="L322" s="378"/>
      <c r="M322" s="378"/>
      <c r="N322" s="378"/>
      <c r="O322" s="378"/>
      <c r="P322" s="378"/>
      <c r="Q322" s="378"/>
      <c r="R322" s="378"/>
      <c r="S322" s="378"/>
      <c r="T322" s="378"/>
      <c r="U322" s="378"/>
      <c r="V322" s="378"/>
      <c r="W322" s="378"/>
      <c r="X322" s="378"/>
      <c r="Y322" s="378"/>
      <c r="Z322" s="378"/>
      <c r="AA322" s="378"/>
      <c r="AB322" s="378"/>
      <c r="AC322" s="378"/>
      <c r="AD322" s="378"/>
      <c r="AE322" s="378"/>
      <c r="AF322" s="378"/>
    </row>
    <row r="323" spans="2:32">
      <c r="B323" s="378"/>
      <c r="C323" s="378"/>
      <c r="D323" s="378"/>
      <c r="F323" s="378"/>
      <c r="G323" s="378"/>
      <c r="H323" s="378"/>
      <c r="I323" s="378"/>
      <c r="J323" s="378"/>
      <c r="K323" s="378"/>
      <c r="L323" s="378"/>
      <c r="M323" s="378"/>
      <c r="N323" s="378"/>
      <c r="O323" s="378"/>
      <c r="P323" s="378"/>
      <c r="Q323" s="378"/>
      <c r="R323" s="378"/>
      <c r="S323" s="378"/>
      <c r="T323" s="378"/>
      <c r="U323" s="378"/>
      <c r="V323" s="378"/>
      <c r="W323" s="378"/>
      <c r="X323" s="378"/>
      <c r="Y323" s="378"/>
      <c r="Z323" s="378"/>
      <c r="AA323" s="378"/>
      <c r="AB323" s="378"/>
      <c r="AC323" s="378"/>
      <c r="AD323" s="378"/>
      <c r="AE323" s="378"/>
      <c r="AF323" s="378"/>
    </row>
    <row r="324" spans="2:32">
      <c r="B324" s="378"/>
      <c r="C324" s="378"/>
      <c r="D324" s="378"/>
      <c r="F324" s="378"/>
      <c r="G324" s="378"/>
      <c r="H324" s="378"/>
      <c r="I324" s="378"/>
      <c r="J324" s="378"/>
      <c r="K324" s="378"/>
      <c r="L324" s="378"/>
      <c r="M324" s="378"/>
      <c r="N324" s="378"/>
      <c r="O324" s="378"/>
      <c r="P324" s="378"/>
      <c r="Q324" s="378"/>
      <c r="R324" s="378"/>
      <c r="S324" s="378"/>
      <c r="T324" s="378"/>
      <c r="U324" s="378"/>
      <c r="V324" s="378"/>
      <c r="W324" s="378"/>
      <c r="X324" s="378"/>
      <c r="Y324" s="378"/>
      <c r="Z324" s="378"/>
      <c r="AA324" s="378"/>
      <c r="AB324" s="378"/>
      <c r="AC324" s="378"/>
      <c r="AD324" s="378"/>
      <c r="AE324" s="378"/>
      <c r="AF324" s="378"/>
    </row>
    <row r="325" spans="2:32">
      <c r="B325" s="378"/>
      <c r="C325" s="378"/>
      <c r="D325" s="378"/>
      <c r="F325" s="378"/>
      <c r="G325" s="378"/>
      <c r="H325" s="378"/>
      <c r="I325" s="378"/>
      <c r="J325" s="378"/>
      <c r="K325" s="378"/>
      <c r="L325" s="378"/>
      <c r="M325" s="378"/>
      <c r="N325" s="378"/>
      <c r="O325" s="378"/>
      <c r="P325" s="378"/>
      <c r="Q325" s="378"/>
      <c r="R325" s="378"/>
      <c r="S325" s="378"/>
      <c r="T325" s="378"/>
      <c r="U325" s="378"/>
      <c r="V325" s="378"/>
      <c r="W325" s="378"/>
      <c r="X325" s="378"/>
      <c r="Y325" s="378"/>
      <c r="Z325" s="378"/>
      <c r="AA325" s="378"/>
      <c r="AB325" s="378"/>
      <c r="AC325" s="378"/>
      <c r="AD325" s="378"/>
      <c r="AE325" s="378"/>
      <c r="AF325" s="378"/>
    </row>
    <row r="326" spans="2:32">
      <c r="B326" s="378"/>
      <c r="C326" s="378"/>
      <c r="D326" s="378"/>
      <c r="F326" s="378"/>
      <c r="G326" s="378"/>
      <c r="H326" s="378"/>
      <c r="I326" s="378"/>
      <c r="J326" s="378"/>
      <c r="K326" s="378"/>
      <c r="L326" s="378"/>
      <c r="M326" s="378"/>
      <c r="N326" s="378"/>
      <c r="O326" s="378"/>
      <c r="P326" s="378"/>
      <c r="Q326" s="378"/>
      <c r="R326" s="378"/>
      <c r="S326" s="378"/>
      <c r="T326" s="378"/>
      <c r="U326" s="378"/>
      <c r="V326" s="378"/>
      <c r="W326" s="378"/>
      <c r="X326" s="378"/>
      <c r="Y326" s="378"/>
      <c r="Z326" s="378"/>
      <c r="AA326" s="378"/>
      <c r="AB326" s="378"/>
      <c r="AC326" s="378"/>
      <c r="AD326" s="378"/>
      <c r="AE326" s="378"/>
      <c r="AF326" s="378"/>
    </row>
    <row r="327" spans="2:32">
      <c r="B327" s="378"/>
      <c r="C327" s="378"/>
      <c r="D327" s="378"/>
      <c r="F327" s="378"/>
      <c r="G327" s="378"/>
      <c r="H327" s="378"/>
      <c r="I327" s="378"/>
      <c r="J327" s="378"/>
      <c r="K327" s="378"/>
      <c r="L327" s="378"/>
      <c r="M327" s="378"/>
      <c r="N327" s="378"/>
      <c r="O327" s="378"/>
      <c r="P327" s="378"/>
      <c r="Q327" s="378"/>
      <c r="R327" s="378"/>
      <c r="S327" s="378"/>
      <c r="T327" s="378"/>
      <c r="U327" s="378"/>
      <c r="V327" s="378"/>
      <c r="W327" s="378"/>
      <c r="X327" s="378"/>
      <c r="Y327" s="378"/>
      <c r="Z327" s="378"/>
      <c r="AA327" s="378"/>
      <c r="AB327" s="378"/>
      <c r="AC327" s="378"/>
      <c r="AD327" s="378"/>
      <c r="AE327" s="378"/>
      <c r="AF327" s="378"/>
    </row>
    <row r="328" spans="2:32">
      <c r="B328" s="378"/>
      <c r="C328" s="378"/>
      <c r="D328" s="378"/>
      <c r="F328" s="378"/>
      <c r="G328" s="378"/>
      <c r="H328" s="378"/>
      <c r="I328" s="378"/>
      <c r="J328" s="378"/>
      <c r="K328" s="378"/>
      <c r="L328" s="378"/>
      <c r="M328" s="378"/>
      <c r="N328" s="378"/>
      <c r="O328" s="378"/>
      <c r="P328" s="378"/>
      <c r="Q328" s="378"/>
      <c r="R328" s="378"/>
      <c r="S328" s="378"/>
      <c r="T328" s="378"/>
      <c r="U328" s="378"/>
      <c r="V328" s="378"/>
      <c r="W328" s="378"/>
      <c r="X328" s="378"/>
      <c r="Y328" s="378"/>
      <c r="Z328" s="378"/>
      <c r="AA328" s="378"/>
      <c r="AB328" s="378"/>
      <c r="AC328" s="378"/>
      <c r="AD328" s="378"/>
      <c r="AE328" s="378"/>
      <c r="AF328" s="378"/>
    </row>
    <row r="329" spans="2:32">
      <c r="B329" s="378"/>
      <c r="C329" s="378"/>
      <c r="D329" s="378"/>
      <c r="F329" s="378"/>
      <c r="G329" s="378"/>
      <c r="H329" s="378"/>
      <c r="I329" s="378"/>
      <c r="J329" s="378"/>
      <c r="K329" s="378"/>
      <c r="L329" s="378"/>
      <c r="M329" s="378"/>
      <c r="N329" s="378"/>
      <c r="O329" s="378"/>
      <c r="P329" s="378"/>
      <c r="Q329" s="378"/>
      <c r="R329" s="378"/>
      <c r="S329" s="378"/>
      <c r="T329" s="378"/>
      <c r="U329" s="378"/>
      <c r="V329" s="378"/>
      <c r="W329" s="378"/>
      <c r="X329" s="378"/>
      <c r="Y329" s="378"/>
      <c r="Z329" s="378"/>
      <c r="AA329" s="378"/>
      <c r="AB329" s="378"/>
      <c r="AC329" s="378"/>
      <c r="AD329" s="378"/>
      <c r="AE329" s="378"/>
      <c r="AF329" s="378"/>
    </row>
    <row r="330" spans="2:32">
      <c r="B330" s="378"/>
      <c r="C330" s="378"/>
      <c r="D330" s="378"/>
      <c r="F330" s="378"/>
      <c r="G330" s="378"/>
      <c r="H330" s="378"/>
      <c r="I330" s="378"/>
      <c r="J330" s="378"/>
      <c r="K330" s="378"/>
      <c r="L330" s="378"/>
      <c r="M330" s="378"/>
      <c r="N330" s="378"/>
      <c r="O330" s="378"/>
      <c r="P330" s="378"/>
      <c r="Q330" s="378"/>
      <c r="R330" s="378"/>
      <c r="S330" s="378"/>
      <c r="T330" s="378"/>
      <c r="U330" s="378"/>
      <c r="V330" s="378"/>
      <c r="W330" s="378"/>
      <c r="X330" s="378"/>
      <c r="Y330" s="378"/>
      <c r="Z330" s="378"/>
      <c r="AA330" s="378"/>
      <c r="AB330" s="378"/>
      <c r="AC330" s="378"/>
      <c r="AD330" s="378"/>
      <c r="AE330" s="378"/>
      <c r="AF330" s="378"/>
    </row>
    <row r="331" spans="2:32">
      <c r="B331" s="378"/>
      <c r="C331" s="378"/>
      <c r="D331" s="378"/>
      <c r="F331" s="378"/>
      <c r="G331" s="378"/>
      <c r="H331" s="378"/>
      <c r="I331" s="378"/>
      <c r="J331" s="378"/>
      <c r="K331" s="378"/>
      <c r="L331" s="378"/>
      <c r="M331" s="378"/>
      <c r="N331" s="378"/>
      <c r="O331" s="378"/>
      <c r="P331" s="378"/>
      <c r="Q331" s="378"/>
      <c r="R331" s="378"/>
      <c r="S331" s="378"/>
      <c r="T331" s="378"/>
      <c r="U331" s="378"/>
      <c r="V331" s="378"/>
      <c r="W331" s="378"/>
      <c r="X331" s="378"/>
      <c r="Y331" s="378"/>
      <c r="Z331" s="378"/>
      <c r="AA331" s="378"/>
      <c r="AB331" s="378"/>
      <c r="AC331" s="378"/>
      <c r="AD331" s="378"/>
      <c r="AE331" s="378"/>
      <c r="AF331" s="378"/>
    </row>
    <row r="332" spans="2:32">
      <c r="B332" s="378"/>
      <c r="C332" s="378"/>
      <c r="D332" s="378"/>
      <c r="F332" s="378"/>
      <c r="G332" s="378"/>
      <c r="H332" s="378"/>
      <c r="I332" s="378"/>
      <c r="J332" s="378"/>
      <c r="K332" s="378"/>
      <c r="L332" s="378"/>
      <c r="M332" s="378"/>
      <c r="N332" s="378"/>
      <c r="O332" s="378"/>
      <c r="P332" s="378"/>
      <c r="Q332" s="378"/>
      <c r="R332" s="378"/>
      <c r="S332" s="378"/>
      <c r="T332" s="378"/>
      <c r="U332" s="378"/>
      <c r="V332" s="378"/>
      <c r="W332" s="378"/>
      <c r="X332" s="378"/>
      <c r="Y332" s="378"/>
      <c r="Z332" s="378"/>
      <c r="AA332" s="378"/>
      <c r="AB332" s="378"/>
      <c r="AC332" s="378"/>
      <c r="AD332" s="378"/>
      <c r="AE332" s="378"/>
      <c r="AF332" s="378"/>
    </row>
    <row r="333" spans="2:32">
      <c r="B333" s="378"/>
      <c r="C333" s="378"/>
      <c r="D333" s="378"/>
      <c r="F333" s="378"/>
      <c r="G333" s="378"/>
      <c r="H333" s="378"/>
      <c r="I333" s="378"/>
      <c r="J333" s="378"/>
      <c r="K333" s="378"/>
      <c r="L333" s="378"/>
      <c r="M333" s="378"/>
      <c r="N333" s="378"/>
      <c r="O333" s="378"/>
      <c r="P333" s="378"/>
      <c r="Q333" s="378"/>
      <c r="R333" s="378"/>
      <c r="S333" s="378"/>
      <c r="T333" s="378"/>
      <c r="U333" s="378"/>
      <c r="V333" s="378"/>
      <c r="W333" s="378"/>
      <c r="X333" s="378"/>
      <c r="Y333" s="378"/>
      <c r="Z333" s="378"/>
      <c r="AA333" s="378"/>
      <c r="AB333" s="378"/>
      <c r="AC333" s="378"/>
      <c r="AD333" s="378"/>
      <c r="AE333" s="378"/>
      <c r="AF333" s="378"/>
    </row>
    <row r="334" spans="2:32">
      <c r="B334" s="378"/>
      <c r="C334" s="378"/>
      <c r="D334" s="378"/>
      <c r="F334" s="378"/>
      <c r="G334" s="378"/>
      <c r="H334" s="378"/>
      <c r="I334" s="378"/>
      <c r="J334" s="378"/>
      <c r="K334" s="378"/>
      <c r="L334" s="378"/>
      <c r="M334" s="378"/>
      <c r="N334" s="378"/>
      <c r="O334" s="378"/>
      <c r="P334" s="378"/>
      <c r="Q334" s="378"/>
      <c r="R334" s="378"/>
      <c r="S334" s="378"/>
      <c r="T334" s="378"/>
      <c r="U334" s="378"/>
      <c r="V334" s="378"/>
      <c r="W334" s="378"/>
      <c r="X334" s="378"/>
      <c r="Y334" s="378"/>
      <c r="Z334" s="378"/>
      <c r="AA334" s="378"/>
      <c r="AB334" s="378"/>
      <c r="AC334" s="378"/>
      <c r="AD334" s="378"/>
      <c r="AE334" s="378"/>
      <c r="AF334" s="378"/>
    </row>
    <row r="335" spans="2:32">
      <c r="B335" s="378"/>
      <c r="C335" s="378"/>
      <c r="D335" s="378"/>
      <c r="F335" s="378"/>
      <c r="G335" s="378"/>
      <c r="H335" s="378"/>
      <c r="I335" s="378"/>
      <c r="J335" s="378"/>
      <c r="K335" s="378"/>
      <c r="L335" s="378"/>
      <c r="M335" s="378"/>
      <c r="N335" s="378"/>
      <c r="O335" s="378"/>
      <c r="P335" s="378"/>
      <c r="Q335" s="378"/>
      <c r="R335" s="378"/>
      <c r="S335" s="378"/>
      <c r="T335" s="378"/>
      <c r="U335" s="378"/>
      <c r="V335" s="378"/>
      <c r="W335" s="378"/>
      <c r="X335" s="378"/>
      <c r="Y335" s="378"/>
      <c r="Z335" s="378"/>
      <c r="AA335" s="378"/>
      <c r="AB335" s="378"/>
      <c r="AC335" s="378"/>
      <c r="AD335" s="378"/>
      <c r="AE335" s="378"/>
      <c r="AF335" s="378"/>
    </row>
    <row r="336" spans="2:32">
      <c r="B336" s="378"/>
      <c r="C336" s="378"/>
      <c r="D336" s="378"/>
      <c r="F336" s="378"/>
      <c r="G336" s="378"/>
      <c r="H336" s="378"/>
      <c r="I336" s="378"/>
      <c r="J336" s="378"/>
      <c r="K336" s="378"/>
      <c r="L336" s="378"/>
      <c r="M336" s="378"/>
      <c r="N336" s="378"/>
      <c r="O336" s="378"/>
      <c r="P336" s="378"/>
      <c r="Q336" s="378"/>
      <c r="R336" s="378"/>
      <c r="S336" s="378"/>
      <c r="T336" s="378"/>
      <c r="U336" s="378"/>
      <c r="V336" s="378"/>
      <c r="W336" s="378"/>
      <c r="X336" s="378"/>
      <c r="Y336" s="378"/>
      <c r="Z336" s="378"/>
      <c r="AA336" s="378"/>
      <c r="AB336" s="378"/>
      <c r="AC336" s="378"/>
      <c r="AD336" s="378"/>
      <c r="AE336" s="378"/>
      <c r="AF336" s="378"/>
    </row>
    <row r="337" spans="2:32">
      <c r="B337" s="378"/>
      <c r="C337" s="378"/>
      <c r="D337" s="378"/>
      <c r="F337" s="378"/>
      <c r="G337" s="378"/>
      <c r="H337" s="378"/>
      <c r="I337" s="378"/>
      <c r="J337" s="378"/>
      <c r="K337" s="378"/>
      <c r="L337" s="378"/>
      <c r="M337" s="378"/>
      <c r="N337" s="378"/>
      <c r="O337" s="378"/>
      <c r="P337" s="378"/>
      <c r="Q337" s="378"/>
      <c r="R337" s="378"/>
      <c r="S337" s="378"/>
      <c r="T337" s="378"/>
      <c r="U337" s="378"/>
      <c r="V337" s="378"/>
      <c r="W337" s="378"/>
      <c r="X337" s="378"/>
      <c r="Y337" s="378"/>
      <c r="Z337" s="378"/>
      <c r="AA337" s="378"/>
      <c r="AB337" s="378"/>
      <c r="AC337" s="378"/>
      <c r="AD337" s="378"/>
      <c r="AE337" s="378"/>
      <c r="AF337" s="378"/>
    </row>
    <row r="338" spans="2:32">
      <c r="B338" s="378"/>
      <c r="C338" s="378"/>
      <c r="D338" s="378"/>
      <c r="F338" s="378"/>
      <c r="G338" s="378"/>
      <c r="H338" s="378"/>
      <c r="I338" s="378"/>
      <c r="J338" s="378"/>
      <c r="K338" s="378"/>
      <c r="L338" s="378"/>
      <c r="M338" s="378"/>
      <c r="N338" s="378"/>
      <c r="O338" s="378"/>
      <c r="P338" s="378"/>
      <c r="Q338" s="378"/>
      <c r="R338" s="378"/>
      <c r="S338" s="378"/>
      <c r="T338" s="378"/>
      <c r="U338" s="378"/>
      <c r="V338" s="378"/>
      <c r="W338" s="378"/>
      <c r="X338" s="378"/>
      <c r="Y338" s="378"/>
      <c r="Z338" s="378"/>
      <c r="AA338" s="378"/>
      <c r="AB338" s="378"/>
      <c r="AC338" s="378"/>
      <c r="AD338" s="378"/>
      <c r="AE338" s="378"/>
      <c r="AF338" s="378"/>
    </row>
    <row r="339" spans="2:32">
      <c r="B339" s="378"/>
      <c r="C339" s="378"/>
      <c r="D339" s="378"/>
      <c r="F339" s="378"/>
      <c r="G339" s="378"/>
      <c r="H339" s="378"/>
      <c r="I339" s="378"/>
      <c r="J339" s="378"/>
      <c r="K339" s="378"/>
      <c r="L339" s="378"/>
      <c r="M339" s="378"/>
      <c r="N339" s="378"/>
      <c r="O339" s="378"/>
      <c r="P339" s="378"/>
      <c r="Q339" s="378"/>
      <c r="R339" s="378"/>
      <c r="S339" s="378"/>
      <c r="T339" s="378"/>
      <c r="U339" s="378"/>
      <c r="V339" s="378"/>
      <c r="W339" s="378"/>
      <c r="X339" s="378"/>
      <c r="Y339" s="378"/>
      <c r="Z339" s="378"/>
      <c r="AA339" s="378"/>
      <c r="AB339" s="378"/>
      <c r="AC339" s="378"/>
      <c r="AD339" s="378"/>
      <c r="AE339" s="378"/>
      <c r="AF339" s="378"/>
    </row>
    <row r="340" spans="2:32">
      <c r="B340" s="378"/>
      <c r="C340" s="378"/>
      <c r="D340" s="378"/>
      <c r="F340" s="378"/>
      <c r="G340" s="378"/>
      <c r="H340" s="378"/>
      <c r="I340" s="378"/>
      <c r="J340" s="378"/>
      <c r="K340" s="378"/>
      <c r="L340" s="378"/>
      <c r="M340" s="378"/>
      <c r="N340" s="378"/>
      <c r="O340" s="378"/>
      <c r="P340" s="378"/>
      <c r="Q340" s="378"/>
      <c r="R340" s="378"/>
      <c r="S340" s="378"/>
      <c r="T340" s="378"/>
      <c r="U340" s="378"/>
      <c r="V340" s="378"/>
      <c r="W340" s="378"/>
      <c r="X340" s="378"/>
      <c r="Y340" s="378"/>
      <c r="Z340" s="378"/>
      <c r="AA340" s="378"/>
      <c r="AB340" s="378"/>
      <c r="AC340" s="378"/>
      <c r="AD340" s="378"/>
      <c r="AE340" s="378"/>
      <c r="AF340" s="378"/>
    </row>
    <row r="341" spans="2:32">
      <c r="B341" s="378"/>
      <c r="C341" s="378"/>
      <c r="D341" s="378"/>
      <c r="F341" s="378"/>
      <c r="G341" s="378"/>
      <c r="H341" s="378"/>
      <c r="I341" s="378"/>
      <c r="J341" s="378"/>
      <c r="K341" s="378"/>
      <c r="L341" s="378"/>
      <c r="M341" s="378"/>
      <c r="N341" s="378"/>
      <c r="O341" s="378"/>
      <c r="P341" s="378"/>
      <c r="Q341" s="378"/>
      <c r="R341" s="378"/>
      <c r="S341" s="378"/>
      <c r="T341" s="378"/>
      <c r="U341" s="378"/>
      <c r="V341" s="378"/>
      <c r="W341" s="378"/>
      <c r="X341" s="378"/>
      <c r="Y341" s="378"/>
      <c r="Z341" s="378"/>
      <c r="AA341" s="378"/>
      <c r="AB341" s="378"/>
      <c r="AC341" s="378"/>
      <c r="AD341" s="378"/>
      <c r="AE341" s="378"/>
      <c r="AF341" s="378"/>
    </row>
    <row r="342" spans="2:32">
      <c r="B342" s="378"/>
      <c r="C342" s="378"/>
      <c r="D342" s="378"/>
      <c r="F342" s="378"/>
      <c r="G342" s="378"/>
      <c r="H342" s="378"/>
      <c r="I342" s="378"/>
      <c r="J342" s="378"/>
      <c r="K342" s="378"/>
      <c r="L342" s="378"/>
      <c r="M342" s="378"/>
      <c r="N342" s="378"/>
      <c r="O342" s="378"/>
      <c r="P342" s="378"/>
      <c r="Q342" s="378"/>
      <c r="R342" s="378"/>
      <c r="S342" s="378"/>
      <c r="T342" s="378"/>
      <c r="U342" s="378"/>
      <c r="V342" s="378"/>
      <c r="W342" s="378"/>
      <c r="X342" s="378"/>
      <c r="Y342" s="378"/>
      <c r="Z342" s="378"/>
      <c r="AA342" s="378"/>
      <c r="AB342" s="378"/>
      <c r="AC342" s="378"/>
      <c r="AD342" s="378"/>
      <c r="AE342" s="378"/>
      <c r="AF342" s="378"/>
    </row>
    <row r="343" spans="2:32">
      <c r="B343" s="378"/>
      <c r="C343" s="378"/>
      <c r="D343" s="378"/>
      <c r="F343" s="378"/>
      <c r="G343" s="378"/>
      <c r="H343" s="378"/>
      <c r="I343" s="378"/>
      <c r="J343" s="378"/>
      <c r="K343" s="378"/>
      <c r="L343" s="378"/>
      <c r="M343" s="378"/>
      <c r="N343" s="378"/>
      <c r="O343" s="378"/>
      <c r="P343" s="378"/>
      <c r="Q343" s="378"/>
      <c r="R343" s="378"/>
      <c r="S343" s="378"/>
      <c r="T343" s="378"/>
      <c r="U343" s="378"/>
      <c r="V343" s="378"/>
      <c r="W343" s="378"/>
      <c r="X343" s="378"/>
      <c r="Y343" s="378"/>
      <c r="Z343" s="378"/>
      <c r="AA343" s="378"/>
      <c r="AB343" s="378"/>
      <c r="AC343" s="378"/>
      <c r="AD343" s="378"/>
      <c r="AE343" s="378"/>
      <c r="AF343" s="378"/>
    </row>
    <row r="344" spans="2:32">
      <c r="B344" s="378"/>
      <c r="C344" s="378"/>
      <c r="D344" s="378"/>
      <c r="F344" s="378"/>
      <c r="G344" s="378"/>
      <c r="H344" s="378"/>
      <c r="I344" s="378"/>
      <c r="J344" s="378"/>
      <c r="K344" s="378"/>
      <c r="L344" s="378"/>
      <c r="M344" s="378"/>
      <c r="N344" s="378"/>
      <c r="O344" s="378"/>
      <c r="P344" s="378"/>
      <c r="Q344" s="378"/>
      <c r="R344" s="378"/>
      <c r="S344" s="378"/>
      <c r="T344" s="378"/>
      <c r="U344" s="378"/>
      <c r="V344" s="378"/>
      <c r="W344" s="378"/>
      <c r="X344" s="378"/>
      <c r="Y344" s="378"/>
      <c r="Z344" s="378"/>
      <c r="AA344" s="378"/>
      <c r="AB344" s="378"/>
      <c r="AC344" s="378"/>
      <c r="AD344" s="378"/>
      <c r="AE344" s="378"/>
      <c r="AF344" s="378"/>
    </row>
    <row r="345" spans="2:32">
      <c r="B345" s="378"/>
      <c r="C345" s="378"/>
      <c r="D345" s="378"/>
      <c r="F345" s="378"/>
      <c r="G345" s="378"/>
      <c r="H345" s="378"/>
      <c r="I345" s="378"/>
      <c r="J345" s="378"/>
      <c r="K345" s="378"/>
      <c r="L345" s="378"/>
      <c r="M345" s="378"/>
      <c r="N345" s="378"/>
      <c r="O345" s="378"/>
      <c r="P345" s="378"/>
      <c r="Q345" s="378"/>
      <c r="R345" s="378"/>
      <c r="S345" s="378"/>
      <c r="T345" s="378"/>
      <c r="U345" s="378"/>
      <c r="V345" s="378"/>
      <c r="W345" s="378"/>
      <c r="X345" s="378"/>
      <c r="Y345" s="378"/>
      <c r="Z345" s="378"/>
      <c r="AA345" s="378"/>
      <c r="AB345" s="378"/>
      <c r="AC345" s="378"/>
      <c r="AD345" s="378"/>
      <c r="AE345" s="378"/>
      <c r="AF345" s="378"/>
    </row>
    <row r="346" spans="2:32">
      <c r="B346" s="378"/>
      <c r="C346" s="378"/>
      <c r="D346" s="378"/>
      <c r="F346" s="378"/>
      <c r="G346" s="378"/>
      <c r="H346" s="378"/>
      <c r="I346" s="378"/>
      <c r="J346" s="378"/>
      <c r="K346" s="378"/>
      <c r="L346" s="378"/>
      <c r="M346" s="378"/>
      <c r="N346" s="378"/>
      <c r="O346" s="378"/>
      <c r="P346" s="378"/>
      <c r="Q346" s="378"/>
      <c r="R346" s="378"/>
      <c r="S346" s="378"/>
      <c r="T346" s="378"/>
      <c r="U346" s="378"/>
      <c r="V346" s="378"/>
      <c r="W346" s="378"/>
      <c r="X346" s="378"/>
      <c r="Y346" s="378"/>
      <c r="Z346" s="378"/>
      <c r="AA346" s="378"/>
      <c r="AB346" s="378"/>
      <c r="AC346" s="378"/>
      <c r="AD346" s="378"/>
      <c r="AE346" s="378"/>
      <c r="AF346" s="378"/>
    </row>
    <row r="347" spans="2:32">
      <c r="B347" s="378"/>
      <c r="C347" s="378"/>
      <c r="D347" s="378"/>
      <c r="F347" s="378"/>
      <c r="G347" s="378"/>
      <c r="H347" s="378"/>
      <c r="I347" s="378"/>
      <c r="J347" s="378"/>
      <c r="K347" s="378"/>
      <c r="L347" s="378"/>
      <c r="M347" s="378"/>
      <c r="N347" s="378"/>
      <c r="O347" s="378"/>
      <c r="P347" s="378"/>
      <c r="Q347" s="378"/>
      <c r="R347" s="378"/>
      <c r="S347" s="378"/>
      <c r="T347" s="378"/>
      <c r="U347" s="378"/>
      <c r="V347" s="378"/>
      <c r="W347" s="378"/>
      <c r="X347" s="378"/>
      <c r="Y347" s="378"/>
      <c r="Z347" s="378"/>
      <c r="AA347" s="378"/>
      <c r="AB347" s="378"/>
      <c r="AC347" s="378"/>
      <c r="AD347" s="378"/>
      <c r="AE347" s="378"/>
      <c r="AF347" s="378"/>
    </row>
    <row r="348" spans="2:32">
      <c r="B348" s="378"/>
      <c r="C348" s="378"/>
      <c r="D348" s="378"/>
      <c r="F348" s="378"/>
      <c r="G348" s="378"/>
      <c r="H348" s="378"/>
      <c r="I348" s="378"/>
      <c r="J348" s="378"/>
      <c r="K348" s="378"/>
      <c r="L348" s="378"/>
      <c r="M348" s="378"/>
      <c r="N348" s="378"/>
      <c r="O348" s="378"/>
      <c r="P348" s="378"/>
      <c r="Q348" s="378"/>
      <c r="R348" s="378"/>
      <c r="S348" s="378"/>
      <c r="T348" s="378"/>
      <c r="U348" s="378"/>
      <c r="V348" s="378"/>
      <c r="W348" s="378"/>
      <c r="X348" s="378"/>
      <c r="Y348" s="378"/>
      <c r="Z348" s="378"/>
      <c r="AA348" s="378"/>
      <c r="AB348" s="378"/>
      <c r="AC348" s="378"/>
      <c r="AD348" s="378"/>
      <c r="AE348" s="378"/>
      <c r="AF348" s="378"/>
    </row>
    <row r="349" spans="2:32">
      <c r="B349" s="378"/>
      <c r="C349" s="378"/>
      <c r="D349" s="378"/>
      <c r="F349" s="378"/>
      <c r="G349" s="378"/>
      <c r="H349" s="378"/>
      <c r="I349" s="378"/>
      <c r="J349" s="378"/>
      <c r="K349" s="378"/>
      <c r="L349" s="378"/>
      <c r="M349" s="378"/>
      <c r="N349" s="378"/>
      <c r="O349" s="378"/>
      <c r="P349" s="378"/>
      <c r="Q349" s="378"/>
      <c r="R349" s="378"/>
      <c r="S349" s="378"/>
      <c r="T349" s="378"/>
      <c r="U349" s="378"/>
      <c r="V349" s="378"/>
      <c r="W349" s="378"/>
      <c r="X349" s="378"/>
      <c r="Y349" s="378"/>
      <c r="Z349" s="378"/>
      <c r="AA349" s="378"/>
      <c r="AB349" s="378"/>
      <c r="AC349" s="378"/>
      <c r="AD349" s="378"/>
      <c r="AE349" s="378"/>
      <c r="AF349" s="378"/>
    </row>
    <row r="350" spans="2:32">
      <c r="B350" s="378"/>
      <c r="C350" s="378"/>
      <c r="D350" s="378"/>
      <c r="F350" s="378"/>
      <c r="G350" s="378"/>
      <c r="H350" s="378"/>
      <c r="I350" s="378"/>
      <c r="J350" s="378"/>
      <c r="K350" s="378"/>
      <c r="L350" s="378"/>
      <c r="M350" s="378"/>
      <c r="N350" s="378"/>
      <c r="O350" s="378"/>
      <c r="P350" s="378"/>
      <c r="Q350" s="378"/>
      <c r="R350" s="378"/>
      <c r="S350" s="378"/>
      <c r="T350" s="378"/>
      <c r="U350" s="378"/>
      <c r="V350" s="378"/>
      <c r="W350" s="378"/>
      <c r="X350" s="378"/>
      <c r="Y350" s="378"/>
      <c r="Z350" s="378"/>
      <c r="AA350" s="378"/>
      <c r="AB350" s="378"/>
      <c r="AC350" s="378"/>
      <c r="AD350" s="378"/>
      <c r="AE350" s="378"/>
      <c r="AF350" s="378"/>
    </row>
    <row r="351" spans="2:32">
      <c r="B351" s="378"/>
      <c r="C351" s="378"/>
      <c r="D351" s="378"/>
      <c r="F351" s="378"/>
      <c r="G351" s="378"/>
      <c r="H351" s="378"/>
      <c r="I351" s="378"/>
      <c r="J351" s="378"/>
      <c r="K351" s="378"/>
      <c r="L351" s="378"/>
      <c r="M351" s="378"/>
      <c r="N351" s="378"/>
      <c r="O351" s="378"/>
      <c r="P351" s="378"/>
      <c r="Q351" s="378"/>
      <c r="R351" s="378"/>
      <c r="S351" s="378"/>
      <c r="T351" s="378"/>
      <c r="U351" s="378"/>
      <c r="V351" s="378"/>
      <c r="W351" s="378"/>
      <c r="X351" s="378"/>
      <c r="Y351" s="378"/>
      <c r="Z351" s="378"/>
      <c r="AA351" s="378"/>
      <c r="AB351" s="378"/>
      <c r="AC351" s="378"/>
      <c r="AD351" s="378"/>
      <c r="AE351" s="378"/>
      <c r="AF351" s="378"/>
    </row>
    <row r="352" spans="2:32">
      <c r="B352" s="378"/>
      <c r="C352" s="378"/>
      <c r="D352" s="378"/>
      <c r="F352" s="378"/>
      <c r="G352" s="378"/>
      <c r="H352" s="378"/>
      <c r="I352" s="378"/>
      <c r="J352" s="378"/>
      <c r="K352" s="378"/>
      <c r="L352" s="378"/>
      <c r="M352" s="378"/>
      <c r="N352" s="378"/>
      <c r="O352" s="378"/>
      <c r="P352" s="378"/>
      <c r="Q352" s="378"/>
      <c r="R352" s="378"/>
      <c r="S352" s="378"/>
      <c r="T352" s="378"/>
      <c r="U352" s="378"/>
      <c r="V352" s="378"/>
      <c r="W352" s="378"/>
      <c r="X352" s="378"/>
      <c r="Y352" s="378"/>
      <c r="Z352" s="378"/>
      <c r="AA352" s="378"/>
      <c r="AB352" s="378"/>
      <c r="AC352" s="378"/>
      <c r="AD352" s="378"/>
      <c r="AE352" s="378"/>
      <c r="AF352" s="378"/>
    </row>
    <row r="353" spans="2:32">
      <c r="B353" s="378"/>
      <c r="C353" s="378"/>
      <c r="D353" s="378"/>
      <c r="F353" s="378"/>
      <c r="G353" s="378"/>
      <c r="H353" s="378"/>
      <c r="I353" s="378"/>
      <c r="J353" s="378"/>
      <c r="K353" s="378"/>
      <c r="L353" s="378"/>
      <c r="M353" s="378"/>
      <c r="N353" s="378"/>
      <c r="O353" s="378"/>
      <c r="P353" s="378"/>
      <c r="Q353" s="378"/>
      <c r="R353" s="378"/>
      <c r="S353" s="378"/>
      <c r="T353" s="378"/>
      <c r="U353" s="378"/>
      <c r="V353" s="378"/>
      <c r="W353" s="378"/>
      <c r="X353" s="378"/>
      <c r="Y353" s="378"/>
      <c r="Z353" s="378"/>
      <c r="AA353" s="378"/>
      <c r="AB353" s="378"/>
      <c r="AC353" s="378"/>
      <c r="AD353" s="378"/>
      <c r="AE353" s="378"/>
      <c r="AF353" s="378"/>
    </row>
    <row r="354" spans="2:32">
      <c r="B354" s="378"/>
      <c r="C354" s="378"/>
      <c r="D354" s="378"/>
      <c r="F354" s="378"/>
      <c r="G354" s="378"/>
      <c r="H354" s="378"/>
      <c r="I354" s="378"/>
      <c r="J354" s="378"/>
      <c r="K354" s="378"/>
      <c r="L354" s="378"/>
      <c r="M354" s="378"/>
      <c r="N354" s="378"/>
      <c r="O354" s="378"/>
      <c r="P354" s="378"/>
      <c r="Q354" s="378"/>
      <c r="R354" s="378"/>
      <c r="S354" s="378"/>
      <c r="T354" s="378"/>
      <c r="U354" s="378"/>
      <c r="V354" s="378"/>
      <c r="W354" s="378"/>
      <c r="X354" s="378"/>
      <c r="Y354" s="378"/>
      <c r="Z354" s="378"/>
      <c r="AA354" s="378"/>
      <c r="AB354" s="378"/>
      <c r="AC354" s="378"/>
      <c r="AD354" s="378"/>
      <c r="AE354" s="378"/>
      <c r="AF354" s="378"/>
    </row>
    <row r="355" spans="2:32">
      <c r="B355" s="378"/>
      <c r="C355" s="378"/>
      <c r="D355" s="378"/>
      <c r="F355" s="378"/>
      <c r="G355" s="378"/>
      <c r="H355" s="378"/>
      <c r="I355" s="378"/>
      <c r="J355" s="378"/>
      <c r="K355" s="378"/>
      <c r="L355" s="378"/>
      <c r="M355" s="378"/>
      <c r="N355" s="378"/>
      <c r="O355" s="378"/>
      <c r="P355" s="378"/>
      <c r="Q355" s="378"/>
      <c r="R355" s="378"/>
      <c r="S355" s="378"/>
      <c r="T355" s="378"/>
      <c r="U355" s="378"/>
      <c r="V355" s="378"/>
      <c r="W355" s="378"/>
      <c r="X355" s="378"/>
      <c r="Y355" s="378"/>
      <c r="Z355" s="378"/>
      <c r="AA355" s="378"/>
      <c r="AB355" s="378"/>
      <c r="AC355" s="378"/>
      <c r="AD355" s="378"/>
      <c r="AE355" s="378"/>
      <c r="AF355" s="378"/>
    </row>
    <row r="356" spans="2:32">
      <c r="B356" s="378"/>
      <c r="C356" s="378"/>
      <c r="D356" s="378"/>
      <c r="F356" s="378"/>
      <c r="G356" s="378"/>
      <c r="H356" s="378"/>
      <c r="I356" s="378"/>
      <c r="J356" s="378"/>
      <c r="K356" s="378"/>
      <c r="L356" s="378"/>
      <c r="M356" s="378"/>
      <c r="N356" s="378"/>
      <c r="O356" s="378"/>
      <c r="P356" s="378"/>
      <c r="Q356" s="378"/>
      <c r="R356" s="378"/>
      <c r="S356" s="378"/>
      <c r="T356" s="378"/>
      <c r="U356" s="378"/>
      <c r="V356" s="378"/>
      <c r="W356" s="378"/>
      <c r="X356" s="378"/>
      <c r="Y356" s="378"/>
      <c r="Z356" s="378"/>
      <c r="AA356" s="378"/>
      <c r="AB356" s="378"/>
      <c r="AC356" s="378"/>
      <c r="AD356" s="378"/>
      <c r="AE356" s="378"/>
      <c r="AF356" s="378"/>
    </row>
    <row r="357" spans="2:32">
      <c r="B357" s="378"/>
      <c r="C357" s="378"/>
      <c r="D357" s="378"/>
      <c r="F357" s="378"/>
      <c r="G357" s="378"/>
      <c r="H357" s="378"/>
      <c r="I357" s="378"/>
      <c r="J357" s="378"/>
      <c r="K357" s="378"/>
      <c r="L357" s="378"/>
      <c r="M357" s="378"/>
      <c r="N357" s="378"/>
      <c r="O357" s="378"/>
      <c r="P357" s="378"/>
      <c r="Q357" s="378"/>
      <c r="R357" s="378"/>
      <c r="S357" s="378"/>
      <c r="T357" s="378"/>
      <c r="U357" s="378"/>
      <c r="V357" s="378"/>
      <c r="W357" s="378"/>
      <c r="X357" s="378"/>
      <c r="Y357" s="378"/>
      <c r="Z357" s="378"/>
      <c r="AA357" s="378"/>
      <c r="AB357" s="378"/>
      <c r="AC357" s="378"/>
      <c r="AD357" s="378"/>
      <c r="AE357" s="378"/>
      <c r="AF357" s="378"/>
    </row>
    <row r="358" spans="2:32">
      <c r="B358" s="378"/>
      <c r="C358" s="378"/>
      <c r="D358" s="378"/>
      <c r="F358" s="378"/>
      <c r="G358" s="378"/>
      <c r="H358" s="378"/>
      <c r="I358" s="378"/>
      <c r="J358" s="378"/>
      <c r="K358" s="378"/>
      <c r="L358" s="378"/>
      <c r="M358" s="378"/>
      <c r="N358" s="378"/>
      <c r="O358" s="378"/>
      <c r="P358" s="378"/>
      <c r="Q358" s="378"/>
      <c r="R358" s="378"/>
      <c r="S358" s="378"/>
      <c r="T358" s="378"/>
      <c r="U358" s="378"/>
      <c r="V358" s="378"/>
      <c r="W358" s="378"/>
      <c r="X358" s="378"/>
      <c r="Y358" s="378"/>
      <c r="Z358" s="378"/>
      <c r="AA358" s="378"/>
      <c r="AB358" s="378"/>
      <c r="AC358" s="378"/>
      <c r="AD358" s="378"/>
      <c r="AE358" s="378"/>
      <c r="AF358" s="378"/>
    </row>
    <row r="359" spans="2:32">
      <c r="B359" s="378"/>
      <c r="C359" s="378"/>
      <c r="D359" s="378"/>
      <c r="F359" s="378"/>
      <c r="G359" s="378"/>
      <c r="H359" s="378"/>
      <c r="I359" s="378"/>
      <c r="J359" s="378"/>
      <c r="K359" s="378"/>
      <c r="L359" s="378"/>
      <c r="M359" s="378"/>
      <c r="N359" s="378"/>
      <c r="O359" s="378"/>
      <c r="P359" s="378"/>
      <c r="Q359" s="378"/>
      <c r="R359" s="378"/>
      <c r="S359" s="378"/>
      <c r="T359" s="378"/>
      <c r="U359" s="378"/>
      <c r="V359" s="378"/>
      <c r="W359" s="378"/>
      <c r="X359" s="378"/>
      <c r="Y359" s="378"/>
      <c r="Z359" s="378"/>
      <c r="AA359" s="378"/>
      <c r="AB359" s="378"/>
      <c r="AC359" s="378"/>
      <c r="AD359" s="378"/>
      <c r="AE359" s="378"/>
      <c r="AF359" s="378"/>
    </row>
    <row r="360" spans="2:32">
      <c r="B360" s="378"/>
      <c r="C360" s="378"/>
      <c r="D360" s="378"/>
      <c r="F360" s="378"/>
      <c r="G360" s="378"/>
      <c r="H360" s="378"/>
      <c r="I360" s="378"/>
      <c r="J360" s="378"/>
      <c r="K360" s="378"/>
      <c r="L360" s="378"/>
      <c r="M360" s="378"/>
      <c r="N360" s="378"/>
      <c r="O360" s="378"/>
      <c r="P360" s="378"/>
      <c r="Q360" s="378"/>
      <c r="R360" s="378"/>
      <c r="S360" s="378"/>
      <c r="T360" s="378"/>
      <c r="U360" s="378"/>
      <c r="V360" s="378"/>
      <c r="W360" s="378"/>
      <c r="X360" s="378"/>
      <c r="Y360" s="378"/>
      <c r="Z360" s="378"/>
      <c r="AA360" s="378"/>
      <c r="AB360" s="378"/>
      <c r="AC360" s="378"/>
      <c r="AD360" s="378"/>
      <c r="AE360" s="378"/>
      <c r="AF360" s="378"/>
    </row>
    <row r="361" spans="2:32">
      <c r="B361" s="378"/>
      <c r="C361" s="378"/>
      <c r="D361" s="378"/>
      <c r="F361" s="378"/>
      <c r="G361" s="378"/>
      <c r="H361" s="378"/>
      <c r="I361" s="378"/>
      <c r="J361" s="378"/>
      <c r="K361" s="378"/>
      <c r="L361" s="378"/>
      <c r="M361" s="378"/>
      <c r="N361" s="378"/>
      <c r="O361" s="378"/>
      <c r="P361" s="378"/>
      <c r="Q361" s="378"/>
      <c r="R361" s="378"/>
      <c r="S361" s="378"/>
      <c r="T361" s="378"/>
      <c r="U361" s="378"/>
      <c r="V361" s="378"/>
      <c r="W361" s="378"/>
      <c r="X361" s="378"/>
      <c r="Y361" s="378"/>
      <c r="Z361" s="378"/>
      <c r="AA361" s="378"/>
      <c r="AB361" s="378"/>
      <c r="AC361" s="378"/>
      <c r="AD361" s="378"/>
      <c r="AE361" s="378"/>
      <c r="AF361" s="378"/>
    </row>
    <row r="362" spans="2:32">
      <c r="B362" s="378"/>
      <c r="C362" s="378"/>
      <c r="D362" s="378"/>
      <c r="F362" s="378"/>
      <c r="G362" s="378"/>
      <c r="H362" s="378"/>
      <c r="I362" s="378"/>
      <c r="J362" s="378"/>
      <c r="K362" s="378"/>
      <c r="L362" s="378"/>
      <c r="M362" s="378"/>
      <c r="N362" s="378"/>
      <c r="O362" s="378"/>
      <c r="P362" s="378"/>
      <c r="Q362" s="378"/>
      <c r="R362" s="378"/>
      <c r="S362" s="378"/>
      <c r="T362" s="378"/>
      <c r="U362" s="378"/>
      <c r="V362" s="378"/>
      <c r="W362" s="378"/>
      <c r="X362" s="378"/>
      <c r="Y362" s="378"/>
      <c r="Z362" s="378"/>
      <c r="AA362" s="378"/>
      <c r="AB362" s="378"/>
      <c r="AC362" s="378"/>
      <c r="AD362" s="378"/>
      <c r="AE362" s="378"/>
      <c r="AF362" s="378"/>
    </row>
    <row r="363" spans="2:32">
      <c r="B363" s="378"/>
      <c r="C363" s="378"/>
      <c r="D363" s="378"/>
      <c r="F363" s="378"/>
      <c r="G363" s="378"/>
      <c r="H363" s="378"/>
      <c r="I363" s="378"/>
      <c r="J363" s="378"/>
      <c r="K363" s="378"/>
      <c r="L363" s="378"/>
      <c r="M363" s="378"/>
      <c r="N363" s="378"/>
      <c r="O363" s="378"/>
      <c r="P363" s="378"/>
      <c r="Q363" s="378"/>
      <c r="R363" s="378"/>
      <c r="S363" s="378"/>
      <c r="T363" s="378"/>
      <c r="U363" s="378"/>
      <c r="V363" s="378"/>
      <c r="W363" s="378"/>
      <c r="X363" s="378"/>
      <c r="Y363" s="378"/>
      <c r="Z363" s="378"/>
      <c r="AA363" s="378"/>
      <c r="AB363" s="378"/>
      <c r="AC363" s="378"/>
      <c r="AD363" s="378"/>
      <c r="AE363" s="378"/>
      <c r="AF363" s="378"/>
    </row>
    <row r="364" spans="2:32">
      <c r="B364" s="378"/>
      <c r="C364" s="378"/>
      <c r="D364" s="378"/>
      <c r="F364" s="378"/>
      <c r="G364" s="378"/>
      <c r="H364" s="378"/>
      <c r="I364" s="378"/>
      <c r="J364" s="378"/>
      <c r="K364" s="378"/>
      <c r="L364" s="378"/>
      <c r="M364" s="378"/>
      <c r="N364" s="378"/>
      <c r="O364" s="378"/>
      <c r="P364" s="378"/>
      <c r="Q364" s="378"/>
      <c r="R364" s="378"/>
      <c r="S364" s="378"/>
      <c r="T364" s="378"/>
      <c r="U364" s="378"/>
      <c r="V364" s="378"/>
      <c r="W364" s="378"/>
      <c r="X364" s="378"/>
      <c r="Y364" s="378"/>
      <c r="Z364" s="378"/>
      <c r="AA364" s="378"/>
      <c r="AB364" s="378"/>
      <c r="AC364" s="378"/>
      <c r="AD364" s="378"/>
      <c r="AE364" s="378"/>
      <c r="AF364" s="378"/>
    </row>
    <row r="365" spans="2:32">
      <c r="B365" s="378"/>
      <c r="C365" s="378"/>
      <c r="D365" s="378"/>
      <c r="F365" s="378"/>
      <c r="G365" s="378"/>
      <c r="H365" s="378"/>
      <c r="I365" s="378"/>
      <c r="J365" s="378"/>
      <c r="K365" s="378"/>
      <c r="L365" s="378"/>
      <c r="M365" s="378"/>
      <c r="N365" s="378"/>
      <c r="O365" s="378"/>
      <c r="P365" s="378"/>
      <c r="Q365" s="378"/>
      <c r="R365" s="378"/>
      <c r="S365" s="378"/>
      <c r="T365" s="378"/>
      <c r="U365" s="378"/>
      <c r="V365" s="378"/>
      <c r="W365" s="378"/>
      <c r="X365" s="378"/>
      <c r="Y365" s="378"/>
      <c r="Z365" s="378"/>
      <c r="AA365" s="378"/>
      <c r="AB365" s="378"/>
      <c r="AC365" s="378"/>
      <c r="AD365" s="378"/>
      <c r="AE365" s="378"/>
      <c r="AF365" s="378"/>
    </row>
    <row r="366" spans="2:32">
      <c r="B366" s="378"/>
      <c r="C366" s="378"/>
      <c r="D366" s="378"/>
      <c r="F366" s="378"/>
      <c r="G366" s="378"/>
      <c r="H366" s="378"/>
      <c r="I366" s="378"/>
      <c r="J366" s="378"/>
      <c r="K366" s="378"/>
      <c r="L366" s="378"/>
      <c r="M366" s="378"/>
      <c r="N366" s="378"/>
      <c r="O366" s="378"/>
      <c r="P366" s="378"/>
      <c r="Q366" s="378"/>
      <c r="R366" s="378"/>
      <c r="S366" s="378"/>
      <c r="T366" s="378"/>
      <c r="U366" s="378"/>
      <c r="V366" s="378"/>
      <c r="W366" s="378"/>
      <c r="X366" s="378"/>
      <c r="Y366" s="378"/>
      <c r="Z366" s="378"/>
      <c r="AA366" s="378"/>
      <c r="AB366" s="378"/>
      <c r="AC366" s="378"/>
      <c r="AD366" s="378"/>
      <c r="AE366" s="378"/>
      <c r="AF366" s="378"/>
    </row>
    <row r="367" spans="2:32">
      <c r="B367" s="378"/>
      <c r="C367" s="378"/>
      <c r="D367" s="378"/>
      <c r="F367" s="378"/>
      <c r="G367" s="378"/>
      <c r="H367" s="378"/>
      <c r="I367" s="378"/>
      <c r="J367" s="378"/>
      <c r="K367" s="378"/>
      <c r="L367" s="378"/>
      <c r="M367" s="378"/>
      <c r="N367" s="378"/>
      <c r="O367" s="378"/>
      <c r="P367" s="378"/>
      <c r="Q367" s="378"/>
      <c r="R367" s="378"/>
      <c r="S367" s="378"/>
      <c r="T367" s="378"/>
      <c r="U367" s="378"/>
      <c r="V367" s="378"/>
      <c r="W367" s="378"/>
      <c r="X367" s="378"/>
      <c r="Y367" s="378"/>
      <c r="Z367" s="378"/>
      <c r="AA367" s="378"/>
      <c r="AB367" s="378"/>
      <c r="AC367" s="378"/>
      <c r="AD367" s="378"/>
      <c r="AE367" s="378"/>
      <c r="AF367" s="378"/>
    </row>
    <row r="368" spans="2:32">
      <c r="B368" s="378"/>
      <c r="C368" s="378"/>
      <c r="D368" s="378"/>
      <c r="F368" s="378"/>
      <c r="G368" s="378"/>
      <c r="H368" s="378"/>
      <c r="I368" s="378"/>
      <c r="J368" s="378"/>
      <c r="K368" s="378"/>
      <c r="L368" s="378"/>
      <c r="M368" s="378"/>
      <c r="N368" s="378"/>
      <c r="O368" s="378"/>
      <c r="P368" s="378"/>
      <c r="Q368" s="378"/>
      <c r="R368" s="378"/>
      <c r="S368" s="378"/>
      <c r="T368" s="378"/>
      <c r="U368" s="378"/>
      <c r="V368" s="378"/>
      <c r="W368" s="378"/>
      <c r="X368" s="378"/>
      <c r="Y368" s="378"/>
      <c r="Z368" s="378"/>
      <c r="AA368" s="378"/>
      <c r="AB368" s="378"/>
      <c r="AC368" s="378"/>
      <c r="AD368" s="378"/>
      <c r="AE368" s="378"/>
      <c r="AF368" s="378"/>
    </row>
    <row r="369" spans="2:32">
      <c r="B369" s="378"/>
      <c r="C369" s="378"/>
      <c r="D369" s="378"/>
      <c r="F369" s="378"/>
      <c r="G369" s="378"/>
      <c r="H369" s="378"/>
      <c r="I369" s="378"/>
      <c r="J369" s="378"/>
      <c r="K369" s="378"/>
      <c r="L369" s="378"/>
      <c r="M369" s="378"/>
      <c r="N369" s="378"/>
      <c r="O369" s="378"/>
      <c r="P369" s="378"/>
      <c r="Q369" s="378"/>
      <c r="R369" s="378"/>
      <c r="S369" s="378"/>
      <c r="T369" s="378"/>
      <c r="U369" s="378"/>
      <c r="V369" s="378"/>
      <c r="W369" s="378"/>
      <c r="X369" s="378"/>
      <c r="Y369" s="378"/>
      <c r="Z369" s="378"/>
      <c r="AA369" s="378"/>
      <c r="AB369" s="378"/>
      <c r="AC369" s="378"/>
      <c r="AD369" s="378"/>
      <c r="AE369" s="378"/>
      <c r="AF369" s="378"/>
    </row>
    <row r="370" spans="2:32">
      <c r="B370" s="378"/>
      <c r="C370" s="378"/>
      <c r="D370" s="378"/>
      <c r="F370" s="378"/>
      <c r="G370" s="378"/>
      <c r="H370" s="378"/>
      <c r="I370" s="378"/>
      <c r="J370" s="378"/>
      <c r="K370" s="378"/>
      <c r="L370" s="378"/>
      <c r="M370" s="378"/>
      <c r="N370" s="378"/>
      <c r="O370" s="378"/>
      <c r="P370" s="378"/>
      <c r="Q370" s="378"/>
      <c r="R370" s="378"/>
      <c r="S370" s="378"/>
      <c r="T370" s="378"/>
      <c r="U370" s="378"/>
      <c r="V370" s="378"/>
      <c r="W370" s="378"/>
      <c r="X370" s="378"/>
      <c r="Y370" s="378"/>
      <c r="Z370" s="378"/>
      <c r="AA370" s="378"/>
      <c r="AB370" s="378"/>
      <c r="AC370" s="378"/>
      <c r="AD370" s="378"/>
      <c r="AE370" s="378"/>
      <c r="AF370" s="378"/>
    </row>
    <row r="371" spans="2:32">
      <c r="B371" s="378"/>
      <c r="C371" s="378"/>
      <c r="D371" s="378"/>
      <c r="F371" s="378"/>
      <c r="G371" s="378"/>
      <c r="H371" s="378"/>
      <c r="I371" s="378"/>
      <c r="J371" s="378"/>
      <c r="K371" s="378"/>
      <c r="L371" s="378"/>
      <c r="M371" s="378"/>
      <c r="N371" s="378"/>
      <c r="O371" s="378"/>
      <c r="P371" s="378"/>
      <c r="Q371" s="378"/>
      <c r="R371" s="378"/>
      <c r="S371" s="378"/>
      <c r="T371" s="378"/>
      <c r="U371" s="378"/>
      <c r="V371" s="378"/>
      <c r="W371" s="378"/>
      <c r="X371" s="378"/>
      <c r="Y371" s="378"/>
      <c r="Z371" s="378"/>
      <c r="AA371" s="378"/>
      <c r="AB371" s="378"/>
      <c r="AC371" s="378"/>
      <c r="AD371" s="378"/>
      <c r="AE371" s="378"/>
      <c r="AF371" s="378"/>
    </row>
    <row r="372" spans="2:32">
      <c r="B372" s="378"/>
      <c r="C372" s="378"/>
      <c r="D372" s="378"/>
      <c r="F372" s="378"/>
      <c r="G372" s="378"/>
      <c r="H372" s="378"/>
      <c r="I372" s="378"/>
      <c r="J372" s="378"/>
      <c r="K372" s="378"/>
      <c r="L372" s="378"/>
      <c r="M372" s="378"/>
      <c r="N372" s="378"/>
      <c r="O372" s="378"/>
      <c r="P372" s="378"/>
      <c r="Q372" s="378"/>
      <c r="R372" s="378"/>
      <c r="S372" s="378"/>
      <c r="T372" s="378"/>
      <c r="U372" s="378"/>
      <c r="V372" s="378"/>
      <c r="W372" s="378"/>
      <c r="X372" s="378"/>
      <c r="Y372" s="378"/>
      <c r="Z372" s="378"/>
      <c r="AA372" s="378"/>
      <c r="AB372" s="378"/>
      <c r="AC372" s="378"/>
      <c r="AD372" s="378"/>
      <c r="AE372" s="378"/>
      <c r="AF372" s="378"/>
    </row>
    <row r="373" spans="2:32">
      <c r="B373" s="378"/>
      <c r="C373" s="378"/>
      <c r="D373" s="378"/>
      <c r="F373" s="378"/>
      <c r="G373" s="378"/>
      <c r="H373" s="378"/>
      <c r="I373" s="378"/>
      <c r="J373" s="378"/>
      <c r="K373" s="378"/>
      <c r="L373" s="378"/>
      <c r="M373" s="378"/>
      <c r="N373" s="378"/>
      <c r="O373" s="378"/>
      <c r="P373" s="378"/>
      <c r="Q373" s="378"/>
      <c r="R373" s="378"/>
      <c r="S373" s="378"/>
      <c r="T373" s="378"/>
      <c r="U373" s="378"/>
      <c r="V373" s="378"/>
      <c r="W373" s="378"/>
      <c r="X373" s="378"/>
      <c r="Y373" s="378"/>
      <c r="Z373" s="378"/>
      <c r="AA373" s="378"/>
      <c r="AB373" s="378"/>
      <c r="AC373" s="378"/>
      <c r="AD373" s="378"/>
      <c r="AE373" s="378"/>
      <c r="AF373" s="378"/>
    </row>
    <row r="374" spans="2:32">
      <c r="B374" s="378"/>
      <c r="C374" s="378"/>
      <c r="D374" s="378"/>
      <c r="F374" s="378"/>
      <c r="G374" s="378"/>
      <c r="H374" s="378"/>
      <c r="I374" s="378"/>
      <c r="J374" s="378"/>
      <c r="K374" s="378"/>
      <c r="L374" s="378"/>
      <c r="M374" s="378"/>
      <c r="N374" s="378"/>
      <c r="O374" s="378"/>
      <c r="P374" s="378"/>
      <c r="Q374" s="378"/>
      <c r="R374" s="378"/>
      <c r="S374" s="378"/>
      <c r="T374" s="378"/>
      <c r="U374" s="378"/>
      <c r="V374" s="378"/>
      <c r="W374" s="378"/>
      <c r="X374" s="378"/>
      <c r="Y374" s="378"/>
      <c r="Z374" s="378"/>
      <c r="AA374" s="378"/>
      <c r="AB374" s="378"/>
      <c r="AC374" s="378"/>
      <c r="AD374" s="378"/>
      <c r="AE374" s="378"/>
      <c r="AF374" s="378"/>
    </row>
    <row r="375" spans="2:32">
      <c r="B375" s="378"/>
      <c r="C375" s="378"/>
      <c r="D375" s="378"/>
      <c r="F375" s="378"/>
      <c r="G375" s="378"/>
      <c r="H375" s="378"/>
      <c r="I375" s="378"/>
      <c r="J375" s="378"/>
      <c r="K375" s="378"/>
      <c r="L375" s="378"/>
      <c r="M375" s="378"/>
      <c r="N375" s="378"/>
      <c r="O375" s="378"/>
      <c r="P375" s="378"/>
      <c r="Q375" s="378"/>
      <c r="R375" s="378"/>
      <c r="S375" s="378"/>
      <c r="T375" s="378"/>
      <c r="U375" s="378"/>
      <c r="V375" s="378"/>
      <c r="W375" s="378"/>
      <c r="X375" s="378"/>
      <c r="Y375" s="378"/>
      <c r="Z375" s="378"/>
      <c r="AA375" s="378"/>
      <c r="AB375" s="378"/>
      <c r="AC375" s="378"/>
      <c r="AD375" s="378"/>
      <c r="AE375" s="378"/>
      <c r="AF375" s="378"/>
    </row>
    <row r="376" spans="2:32">
      <c r="B376" s="378"/>
      <c r="C376" s="378"/>
      <c r="D376" s="378"/>
      <c r="F376" s="378"/>
      <c r="G376" s="378"/>
      <c r="H376" s="378"/>
      <c r="I376" s="378"/>
      <c r="J376" s="378"/>
      <c r="K376" s="378"/>
      <c r="L376" s="378"/>
      <c r="M376" s="378"/>
      <c r="N376" s="378"/>
      <c r="O376" s="378"/>
      <c r="P376" s="378"/>
      <c r="Q376" s="378"/>
      <c r="R376" s="378"/>
      <c r="S376" s="378"/>
      <c r="T376" s="378"/>
      <c r="U376" s="378"/>
      <c r="V376" s="378"/>
      <c r="W376" s="378"/>
      <c r="X376" s="378"/>
      <c r="Y376" s="378"/>
      <c r="Z376" s="378"/>
      <c r="AA376" s="378"/>
      <c r="AB376" s="378"/>
      <c r="AC376" s="378"/>
      <c r="AD376" s="378"/>
      <c r="AE376" s="378"/>
      <c r="AF376" s="378"/>
    </row>
    <row r="377" spans="2:32">
      <c r="B377" s="378"/>
      <c r="C377" s="378"/>
      <c r="D377" s="378"/>
      <c r="F377" s="378"/>
      <c r="G377" s="378"/>
      <c r="H377" s="378"/>
      <c r="I377" s="378"/>
      <c r="J377" s="378"/>
      <c r="K377" s="378"/>
      <c r="L377" s="378"/>
      <c r="M377" s="378"/>
      <c r="N377" s="378"/>
      <c r="O377" s="378"/>
      <c r="P377" s="378"/>
      <c r="Q377" s="378"/>
      <c r="R377" s="378"/>
      <c r="S377" s="378"/>
      <c r="T377" s="378"/>
      <c r="U377" s="378"/>
      <c r="V377" s="378"/>
      <c r="W377" s="378"/>
      <c r="X377" s="378"/>
      <c r="Y377" s="378"/>
      <c r="Z377" s="378"/>
      <c r="AA377" s="378"/>
      <c r="AB377" s="378"/>
      <c r="AC377" s="378"/>
      <c r="AD377" s="378"/>
      <c r="AE377" s="378"/>
      <c r="AF377" s="378"/>
    </row>
    <row r="378" spans="2:32">
      <c r="B378" s="378"/>
      <c r="C378" s="378"/>
      <c r="D378" s="378"/>
      <c r="F378" s="378"/>
      <c r="G378" s="378"/>
      <c r="H378" s="378"/>
      <c r="I378" s="378"/>
      <c r="J378" s="378"/>
      <c r="K378" s="378"/>
      <c r="L378" s="378"/>
      <c r="M378" s="378"/>
      <c r="N378" s="378"/>
      <c r="O378" s="378"/>
      <c r="P378" s="378"/>
      <c r="Q378" s="378"/>
      <c r="R378" s="378"/>
      <c r="S378" s="378"/>
      <c r="T378" s="378"/>
      <c r="U378" s="378"/>
      <c r="V378" s="378"/>
      <c r="W378" s="378"/>
      <c r="X378" s="378"/>
      <c r="Y378" s="378"/>
      <c r="Z378" s="378"/>
      <c r="AA378" s="378"/>
      <c r="AB378" s="378"/>
      <c r="AC378" s="378"/>
      <c r="AD378" s="378"/>
      <c r="AE378" s="378"/>
      <c r="AF378" s="378"/>
    </row>
    <row r="379" spans="2:32">
      <c r="B379" s="378"/>
      <c r="C379" s="378"/>
      <c r="D379" s="378"/>
      <c r="F379" s="378"/>
      <c r="G379" s="378"/>
      <c r="H379" s="378"/>
      <c r="I379" s="378"/>
      <c r="J379" s="378"/>
      <c r="K379" s="378"/>
      <c r="L379" s="378"/>
      <c r="M379" s="378"/>
      <c r="N379" s="378"/>
      <c r="O379" s="378"/>
      <c r="P379" s="378"/>
      <c r="Q379" s="378"/>
      <c r="R379" s="378"/>
      <c r="S379" s="378"/>
      <c r="T379" s="378"/>
      <c r="U379" s="378"/>
      <c r="V379" s="378"/>
      <c r="W379" s="378"/>
      <c r="X379" s="378"/>
      <c r="Y379" s="378"/>
      <c r="Z379" s="378"/>
      <c r="AA379" s="378"/>
      <c r="AB379" s="378"/>
      <c r="AC379" s="378"/>
      <c r="AD379" s="378"/>
      <c r="AE379" s="378"/>
      <c r="AF379" s="378"/>
    </row>
    <row r="380" spans="2:32">
      <c r="B380" s="378"/>
      <c r="C380" s="378"/>
      <c r="D380" s="378"/>
      <c r="F380" s="378"/>
      <c r="G380" s="378"/>
      <c r="H380" s="378"/>
      <c r="I380" s="378"/>
      <c r="J380" s="378"/>
      <c r="K380" s="378"/>
      <c r="L380" s="378"/>
      <c r="M380" s="378"/>
      <c r="N380" s="378"/>
      <c r="O380" s="378"/>
      <c r="P380" s="378"/>
      <c r="Q380" s="378"/>
      <c r="R380" s="378"/>
      <c r="S380" s="378"/>
      <c r="T380" s="378"/>
      <c r="U380" s="378"/>
      <c r="V380" s="378"/>
      <c r="W380" s="378"/>
      <c r="X380" s="378"/>
      <c r="Y380" s="378"/>
      <c r="Z380" s="378"/>
      <c r="AA380" s="378"/>
      <c r="AB380" s="378"/>
      <c r="AC380" s="378"/>
      <c r="AD380" s="378"/>
      <c r="AE380" s="378"/>
      <c r="AF380" s="378"/>
    </row>
    <row r="381" spans="2:32">
      <c r="B381" s="378"/>
      <c r="C381" s="378"/>
      <c r="D381" s="378"/>
      <c r="F381" s="378"/>
      <c r="G381" s="378"/>
      <c r="H381" s="378"/>
      <c r="I381" s="378"/>
      <c r="J381" s="378"/>
      <c r="K381" s="378"/>
      <c r="L381" s="378"/>
      <c r="M381" s="378"/>
      <c r="N381" s="378"/>
      <c r="O381" s="378"/>
      <c r="P381" s="378"/>
      <c r="Q381" s="378"/>
      <c r="R381" s="378"/>
      <c r="S381" s="378"/>
      <c r="T381" s="378"/>
      <c r="U381" s="378"/>
      <c r="V381" s="378"/>
      <c r="W381" s="378"/>
      <c r="X381" s="378"/>
      <c r="Y381" s="378"/>
      <c r="Z381" s="378"/>
      <c r="AA381" s="378"/>
      <c r="AB381" s="378"/>
      <c r="AC381" s="378"/>
      <c r="AD381" s="378"/>
      <c r="AE381" s="378"/>
      <c r="AF381" s="378"/>
    </row>
    <row r="382" spans="2:32">
      <c r="B382" s="378"/>
      <c r="C382" s="378"/>
      <c r="D382" s="378"/>
      <c r="F382" s="378"/>
      <c r="G382" s="378"/>
      <c r="H382" s="378"/>
      <c r="I382" s="378"/>
      <c r="J382" s="378"/>
      <c r="K382" s="378"/>
      <c r="L382" s="378"/>
      <c r="M382" s="378"/>
      <c r="N382" s="378"/>
      <c r="O382" s="378"/>
      <c r="P382" s="378"/>
      <c r="Q382" s="378"/>
      <c r="R382" s="378"/>
      <c r="S382" s="378"/>
      <c r="T382" s="378"/>
      <c r="U382" s="378"/>
      <c r="V382" s="378"/>
      <c r="W382" s="378"/>
      <c r="X382" s="378"/>
      <c r="Y382" s="378"/>
      <c r="Z382" s="378"/>
      <c r="AA382" s="378"/>
      <c r="AB382" s="378"/>
      <c r="AC382" s="378"/>
      <c r="AD382" s="378"/>
      <c r="AE382" s="378"/>
      <c r="AF382" s="378"/>
    </row>
    <row r="383" spans="2:32">
      <c r="B383" s="378"/>
      <c r="C383" s="378"/>
      <c r="D383" s="378"/>
      <c r="F383" s="378"/>
      <c r="G383" s="378"/>
      <c r="H383" s="378"/>
      <c r="I383" s="378"/>
      <c r="J383" s="378"/>
      <c r="K383" s="378"/>
      <c r="L383" s="378"/>
      <c r="M383" s="378"/>
      <c r="N383" s="378"/>
      <c r="O383" s="378"/>
      <c r="P383" s="378"/>
      <c r="Q383" s="378"/>
      <c r="R383" s="378"/>
      <c r="S383" s="378"/>
      <c r="T383" s="378"/>
      <c r="U383" s="378"/>
      <c r="V383" s="378"/>
      <c r="W383" s="378"/>
      <c r="X383" s="378"/>
      <c r="Y383" s="378"/>
      <c r="Z383" s="378"/>
      <c r="AA383" s="378"/>
      <c r="AB383" s="378"/>
      <c r="AC383" s="378"/>
      <c r="AD383" s="378"/>
      <c r="AE383" s="378"/>
      <c r="AF383" s="378"/>
    </row>
    <row r="384" spans="2:32">
      <c r="B384" s="378"/>
      <c r="C384" s="378"/>
      <c r="D384" s="378"/>
      <c r="F384" s="378"/>
      <c r="G384" s="378"/>
      <c r="H384" s="378"/>
      <c r="I384" s="378"/>
      <c r="J384" s="378"/>
      <c r="K384" s="378"/>
      <c r="L384" s="378"/>
      <c r="M384" s="378"/>
      <c r="N384" s="378"/>
      <c r="O384" s="378"/>
      <c r="P384" s="378"/>
      <c r="Q384" s="378"/>
      <c r="R384" s="378"/>
      <c r="S384" s="378"/>
      <c r="T384" s="378"/>
      <c r="U384" s="378"/>
      <c r="V384" s="378"/>
      <c r="W384" s="378"/>
      <c r="X384" s="378"/>
      <c r="Y384" s="378"/>
      <c r="Z384" s="378"/>
      <c r="AA384" s="378"/>
      <c r="AB384" s="378"/>
      <c r="AC384" s="378"/>
      <c r="AD384" s="378"/>
      <c r="AE384" s="378"/>
      <c r="AF384" s="378"/>
    </row>
    <row r="385" spans="2:32">
      <c r="B385" s="378"/>
      <c r="C385" s="378"/>
      <c r="D385" s="378"/>
      <c r="F385" s="378"/>
      <c r="G385" s="378"/>
      <c r="H385" s="378"/>
      <c r="I385" s="378"/>
      <c r="J385" s="378"/>
      <c r="K385" s="378"/>
      <c r="L385" s="378"/>
      <c r="M385" s="378"/>
      <c r="N385" s="378"/>
      <c r="O385" s="378"/>
      <c r="P385" s="378"/>
      <c r="Q385" s="378"/>
      <c r="R385" s="378"/>
      <c r="S385" s="378"/>
      <c r="T385" s="378"/>
      <c r="U385" s="378"/>
      <c r="V385" s="378"/>
      <c r="W385" s="378"/>
      <c r="X385" s="378"/>
      <c r="Y385" s="378"/>
      <c r="Z385" s="378"/>
      <c r="AA385" s="378"/>
      <c r="AB385" s="378"/>
      <c r="AC385" s="378"/>
      <c r="AD385" s="378"/>
      <c r="AE385" s="378"/>
      <c r="AF385" s="378"/>
    </row>
    <row r="386" spans="2:32">
      <c r="B386" s="378"/>
      <c r="C386" s="378"/>
      <c r="D386" s="378"/>
      <c r="F386" s="378"/>
      <c r="G386" s="378"/>
      <c r="H386" s="378"/>
      <c r="I386" s="378"/>
      <c r="J386" s="378"/>
      <c r="K386" s="378"/>
      <c r="L386" s="378"/>
      <c r="M386" s="378"/>
      <c r="N386" s="378"/>
      <c r="O386" s="378"/>
      <c r="P386" s="378"/>
      <c r="Q386" s="378"/>
      <c r="R386" s="378"/>
      <c r="S386" s="378"/>
      <c r="T386" s="378"/>
      <c r="U386" s="378"/>
      <c r="V386" s="378"/>
      <c r="W386" s="378"/>
      <c r="X386" s="378"/>
      <c r="Y386" s="378"/>
      <c r="Z386" s="378"/>
      <c r="AA386" s="378"/>
      <c r="AB386" s="378"/>
      <c r="AC386" s="378"/>
      <c r="AD386" s="378"/>
      <c r="AE386" s="378"/>
      <c r="AF386" s="378"/>
    </row>
    <row r="387" spans="2:32">
      <c r="B387" s="378"/>
      <c r="C387" s="378"/>
      <c r="D387" s="378"/>
      <c r="F387" s="378"/>
      <c r="G387" s="378"/>
      <c r="H387" s="378"/>
      <c r="I387" s="378"/>
      <c r="J387" s="378"/>
      <c r="K387" s="378"/>
      <c r="L387" s="378"/>
      <c r="M387" s="378"/>
      <c r="N387" s="378"/>
      <c r="O387" s="378"/>
      <c r="P387" s="378"/>
      <c r="Q387" s="378"/>
      <c r="R387" s="378"/>
      <c r="S387" s="378"/>
      <c r="T387" s="378"/>
      <c r="U387" s="378"/>
      <c r="V387" s="378"/>
      <c r="W387" s="378"/>
      <c r="X387" s="378"/>
      <c r="Y387" s="378"/>
      <c r="Z387" s="378"/>
      <c r="AA387" s="378"/>
      <c r="AB387" s="378"/>
      <c r="AC387" s="378"/>
      <c r="AD387" s="378"/>
      <c r="AE387" s="378"/>
      <c r="AF387" s="378"/>
    </row>
    <row r="388" spans="2:32">
      <c r="B388" s="378"/>
      <c r="C388" s="378"/>
      <c r="D388" s="378"/>
      <c r="F388" s="378"/>
      <c r="G388" s="378"/>
      <c r="H388" s="378"/>
      <c r="I388" s="378"/>
      <c r="J388" s="378"/>
      <c r="K388" s="378"/>
      <c r="L388" s="378"/>
      <c r="M388" s="378"/>
      <c r="N388" s="378"/>
      <c r="O388" s="378"/>
      <c r="P388" s="378"/>
      <c r="Q388" s="378"/>
      <c r="R388" s="378"/>
      <c r="S388" s="378"/>
      <c r="T388" s="378"/>
      <c r="U388" s="378"/>
      <c r="V388" s="378"/>
      <c r="W388" s="378"/>
      <c r="X388" s="378"/>
      <c r="Y388" s="378"/>
      <c r="Z388" s="378"/>
      <c r="AA388" s="378"/>
      <c r="AB388" s="378"/>
      <c r="AC388" s="378"/>
      <c r="AD388" s="378"/>
      <c r="AE388" s="378"/>
      <c r="AF388" s="378"/>
    </row>
    <row r="389" spans="2:32">
      <c r="B389" s="378"/>
      <c r="C389" s="378"/>
      <c r="D389" s="378"/>
      <c r="F389" s="378"/>
      <c r="G389" s="378"/>
      <c r="H389" s="378"/>
      <c r="I389" s="378"/>
      <c r="J389" s="378"/>
      <c r="K389" s="378"/>
      <c r="L389" s="378"/>
      <c r="M389" s="378"/>
      <c r="N389" s="378"/>
      <c r="O389" s="378"/>
      <c r="P389" s="378"/>
      <c r="Q389" s="378"/>
      <c r="R389" s="378"/>
      <c r="S389" s="378"/>
      <c r="T389" s="378"/>
      <c r="U389" s="378"/>
      <c r="V389" s="378"/>
      <c r="W389" s="378"/>
      <c r="X389" s="378"/>
      <c r="Y389" s="378"/>
      <c r="Z389" s="378"/>
      <c r="AA389" s="378"/>
      <c r="AB389" s="378"/>
      <c r="AC389" s="378"/>
      <c r="AD389" s="378"/>
      <c r="AE389" s="378"/>
      <c r="AF389" s="378"/>
    </row>
    <row r="390" spans="2:32">
      <c r="B390" s="378"/>
      <c r="C390" s="378"/>
      <c r="D390" s="378"/>
      <c r="F390" s="378"/>
      <c r="G390" s="378"/>
      <c r="H390" s="378"/>
      <c r="I390" s="378"/>
      <c r="J390" s="378"/>
      <c r="K390" s="378"/>
      <c r="L390" s="378"/>
      <c r="M390" s="378"/>
      <c r="N390" s="378"/>
      <c r="O390" s="378"/>
      <c r="P390" s="378"/>
      <c r="Q390" s="378"/>
      <c r="R390" s="378"/>
      <c r="S390" s="378"/>
      <c r="T390" s="378"/>
      <c r="U390" s="378"/>
      <c r="V390" s="378"/>
      <c r="W390" s="378"/>
      <c r="X390" s="378"/>
      <c r="Y390" s="378"/>
      <c r="Z390" s="378"/>
      <c r="AA390" s="378"/>
      <c r="AB390" s="378"/>
      <c r="AC390" s="378"/>
      <c r="AD390" s="378"/>
      <c r="AE390" s="378"/>
      <c r="AF390" s="378"/>
    </row>
    <row r="391" spans="2:32">
      <c r="B391" s="378"/>
      <c r="C391" s="378"/>
      <c r="D391" s="378"/>
      <c r="F391" s="378"/>
      <c r="G391" s="378"/>
      <c r="H391" s="378"/>
      <c r="I391" s="378"/>
      <c r="J391" s="378"/>
      <c r="K391" s="378"/>
      <c r="L391" s="378"/>
      <c r="M391" s="378"/>
      <c r="N391" s="378"/>
      <c r="O391" s="378"/>
      <c r="P391" s="378"/>
      <c r="Q391" s="378"/>
      <c r="R391" s="378"/>
      <c r="S391" s="378"/>
      <c r="T391" s="378"/>
      <c r="U391" s="378"/>
      <c r="V391" s="378"/>
      <c r="W391" s="378"/>
      <c r="X391" s="378"/>
      <c r="Y391" s="378"/>
      <c r="Z391" s="378"/>
      <c r="AA391" s="378"/>
      <c r="AB391" s="378"/>
      <c r="AC391" s="378"/>
      <c r="AD391" s="378"/>
      <c r="AE391" s="378"/>
      <c r="AF391" s="378"/>
    </row>
    <row r="392" spans="2:32">
      <c r="B392" s="378"/>
      <c r="C392" s="378"/>
      <c r="D392" s="378"/>
      <c r="F392" s="378"/>
      <c r="G392" s="378"/>
      <c r="H392" s="378"/>
      <c r="I392" s="378"/>
      <c r="J392" s="378"/>
      <c r="K392" s="378"/>
      <c r="L392" s="378"/>
      <c r="M392" s="378"/>
      <c r="N392" s="378"/>
      <c r="O392" s="378"/>
      <c r="P392" s="378"/>
      <c r="Q392" s="378"/>
      <c r="R392" s="378"/>
      <c r="S392" s="378"/>
      <c r="T392" s="378"/>
      <c r="U392" s="378"/>
      <c r="V392" s="378"/>
      <c r="W392" s="378"/>
      <c r="X392" s="378"/>
      <c r="Y392" s="378"/>
      <c r="Z392" s="378"/>
      <c r="AA392" s="378"/>
      <c r="AB392" s="378"/>
      <c r="AC392" s="378"/>
      <c r="AD392" s="378"/>
      <c r="AE392" s="378"/>
      <c r="AF392" s="378"/>
    </row>
    <row r="393" spans="2:32">
      <c r="B393" s="378"/>
      <c r="C393" s="378"/>
      <c r="D393" s="378"/>
      <c r="F393" s="378"/>
      <c r="G393" s="378"/>
      <c r="H393" s="378"/>
      <c r="I393" s="378"/>
      <c r="J393" s="378"/>
      <c r="K393" s="378"/>
      <c r="L393" s="378"/>
      <c r="M393" s="378"/>
      <c r="N393" s="378"/>
      <c r="O393" s="378"/>
      <c r="P393" s="378"/>
      <c r="Q393" s="378"/>
      <c r="R393" s="378"/>
      <c r="S393" s="378"/>
      <c r="T393" s="378"/>
      <c r="U393" s="378"/>
      <c r="V393" s="378"/>
      <c r="W393" s="378"/>
      <c r="X393" s="378"/>
      <c r="Y393" s="378"/>
      <c r="Z393" s="378"/>
      <c r="AA393" s="378"/>
      <c r="AB393" s="378"/>
      <c r="AC393" s="378"/>
      <c r="AD393" s="378"/>
      <c r="AE393" s="378"/>
      <c r="AF393" s="378"/>
    </row>
    <row r="394" spans="2:32">
      <c r="B394" s="378"/>
      <c r="C394" s="378"/>
      <c r="D394" s="378"/>
      <c r="F394" s="378"/>
      <c r="G394" s="378"/>
      <c r="H394" s="378"/>
      <c r="I394" s="378"/>
      <c r="J394" s="378"/>
      <c r="K394" s="378"/>
      <c r="L394" s="378"/>
      <c r="M394" s="378"/>
      <c r="N394" s="378"/>
      <c r="O394" s="378"/>
      <c r="P394" s="378"/>
      <c r="Q394" s="378"/>
      <c r="R394" s="378"/>
      <c r="S394" s="378"/>
      <c r="T394" s="378"/>
      <c r="U394" s="378"/>
      <c r="V394" s="378"/>
      <c r="W394" s="378"/>
      <c r="X394" s="378"/>
      <c r="Y394" s="378"/>
      <c r="Z394" s="378"/>
      <c r="AA394" s="378"/>
      <c r="AB394" s="378"/>
      <c r="AC394" s="378"/>
      <c r="AD394" s="378"/>
      <c r="AE394" s="378"/>
      <c r="AF394" s="378"/>
    </row>
    <row r="395" spans="2:32">
      <c r="B395" s="378"/>
      <c r="C395" s="378"/>
      <c r="D395" s="378"/>
      <c r="F395" s="378"/>
      <c r="G395" s="378"/>
      <c r="H395" s="378"/>
      <c r="I395" s="378"/>
      <c r="J395" s="378"/>
      <c r="K395" s="378"/>
      <c r="L395" s="378"/>
      <c r="M395" s="378"/>
      <c r="N395" s="378"/>
      <c r="O395" s="378"/>
      <c r="P395" s="378"/>
      <c r="Q395" s="378"/>
      <c r="R395" s="378"/>
      <c r="S395" s="378"/>
      <c r="T395" s="378"/>
      <c r="U395" s="378"/>
      <c r="V395" s="378"/>
      <c r="W395" s="378"/>
      <c r="X395" s="378"/>
      <c r="Y395" s="378"/>
      <c r="Z395" s="378"/>
      <c r="AA395" s="378"/>
      <c r="AB395" s="378"/>
      <c r="AC395" s="378"/>
      <c r="AD395" s="378"/>
      <c r="AE395" s="378"/>
      <c r="AF395" s="378"/>
    </row>
    <row r="396" spans="2:32">
      <c r="B396" s="378"/>
      <c r="C396" s="378"/>
      <c r="D396" s="378"/>
      <c r="F396" s="378"/>
      <c r="G396" s="378"/>
      <c r="H396" s="378"/>
      <c r="I396" s="378"/>
      <c r="J396" s="378"/>
      <c r="K396" s="378"/>
      <c r="L396" s="378"/>
      <c r="M396" s="378"/>
      <c r="N396" s="378"/>
      <c r="O396" s="378"/>
      <c r="P396" s="378"/>
      <c r="Q396" s="378"/>
      <c r="R396" s="378"/>
      <c r="S396" s="378"/>
      <c r="T396" s="378"/>
      <c r="U396" s="378"/>
      <c r="V396" s="378"/>
      <c r="W396" s="378"/>
      <c r="X396" s="378"/>
      <c r="Y396" s="378"/>
      <c r="Z396" s="378"/>
      <c r="AA396" s="378"/>
      <c r="AB396" s="378"/>
      <c r="AC396" s="378"/>
      <c r="AD396" s="378"/>
      <c r="AE396" s="378"/>
      <c r="AF396" s="378"/>
    </row>
    <row r="397" spans="2:32">
      <c r="B397" s="378"/>
      <c r="C397" s="378"/>
      <c r="D397" s="378"/>
      <c r="F397" s="378"/>
      <c r="G397" s="378"/>
      <c r="H397" s="378"/>
      <c r="I397" s="378"/>
      <c r="J397" s="378"/>
      <c r="K397" s="378"/>
      <c r="L397" s="378"/>
      <c r="M397" s="378"/>
      <c r="N397" s="378"/>
      <c r="O397" s="378"/>
      <c r="P397" s="378"/>
      <c r="Q397" s="378"/>
      <c r="R397" s="378"/>
      <c r="S397" s="378"/>
      <c r="T397" s="378"/>
      <c r="U397" s="378"/>
      <c r="V397" s="378"/>
      <c r="W397" s="378"/>
      <c r="X397" s="378"/>
      <c r="Y397" s="378"/>
      <c r="Z397" s="378"/>
      <c r="AA397" s="378"/>
      <c r="AB397" s="378"/>
      <c r="AC397" s="378"/>
      <c r="AD397" s="378"/>
      <c r="AE397" s="378"/>
      <c r="AF397" s="378"/>
    </row>
    <row r="398" spans="2:32">
      <c r="B398" s="378"/>
      <c r="C398" s="378"/>
      <c r="D398" s="378"/>
      <c r="F398" s="378"/>
      <c r="G398" s="378"/>
      <c r="H398" s="378"/>
      <c r="I398" s="378"/>
      <c r="J398" s="378"/>
      <c r="K398" s="378"/>
      <c r="L398" s="378"/>
      <c r="M398" s="378"/>
      <c r="N398" s="378"/>
      <c r="O398" s="378"/>
      <c r="P398" s="378"/>
      <c r="Q398" s="378"/>
      <c r="R398" s="378"/>
      <c r="S398" s="378"/>
      <c r="T398" s="378"/>
      <c r="U398" s="378"/>
      <c r="V398" s="378"/>
      <c r="W398" s="378"/>
      <c r="X398" s="378"/>
      <c r="Y398" s="378"/>
      <c r="Z398" s="378"/>
      <c r="AA398" s="378"/>
      <c r="AB398" s="378"/>
      <c r="AC398" s="378"/>
      <c r="AD398" s="378"/>
      <c r="AE398" s="378"/>
      <c r="AF398" s="378"/>
    </row>
    <row r="399" spans="2:32">
      <c r="B399" s="378"/>
      <c r="C399" s="378"/>
      <c r="D399" s="378"/>
      <c r="F399" s="378"/>
      <c r="G399" s="378"/>
      <c r="H399" s="378"/>
      <c r="I399" s="378"/>
      <c r="J399" s="378"/>
      <c r="K399" s="378"/>
      <c r="L399" s="378"/>
      <c r="M399" s="378"/>
      <c r="N399" s="378"/>
      <c r="O399" s="378"/>
      <c r="P399" s="378"/>
      <c r="Q399" s="378"/>
      <c r="R399" s="378"/>
      <c r="S399" s="378"/>
      <c r="T399" s="378"/>
      <c r="U399" s="378"/>
      <c r="V399" s="378"/>
      <c r="W399" s="378"/>
      <c r="X399" s="378"/>
      <c r="Y399" s="378"/>
      <c r="Z399" s="378"/>
      <c r="AA399" s="378"/>
      <c r="AB399" s="378"/>
      <c r="AC399" s="378"/>
      <c r="AD399" s="378"/>
      <c r="AE399" s="378"/>
      <c r="AF399" s="378"/>
    </row>
    <row r="400" spans="2:32">
      <c r="B400" s="378"/>
      <c r="C400" s="378"/>
      <c r="D400" s="378"/>
      <c r="F400" s="378"/>
      <c r="G400" s="378"/>
      <c r="H400" s="378"/>
      <c r="I400" s="378"/>
      <c r="J400" s="378"/>
      <c r="K400" s="378"/>
      <c r="L400" s="378"/>
      <c r="M400" s="378"/>
      <c r="N400" s="378"/>
      <c r="O400" s="378"/>
      <c r="P400" s="378"/>
      <c r="Q400" s="378"/>
      <c r="R400" s="378"/>
      <c r="S400" s="378"/>
      <c r="T400" s="378"/>
      <c r="U400" s="378"/>
      <c r="V400" s="378"/>
      <c r="W400" s="378"/>
      <c r="X400" s="378"/>
      <c r="Y400" s="378"/>
      <c r="Z400" s="378"/>
      <c r="AA400" s="378"/>
      <c r="AB400" s="378"/>
      <c r="AC400" s="378"/>
      <c r="AD400" s="378"/>
      <c r="AE400" s="378"/>
      <c r="AF400" s="378"/>
    </row>
    <row r="401" spans="2:32">
      <c r="B401" s="378"/>
      <c r="C401" s="378"/>
      <c r="D401" s="378"/>
      <c r="F401" s="378"/>
      <c r="G401" s="378"/>
      <c r="H401" s="378"/>
      <c r="I401" s="378"/>
      <c r="J401" s="378"/>
      <c r="K401" s="378"/>
      <c r="L401" s="378"/>
      <c r="M401" s="378"/>
      <c r="N401" s="378"/>
      <c r="O401" s="378"/>
      <c r="P401" s="378"/>
      <c r="Q401" s="378"/>
      <c r="R401" s="378"/>
      <c r="S401" s="378"/>
      <c r="T401" s="378"/>
      <c r="U401" s="378"/>
      <c r="V401" s="378"/>
      <c r="W401" s="378"/>
      <c r="X401" s="378"/>
      <c r="Y401" s="378"/>
      <c r="Z401" s="378"/>
      <c r="AA401" s="378"/>
      <c r="AB401" s="378"/>
      <c r="AC401" s="378"/>
      <c r="AD401" s="378"/>
      <c r="AE401" s="378"/>
      <c r="AF401" s="378"/>
    </row>
    <row r="402" spans="2:32">
      <c r="B402" s="378"/>
      <c r="C402" s="378"/>
      <c r="D402" s="378"/>
      <c r="F402" s="378"/>
      <c r="G402" s="378"/>
      <c r="H402" s="378"/>
      <c r="I402" s="378"/>
      <c r="J402" s="378"/>
      <c r="K402" s="378"/>
      <c r="L402" s="378"/>
      <c r="M402" s="378"/>
      <c r="N402" s="378"/>
      <c r="O402" s="378"/>
      <c r="P402" s="378"/>
      <c r="Q402" s="378"/>
      <c r="R402" s="378"/>
      <c r="S402" s="378"/>
      <c r="T402" s="378"/>
      <c r="U402" s="378"/>
      <c r="V402" s="378"/>
      <c r="W402" s="378"/>
      <c r="X402" s="378"/>
      <c r="Y402" s="378"/>
      <c r="Z402" s="378"/>
      <c r="AA402" s="378"/>
      <c r="AB402" s="378"/>
      <c r="AC402" s="378"/>
      <c r="AD402" s="378"/>
      <c r="AE402" s="378"/>
      <c r="AF402" s="378"/>
    </row>
    <row r="403" spans="2:32">
      <c r="B403" s="378"/>
      <c r="C403" s="378"/>
      <c r="D403" s="378"/>
      <c r="F403" s="378"/>
      <c r="G403" s="378"/>
      <c r="H403" s="378"/>
      <c r="I403" s="378"/>
      <c r="J403" s="378"/>
      <c r="K403" s="378"/>
      <c r="L403" s="378"/>
      <c r="M403" s="378"/>
      <c r="N403" s="378"/>
      <c r="O403" s="378"/>
      <c r="P403" s="378"/>
      <c r="Q403" s="378"/>
      <c r="R403" s="378"/>
      <c r="S403" s="378"/>
      <c r="T403" s="378"/>
      <c r="U403" s="378"/>
      <c r="V403" s="378"/>
      <c r="W403" s="378"/>
      <c r="X403" s="378"/>
      <c r="Y403" s="378"/>
      <c r="Z403" s="378"/>
      <c r="AA403" s="378"/>
      <c r="AB403" s="378"/>
      <c r="AC403" s="378"/>
      <c r="AD403" s="378"/>
      <c r="AE403" s="378"/>
      <c r="AF403" s="378"/>
    </row>
    <row r="404" spans="2:32">
      <c r="B404" s="378"/>
      <c r="C404" s="378"/>
      <c r="D404" s="378"/>
      <c r="F404" s="378"/>
      <c r="G404" s="378"/>
      <c r="H404" s="378"/>
      <c r="I404" s="378"/>
      <c r="J404" s="378"/>
      <c r="K404" s="378"/>
      <c r="L404" s="378"/>
      <c r="M404" s="378"/>
      <c r="N404" s="378"/>
      <c r="O404" s="378"/>
      <c r="P404" s="378"/>
      <c r="Q404" s="378"/>
      <c r="R404" s="378"/>
      <c r="S404" s="378"/>
      <c r="T404" s="378"/>
      <c r="U404" s="378"/>
      <c r="V404" s="378"/>
      <c r="W404" s="378"/>
      <c r="X404" s="378"/>
      <c r="Y404" s="378"/>
      <c r="Z404" s="378"/>
      <c r="AA404" s="378"/>
      <c r="AB404" s="378"/>
      <c r="AC404" s="378"/>
      <c r="AD404" s="378"/>
      <c r="AE404" s="378"/>
      <c r="AF404" s="378"/>
    </row>
    <row r="405" spans="2:32">
      <c r="B405" s="378"/>
      <c r="C405" s="378"/>
      <c r="D405" s="378"/>
      <c r="F405" s="378"/>
      <c r="G405" s="378"/>
      <c r="H405" s="378"/>
      <c r="I405" s="378"/>
      <c r="J405" s="378"/>
      <c r="K405" s="378"/>
      <c r="L405" s="378"/>
      <c r="M405" s="378"/>
      <c r="N405" s="378"/>
      <c r="O405" s="378"/>
      <c r="P405" s="378"/>
      <c r="Q405" s="378"/>
      <c r="R405" s="378"/>
      <c r="S405" s="378"/>
      <c r="T405" s="378"/>
      <c r="U405" s="378"/>
      <c r="V405" s="378"/>
      <c r="W405" s="378"/>
      <c r="X405" s="378"/>
      <c r="Y405" s="378"/>
      <c r="Z405" s="378"/>
      <c r="AA405" s="378"/>
      <c r="AB405" s="378"/>
      <c r="AC405" s="378"/>
      <c r="AD405" s="378"/>
      <c r="AE405" s="378"/>
      <c r="AF405" s="378"/>
    </row>
    <row r="406" spans="2:32">
      <c r="B406" s="378"/>
      <c r="C406" s="378"/>
      <c r="D406" s="378"/>
      <c r="F406" s="378"/>
      <c r="G406" s="378"/>
      <c r="H406" s="378"/>
      <c r="I406" s="378"/>
      <c r="J406" s="378"/>
      <c r="K406" s="378"/>
      <c r="L406" s="378"/>
      <c r="M406" s="378"/>
      <c r="N406" s="378"/>
      <c r="O406" s="378"/>
      <c r="P406" s="378"/>
      <c r="Q406" s="378"/>
      <c r="R406" s="378"/>
      <c r="S406" s="378"/>
      <c r="T406" s="378"/>
      <c r="U406" s="378"/>
      <c r="V406" s="378"/>
      <c r="W406" s="378"/>
      <c r="X406" s="378"/>
      <c r="Y406" s="378"/>
      <c r="Z406" s="378"/>
      <c r="AA406" s="378"/>
      <c r="AB406" s="378"/>
      <c r="AC406" s="378"/>
      <c r="AD406" s="378"/>
      <c r="AE406" s="378"/>
      <c r="AF406" s="378"/>
    </row>
    <row r="407" spans="2:32">
      <c r="B407" s="378"/>
      <c r="C407" s="378"/>
      <c r="D407" s="378"/>
      <c r="F407" s="378"/>
      <c r="G407" s="378"/>
      <c r="H407" s="378"/>
      <c r="I407" s="378"/>
      <c r="J407" s="378"/>
      <c r="K407" s="378"/>
      <c r="L407" s="378"/>
      <c r="M407" s="378"/>
      <c r="N407" s="378"/>
      <c r="O407" s="378"/>
      <c r="P407" s="378"/>
      <c r="Q407" s="378"/>
      <c r="R407" s="378"/>
      <c r="S407" s="378"/>
      <c r="T407" s="378"/>
      <c r="U407" s="378"/>
      <c r="V407" s="378"/>
      <c r="W407" s="378"/>
      <c r="X407" s="378"/>
      <c r="Y407" s="378"/>
      <c r="Z407" s="378"/>
      <c r="AA407" s="378"/>
      <c r="AB407" s="378"/>
      <c r="AC407" s="378"/>
      <c r="AD407" s="378"/>
      <c r="AE407" s="378"/>
      <c r="AF407" s="378"/>
    </row>
    <row r="408" spans="2:32">
      <c r="B408" s="378"/>
      <c r="C408" s="378"/>
      <c r="D408" s="378"/>
      <c r="F408" s="378"/>
      <c r="G408" s="378"/>
      <c r="H408" s="378"/>
      <c r="I408" s="378"/>
      <c r="J408" s="378"/>
      <c r="K408" s="378"/>
      <c r="L408" s="378"/>
      <c r="M408" s="378"/>
      <c r="N408" s="378"/>
      <c r="O408" s="378"/>
      <c r="P408" s="378"/>
      <c r="Q408" s="378"/>
      <c r="R408" s="378"/>
      <c r="S408" s="378"/>
      <c r="T408" s="378"/>
      <c r="U408" s="378"/>
      <c r="V408" s="378"/>
      <c r="W408" s="378"/>
      <c r="X408" s="378"/>
      <c r="Y408" s="378"/>
      <c r="Z408" s="378"/>
      <c r="AA408" s="378"/>
      <c r="AB408" s="378"/>
      <c r="AC408" s="378"/>
      <c r="AD408" s="378"/>
      <c r="AE408" s="378"/>
      <c r="AF408" s="378"/>
    </row>
    <row r="409" spans="2:32">
      <c r="B409" s="378"/>
      <c r="C409" s="378"/>
      <c r="D409" s="378"/>
      <c r="F409" s="378"/>
      <c r="G409" s="378"/>
      <c r="H409" s="378"/>
      <c r="I409" s="378"/>
      <c r="J409" s="378"/>
      <c r="K409" s="378"/>
      <c r="L409" s="378"/>
      <c r="M409" s="378"/>
      <c r="N409" s="378"/>
      <c r="O409" s="378"/>
      <c r="P409" s="378"/>
      <c r="Q409" s="378"/>
      <c r="R409" s="378"/>
      <c r="S409" s="378"/>
      <c r="T409" s="378"/>
      <c r="U409" s="378"/>
      <c r="V409" s="378"/>
      <c r="W409" s="378"/>
      <c r="X409" s="378"/>
      <c r="Y409" s="378"/>
      <c r="Z409" s="378"/>
      <c r="AA409" s="378"/>
      <c r="AB409" s="378"/>
      <c r="AC409" s="378"/>
      <c r="AD409" s="378"/>
      <c r="AE409" s="378"/>
      <c r="AF409" s="378"/>
    </row>
    <row r="410" spans="2:32">
      <c r="B410" s="378"/>
      <c r="C410" s="378"/>
      <c r="D410" s="378"/>
      <c r="F410" s="378"/>
      <c r="G410" s="378"/>
      <c r="H410" s="378"/>
      <c r="I410" s="378"/>
      <c r="J410" s="378"/>
      <c r="K410" s="378"/>
      <c r="L410" s="378"/>
      <c r="M410" s="378"/>
      <c r="N410" s="378"/>
      <c r="O410" s="378"/>
      <c r="P410" s="378"/>
      <c r="Q410" s="378"/>
      <c r="R410" s="378"/>
      <c r="S410" s="378"/>
      <c r="T410" s="378"/>
      <c r="U410" s="378"/>
      <c r="V410" s="378"/>
      <c r="W410" s="378"/>
      <c r="X410" s="378"/>
      <c r="Y410" s="378"/>
      <c r="Z410" s="378"/>
      <c r="AA410" s="378"/>
      <c r="AB410" s="378"/>
      <c r="AC410" s="378"/>
      <c r="AD410" s="378"/>
      <c r="AE410" s="378"/>
      <c r="AF410" s="378"/>
    </row>
    <row r="411" spans="2:32">
      <c r="B411" s="378"/>
      <c r="C411" s="378"/>
      <c r="D411" s="378"/>
      <c r="F411" s="378"/>
      <c r="G411" s="378"/>
      <c r="H411" s="378"/>
      <c r="I411" s="378"/>
      <c r="J411" s="378"/>
      <c r="K411" s="378"/>
      <c r="L411" s="378"/>
      <c r="M411" s="378"/>
      <c r="N411" s="378"/>
      <c r="O411" s="378"/>
      <c r="P411" s="378"/>
      <c r="Q411" s="378"/>
      <c r="R411" s="378"/>
      <c r="S411" s="378"/>
      <c r="T411" s="378"/>
      <c r="U411" s="378"/>
      <c r="V411" s="378"/>
      <c r="W411" s="378"/>
      <c r="X411" s="378"/>
      <c r="Y411" s="378"/>
      <c r="Z411" s="378"/>
      <c r="AA411" s="378"/>
      <c r="AB411" s="378"/>
      <c r="AC411" s="378"/>
      <c r="AD411" s="378"/>
      <c r="AE411" s="378"/>
      <c r="AF411" s="378"/>
    </row>
    <row r="412" spans="2:32">
      <c r="B412" s="378"/>
      <c r="C412" s="378"/>
      <c r="D412" s="378"/>
      <c r="F412" s="378"/>
      <c r="G412" s="378"/>
      <c r="H412" s="378"/>
      <c r="I412" s="378"/>
      <c r="J412" s="378"/>
      <c r="K412" s="378"/>
      <c r="L412" s="378"/>
      <c r="M412" s="378"/>
      <c r="N412" s="378"/>
      <c r="O412" s="378"/>
      <c r="P412" s="378"/>
      <c r="Q412" s="378"/>
      <c r="R412" s="378"/>
      <c r="S412" s="378"/>
      <c r="T412" s="378"/>
      <c r="U412" s="378"/>
      <c r="V412" s="378"/>
      <c r="W412" s="378"/>
      <c r="X412" s="378"/>
      <c r="Y412" s="378"/>
      <c r="Z412" s="378"/>
      <c r="AA412" s="378"/>
      <c r="AB412" s="378"/>
      <c r="AC412" s="378"/>
      <c r="AD412" s="378"/>
      <c r="AE412" s="378"/>
      <c r="AF412" s="378"/>
    </row>
    <row r="413" spans="2:32">
      <c r="B413" s="378"/>
      <c r="C413" s="378"/>
      <c r="D413" s="378"/>
      <c r="F413" s="378"/>
      <c r="G413" s="378"/>
      <c r="H413" s="378"/>
      <c r="I413" s="378"/>
      <c r="J413" s="378"/>
      <c r="K413" s="378"/>
      <c r="L413" s="378"/>
      <c r="M413" s="378"/>
      <c r="N413" s="378"/>
      <c r="O413" s="378"/>
      <c r="P413" s="378"/>
      <c r="Q413" s="378"/>
      <c r="R413" s="378"/>
      <c r="S413" s="378"/>
      <c r="T413" s="378"/>
      <c r="U413" s="378"/>
      <c r="V413" s="378"/>
      <c r="W413" s="378"/>
      <c r="X413" s="378"/>
      <c r="Y413" s="378"/>
      <c r="Z413" s="378"/>
      <c r="AA413" s="378"/>
      <c r="AB413" s="378"/>
      <c r="AC413" s="378"/>
      <c r="AD413" s="378"/>
      <c r="AE413" s="378"/>
      <c r="AF413" s="378"/>
    </row>
    <row r="414" spans="2:32">
      <c r="B414" s="378"/>
      <c r="C414" s="378"/>
      <c r="D414" s="378"/>
      <c r="F414" s="378"/>
      <c r="G414" s="378"/>
      <c r="H414" s="378"/>
      <c r="I414" s="378"/>
      <c r="J414" s="378"/>
      <c r="K414" s="378"/>
      <c r="L414" s="378"/>
      <c r="M414" s="378"/>
      <c r="N414" s="378"/>
      <c r="O414" s="378"/>
      <c r="P414" s="378"/>
      <c r="Q414" s="378"/>
      <c r="R414" s="378"/>
      <c r="S414" s="378"/>
      <c r="T414" s="378"/>
      <c r="U414" s="378"/>
      <c r="V414" s="378"/>
      <c r="W414" s="378"/>
      <c r="X414" s="378"/>
      <c r="Y414" s="378"/>
      <c r="Z414" s="378"/>
      <c r="AA414" s="378"/>
      <c r="AB414" s="378"/>
      <c r="AC414" s="378"/>
      <c r="AD414" s="378"/>
      <c r="AE414" s="378"/>
      <c r="AF414" s="378"/>
    </row>
    <row r="415" spans="2:32">
      <c r="B415" s="378"/>
      <c r="C415" s="378"/>
      <c r="D415" s="378"/>
      <c r="F415" s="378"/>
      <c r="G415" s="378"/>
      <c r="H415" s="378"/>
      <c r="I415" s="378"/>
      <c r="J415" s="378"/>
      <c r="K415" s="378"/>
      <c r="L415" s="378"/>
      <c r="M415" s="378"/>
      <c r="N415" s="378"/>
      <c r="O415" s="378"/>
      <c r="P415" s="378"/>
      <c r="Q415" s="378"/>
      <c r="R415" s="378"/>
      <c r="S415" s="378"/>
      <c r="T415" s="378"/>
      <c r="U415" s="378"/>
      <c r="V415" s="378"/>
      <c r="W415" s="378"/>
      <c r="X415" s="378"/>
      <c r="Y415" s="378"/>
      <c r="Z415" s="378"/>
      <c r="AA415" s="378"/>
      <c r="AB415" s="378"/>
      <c r="AC415" s="378"/>
      <c r="AD415" s="378"/>
      <c r="AE415" s="378"/>
      <c r="AF415" s="378"/>
    </row>
    <row r="416" spans="2:32">
      <c r="B416" s="378"/>
      <c r="C416" s="378"/>
      <c r="D416" s="378"/>
      <c r="F416" s="378"/>
      <c r="G416" s="378"/>
      <c r="H416" s="378"/>
      <c r="I416" s="378"/>
      <c r="J416" s="378"/>
      <c r="K416" s="378"/>
      <c r="L416" s="378"/>
      <c r="M416" s="378"/>
      <c r="N416" s="378"/>
      <c r="O416" s="378"/>
      <c r="P416" s="378"/>
      <c r="Q416" s="378"/>
      <c r="R416" s="378"/>
      <c r="S416" s="378"/>
      <c r="T416" s="378"/>
      <c r="U416" s="378"/>
      <c r="V416" s="378"/>
      <c r="W416" s="378"/>
      <c r="X416" s="378"/>
      <c r="Y416" s="378"/>
      <c r="Z416" s="378"/>
      <c r="AA416" s="378"/>
      <c r="AB416" s="378"/>
      <c r="AC416" s="378"/>
      <c r="AD416" s="378"/>
      <c r="AE416" s="378"/>
      <c r="AF416" s="378"/>
    </row>
    <row r="417" spans="2:32">
      <c r="B417" s="378"/>
      <c r="C417" s="378"/>
      <c r="D417" s="378"/>
      <c r="F417" s="378"/>
      <c r="G417" s="378"/>
      <c r="H417" s="378"/>
      <c r="I417" s="378"/>
      <c r="J417" s="378"/>
      <c r="K417" s="378"/>
      <c r="L417" s="378"/>
      <c r="M417" s="378"/>
      <c r="N417" s="378"/>
      <c r="O417" s="378"/>
      <c r="P417" s="378"/>
      <c r="Q417" s="378"/>
      <c r="R417" s="378"/>
      <c r="S417" s="378"/>
      <c r="T417" s="378"/>
      <c r="U417" s="378"/>
      <c r="V417" s="378"/>
      <c r="W417" s="378"/>
      <c r="X417" s="378"/>
      <c r="Y417" s="378"/>
      <c r="Z417" s="378"/>
      <c r="AA417" s="378"/>
      <c r="AB417" s="378"/>
      <c r="AC417" s="378"/>
      <c r="AD417" s="378"/>
      <c r="AE417" s="378"/>
      <c r="AF417" s="378"/>
    </row>
    <row r="418" spans="2:32">
      <c r="B418" s="378"/>
      <c r="C418" s="378"/>
      <c r="D418" s="378"/>
      <c r="F418" s="378"/>
      <c r="G418" s="378"/>
      <c r="H418" s="378"/>
      <c r="I418" s="378"/>
      <c r="J418" s="378"/>
      <c r="K418" s="378"/>
      <c r="L418" s="378"/>
      <c r="M418" s="378"/>
      <c r="N418" s="378"/>
      <c r="O418" s="378"/>
      <c r="P418" s="378"/>
      <c r="Q418" s="378"/>
      <c r="R418" s="378"/>
      <c r="S418" s="378"/>
      <c r="T418" s="378"/>
      <c r="U418" s="378"/>
      <c r="V418" s="378"/>
      <c r="W418" s="378"/>
      <c r="X418" s="378"/>
      <c r="Y418" s="378"/>
      <c r="Z418" s="378"/>
      <c r="AA418" s="378"/>
      <c r="AB418" s="378"/>
      <c r="AC418" s="378"/>
      <c r="AD418" s="378"/>
      <c r="AE418" s="378"/>
      <c r="AF418" s="378"/>
    </row>
    <row r="419" spans="2:32">
      <c r="B419" s="378"/>
      <c r="C419" s="378"/>
      <c r="D419" s="378"/>
      <c r="F419" s="378"/>
      <c r="G419" s="378"/>
      <c r="H419" s="378"/>
      <c r="I419" s="378"/>
      <c r="J419" s="378"/>
      <c r="K419" s="378"/>
      <c r="L419" s="378"/>
      <c r="M419" s="378"/>
      <c r="N419" s="378"/>
      <c r="O419" s="378"/>
      <c r="P419" s="378"/>
      <c r="Q419" s="378"/>
      <c r="R419" s="378"/>
      <c r="S419" s="378"/>
      <c r="T419" s="378"/>
      <c r="U419" s="378"/>
      <c r="V419" s="378"/>
      <c r="W419" s="378"/>
      <c r="X419" s="378"/>
      <c r="Y419" s="378"/>
      <c r="Z419" s="378"/>
      <c r="AA419" s="378"/>
      <c r="AB419" s="378"/>
      <c r="AC419" s="378"/>
      <c r="AD419" s="378"/>
      <c r="AE419" s="378"/>
      <c r="AF419" s="378"/>
    </row>
    <row r="420" spans="2:32">
      <c r="B420" s="378"/>
      <c r="C420" s="378"/>
      <c r="D420" s="378"/>
      <c r="F420" s="378"/>
      <c r="G420" s="378"/>
      <c r="H420" s="378"/>
      <c r="I420" s="378"/>
      <c r="J420" s="378"/>
      <c r="K420" s="378"/>
      <c r="L420" s="378"/>
      <c r="M420" s="378"/>
      <c r="N420" s="378"/>
      <c r="O420" s="378"/>
      <c r="P420" s="378"/>
      <c r="Q420" s="378"/>
      <c r="R420" s="378"/>
      <c r="S420" s="378"/>
      <c r="T420" s="378"/>
      <c r="U420" s="378"/>
      <c r="V420" s="378"/>
      <c r="W420" s="378"/>
      <c r="X420" s="378"/>
      <c r="Y420" s="378"/>
      <c r="Z420" s="378"/>
      <c r="AA420" s="378"/>
      <c r="AB420" s="378"/>
      <c r="AC420" s="378"/>
      <c r="AD420" s="378"/>
      <c r="AE420" s="378"/>
      <c r="AF420" s="378"/>
    </row>
    <row r="421" spans="2:32">
      <c r="B421" s="378"/>
      <c r="C421" s="378"/>
      <c r="D421" s="378"/>
      <c r="F421" s="378"/>
      <c r="G421" s="378"/>
      <c r="H421" s="378"/>
      <c r="I421" s="378"/>
      <c r="J421" s="378"/>
      <c r="K421" s="378"/>
      <c r="L421" s="378"/>
      <c r="M421" s="378"/>
      <c r="N421" s="378"/>
      <c r="O421" s="378"/>
      <c r="P421" s="378"/>
      <c r="Q421" s="378"/>
      <c r="R421" s="378"/>
      <c r="S421" s="378"/>
      <c r="T421" s="378"/>
      <c r="U421" s="378"/>
      <c r="V421" s="378"/>
      <c r="W421" s="378"/>
      <c r="X421" s="378"/>
      <c r="Y421" s="378"/>
      <c r="Z421" s="378"/>
      <c r="AA421" s="378"/>
      <c r="AB421" s="378"/>
      <c r="AC421" s="378"/>
      <c r="AD421" s="378"/>
      <c r="AE421" s="378"/>
      <c r="AF421" s="378"/>
    </row>
    <row r="422" spans="2:32">
      <c r="B422" s="378"/>
      <c r="C422" s="378"/>
      <c r="D422" s="378"/>
      <c r="F422" s="378"/>
      <c r="G422" s="378"/>
      <c r="H422" s="378"/>
      <c r="I422" s="378"/>
      <c r="J422" s="378"/>
      <c r="K422" s="378"/>
      <c r="L422" s="378"/>
      <c r="M422" s="378"/>
      <c r="N422" s="378"/>
      <c r="O422" s="378"/>
      <c r="P422" s="378"/>
      <c r="Q422" s="378"/>
      <c r="R422" s="378"/>
      <c r="S422" s="378"/>
      <c r="T422" s="378"/>
      <c r="U422" s="378"/>
      <c r="V422" s="378"/>
      <c r="W422" s="378"/>
      <c r="X422" s="378"/>
      <c r="Y422" s="378"/>
      <c r="Z422" s="378"/>
      <c r="AA422" s="378"/>
      <c r="AB422" s="378"/>
      <c r="AC422" s="378"/>
      <c r="AD422" s="378"/>
      <c r="AE422" s="378"/>
      <c r="AF422" s="378"/>
    </row>
    <row r="423" spans="2:32">
      <c r="B423" s="378"/>
      <c r="C423" s="378"/>
      <c r="D423" s="378"/>
      <c r="F423" s="378"/>
      <c r="G423" s="378"/>
      <c r="H423" s="378"/>
      <c r="I423" s="378"/>
      <c r="J423" s="378"/>
      <c r="K423" s="378"/>
      <c r="L423" s="378"/>
      <c r="M423" s="378"/>
      <c r="N423" s="378"/>
      <c r="O423" s="378"/>
      <c r="P423" s="378"/>
      <c r="Q423" s="378"/>
      <c r="R423" s="378"/>
      <c r="S423" s="378"/>
      <c r="T423" s="378"/>
      <c r="U423" s="378"/>
      <c r="V423" s="378"/>
      <c r="W423" s="378"/>
      <c r="X423" s="378"/>
      <c r="Y423" s="378"/>
      <c r="Z423" s="378"/>
      <c r="AA423" s="378"/>
      <c r="AB423" s="378"/>
      <c r="AC423" s="378"/>
      <c r="AD423" s="378"/>
      <c r="AE423" s="378"/>
      <c r="AF423" s="378"/>
    </row>
    <row r="424" spans="2:32">
      <c r="B424" s="378"/>
      <c r="C424" s="378"/>
      <c r="D424" s="378"/>
      <c r="F424" s="378"/>
      <c r="G424" s="378"/>
      <c r="H424" s="378"/>
      <c r="I424" s="378"/>
      <c r="J424" s="378"/>
      <c r="K424" s="378"/>
      <c r="L424" s="378"/>
      <c r="M424" s="378"/>
      <c r="N424" s="378"/>
      <c r="O424" s="378"/>
      <c r="P424" s="378"/>
      <c r="Q424" s="378"/>
      <c r="R424" s="378"/>
      <c r="S424" s="378"/>
      <c r="T424" s="378"/>
      <c r="U424" s="378"/>
      <c r="V424" s="378"/>
      <c r="W424" s="378"/>
      <c r="X424" s="378"/>
      <c r="Y424" s="378"/>
      <c r="Z424" s="378"/>
      <c r="AA424" s="378"/>
      <c r="AB424" s="378"/>
      <c r="AC424" s="378"/>
      <c r="AD424" s="378"/>
      <c r="AE424" s="378"/>
      <c r="AF424" s="378"/>
    </row>
    <row r="425" spans="2:32">
      <c r="B425" s="378"/>
      <c r="C425" s="378"/>
      <c r="D425" s="378"/>
      <c r="F425" s="378"/>
      <c r="G425" s="378"/>
      <c r="H425" s="378"/>
      <c r="I425" s="378"/>
      <c r="J425" s="378"/>
      <c r="K425" s="378"/>
      <c r="L425" s="378"/>
      <c r="M425" s="378"/>
      <c r="N425" s="378"/>
      <c r="O425" s="378"/>
      <c r="P425" s="378"/>
      <c r="Q425" s="378"/>
      <c r="R425" s="378"/>
      <c r="S425" s="378"/>
      <c r="T425" s="378"/>
      <c r="U425" s="378"/>
      <c r="V425" s="378"/>
      <c r="W425" s="378"/>
      <c r="X425" s="378"/>
      <c r="Y425" s="378"/>
      <c r="Z425" s="378"/>
      <c r="AA425" s="378"/>
      <c r="AB425" s="378"/>
      <c r="AC425" s="378"/>
      <c r="AD425" s="378"/>
      <c r="AE425" s="378"/>
      <c r="AF425" s="378"/>
    </row>
    <row r="426" spans="2:32">
      <c r="B426" s="378"/>
      <c r="C426" s="378"/>
      <c r="D426" s="378"/>
      <c r="F426" s="378"/>
      <c r="G426" s="378"/>
      <c r="H426" s="378"/>
      <c r="I426" s="378"/>
      <c r="J426" s="378"/>
      <c r="K426" s="378"/>
      <c r="L426" s="378"/>
      <c r="M426" s="378"/>
      <c r="N426" s="378"/>
      <c r="O426" s="378"/>
      <c r="P426" s="378"/>
      <c r="Q426" s="378"/>
      <c r="R426" s="378"/>
      <c r="S426" s="378"/>
      <c r="T426" s="378"/>
      <c r="U426" s="378"/>
      <c r="V426" s="378"/>
      <c r="W426" s="378"/>
      <c r="X426" s="378"/>
      <c r="Y426" s="378"/>
      <c r="Z426" s="378"/>
      <c r="AA426" s="378"/>
      <c r="AB426" s="378"/>
      <c r="AC426" s="378"/>
      <c r="AD426" s="378"/>
      <c r="AE426" s="378"/>
      <c r="AF426" s="378"/>
    </row>
    <row r="427" spans="2:32">
      <c r="B427" s="378"/>
      <c r="C427" s="378"/>
      <c r="D427" s="378"/>
      <c r="F427" s="378"/>
      <c r="G427" s="378"/>
      <c r="H427" s="378"/>
      <c r="I427" s="378"/>
      <c r="J427" s="378"/>
      <c r="K427" s="378"/>
      <c r="L427" s="378"/>
      <c r="M427" s="378"/>
      <c r="N427" s="378"/>
      <c r="O427" s="378"/>
      <c r="P427" s="378"/>
      <c r="Q427" s="378"/>
      <c r="R427" s="378"/>
      <c r="S427" s="378"/>
      <c r="T427" s="378"/>
      <c r="U427" s="378"/>
      <c r="V427" s="378"/>
      <c r="W427" s="378"/>
      <c r="X427" s="378"/>
      <c r="Y427" s="378"/>
      <c r="Z427" s="378"/>
      <c r="AA427" s="378"/>
      <c r="AB427" s="378"/>
      <c r="AC427" s="378"/>
      <c r="AD427" s="378"/>
      <c r="AE427" s="378"/>
      <c r="AF427" s="378"/>
    </row>
    <row r="428" spans="2:32">
      <c r="B428" s="378"/>
      <c r="C428" s="378"/>
      <c r="D428" s="378"/>
      <c r="F428" s="378"/>
      <c r="G428" s="378"/>
      <c r="H428" s="378"/>
      <c r="I428" s="378"/>
      <c r="J428" s="378"/>
      <c r="K428" s="378"/>
      <c r="L428" s="378"/>
      <c r="M428" s="378"/>
      <c r="N428" s="378"/>
      <c r="O428" s="378"/>
      <c r="P428" s="378"/>
      <c r="Q428" s="378"/>
      <c r="R428" s="378"/>
      <c r="S428" s="378"/>
      <c r="T428" s="378"/>
      <c r="U428" s="378"/>
      <c r="V428" s="378"/>
      <c r="W428" s="378"/>
      <c r="X428" s="378"/>
      <c r="Y428" s="378"/>
      <c r="Z428" s="378"/>
      <c r="AA428" s="378"/>
      <c r="AB428" s="378"/>
      <c r="AC428" s="378"/>
      <c r="AD428" s="378"/>
      <c r="AE428" s="378"/>
      <c r="AF428" s="378"/>
    </row>
    <row r="429" spans="2:32">
      <c r="B429" s="378"/>
      <c r="C429" s="378"/>
      <c r="D429" s="378"/>
      <c r="F429" s="378"/>
      <c r="G429" s="378"/>
      <c r="H429" s="378"/>
      <c r="I429" s="378"/>
      <c r="J429" s="378"/>
      <c r="K429" s="378"/>
      <c r="L429" s="378"/>
      <c r="M429" s="378"/>
      <c r="N429" s="378"/>
      <c r="O429" s="378"/>
      <c r="P429" s="378"/>
      <c r="Q429" s="378"/>
      <c r="R429" s="378"/>
      <c r="S429" s="378"/>
      <c r="T429" s="378"/>
      <c r="U429" s="378"/>
      <c r="V429" s="378"/>
      <c r="W429" s="378"/>
      <c r="X429" s="378"/>
      <c r="Y429" s="378"/>
      <c r="Z429" s="378"/>
      <c r="AA429" s="378"/>
      <c r="AB429" s="378"/>
      <c r="AC429" s="378"/>
      <c r="AD429" s="378"/>
      <c r="AE429" s="378"/>
      <c r="AF429" s="378"/>
    </row>
    <row r="430" spans="2:32">
      <c r="B430" s="378"/>
      <c r="C430" s="378"/>
      <c r="D430" s="378"/>
      <c r="F430" s="378"/>
      <c r="G430" s="378"/>
      <c r="H430" s="378"/>
      <c r="I430" s="378"/>
      <c r="J430" s="378"/>
      <c r="K430" s="378"/>
      <c r="L430" s="378"/>
      <c r="M430" s="378"/>
      <c r="N430" s="378"/>
      <c r="O430" s="378"/>
      <c r="P430" s="378"/>
      <c r="Q430" s="378"/>
      <c r="R430" s="378"/>
      <c r="S430" s="378"/>
      <c r="T430" s="378"/>
      <c r="U430" s="378"/>
      <c r="V430" s="378"/>
      <c r="W430" s="378"/>
      <c r="X430" s="378"/>
      <c r="Y430" s="378"/>
      <c r="Z430" s="378"/>
      <c r="AA430" s="378"/>
      <c r="AB430" s="378"/>
      <c r="AC430" s="378"/>
      <c r="AD430" s="378"/>
      <c r="AE430" s="378"/>
      <c r="AF430" s="378"/>
    </row>
    <row r="431" spans="2:32">
      <c r="B431" s="378"/>
      <c r="C431" s="378"/>
      <c r="D431" s="378"/>
      <c r="F431" s="378"/>
      <c r="G431" s="378"/>
      <c r="H431" s="378"/>
      <c r="I431" s="378"/>
      <c r="J431" s="378"/>
      <c r="K431" s="378"/>
      <c r="L431" s="378"/>
      <c r="M431" s="378"/>
      <c r="N431" s="378"/>
      <c r="O431" s="378"/>
      <c r="P431" s="378"/>
      <c r="Q431" s="378"/>
      <c r="R431" s="378"/>
      <c r="S431" s="378"/>
      <c r="T431" s="378"/>
      <c r="U431" s="378"/>
      <c r="V431" s="378"/>
      <c r="W431" s="378"/>
      <c r="X431" s="378"/>
      <c r="Y431" s="378"/>
      <c r="Z431" s="378"/>
      <c r="AA431" s="378"/>
      <c r="AB431" s="378"/>
      <c r="AC431" s="378"/>
      <c r="AD431" s="378"/>
      <c r="AE431" s="378"/>
      <c r="AF431" s="378"/>
    </row>
    <row r="432" spans="2:32">
      <c r="B432" s="378"/>
      <c r="C432" s="378"/>
      <c r="D432" s="378"/>
      <c r="F432" s="378"/>
      <c r="G432" s="378"/>
      <c r="H432" s="378"/>
      <c r="I432" s="378"/>
      <c r="J432" s="378"/>
      <c r="K432" s="378"/>
      <c r="L432" s="378"/>
      <c r="M432" s="378"/>
      <c r="N432" s="378"/>
      <c r="O432" s="378"/>
      <c r="P432" s="378"/>
      <c r="Q432" s="378"/>
      <c r="R432" s="378"/>
      <c r="S432" s="378"/>
      <c r="T432" s="378"/>
      <c r="U432" s="378"/>
      <c r="V432" s="378"/>
      <c r="W432" s="378"/>
      <c r="X432" s="378"/>
      <c r="Y432" s="378"/>
      <c r="Z432" s="378"/>
      <c r="AA432" s="378"/>
      <c r="AB432" s="378"/>
      <c r="AC432" s="378"/>
      <c r="AD432" s="378"/>
      <c r="AE432" s="378"/>
      <c r="AF432" s="378"/>
    </row>
    <row r="433" spans="2:32">
      <c r="B433" s="378"/>
      <c r="C433" s="378"/>
      <c r="D433" s="378"/>
      <c r="F433" s="378"/>
      <c r="G433" s="378"/>
      <c r="H433" s="378"/>
      <c r="I433" s="378"/>
      <c r="J433" s="378"/>
      <c r="K433" s="378"/>
      <c r="L433" s="378"/>
      <c r="M433" s="378"/>
      <c r="N433" s="378"/>
      <c r="O433" s="378"/>
      <c r="P433" s="378"/>
      <c r="Q433" s="378"/>
      <c r="R433" s="378"/>
      <c r="S433" s="378"/>
      <c r="T433" s="378"/>
      <c r="U433" s="378"/>
      <c r="V433" s="378"/>
      <c r="W433" s="378"/>
      <c r="X433" s="378"/>
      <c r="Y433" s="378"/>
      <c r="Z433" s="378"/>
      <c r="AA433" s="378"/>
      <c r="AB433" s="378"/>
      <c r="AC433" s="378"/>
      <c r="AD433" s="378"/>
      <c r="AE433" s="378"/>
      <c r="AF433" s="378"/>
    </row>
    <row r="434" spans="2:32">
      <c r="B434" s="378"/>
      <c r="C434" s="378"/>
      <c r="D434" s="378"/>
      <c r="F434" s="378"/>
      <c r="G434" s="378"/>
      <c r="H434" s="378"/>
      <c r="I434" s="378"/>
      <c r="J434" s="378"/>
      <c r="K434" s="378"/>
      <c r="L434" s="378"/>
      <c r="M434" s="378"/>
      <c r="N434" s="378"/>
      <c r="O434" s="378"/>
      <c r="P434" s="378"/>
      <c r="Q434" s="378"/>
      <c r="R434" s="378"/>
      <c r="S434" s="378"/>
      <c r="T434" s="378"/>
      <c r="U434" s="378"/>
      <c r="V434" s="378"/>
      <c r="W434" s="378"/>
      <c r="X434" s="378"/>
      <c r="Y434" s="378"/>
      <c r="Z434" s="378"/>
      <c r="AA434" s="378"/>
      <c r="AB434" s="378"/>
      <c r="AC434" s="378"/>
      <c r="AD434" s="378"/>
      <c r="AE434" s="378"/>
      <c r="AF434" s="378"/>
    </row>
    <row r="435" spans="2:32">
      <c r="B435" s="378"/>
      <c r="C435" s="378"/>
      <c r="D435" s="378"/>
      <c r="F435" s="378"/>
      <c r="G435" s="378"/>
      <c r="H435" s="378"/>
      <c r="I435" s="378"/>
      <c r="J435" s="378"/>
      <c r="K435" s="378"/>
      <c r="L435" s="378"/>
      <c r="M435" s="378"/>
      <c r="N435" s="378"/>
      <c r="O435" s="378"/>
      <c r="P435" s="378"/>
      <c r="Q435" s="378"/>
      <c r="R435" s="378"/>
      <c r="S435" s="378"/>
      <c r="T435" s="378"/>
      <c r="U435" s="378"/>
      <c r="V435" s="378"/>
      <c r="W435" s="378"/>
      <c r="X435" s="378"/>
      <c r="Y435" s="378"/>
      <c r="Z435" s="378"/>
      <c r="AA435" s="378"/>
      <c r="AB435" s="378"/>
      <c r="AC435" s="378"/>
      <c r="AD435" s="378"/>
      <c r="AE435" s="378"/>
      <c r="AF435" s="378"/>
    </row>
    <row r="436" spans="2:32">
      <c r="B436" s="378"/>
      <c r="C436" s="378"/>
      <c r="D436" s="378"/>
      <c r="F436" s="378"/>
      <c r="G436" s="378"/>
      <c r="H436" s="378"/>
      <c r="I436" s="378"/>
      <c r="J436" s="378"/>
      <c r="K436" s="378"/>
      <c r="L436" s="378"/>
      <c r="M436" s="378"/>
      <c r="N436" s="378"/>
      <c r="O436" s="378"/>
      <c r="P436" s="378"/>
      <c r="Q436" s="378"/>
      <c r="R436" s="378"/>
      <c r="S436" s="378"/>
      <c r="T436" s="378"/>
      <c r="U436" s="378"/>
      <c r="V436" s="378"/>
      <c r="W436" s="378"/>
      <c r="X436" s="378"/>
      <c r="Y436" s="378"/>
      <c r="Z436" s="378"/>
      <c r="AA436" s="378"/>
      <c r="AB436" s="378"/>
      <c r="AC436" s="378"/>
      <c r="AD436" s="378"/>
      <c r="AE436" s="378"/>
      <c r="AF436" s="378"/>
    </row>
    <row r="437" spans="2:32">
      <c r="B437" s="378"/>
      <c r="C437" s="378"/>
      <c r="D437" s="378"/>
      <c r="F437" s="378"/>
      <c r="G437" s="378"/>
      <c r="H437" s="378"/>
      <c r="I437" s="378"/>
      <c r="J437" s="378"/>
      <c r="K437" s="378"/>
      <c r="L437" s="378"/>
      <c r="M437" s="378"/>
      <c r="N437" s="378"/>
      <c r="O437" s="378"/>
      <c r="P437" s="378"/>
      <c r="Q437" s="378"/>
      <c r="R437" s="378"/>
      <c r="S437" s="378"/>
      <c r="T437" s="378"/>
      <c r="U437" s="378"/>
      <c r="V437" s="378"/>
      <c r="W437" s="378"/>
      <c r="X437" s="378"/>
      <c r="Y437" s="378"/>
      <c r="Z437" s="378"/>
      <c r="AA437" s="378"/>
      <c r="AB437" s="378"/>
      <c r="AC437" s="378"/>
      <c r="AD437" s="378"/>
      <c r="AE437" s="378"/>
      <c r="AF437" s="378"/>
    </row>
    <row r="438" spans="2:32">
      <c r="B438" s="378"/>
      <c r="C438" s="378"/>
      <c r="D438" s="378"/>
      <c r="F438" s="378"/>
      <c r="G438" s="378"/>
      <c r="H438" s="378"/>
      <c r="I438" s="378"/>
      <c r="J438" s="378"/>
      <c r="K438" s="378"/>
      <c r="L438" s="378"/>
      <c r="M438" s="378"/>
      <c r="N438" s="378"/>
      <c r="O438" s="378"/>
      <c r="P438" s="378"/>
      <c r="Q438" s="378"/>
      <c r="R438" s="378"/>
      <c r="S438" s="378"/>
      <c r="T438" s="378"/>
      <c r="U438" s="378"/>
      <c r="V438" s="378"/>
      <c r="W438" s="378"/>
      <c r="X438" s="378"/>
      <c r="Y438" s="378"/>
      <c r="Z438" s="378"/>
      <c r="AA438" s="378"/>
      <c r="AB438" s="378"/>
      <c r="AC438" s="378"/>
      <c r="AD438" s="378"/>
      <c r="AE438" s="378"/>
      <c r="AF438" s="378"/>
    </row>
    <row r="439" spans="2:32">
      <c r="B439" s="378"/>
      <c r="C439" s="378"/>
      <c r="D439" s="378"/>
      <c r="F439" s="378"/>
      <c r="G439" s="378"/>
      <c r="H439" s="378"/>
      <c r="I439" s="378"/>
      <c r="J439" s="378"/>
      <c r="K439" s="378"/>
      <c r="L439" s="378"/>
      <c r="M439" s="378"/>
      <c r="N439" s="378"/>
      <c r="O439" s="378"/>
      <c r="P439" s="378"/>
      <c r="Q439" s="378"/>
      <c r="R439" s="378"/>
      <c r="S439" s="378"/>
      <c r="T439" s="378"/>
      <c r="U439" s="378"/>
      <c r="V439" s="378"/>
      <c r="W439" s="378"/>
      <c r="X439" s="378"/>
      <c r="Y439" s="378"/>
      <c r="Z439" s="378"/>
      <c r="AA439" s="378"/>
      <c r="AB439" s="378"/>
      <c r="AC439" s="378"/>
      <c r="AD439" s="378"/>
      <c r="AE439" s="378"/>
      <c r="AF439" s="378"/>
    </row>
    <row r="440" spans="2:32">
      <c r="B440" s="378"/>
      <c r="C440" s="378"/>
      <c r="D440" s="378"/>
      <c r="F440" s="378"/>
      <c r="G440" s="378"/>
      <c r="H440" s="378"/>
      <c r="I440" s="378"/>
      <c r="J440" s="378"/>
      <c r="K440" s="378"/>
      <c r="L440" s="378"/>
      <c r="M440" s="378"/>
      <c r="N440" s="378"/>
      <c r="O440" s="378"/>
      <c r="P440" s="378"/>
      <c r="Q440" s="378"/>
      <c r="R440" s="378"/>
      <c r="S440" s="378"/>
      <c r="T440" s="378"/>
      <c r="U440" s="378"/>
      <c r="V440" s="378"/>
      <c r="W440" s="378"/>
      <c r="X440" s="378"/>
      <c r="Y440" s="378"/>
      <c r="Z440" s="378"/>
      <c r="AA440" s="378"/>
      <c r="AB440" s="378"/>
      <c r="AC440" s="378"/>
      <c r="AD440" s="378"/>
      <c r="AE440" s="378"/>
      <c r="AF440" s="378"/>
    </row>
    <row r="441" spans="2:32">
      <c r="B441" s="378"/>
      <c r="C441" s="378"/>
      <c r="D441" s="378"/>
      <c r="F441" s="378"/>
      <c r="G441" s="378"/>
      <c r="H441" s="378"/>
      <c r="I441" s="378"/>
      <c r="J441" s="378"/>
      <c r="K441" s="378"/>
      <c r="L441" s="378"/>
      <c r="M441" s="378"/>
      <c r="N441" s="378"/>
      <c r="O441" s="378"/>
      <c r="P441" s="378"/>
      <c r="Q441" s="378"/>
      <c r="R441" s="378"/>
      <c r="S441" s="378"/>
      <c r="T441" s="378"/>
      <c r="U441" s="378"/>
      <c r="V441" s="378"/>
      <c r="W441" s="378"/>
      <c r="X441" s="378"/>
      <c r="Y441" s="378"/>
      <c r="Z441" s="378"/>
      <c r="AA441" s="378"/>
      <c r="AB441" s="378"/>
      <c r="AC441" s="378"/>
      <c r="AD441" s="378"/>
      <c r="AE441" s="378"/>
      <c r="AF441" s="378"/>
    </row>
    <row r="442" spans="2:32">
      <c r="B442" s="378"/>
      <c r="C442" s="378"/>
      <c r="D442" s="378"/>
      <c r="F442" s="378"/>
      <c r="G442" s="378"/>
      <c r="H442" s="378"/>
      <c r="I442" s="378"/>
      <c r="J442" s="378"/>
      <c r="K442" s="378"/>
      <c r="L442" s="378"/>
      <c r="M442" s="378"/>
      <c r="N442" s="378"/>
      <c r="O442" s="378"/>
      <c r="P442" s="378"/>
      <c r="Q442" s="378"/>
      <c r="R442" s="378"/>
      <c r="S442" s="378"/>
      <c r="T442" s="378"/>
      <c r="U442" s="378"/>
      <c r="V442" s="378"/>
      <c r="W442" s="378"/>
      <c r="X442" s="378"/>
      <c r="Y442" s="378"/>
      <c r="Z442" s="378"/>
      <c r="AA442" s="378"/>
      <c r="AB442" s="378"/>
      <c r="AC442" s="378"/>
      <c r="AD442" s="378"/>
      <c r="AE442" s="378"/>
      <c r="AF442" s="378"/>
    </row>
    <row r="443" spans="2:32">
      <c r="B443" s="378"/>
      <c r="C443" s="378"/>
      <c r="D443" s="378"/>
      <c r="F443" s="378"/>
      <c r="G443" s="378"/>
      <c r="H443" s="378"/>
      <c r="I443" s="378"/>
      <c r="J443" s="378"/>
      <c r="K443" s="378"/>
      <c r="L443" s="378"/>
      <c r="M443" s="378"/>
      <c r="N443" s="378"/>
      <c r="O443" s="378"/>
      <c r="P443" s="378"/>
      <c r="Q443" s="378"/>
      <c r="R443" s="378"/>
      <c r="S443" s="378"/>
      <c r="T443" s="378"/>
      <c r="U443" s="378"/>
      <c r="V443" s="378"/>
      <c r="W443" s="378"/>
      <c r="X443" s="378"/>
      <c r="Y443" s="378"/>
      <c r="Z443" s="378"/>
      <c r="AA443" s="378"/>
      <c r="AB443" s="378"/>
      <c r="AC443" s="378"/>
      <c r="AD443" s="378"/>
      <c r="AE443" s="378"/>
      <c r="AF443" s="378"/>
    </row>
    <row r="444" spans="2:32">
      <c r="B444" s="378"/>
      <c r="C444" s="378"/>
      <c r="D444" s="378"/>
      <c r="F444" s="378"/>
      <c r="G444" s="378"/>
      <c r="H444" s="378"/>
      <c r="I444" s="378"/>
      <c r="J444" s="378"/>
      <c r="K444" s="378"/>
      <c r="L444" s="378"/>
      <c r="M444" s="378"/>
      <c r="N444" s="378"/>
      <c r="O444" s="378"/>
      <c r="P444" s="378"/>
      <c r="Q444" s="378"/>
      <c r="R444" s="378"/>
      <c r="S444" s="378"/>
      <c r="T444" s="378"/>
      <c r="U444" s="378"/>
      <c r="V444" s="378"/>
      <c r="W444" s="378"/>
      <c r="X444" s="378"/>
      <c r="Y444" s="378"/>
      <c r="Z444" s="378"/>
      <c r="AA444" s="378"/>
      <c r="AB444" s="378"/>
      <c r="AC444" s="378"/>
      <c r="AD444" s="378"/>
      <c r="AE444" s="378"/>
      <c r="AF444" s="378"/>
    </row>
    <row r="445" spans="2:32">
      <c r="B445" s="378"/>
      <c r="C445" s="378"/>
      <c r="D445" s="378"/>
      <c r="F445" s="378"/>
      <c r="G445" s="378"/>
      <c r="H445" s="378"/>
      <c r="I445" s="378"/>
      <c r="J445" s="378"/>
      <c r="K445" s="378"/>
      <c r="L445" s="378"/>
      <c r="M445" s="378"/>
      <c r="N445" s="378"/>
      <c r="O445" s="378"/>
      <c r="P445" s="378"/>
      <c r="Q445" s="378"/>
      <c r="R445" s="378"/>
      <c r="S445" s="378"/>
      <c r="T445" s="378"/>
      <c r="U445" s="378"/>
      <c r="V445" s="378"/>
      <c r="W445" s="378"/>
      <c r="X445" s="378"/>
      <c r="Y445" s="378"/>
      <c r="Z445" s="378"/>
      <c r="AA445" s="378"/>
      <c r="AB445" s="378"/>
      <c r="AC445" s="378"/>
      <c r="AD445" s="378"/>
      <c r="AE445" s="378"/>
      <c r="AF445" s="378"/>
    </row>
    <row r="446" spans="2:32">
      <c r="B446" s="378"/>
      <c r="C446" s="378"/>
      <c r="D446" s="378"/>
      <c r="F446" s="378"/>
      <c r="G446" s="378"/>
      <c r="H446" s="378"/>
      <c r="I446" s="378"/>
      <c r="J446" s="378"/>
      <c r="K446" s="378"/>
      <c r="L446" s="378"/>
      <c r="M446" s="378"/>
      <c r="N446" s="378"/>
      <c r="O446" s="378"/>
      <c r="P446" s="378"/>
      <c r="Q446" s="378"/>
      <c r="R446" s="378"/>
      <c r="S446" s="378"/>
      <c r="T446" s="378"/>
      <c r="U446" s="378"/>
      <c r="V446" s="378"/>
      <c r="W446" s="378"/>
      <c r="X446" s="378"/>
      <c r="Y446" s="378"/>
      <c r="Z446" s="378"/>
      <c r="AA446" s="378"/>
      <c r="AB446" s="378"/>
      <c r="AC446" s="378"/>
      <c r="AD446" s="378"/>
      <c r="AE446" s="378"/>
      <c r="AF446" s="378"/>
    </row>
    <row r="447" spans="2:32">
      <c r="B447" s="378"/>
      <c r="C447" s="378"/>
      <c r="D447" s="378"/>
      <c r="F447" s="378"/>
      <c r="G447" s="378"/>
      <c r="H447" s="378"/>
      <c r="I447" s="378"/>
      <c r="J447" s="378"/>
      <c r="K447" s="378"/>
      <c r="L447" s="378"/>
      <c r="M447" s="378"/>
      <c r="N447" s="378"/>
      <c r="O447" s="378"/>
      <c r="P447" s="378"/>
      <c r="Q447" s="378"/>
      <c r="R447" s="378"/>
      <c r="S447" s="378"/>
      <c r="T447" s="378"/>
      <c r="U447" s="378"/>
      <c r="V447" s="378"/>
      <c r="W447" s="378"/>
      <c r="X447" s="378"/>
      <c r="Y447" s="378"/>
      <c r="Z447" s="378"/>
      <c r="AA447" s="378"/>
      <c r="AB447" s="378"/>
      <c r="AC447" s="378"/>
      <c r="AD447" s="378"/>
      <c r="AE447" s="378"/>
      <c r="AF447" s="378"/>
    </row>
    <row r="448" spans="2:32">
      <c r="B448" s="378"/>
      <c r="C448" s="378"/>
      <c r="D448" s="378"/>
      <c r="F448" s="378"/>
      <c r="G448" s="378"/>
      <c r="H448" s="378"/>
      <c r="I448" s="378"/>
      <c r="J448" s="378"/>
      <c r="K448" s="378"/>
      <c r="L448" s="378"/>
      <c r="M448" s="378"/>
      <c r="N448" s="378"/>
      <c r="O448" s="378"/>
      <c r="P448" s="378"/>
      <c r="Q448" s="378"/>
      <c r="R448" s="378"/>
      <c r="S448" s="378"/>
      <c r="T448" s="378"/>
      <c r="U448" s="378"/>
      <c r="V448" s="378"/>
      <c r="W448" s="378"/>
      <c r="X448" s="378"/>
      <c r="Y448" s="378"/>
      <c r="Z448" s="378"/>
      <c r="AA448" s="378"/>
      <c r="AB448" s="378"/>
      <c r="AC448" s="378"/>
      <c r="AD448" s="378"/>
      <c r="AE448" s="378"/>
      <c r="AF448" s="378"/>
    </row>
    <row r="449" spans="2:32">
      <c r="B449" s="378"/>
      <c r="C449" s="378"/>
      <c r="D449" s="378"/>
      <c r="F449" s="378"/>
      <c r="G449" s="378"/>
      <c r="H449" s="378"/>
      <c r="I449" s="378"/>
      <c r="J449" s="378"/>
      <c r="K449" s="378"/>
      <c r="L449" s="378"/>
      <c r="M449" s="378"/>
      <c r="N449" s="378"/>
      <c r="O449" s="378"/>
      <c r="P449" s="378"/>
      <c r="Q449" s="378"/>
      <c r="R449" s="378"/>
      <c r="S449" s="378"/>
      <c r="T449" s="378"/>
      <c r="U449" s="378"/>
      <c r="V449" s="378"/>
      <c r="W449" s="378"/>
      <c r="X449" s="378"/>
      <c r="Y449" s="378"/>
      <c r="Z449" s="378"/>
      <c r="AA449" s="378"/>
      <c r="AB449" s="378"/>
      <c r="AC449" s="378"/>
      <c r="AD449" s="378"/>
      <c r="AE449" s="378"/>
      <c r="AF449" s="378"/>
    </row>
    <row r="450" spans="2:32">
      <c r="B450" s="378"/>
      <c r="C450" s="378"/>
      <c r="D450" s="378"/>
      <c r="F450" s="378"/>
      <c r="G450" s="378"/>
      <c r="H450" s="378"/>
      <c r="I450" s="378"/>
      <c r="J450" s="378"/>
      <c r="K450" s="378"/>
      <c r="L450" s="378"/>
      <c r="M450" s="378"/>
      <c r="N450" s="378"/>
      <c r="O450" s="378"/>
      <c r="P450" s="378"/>
      <c r="Q450" s="378"/>
      <c r="R450" s="378"/>
      <c r="S450" s="378"/>
      <c r="T450" s="378"/>
      <c r="U450" s="378"/>
      <c r="V450" s="378"/>
      <c r="W450" s="378"/>
      <c r="X450" s="378"/>
      <c r="Y450" s="378"/>
      <c r="Z450" s="378"/>
      <c r="AA450" s="378"/>
      <c r="AB450" s="378"/>
      <c r="AC450" s="378"/>
      <c r="AD450" s="378"/>
      <c r="AE450" s="378"/>
      <c r="AF450" s="378"/>
    </row>
    <row r="451" spans="2:32">
      <c r="B451" s="378"/>
      <c r="C451" s="378"/>
      <c r="D451" s="378"/>
      <c r="F451" s="378"/>
      <c r="G451" s="378"/>
      <c r="H451" s="378"/>
      <c r="I451" s="378"/>
      <c r="J451" s="378"/>
      <c r="K451" s="378"/>
      <c r="L451" s="378"/>
      <c r="M451" s="378"/>
      <c r="N451" s="378"/>
      <c r="O451" s="378"/>
      <c r="P451" s="378"/>
      <c r="Q451" s="378"/>
      <c r="R451" s="378"/>
      <c r="S451" s="378"/>
      <c r="T451" s="378"/>
      <c r="U451" s="378"/>
      <c r="V451" s="378"/>
      <c r="W451" s="378"/>
      <c r="X451" s="378"/>
      <c r="Y451" s="378"/>
      <c r="Z451" s="378"/>
      <c r="AA451" s="378"/>
      <c r="AB451" s="378"/>
      <c r="AC451" s="378"/>
      <c r="AD451" s="378"/>
      <c r="AE451" s="378"/>
      <c r="AF451" s="378"/>
    </row>
    <row r="452" spans="2:32">
      <c r="B452" s="378"/>
      <c r="C452" s="378"/>
      <c r="D452" s="378"/>
      <c r="F452" s="378"/>
      <c r="G452" s="378"/>
      <c r="H452" s="378"/>
      <c r="I452" s="378"/>
      <c r="J452" s="378"/>
      <c r="K452" s="378"/>
      <c r="L452" s="378"/>
      <c r="M452" s="378"/>
      <c r="N452" s="378"/>
      <c r="O452" s="378"/>
      <c r="P452" s="378"/>
      <c r="Q452" s="378"/>
      <c r="R452" s="378"/>
      <c r="S452" s="378"/>
      <c r="T452" s="378"/>
      <c r="U452" s="378"/>
      <c r="V452" s="378"/>
      <c r="W452" s="378"/>
      <c r="X452" s="378"/>
      <c r="Y452" s="378"/>
      <c r="Z452" s="378"/>
      <c r="AA452" s="378"/>
      <c r="AB452" s="378"/>
      <c r="AC452" s="378"/>
      <c r="AD452" s="378"/>
      <c r="AE452" s="378"/>
      <c r="AF452" s="378"/>
    </row>
    <row r="453" spans="2:32">
      <c r="B453" s="378"/>
      <c r="C453" s="378"/>
      <c r="D453" s="378"/>
      <c r="F453" s="378"/>
      <c r="G453" s="378"/>
      <c r="H453" s="378"/>
      <c r="I453" s="378"/>
      <c r="J453" s="378"/>
      <c r="K453" s="378"/>
      <c r="L453" s="378"/>
      <c r="M453" s="378"/>
      <c r="N453" s="378"/>
      <c r="O453" s="378"/>
      <c r="P453" s="378"/>
      <c r="Q453" s="378"/>
      <c r="R453" s="378"/>
      <c r="S453" s="378"/>
      <c r="T453" s="378"/>
      <c r="U453" s="378"/>
      <c r="V453" s="378"/>
      <c r="W453" s="378"/>
      <c r="X453" s="378"/>
      <c r="Y453" s="378"/>
      <c r="Z453" s="378"/>
      <c r="AA453" s="378"/>
      <c r="AB453" s="378"/>
      <c r="AC453" s="378"/>
      <c r="AD453" s="378"/>
      <c r="AE453" s="378"/>
      <c r="AF453" s="378"/>
    </row>
    <row r="454" spans="2:32">
      <c r="B454" s="378"/>
      <c r="C454" s="378"/>
      <c r="D454" s="378"/>
      <c r="F454" s="378"/>
      <c r="G454" s="378"/>
      <c r="H454" s="378"/>
      <c r="I454" s="378"/>
      <c r="J454" s="378"/>
      <c r="K454" s="378"/>
      <c r="L454" s="378"/>
      <c r="M454" s="378"/>
      <c r="N454" s="378"/>
      <c r="O454" s="378"/>
      <c r="P454" s="378"/>
      <c r="Q454" s="378"/>
      <c r="R454" s="378"/>
      <c r="S454" s="378"/>
      <c r="T454" s="378"/>
      <c r="U454" s="378"/>
      <c r="V454" s="378"/>
      <c r="W454" s="378"/>
      <c r="X454" s="378"/>
      <c r="Y454" s="378"/>
      <c r="Z454" s="378"/>
      <c r="AA454" s="378"/>
      <c r="AB454" s="378"/>
      <c r="AC454" s="378"/>
      <c r="AD454" s="378"/>
      <c r="AE454" s="378"/>
      <c r="AF454" s="378"/>
    </row>
    <row r="455" spans="2:32">
      <c r="B455" s="378"/>
      <c r="C455" s="378"/>
      <c r="D455" s="378"/>
      <c r="F455" s="378"/>
      <c r="G455" s="378"/>
      <c r="H455" s="378"/>
      <c r="I455" s="378"/>
      <c r="J455" s="378"/>
      <c r="K455" s="378"/>
      <c r="L455" s="378"/>
      <c r="M455" s="378"/>
      <c r="N455" s="378"/>
      <c r="O455" s="378"/>
      <c r="P455" s="378"/>
      <c r="Q455" s="378"/>
      <c r="R455" s="378"/>
      <c r="S455" s="378"/>
      <c r="T455" s="378"/>
      <c r="U455" s="378"/>
      <c r="V455" s="378"/>
      <c r="W455" s="378"/>
      <c r="X455" s="378"/>
      <c r="Y455" s="378"/>
      <c r="Z455" s="378"/>
      <c r="AA455" s="378"/>
      <c r="AB455" s="378"/>
      <c r="AC455" s="378"/>
      <c r="AD455" s="378"/>
      <c r="AE455" s="378"/>
      <c r="AF455" s="378"/>
    </row>
    <row r="456" spans="2:32">
      <c r="B456" s="378"/>
      <c r="C456" s="378"/>
      <c r="D456" s="378"/>
      <c r="F456" s="378"/>
      <c r="G456" s="378"/>
      <c r="H456" s="378"/>
      <c r="I456" s="378"/>
      <c r="J456" s="378"/>
      <c r="K456" s="378"/>
      <c r="L456" s="378"/>
      <c r="M456" s="378"/>
      <c r="N456" s="378"/>
      <c r="O456" s="378"/>
      <c r="P456" s="378"/>
      <c r="Q456" s="378"/>
      <c r="R456" s="378"/>
      <c r="S456" s="378"/>
      <c r="T456" s="378"/>
      <c r="U456" s="378"/>
      <c r="V456" s="378"/>
      <c r="W456" s="378"/>
      <c r="X456" s="378"/>
      <c r="Y456" s="378"/>
      <c r="Z456" s="378"/>
      <c r="AA456" s="378"/>
      <c r="AB456" s="378"/>
      <c r="AC456" s="378"/>
      <c r="AD456" s="378"/>
      <c r="AE456" s="378"/>
      <c r="AF456" s="378"/>
    </row>
    <row r="457" spans="2:32">
      <c r="B457" s="378"/>
      <c r="C457" s="378"/>
      <c r="D457" s="378"/>
      <c r="F457" s="378"/>
      <c r="G457" s="378"/>
      <c r="H457" s="378"/>
      <c r="I457" s="378"/>
      <c r="J457" s="378"/>
      <c r="K457" s="378"/>
      <c r="L457" s="378"/>
      <c r="M457" s="378"/>
      <c r="N457" s="378"/>
      <c r="O457" s="378"/>
      <c r="P457" s="378"/>
      <c r="Q457" s="378"/>
      <c r="R457" s="378"/>
      <c r="S457" s="378"/>
      <c r="T457" s="378"/>
      <c r="U457" s="378"/>
      <c r="V457" s="378"/>
      <c r="W457" s="378"/>
      <c r="X457" s="378"/>
      <c r="Y457" s="378"/>
      <c r="Z457" s="378"/>
      <c r="AA457" s="378"/>
      <c r="AB457" s="378"/>
      <c r="AC457" s="378"/>
      <c r="AD457" s="378"/>
      <c r="AE457" s="378"/>
      <c r="AF457" s="378"/>
    </row>
    <row r="458" spans="2:32">
      <c r="B458" s="378"/>
      <c r="C458" s="378"/>
      <c r="D458" s="378"/>
      <c r="F458" s="378"/>
      <c r="G458" s="378"/>
      <c r="H458" s="378"/>
      <c r="I458" s="378"/>
      <c r="J458" s="378"/>
      <c r="K458" s="378"/>
      <c r="L458" s="378"/>
      <c r="M458" s="378"/>
      <c r="N458" s="378"/>
      <c r="O458" s="378"/>
      <c r="P458" s="378"/>
      <c r="Q458" s="378"/>
      <c r="R458" s="378"/>
      <c r="S458" s="378"/>
      <c r="T458" s="378"/>
      <c r="U458" s="378"/>
      <c r="V458" s="378"/>
      <c r="W458" s="378"/>
      <c r="X458" s="378"/>
      <c r="Y458" s="378"/>
      <c r="Z458" s="378"/>
      <c r="AA458" s="378"/>
      <c r="AB458" s="378"/>
      <c r="AC458" s="378"/>
      <c r="AD458" s="378"/>
      <c r="AE458" s="378"/>
      <c r="AF458" s="378"/>
    </row>
    <row r="459" spans="2:32">
      <c r="B459" s="378"/>
      <c r="C459" s="378"/>
      <c r="D459" s="378"/>
      <c r="F459" s="378"/>
      <c r="G459" s="378"/>
      <c r="H459" s="378"/>
      <c r="I459" s="378"/>
      <c r="J459" s="378"/>
      <c r="K459" s="378"/>
      <c r="L459" s="378"/>
      <c r="M459" s="378"/>
      <c r="N459" s="378"/>
      <c r="O459" s="378"/>
      <c r="P459" s="378"/>
      <c r="Q459" s="378"/>
      <c r="R459" s="378"/>
      <c r="S459" s="378"/>
      <c r="T459" s="378"/>
      <c r="U459" s="378"/>
      <c r="V459" s="378"/>
      <c r="W459" s="378"/>
      <c r="X459" s="378"/>
      <c r="Y459" s="378"/>
      <c r="Z459" s="378"/>
      <c r="AA459" s="378"/>
      <c r="AB459" s="378"/>
      <c r="AC459" s="378"/>
      <c r="AD459" s="378"/>
      <c r="AE459" s="378"/>
      <c r="AF459" s="378"/>
    </row>
    <row r="460" spans="2:32">
      <c r="B460" s="378"/>
      <c r="C460" s="378"/>
      <c r="D460" s="378"/>
      <c r="F460" s="378"/>
      <c r="G460" s="378"/>
      <c r="H460" s="378"/>
      <c r="I460" s="378"/>
      <c r="J460" s="378"/>
      <c r="K460" s="378"/>
      <c r="L460" s="378"/>
      <c r="M460" s="378"/>
      <c r="N460" s="378"/>
      <c r="O460" s="378"/>
      <c r="P460" s="378"/>
      <c r="Q460" s="378"/>
      <c r="R460" s="378"/>
      <c r="S460" s="378"/>
      <c r="T460" s="378"/>
      <c r="U460" s="378"/>
      <c r="V460" s="378"/>
      <c r="W460" s="378"/>
      <c r="X460" s="378"/>
      <c r="Y460" s="378"/>
      <c r="Z460" s="378"/>
      <c r="AA460" s="378"/>
      <c r="AB460" s="378"/>
      <c r="AC460" s="378"/>
      <c r="AD460" s="378"/>
      <c r="AE460" s="378"/>
      <c r="AF460" s="378"/>
    </row>
    <row r="461" spans="2:32">
      <c r="B461" s="378"/>
      <c r="C461" s="378"/>
      <c r="D461" s="378"/>
      <c r="F461" s="378"/>
      <c r="G461" s="378"/>
      <c r="H461" s="378"/>
      <c r="I461" s="378"/>
      <c r="J461" s="378"/>
      <c r="K461" s="378"/>
      <c r="L461" s="378"/>
      <c r="M461" s="378"/>
      <c r="N461" s="378"/>
      <c r="O461" s="378"/>
      <c r="P461" s="378"/>
      <c r="Q461" s="378"/>
      <c r="R461" s="378"/>
      <c r="S461" s="378"/>
      <c r="T461" s="378"/>
      <c r="U461" s="378"/>
      <c r="V461" s="378"/>
      <c r="W461" s="378"/>
      <c r="X461" s="378"/>
      <c r="Y461" s="378"/>
      <c r="Z461" s="378"/>
      <c r="AA461" s="378"/>
      <c r="AB461" s="378"/>
      <c r="AC461" s="378"/>
      <c r="AD461" s="378"/>
      <c r="AE461" s="378"/>
      <c r="AF461" s="378"/>
    </row>
    <row r="462" spans="2:32">
      <c r="B462" s="378"/>
      <c r="C462" s="378"/>
      <c r="D462" s="378"/>
      <c r="F462" s="378"/>
      <c r="G462" s="378"/>
      <c r="H462" s="378"/>
      <c r="I462" s="378"/>
      <c r="J462" s="378"/>
      <c r="K462" s="378"/>
      <c r="L462" s="378"/>
      <c r="M462" s="378"/>
      <c r="N462" s="378"/>
      <c r="O462" s="378"/>
      <c r="P462" s="378"/>
      <c r="Q462" s="378"/>
      <c r="R462" s="378"/>
      <c r="S462" s="378"/>
      <c r="T462" s="378"/>
      <c r="U462" s="378"/>
      <c r="V462" s="378"/>
      <c r="W462" s="378"/>
      <c r="X462" s="378"/>
      <c r="Y462" s="378"/>
      <c r="Z462" s="378"/>
      <c r="AA462" s="378"/>
      <c r="AB462" s="378"/>
      <c r="AC462" s="378"/>
      <c r="AD462" s="378"/>
      <c r="AE462" s="378"/>
      <c r="AF462" s="378"/>
    </row>
    <row r="463" spans="2:32">
      <c r="B463" s="378"/>
      <c r="C463" s="378"/>
      <c r="D463" s="378"/>
      <c r="F463" s="378"/>
      <c r="G463" s="378"/>
      <c r="H463" s="378"/>
      <c r="I463" s="378"/>
      <c r="J463" s="378"/>
      <c r="K463" s="378"/>
      <c r="L463" s="378"/>
      <c r="M463" s="378"/>
      <c r="N463" s="378"/>
      <c r="O463" s="378"/>
      <c r="P463" s="378"/>
      <c r="Q463" s="378"/>
      <c r="R463" s="378"/>
      <c r="S463" s="378"/>
      <c r="T463" s="378"/>
      <c r="U463" s="378"/>
      <c r="V463" s="378"/>
      <c r="W463" s="378"/>
      <c r="X463" s="378"/>
      <c r="Y463" s="378"/>
      <c r="Z463" s="378"/>
      <c r="AA463" s="378"/>
      <c r="AB463" s="378"/>
      <c r="AC463" s="378"/>
      <c r="AD463" s="378"/>
      <c r="AE463" s="378"/>
      <c r="AF463" s="378"/>
    </row>
    <row r="464" spans="2:32">
      <c r="B464" s="378"/>
      <c r="C464" s="378"/>
      <c r="D464" s="378"/>
      <c r="F464" s="378"/>
      <c r="G464" s="378"/>
      <c r="H464" s="378"/>
      <c r="I464" s="378"/>
      <c r="J464" s="378"/>
      <c r="K464" s="378"/>
      <c r="L464" s="378"/>
      <c r="M464" s="378"/>
      <c r="N464" s="378"/>
      <c r="O464" s="378"/>
      <c r="P464" s="378"/>
      <c r="Q464" s="378"/>
      <c r="R464" s="378"/>
      <c r="S464" s="378"/>
      <c r="T464" s="378"/>
      <c r="U464" s="378"/>
      <c r="V464" s="378"/>
      <c r="W464" s="378"/>
      <c r="X464" s="378"/>
      <c r="Y464" s="378"/>
      <c r="Z464" s="378"/>
      <c r="AA464" s="378"/>
      <c r="AB464" s="378"/>
      <c r="AC464" s="378"/>
      <c r="AD464" s="378"/>
      <c r="AE464" s="378"/>
      <c r="AF464" s="378"/>
    </row>
    <row r="465" spans="2:32">
      <c r="B465" s="378"/>
      <c r="C465" s="378"/>
      <c r="D465" s="378"/>
      <c r="F465" s="378"/>
      <c r="G465" s="378"/>
      <c r="H465" s="378"/>
      <c r="I465" s="378"/>
      <c r="J465" s="378"/>
      <c r="K465" s="378"/>
      <c r="L465" s="378"/>
      <c r="M465" s="378"/>
      <c r="N465" s="378"/>
      <c r="O465" s="378"/>
      <c r="P465" s="378"/>
      <c r="Q465" s="378"/>
      <c r="R465" s="378"/>
      <c r="S465" s="378"/>
      <c r="T465" s="378"/>
      <c r="U465" s="378"/>
      <c r="V465" s="378"/>
      <c r="W465" s="378"/>
      <c r="X465" s="378"/>
      <c r="Y465" s="378"/>
      <c r="Z465" s="378"/>
      <c r="AA465" s="378"/>
      <c r="AB465" s="378"/>
      <c r="AC465" s="378"/>
      <c r="AD465" s="378"/>
      <c r="AE465" s="378"/>
      <c r="AF465" s="378"/>
    </row>
    <row r="466" spans="2:32">
      <c r="B466" s="378"/>
      <c r="C466" s="378"/>
      <c r="D466" s="378"/>
      <c r="F466" s="378"/>
      <c r="G466" s="378"/>
      <c r="H466" s="378"/>
      <c r="I466" s="378"/>
      <c r="J466" s="378"/>
      <c r="K466" s="378"/>
      <c r="L466" s="378"/>
      <c r="M466" s="378"/>
      <c r="N466" s="378"/>
      <c r="O466" s="378"/>
      <c r="P466" s="378"/>
      <c r="Q466" s="378"/>
      <c r="R466" s="378"/>
      <c r="S466" s="378"/>
      <c r="T466" s="378"/>
      <c r="U466" s="378"/>
      <c r="V466" s="378"/>
      <c r="W466" s="378"/>
      <c r="X466" s="378"/>
      <c r="Y466" s="378"/>
      <c r="Z466" s="378"/>
      <c r="AA466" s="378"/>
      <c r="AB466" s="378"/>
      <c r="AC466" s="378"/>
      <c r="AD466" s="378"/>
      <c r="AE466" s="378"/>
      <c r="AF466" s="378"/>
    </row>
    <row r="467" spans="2:32">
      <c r="B467" s="378"/>
      <c r="C467" s="378"/>
      <c r="D467" s="378"/>
      <c r="F467" s="378"/>
      <c r="G467" s="378"/>
      <c r="H467" s="378"/>
      <c r="I467" s="378"/>
      <c r="J467" s="378"/>
      <c r="K467" s="378"/>
      <c r="L467" s="378"/>
      <c r="M467" s="378"/>
      <c r="N467" s="378"/>
      <c r="O467" s="378"/>
      <c r="P467" s="378"/>
      <c r="Q467" s="378"/>
      <c r="R467" s="378"/>
      <c r="S467" s="378"/>
      <c r="T467" s="378"/>
      <c r="U467" s="378"/>
      <c r="V467" s="378"/>
      <c r="W467" s="378"/>
      <c r="X467" s="378"/>
      <c r="Y467" s="378"/>
      <c r="Z467" s="378"/>
      <c r="AA467" s="378"/>
      <c r="AB467" s="378"/>
      <c r="AC467" s="378"/>
      <c r="AD467" s="378"/>
      <c r="AE467" s="378"/>
      <c r="AF467" s="378"/>
    </row>
    <row r="468" spans="2:32">
      <c r="B468" s="378"/>
      <c r="C468" s="378"/>
      <c r="D468" s="378"/>
      <c r="F468" s="378"/>
      <c r="G468" s="378"/>
      <c r="H468" s="378"/>
      <c r="I468" s="378"/>
      <c r="J468" s="378"/>
      <c r="K468" s="378"/>
      <c r="L468" s="378"/>
      <c r="M468" s="378"/>
      <c r="N468" s="378"/>
      <c r="O468" s="378"/>
      <c r="P468" s="378"/>
      <c r="Q468" s="378"/>
      <c r="R468" s="378"/>
      <c r="S468" s="378"/>
      <c r="T468" s="378"/>
      <c r="U468" s="378"/>
      <c r="V468" s="378"/>
      <c r="W468" s="378"/>
      <c r="X468" s="378"/>
      <c r="Y468" s="378"/>
      <c r="Z468" s="378"/>
      <c r="AA468" s="378"/>
      <c r="AB468" s="378"/>
      <c r="AC468" s="378"/>
      <c r="AD468" s="378"/>
      <c r="AE468" s="378"/>
      <c r="AF468" s="378"/>
    </row>
    <row r="469" spans="2:32">
      <c r="B469" s="378"/>
      <c r="C469" s="378"/>
      <c r="D469" s="378"/>
      <c r="F469" s="378"/>
      <c r="G469" s="378"/>
      <c r="H469" s="378"/>
      <c r="I469" s="378"/>
      <c r="J469" s="378"/>
      <c r="K469" s="378"/>
      <c r="L469" s="378"/>
      <c r="M469" s="378"/>
      <c r="N469" s="378"/>
      <c r="O469" s="378"/>
      <c r="P469" s="378"/>
      <c r="Q469" s="378"/>
      <c r="R469" s="378"/>
      <c r="S469" s="378"/>
      <c r="T469" s="378"/>
      <c r="U469" s="378"/>
      <c r="V469" s="378"/>
      <c r="W469" s="378"/>
      <c r="X469" s="378"/>
      <c r="Y469" s="378"/>
      <c r="Z469" s="378"/>
      <c r="AA469" s="378"/>
      <c r="AB469" s="378"/>
      <c r="AC469" s="378"/>
      <c r="AD469" s="378"/>
      <c r="AE469" s="378"/>
      <c r="AF469" s="378"/>
    </row>
    <row r="470" spans="2:32">
      <c r="B470" s="378"/>
      <c r="C470" s="378"/>
      <c r="D470" s="378"/>
      <c r="F470" s="378"/>
      <c r="G470" s="378"/>
      <c r="H470" s="378"/>
      <c r="I470" s="378"/>
      <c r="J470" s="378"/>
      <c r="K470" s="378"/>
      <c r="L470" s="378"/>
      <c r="M470" s="378"/>
      <c r="N470" s="378"/>
      <c r="O470" s="378"/>
      <c r="P470" s="378"/>
      <c r="Q470" s="378"/>
      <c r="R470" s="378"/>
      <c r="S470" s="378"/>
      <c r="T470" s="378"/>
      <c r="U470" s="378"/>
      <c r="V470" s="378"/>
      <c r="W470" s="378"/>
      <c r="X470" s="378"/>
      <c r="Y470" s="378"/>
      <c r="Z470" s="378"/>
      <c r="AA470" s="378"/>
      <c r="AB470" s="378"/>
      <c r="AC470" s="378"/>
      <c r="AD470" s="378"/>
      <c r="AE470" s="378"/>
      <c r="AF470" s="378"/>
    </row>
    <row r="471" spans="2:32">
      <c r="B471" s="378"/>
      <c r="C471" s="378"/>
      <c r="D471" s="378"/>
      <c r="F471" s="378"/>
      <c r="G471" s="378"/>
      <c r="H471" s="378"/>
      <c r="I471" s="378"/>
      <c r="J471" s="378"/>
      <c r="K471" s="378"/>
      <c r="L471" s="378"/>
      <c r="M471" s="378"/>
      <c r="N471" s="378"/>
      <c r="O471" s="378"/>
      <c r="P471" s="378"/>
      <c r="Q471" s="378"/>
      <c r="R471" s="378"/>
      <c r="S471" s="378"/>
      <c r="T471" s="378"/>
      <c r="U471" s="378"/>
      <c r="V471" s="378"/>
      <c r="W471" s="378"/>
      <c r="X471" s="378"/>
      <c r="Y471" s="378"/>
      <c r="Z471" s="378"/>
      <c r="AA471" s="378"/>
      <c r="AB471" s="378"/>
      <c r="AC471" s="378"/>
      <c r="AD471" s="378"/>
      <c r="AE471" s="378"/>
      <c r="AF471" s="378"/>
    </row>
    <row r="472" spans="2:32">
      <c r="B472" s="378"/>
      <c r="C472" s="378"/>
      <c r="D472" s="378"/>
      <c r="F472" s="378"/>
      <c r="G472" s="378"/>
      <c r="H472" s="378"/>
      <c r="I472" s="378"/>
      <c r="J472" s="378"/>
      <c r="K472" s="378"/>
      <c r="L472" s="378"/>
      <c r="M472" s="378"/>
      <c r="N472" s="378"/>
      <c r="O472" s="378"/>
      <c r="P472" s="378"/>
      <c r="Q472" s="378"/>
      <c r="R472" s="378"/>
      <c r="S472" s="378"/>
      <c r="T472" s="378"/>
      <c r="U472" s="378"/>
      <c r="V472" s="378"/>
      <c r="W472" s="378"/>
      <c r="X472" s="378"/>
      <c r="Y472" s="378"/>
      <c r="Z472" s="378"/>
      <c r="AA472" s="378"/>
      <c r="AB472" s="378"/>
      <c r="AC472" s="378"/>
      <c r="AD472" s="378"/>
      <c r="AE472" s="378"/>
      <c r="AF472" s="378"/>
    </row>
    <row r="473" spans="2:32">
      <c r="B473" s="378"/>
      <c r="C473" s="378"/>
      <c r="D473" s="378"/>
      <c r="F473" s="378"/>
      <c r="G473" s="378"/>
      <c r="H473" s="378"/>
      <c r="I473" s="378"/>
      <c r="J473" s="378"/>
      <c r="K473" s="378"/>
      <c r="L473" s="378"/>
      <c r="M473" s="378"/>
      <c r="N473" s="378"/>
      <c r="O473" s="378"/>
      <c r="P473" s="378"/>
      <c r="Q473" s="378"/>
      <c r="R473" s="378"/>
      <c r="S473" s="378"/>
      <c r="T473" s="378"/>
      <c r="U473" s="378"/>
      <c r="V473" s="378"/>
      <c r="W473" s="378"/>
      <c r="X473" s="378"/>
      <c r="Y473" s="378"/>
      <c r="Z473" s="378"/>
      <c r="AA473" s="378"/>
      <c r="AB473" s="378"/>
      <c r="AC473" s="378"/>
      <c r="AD473" s="378"/>
      <c r="AE473" s="378"/>
      <c r="AF473" s="378"/>
    </row>
    <row r="474" spans="2:32">
      <c r="B474" s="378"/>
      <c r="C474" s="378"/>
      <c r="D474" s="378"/>
      <c r="F474" s="378"/>
      <c r="G474" s="378"/>
      <c r="H474" s="378"/>
      <c r="I474" s="378"/>
      <c r="J474" s="378"/>
      <c r="K474" s="378"/>
      <c r="L474" s="378"/>
      <c r="M474" s="378"/>
      <c r="N474" s="378"/>
      <c r="O474" s="378"/>
      <c r="P474" s="378"/>
      <c r="Q474" s="378"/>
      <c r="R474" s="378"/>
      <c r="S474" s="378"/>
      <c r="T474" s="378"/>
      <c r="U474" s="378"/>
      <c r="V474" s="378"/>
      <c r="W474" s="378"/>
      <c r="X474" s="378"/>
      <c r="Y474" s="378"/>
      <c r="Z474" s="378"/>
      <c r="AA474" s="378"/>
      <c r="AB474" s="378"/>
      <c r="AC474" s="378"/>
      <c r="AD474" s="378"/>
      <c r="AE474" s="378"/>
      <c r="AF474" s="378"/>
    </row>
    <row r="475" spans="2:32">
      <c r="B475" s="378"/>
      <c r="C475" s="378"/>
      <c r="D475" s="378"/>
      <c r="F475" s="378"/>
      <c r="G475" s="378"/>
      <c r="H475" s="378"/>
      <c r="I475" s="378"/>
      <c r="J475" s="378"/>
      <c r="K475" s="378"/>
      <c r="L475" s="378"/>
      <c r="M475" s="378"/>
      <c r="N475" s="378"/>
      <c r="O475" s="378"/>
      <c r="P475" s="378"/>
      <c r="Q475" s="378"/>
      <c r="R475" s="378"/>
      <c r="S475" s="378"/>
      <c r="T475" s="378"/>
      <c r="U475" s="378"/>
      <c r="V475" s="378"/>
      <c r="W475" s="378"/>
      <c r="X475" s="378"/>
      <c r="Y475" s="378"/>
      <c r="Z475" s="378"/>
      <c r="AA475" s="378"/>
      <c r="AB475" s="378"/>
      <c r="AC475" s="378"/>
      <c r="AD475" s="378"/>
      <c r="AE475" s="378"/>
      <c r="AF475" s="378"/>
    </row>
    <row r="476" spans="2:32">
      <c r="B476" s="378"/>
      <c r="C476" s="378"/>
      <c r="D476" s="378"/>
      <c r="F476" s="378"/>
      <c r="G476" s="378"/>
      <c r="H476" s="378"/>
      <c r="I476" s="378"/>
      <c r="J476" s="378"/>
      <c r="K476" s="378"/>
      <c r="L476" s="378"/>
      <c r="M476" s="378"/>
      <c r="N476" s="378"/>
      <c r="O476" s="378"/>
      <c r="P476" s="378"/>
      <c r="Q476" s="378"/>
      <c r="R476" s="378"/>
      <c r="S476" s="378"/>
      <c r="T476" s="378"/>
      <c r="U476" s="378"/>
      <c r="V476" s="378"/>
      <c r="W476" s="378"/>
      <c r="X476" s="378"/>
      <c r="Y476" s="378"/>
      <c r="Z476" s="378"/>
      <c r="AA476" s="378"/>
      <c r="AB476" s="378"/>
      <c r="AC476" s="378"/>
      <c r="AD476" s="378"/>
      <c r="AE476" s="378"/>
      <c r="AF476" s="378"/>
    </row>
    <row r="477" spans="2:32">
      <c r="B477" s="378"/>
      <c r="C477" s="378"/>
      <c r="D477" s="378"/>
      <c r="F477" s="378"/>
      <c r="G477" s="378"/>
      <c r="H477" s="378"/>
      <c r="I477" s="378"/>
      <c r="J477" s="378"/>
      <c r="K477" s="378"/>
      <c r="L477" s="378"/>
      <c r="M477" s="378"/>
      <c r="N477" s="378"/>
      <c r="O477" s="378"/>
      <c r="P477" s="378"/>
      <c r="Q477" s="378"/>
      <c r="R477" s="378"/>
      <c r="S477" s="378"/>
      <c r="T477" s="378"/>
      <c r="U477" s="378"/>
      <c r="V477" s="378"/>
      <c r="W477" s="378"/>
      <c r="X477" s="378"/>
      <c r="Y477" s="378"/>
      <c r="Z477" s="378"/>
      <c r="AA477" s="378"/>
      <c r="AB477" s="378"/>
      <c r="AC477" s="378"/>
      <c r="AD477" s="378"/>
      <c r="AE477" s="378"/>
      <c r="AF477" s="378"/>
    </row>
    <row r="478" spans="2:32">
      <c r="B478" s="378"/>
      <c r="C478" s="378"/>
      <c r="D478" s="378"/>
      <c r="F478" s="378"/>
      <c r="G478" s="378"/>
      <c r="H478" s="378"/>
      <c r="I478" s="378"/>
      <c r="J478" s="378"/>
      <c r="K478" s="378"/>
      <c r="L478" s="378"/>
      <c r="M478" s="378"/>
      <c r="N478" s="378"/>
      <c r="O478" s="378"/>
      <c r="P478" s="378"/>
      <c r="Q478" s="378"/>
      <c r="R478" s="378"/>
      <c r="S478" s="378"/>
      <c r="T478" s="378"/>
      <c r="U478" s="378"/>
      <c r="V478" s="378"/>
      <c r="W478" s="378"/>
      <c r="X478" s="378"/>
      <c r="Y478" s="378"/>
      <c r="Z478" s="378"/>
      <c r="AA478" s="378"/>
      <c r="AB478" s="378"/>
      <c r="AC478" s="378"/>
      <c r="AD478" s="378"/>
      <c r="AE478" s="378"/>
      <c r="AF478" s="378"/>
    </row>
    <row r="479" spans="2:32">
      <c r="B479" s="378"/>
      <c r="C479" s="378"/>
      <c r="D479" s="378"/>
      <c r="F479" s="378"/>
      <c r="G479" s="378"/>
      <c r="H479" s="378"/>
      <c r="I479" s="378"/>
      <c r="J479" s="378"/>
      <c r="K479" s="378"/>
      <c r="L479" s="378"/>
      <c r="M479" s="378"/>
      <c r="N479" s="378"/>
      <c r="O479" s="378"/>
      <c r="P479" s="378"/>
      <c r="Q479" s="378"/>
      <c r="R479" s="378"/>
      <c r="S479" s="378"/>
      <c r="T479" s="378"/>
      <c r="U479" s="378"/>
      <c r="V479" s="378"/>
      <c r="W479" s="378"/>
      <c r="X479" s="378"/>
      <c r="Y479" s="378"/>
      <c r="Z479" s="378"/>
      <c r="AA479" s="378"/>
      <c r="AB479" s="378"/>
      <c r="AC479" s="378"/>
      <c r="AD479" s="378"/>
      <c r="AE479" s="378"/>
      <c r="AF479" s="378"/>
    </row>
    <row r="480" spans="2:32">
      <c r="B480" s="378"/>
      <c r="C480" s="378"/>
      <c r="D480" s="378"/>
      <c r="F480" s="378"/>
      <c r="G480" s="378"/>
      <c r="H480" s="378"/>
      <c r="I480" s="378"/>
      <c r="J480" s="378"/>
      <c r="K480" s="378"/>
      <c r="L480" s="378"/>
      <c r="M480" s="378"/>
      <c r="N480" s="378"/>
      <c r="O480" s="378"/>
      <c r="P480" s="378"/>
      <c r="Q480" s="378"/>
      <c r="R480" s="378"/>
      <c r="S480" s="378"/>
      <c r="T480" s="378"/>
      <c r="U480" s="378"/>
      <c r="V480" s="378"/>
      <c r="W480" s="378"/>
      <c r="X480" s="378"/>
      <c r="Y480" s="378"/>
      <c r="Z480" s="378"/>
      <c r="AA480" s="378"/>
      <c r="AB480" s="378"/>
      <c r="AC480" s="378"/>
      <c r="AD480" s="378"/>
      <c r="AE480" s="378"/>
      <c r="AF480" s="378"/>
    </row>
    <row r="481" spans="2:32">
      <c r="B481" s="378"/>
      <c r="C481" s="378"/>
      <c r="D481" s="378"/>
      <c r="F481" s="378"/>
      <c r="G481" s="378"/>
      <c r="H481" s="378"/>
      <c r="I481" s="378"/>
      <c r="J481" s="378"/>
      <c r="K481" s="378"/>
      <c r="L481" s="378"/>
      <c r="M481" s="378"/>
      <c r="N481" s="378"/>
      <c r="O481" s="378"/>
      <c r="P481" s="378"/>
      <c r="Q481" s="378"/>
      <c r="R481" s="378"/>
      <c r="S481" s="378"/>
      <c r="T481" s="378"/>
      <c r="U481" s="378"/>
      <c r="V481" s="378"/>
      <c r="W481" s="378"/>
      <c r="X481" s="378"/>
      <c r="Y481" s="378"/>
      <c r="Z481" s="378"/>
      <c r="AA481" s="378"/>
      <c r="AB481" s="378"/>
      <c r="AC481" s="378"/>
      <c r="AD481" s="378"/>
      <c r="AE481" s="378"/>
      <c r="AF481" s="378"/>
    </row>
    <row r="482" spans="2:32">
      <c r="B482" s="378"/>
      <c r="C482" s="378"/>
      <c r="D482" s="378"/>
      <c r="F482" s="378"/>
      <c r="G482" s="378"/>
      <c r="H482" s="378"/>
      <c r="I482" s="378"/>
      <c r="J482" s="378"/>
      <c r="K482" s="378"/>
      <c r="L482" s="378"/>
      <c r="M482" s="378"/>
      <c r="N482" s="378"/>
      <c r="O482" s="378"/>
      <c r="P482" s="378"/>
      <c r="Q482" s="378"/>
      <c r="R482" s="378"/>
      <c r="S482" s="378"/>
      <c r="T482" s="378"/>
      <c r="U482" s="378"/>
      <c r="V482" s="378"/>
      <c r="W482" s="378"/>
      <c r="X482" s="378"/>
      <c r="Y482" s="378"/>
      <c r="Z482" s="378"/>
      <c r="AA482" s="378"/>
      <c r="AB482" s="378"/>
      <c r="AC482" s="378"/>
      <c r="AD482" s="378"/>
      <c r="AE482" s="378"/>
      <c r="AF482" s="378"/>
    </row>
    <row r="483" spans="2:32">
      <c r="B483" s="378"/>
      <c r="C483" s="378"/>
      <c r="D483" s="378"/>
      <c r="F483" s="378"/>
      <c r="G483" s="378"/>
      <c r="H483" s="378"/>
      <c r="I483" s="378"/>
      <c r="J483" s="378"/>
      <c r="K483" s="378"/>
      <c r="L483" s="378"/>
      <c r="M483" s="378"/>
      <c r="N483" s="378"/>
      <c r="O483" s="378"/>
      <c r="P483" s="378"/>
      <c r="Q483" s="378"/>
      <c r="R483" s="378"/>
      <c r="S483" s="378"/>
      <c r="T483" s="378"/>
      <c r="U483" s="378"/>
      <c r="V483" s="378"/>
      <c r="W483" s="378"/>
      <c r="X483" s="378"/>
      <c r="Y483" s="378"/>
      <c r="Z483" s="378"/>
      <c r="AA483" s="378"/>
      <c r="AB483" s="378"/>
      <c r="AC483" s="378"/>
      <c r="AD483" s="378"/>
      <c r="AE483" s="378"/>
      <c r="AF483" s="378"/>
    </row>
    <row r="484" spans="2:32">
      <c r="B484" s="378"/>
      <c r="C484" s="378"/>
      <c r="D484" s="378"/>
      <c r="F484" s="378"/>
      <c r="G484" s="378"/>
      <c r="H484" s="378"/>
      <c r="I484" s="378"/>
      <c r="J484" s="378"/>
      <c r="K484" s="378"/>
      <c r="L484" s="378"/>
      <c r="M484" s="378"/>
      <c r="N484" s="378"/>
      <c r="O484" s="378"/>
      <c r="P484" s="378"/>
      <c r="Q484" s="378"/>
      <c r="R484" s="378"/>
      <c r="S484" s="378"/>
      <c r="T484" s="378"/>
      <c r="U484" s="378"/>
      <c r="V484" s="378"/>
      <c r="W484" s="378"/>
      <c r="X484" s="378"/>
      <c r="Y484" s="378"/>
      <c r="Z484" s="378"/>
      <c r="AA484" s="378"/>
      <c r="AB484" s="378"/>
      <c r="AC484" s="378"/>
      <c r="AD484" s="378"/>
      <c r="AE484" s="378"/>
      <c r="AF484" s="378"/>
    </row>
    <row r="485" spans="2:32">
      <c r="B485" s="378"/>
      <c r="C485" s="378"/>
      <c r="D485" s="378"/>
      <c r="F485" s="378"/>
      <c r="G485" s="378"/>
      <c r="H485" s="378"/>
      <c r="I485" s="378"/>
      <c r="J485" s="378"/>
      <c r="K485" s="378"/>
      <c r="L485" s="378"/>
      <c r="M485" s="378"/>
      <c r="N485" s="378"/>
      <c r="O485" s="378"/>
      <c r="P485" s="378"/>
      <c r="Q485" s="378"/>
      <c r="R485" s="378"/>
      <c r="S485" s="378"/>
      <c r="T485" s="378"/>
      <c r="U485" s="378"/>
      <c r="V485" s="378"/>
      <c r="W485" s="378"/>
      <c r="X485" s="378"/>
      <c r="Y485" s="378"/>
      <c r="Z485" s="378"/>
      <c r="AA485" s="378"/>
      <c r="AB485" s="378"/>
      <c r="AC485" s="378"/>
      <c r="AD485" s="378"/>
      <c r="AE485" s="378"/>
      <c r="AF485" s="378"/>
    </row>
    <row r="486" spans="2:32">
      <c r="B486" s="378"/>
      <c r="C486" s="378"/>
      <c r="D486" s="378"/>
      <c r="F486" s="378"/>
      <c r="G486" s="378"/>
      <c r="H486" s="378"/>
      <c r="I486" s="378"/>
      <c r="J486" s="378"/>
      <c r="K486" s="378"/>
      <c r="L486" s="378"/>
      <c r="M486" s="378"/>
      <c r="N486" s="378"/>
      <c r="O486" s="378"/>
      <c r="P486" s="378"/>
      <c r="Q486" s="378"/>
      <c r="R486" s="378"/>
      <c r="S486" s="378"/>
      <c r="T486" s="378"/>
      <c r="U486" s="378"/>
      <c r="V486" s="378"/>
      <c r="W486" s="378"/>
      <c r="X486" s="378"/>
      <c r="Y486" s="378"/>
      <c r="Z486" s="378"/>
      <c r="AA486" s="378"/>
      <c r="AB486" s="378"/>
      <c r="AC486" s="378"/>
      <c r="AD486" s="378"/>
      <c r="AE486" s="378"/>
      <c r="AF486" s="378"/>
    </row>
    <row r="487" spans="2:32">
      <c r="B487" s="378"/>
      <c r="C487" s="378"/>
      <c r="D487" s="378"/>
      <c r="F487" s="378"/>
      <c r="G487" s="378"/>
      <c r="H487" s="378"/>
      <c r="I487" s="378"/>
      <c r="J487" s="378"/>
      <c r="K487" s="378"/>
      <c r="L487" s="378"/>
      <c r="M487" s="378"/>
      <c r="N487" s="378"/>
      <c r="O487" s="378"/>
      <c r="P487" s="378"/>
      <c r="Q487" s="378"/>
      <c r="R487" s="378"/>
      <c r="S487" s="378"/>
      <c r="T487" s="378"/>
      <c r="U487" s="378"/>
      <c r="V487" s="378"/>
      <c r="W487" s="378"/>
      <c r="X487" s="378"/>
      <c r="Y487" s="378"/>
      <c r="Z487" s="378"/>
      <c r="AA487" s="378"/>
      <c r="AB487" s="378"/>
      <c r="AC487" s="378"/>
      <c r="AD487" s="378"/>
      <c r="AE487" s="378"/>
      <c r="AF487" s="378"/>
    </row>
    <row r="488" spans="2:32">
      <c r="B488" s="378"/>
      <c r="C488" s="378"/>
      <c r="D488" s="378"/>
      <c r="F488" s="378"/>
      <c r="G488" s="378"/>
      <c r="H488" s="378"/>
      <c r="I488" s="378"/>
      <c r="J488" s="378"/>
      <c r="K488" s="378"/>
      <c r="L488" s="378"/>
      <c r="M488" s="378"/>
      <c r="N488" s="378"/>
      <c r="O488" s="378"/>
      <c r="P488" s="378"/>
      <c r="Q488" s="378"/>
      <c r="R488" s="378"/>
      <c r="S488" s="378"/>
      <c r="T488" s="378"/>
      <c r="U488" s="378"/>
      <c r="V488" s="378"/>
      <c r="W488" s="378"/>
      <c r="X488" s="378"/>
      <c r="Y488" s="378"/>
      <c r="Z488" s="378"/>
      <c r="AA488" s="378"/>
      <c r="AB488" s="378"/>
      <c r="AC488" s="378"/>
      <c r="AD488" s="378"/>
      <c r="AE488" s="378"/>
      <c r="AF488" s="378"/>
    </row>
    <row r="489" spans="2:32">
      <c r="B489" s="378"/>
      <c r="C489" s="378"/>
      <c r="D489" s="378"/>
      <c r="F489" s="378"/>
      <c r="G489" s="378"/>
      <c r="H489" s="378"/>
      <c r="I489" s="378"/>
      <c r="J489" s="378"/>
      <c r="K489" s="378"/>
      <c r="L489" s="378"/>
      <c r="M489" s="378"/>
      <c r="N489" s="378"/>
      <c r="O489" s="378"/>
      <c r="P489" s="378"/>
      <c r="Q489" s="378"/>
      <c r="R489" s="378"/>
      <c r="S489" s="378"/>
      <c r="T489" s="378"/>
      <c r="U489" s="378"/>
      <c r="V489" s="378"/>
      <c r="W489" s="378"/>
      <c r="X489" s="378"/>
      <c r="Y489" s="378"/>
      <c r="Z489" s="378"/>
      <c r="AA489" s="378"/>
      <c r="AB489" s="378"/>
      <c r="AC489" s="378"/>
      <c r="AD489" s="378"/>
      <c r="AE489" s="378"/>
      <c r="AF489" s="378"/>
    </row>
    <row r="490" spans="2:32">
      <c r="B490" s="378"/>
      <c r="C490" s="378"/>
      <c r="D490" s="378"/>
      <c r="F490" s="378"/>
      <c r="G490" s="378"/>
      <c r="H490" s="378"/>
      <c r="I490" s="378"/>
      <c r="J490" s="378"/>
      <c r="K490" s="378"/>
      <c r="L490" s="378"/>
      <c r="M490" s="378"/>
      <c r="N490" s="378"/>
      <c r="O490" s="378"/>
      <c r="P490" s="378"/>
      <c r="Q490" s="378"/>
      <c r="R490" s="378"/>
      <c r="S490" s="378"/>
      <c r="T490" s="378"/>
      <c r="U490" s="378"/>
      <c r="V490" s="378"/>
      <c r="W490" s="378"/>
      <c r="X490" s="378"/>
      <c r="Y490" s="378"/>
      <c r="Z490" s="378"/>
      <c r="AA490" s="378"/>
      <c r="AB490" s="378"/>
      <c r="AC490" s="378"/>
      <c r="AD490" s="378"/>
      <c r="AE490" s="378"/>
      <c r="AF490" s="378"/>
    </row>
    <row r="491" spans="2:32">
      <c r="B491" s="378"/>
      <c r="C491" s="378"/>
      <c r="D491" s="378"/>
      <c r="F491" s="378"/>
      <c r="G491" s="378"/>
      <c r="H491" s="378"/>
      <c r="I491" s="378"/>
      <c r="J491" s="378"/>
      <c r="K491" s="378"/>
      <c r="L491" s="378"/>
      <c r="M491" s="378"/>
      <c r="N491" s="378"/>
      <c r="O491" s="378"/>
      <c r="P491" s="378"/>
      <c r="Q491" s="378"/>
      <c r="R491" s="378"/>
      <c r="S491" s="378"/>
      <c r="T491" s="378"/>
      <c r="U491" s="378"/>
      <c r="V491" s="378"/>
      <c r="W491" s="378"/>
      <c r="X491" s="378"/>
      <c r="Y491" s="378"/>
      <c r="Z491" s="378"/>
      <c r="AA491" s="378"/>
      <c r="AB491" s="378"/>
      <c r="AC491" s="378"/>
      <c r="AD491" s="378"/>
      <c r="AE491" s="378"/>
      <c r="AF491" s="378"/>
    </row>
    <row r="492" spans="2:32">
      <c r="B492" s="378"/>
      <c r="C492" s="378"/>
      <c r="D492" s="378"/>
      <c r="F492" s="378"/>
      <c r="G492" s="378"/>
      <c r="H492" s="378"/>
      <c r="I492" s="378"/>
      <c r="J492" s="378"/>
      <c r="K492" s="378"/>
      <c r="L492" s="378"/>
      <c r="M492" s="378"/>
      <c r="N492" s="378"/>
      <c r="O492" s="378"/>
      <c r="P492" s="378"/>
      <c r="Q492" s="378"/>
      <c r="R492" s="378"/>
      <c r="S492" s="378"/>
      <c r="T492" s="378"/>
      <c r="U492" s="378"/>
      <c r="V492" s="378"/>
      <c r="W492" s="378"/>
      <c r="X492" s="378"/>
      <c r="Y492" s="378"/>
      <c r="Z492" s="378"/>
      <c r="AA492" s="378"/>
      <c r="AB492" s="378"/>
      <c r="AC492" s="378"/>
      <c r="AD492" s="378"/>
      <c r="AE492" s="378"/>
      <c r="AF492" s="378"/>
    </row>
    <row r="493" spans="2:32">
      <c r="B493" s="378"/>
      <c r="C493" s="378"/>
      <c r="D493" s="378"/>
      <c r="F493" s="378"/>
      <c r="G493" s="378"/>
      <c r="H493" s="378"/>
      <c r="I493" s="378"/>
      <c r="J493" s="378"/>
      <c r="K493" s="378"/>
      <c r="L493" s="378"/>
      <c r="M493" s="378"/>
      <c r="N493" s="378"/>
      <c r="O493" s="378"/>
      <c r="P493" s="378"/>
      <c r="Q493" s="378"/>
      <c r="R493" s="378"/>
      <c r="S493" s="378"/>
      <c r="T493" s="378"/>
      <c r="U493" s="378"/>
      <c r="V493" s="378"/>
      <c r="W493" s="378"/>
      <c r="X493" s="378"/>
      <c r="Y493" s="378"/>
      <c r="Z493" s="378"/>
      <c r="AA493" s="378"/>
      <c r="AB493" s="378"/>
      <c r="AC493" s="378"/>
      <c r="AD493" s="378"/>
      <c r="AE493" s="378"/>
      <c r="AF493" s="378"/>
    </row>
    <row r="494" spans="2:32">
      <c r="B494" s="378"/>
      <c r="C494" s="378"/>
      <c r="D494" s="378"/>
      <c r="F494" s="378"/>
      <c r="G494" s="378"/>
      <c r="H494" s="378"/>
      <c r="I494" s="378"/>
      <c r="J494" s="378"/>
      <c r="K494" s="378"/>
      <c r="L494" s="378"/>
      <c r="M494" s="378"/>
      <c r="N494" s="378"/>
      <c r="O494" s="378"/>
      <c r="P494" s="378"/>
      <c r="Q494" s="378"/>
      <c r="R494" s="378"/>
      <c r="S494" s="378"/>
      <c r="T494" s="378"/>
      <c r="U494" s="378"/>
      <c r="V494" s="378"/>
      <c r="W494" s="378"/>
      <c r="X494" s="378"/>
      <c r="Y494" s="378"/>
      <c r="Z494" s="378"/>
      <c r="AA494" s="378"/>
      <c r="AB494" s="378"/>
      <c r="AC494" s="378"/>
      <c r="AD494" s="378"/>
      <c r="AE494" s="378"/>
      <c r="AF494" s="378"/>
    </row>
    <row r="495" spans="2:32">
      <c r="B495" s="378"/>
      <c r="C495" s="378"/>
      <c r="D495" s="378"/>
      <c r="F495" s="378"/>
      <c r="G495" s="378"/>
      <c r="H495" s="378"/>
      <c r="I495" s="378"/>
      <c r="J495" s="378"/>
      <c r="K495" s="378"/>
      <c r="L495" s="378"/>
      <c r="M495" s="378"/>
      <c r="N495" s="378"/>
      <c r="O495" s="378"/>
      <c r="P495" s="378"/>
      <c r="Q495" s="378"/>
      <c r="R495" s="378"/>
      <c r="S495" s="378"/>
      <c r="T495" s="378"/>
      <c r="U495" s="378"/>
      <c r="V495" s="378"/>
      <c r="W495" s="378"/>
      <c r="X495" s="378"/>
      <c r="Y495" s="378"/>
      <c r="Z495" s="378"/>
      <c r="AA495" s="378"/>
      <c r="AB495" s="378"/>
      <c r="AC495" s="378"/>
      <c r="AD495" s="378"/>
      <c r="AE495" s="378"/>
      <c r="AF495" s="378"/>
    </row>
    <row r="496" spans="2:32">
      <c r="B496" s="378"/>
      <c r="C496" s="378"/>
      <c r="D496" s="378"/>
      <c r="F496" s="378"/>
      <c r="G496" s="378"/>
      <c r="H496" s="378"/>
      <c r="I496" s="378"/>
      <c r="J496" s="378"/>
      <c r="K496" s="378"/>
      <c r="L496" s="378"/>
      <c r="M496" s="378"/>
      <c r="N496" s="378"/>
      <c r="O496" s="378"/>
      <c r="P496" s="378"/>
      <c r="Q496" s="378"/>
      <c r="R496" s="378"/>
      <c r="S496" s="378"/>
      <c r="T496" s="378"/>
      <c r="U496" s="378"/>
      <c r="V496" s="378"/>
      <c r="W496" s="378"/>
      <c r="X496" s="378"/>
      <c r="Y496" s="378"/>
      <c r="Z496" s="378"/>
      <c r="AA496" s="378"/>
      <c r="AB496" s="378"/>
      <c r="AC496" s="378"/>
      <c r="AD496" s="378"/>
      <c r="AE496" s="378"/>
      <c r="AF496" s="378"/>
    </row>
    <row r="497" spans="2:32">
      <c r="B497" s="378"/>
      <c r="C497" s="378"/>
      <c r="D497" s="378"/>
      <c r="F497" s="378"/>
      <c r="G497" s="378"/>
      <c r="H497" s="378"/>
      <c r="I497" s="378"/>
      <c r="J497" s="378"/>
      <c r="K497" s="378"/>
      <c r="L497" s="378"/>
      <c r="M497" s="378"/>
      <c r="N497" s="378"/>
      <c r="O497" s="378"/>
      <c r="P497" s="378"/>
      <c r="Q497" s="378"/>
      <c r="R497" s="378"/>
      <c r="S497" s="378"/>
      <c r="T497" s="378"/>
      <c r="U497" s="378"/>
      <c r="V497" s="378"/>
      <c r="W497" s="378"/>
      <c r="X497" s="378"/>
      <c r="Y497" s="378"/>
      <c r="Z497" s="378"/>
      <c r="AA497" s="378"/>
      <c r="AB497" s="378"/>
      <c r="AC497" s="378"/>
      <c r="AD497" s="378"/>
      <c r="AE497" s="378"/>
      <c r="AF497" s="378"/>
    </row>
    <row r="498" spans="2:32">
      <c r="B498" s="378"/>
      <c r="C498" s="378"/>
      <c r="D498" s="378"/>
      <c r="F498" s="378"/>
      <c r="G498" s="378"/>
      <c r="H498" s="378"/>
      <c r="I498" s="378"/>
      <c r="J498" s="378"/>
      <c r="K498" s="378"/>
      <c r="L498" s="378"/>
      <c r="M498" s="378"/>
      <c r="N498" s="378"/>
      <c r="O498" s="378"/>
      <c r="P498" s="378"/>
      <c r="Q498" s="378"/>
      <c r="R498" s="378"/>
      <c r="S498" s="378"/>
      <c r="T498" s="378"/>
      <c r="U498" s="378"/>
      <c r="V498" s="378"/>
      <c r="W498" s="378"/>
      <c r="X498" s="378"/>
      <c r="Y498" s="378"/>
      <c r="Z498" s="378"/>
      <c r="AA498" s="378"/>
      <c r="AB498" s="378"/>
      <c r="AC498" s="378"/>
      <c r="AD498" s="378"/>
      <c r="AE498" s="378"/>
      <c r="AF498" s="378"/>
    </row>
    <row r="499" spans="2:32">
      <c r="B499" s="378"/>
      <c r="C499" s="378"/>
      <c r="D499" s="378"/>
      <c r="F499" s="378"/>
      <c r="G499" s="378"/>
      <c r="H499" s="378"/>
      <c r="I499" s="378"/>
      <c r="J499" s="378"/>
      <c r="K499" s="378"/>
      <c r="L499" s="378"/>
      <c r="M499" s="378"/>
      <c r="N499" s="378"/>
      <c r="O499" s="378"/>
      <c r="P499" s="378"/>
      <c r="Q499" s="378"/>
      <c r="R499" s="378"/>
      <c r="S499" s="378"/>
      <c r="T499" s="378"/>
      <c r="U499" s="378"/>
      <c r="V499" s="378"/>
      <c r="W499" s="378"/>
      <c r="X499" s="378"/>
      <c r="Y499" s="378"/>
      <c r="Z499" s="378"/>
      <c r="AA499" s="378"/>
      <c r="AB499" s="378"/>
      <c r="AC499" s="378"/>
      <c r="AD499" s="378"/>
      <c r="AE499" s="378"/>
      <c r="AF499" s="378"/>
    </row>
    <row r="500" spans="2:32">
      <c r="B500" s="378"/>
      <c r="C500" s="378"/>
      <c r="D500" s="378"/>
      <c r="F500" s="378"/>
      <c r="G500" s="378"/>
      <c r="H500" s="378"/>
      <c r="I500" s="378"/>
      <c r="J500" s="378"/>
      <c r="K500" s="378"/>
      <c r="L500" s="378"/>
      <c r="M500" s="378"/>
      <c r="N500" s="378"/>
      <c r="O500" s="378"/>
      <c r="P500" s="378"/>
      <c r="Q500" s="378"/>
      <c r="R500" s="378"/>
      <c r="S500" s="378"/>
      <c r="T500" s="378"/>
      <c r="U500" s="378"/>
      <c r="V500" s="378"/>
      <c r="W500" s="378"/>
      <c r="X500" s="378"/>
      <c r="Y500" s="378"/>
      <c r="Z500" s="378"/>
      <c r="AA500" s="378"/>
      <c r="AB500" s="378"/>
      <c r="AC500" s="378"/>
      <c r="AD500" s="378"/>
      <c r="AE500" s="378"/>
      <c r="AF500" s="378"/>
    </row>
    <row r="501" spans="2:32">
      <c r="B501" s="378"/>
      <c r="C501" s="378"/>
      <c r="D501" s="378"/>
      <c r="F501" s="378"/>
      <c r="G501" s="378"/>
      <c r="H501" s="378"/>
      <c r="I501" s="378"/>
      <c r="J501" s="378"/>
      <c r="K501" s="378"/>
      <c r="L501" s="378"/>
      <c r="M501" s="378"/>
      <c r="N501" s="378"/>
      <c r="O501" s="378"/>
      <c r="P501" s="378"/>
      <c r="Q501" s="378"/>
      <c r="R501" s="378"/>
      <c r="S501" s="378"/>
      <c r="T501" s="378"/>
      <c r="U501" s="378"/>
      <c r="V501" s="378"/>
      <c r="W501" s="378"/>
      <c r="X501" s="378"/>
      <c r="Y501" s="378"/>
      <c r="Z501" s="378"/>
      <c r="AA501" s="378"/>
      <c r="AB501" s="378"/>
      <c r="AC501" s="378"/>
      <c r="AD501" s="378"/>
      <c r="AE501" s="378"/>
      <c r="AF501" s="378"/>
    </row>
    <row r="502" spans="2:32">
      <c r="B502" s="378"/>
      <c r="C502" s="378"/>
      <c r="D502" s="378"/>
      <c r="F502" s="378"/>
      <c r="G502" s="378"/>
      <c r="H502" s="378"/>
      <c r="I502" s="378"/>
      <c r="J502" s="378"/>
      <c r="K502" s="378"/>
      <c r="L502" s="378"/>
      <c r="M502" s="378"/>
      <c r="N502" s="378"/>
      <c r="O502" s="378"/>
      <c r="P502" s="378"/>
      <c r="Q502" s="378"/>
      <c r="R502" s="378"/>
      <c r="S502" s="378"/>
      <c r="T502" s="378"/>
      <c r="U502" s="378"/>
      <c r="V502" s="378"/>
      <c r="W502" s="378"/>
      <c r="X502" s="378"/>
      <c r="Y502" s="378"/>
      <c r="Z502" s="378"/>
      <c r="AA502" s="378"/>
      <c r="AB502" s="378"/>
      <c r="AC502" s="378"/>
      <c r="AD502" s="378"/>
      <c r="AE502" s="378"/>
      <c r="AF502" s="378"/>
    </row>
    <row r="503" spans="2:32">
      <c r="B503" s="378"/>
      <c r="C503" s="378"/>
      <c r="D503" s="378"/>
      <c r="F503" s="378"/>
      <c r="G503" s="378"/>
      <c r="H503" s="378"/>
      <c r="I503" s="378"/>
      <c r="J503" s="378"/>
      <c r="K503" s="378"/>
      <c r="L503" s="378"/>
      <c r="M503" s="378"/>
      <c r="N503" s="378"/>
      <c r="O503" s="378"/>
      <c r="P503" s="378"/>
      <c r="Q503" s="378"/>
      <c r="R503" s="378"/>
      <c r="S503" s="378"/>
      <c r="T503" s="378"/>
      <c r="U503" s="378"/>
      <c r="V503" s="378"/>
      <c r="W503" s="378"/>
      <c r="X503" s="378"/>
      <c r="Y503" s="378"/>
      <c r="Z503" s="378"/>
      <c r="AA503" s="378"/>
      <c r="AB503" s="378"/>
      <c r="AC503" s="378"/>
      <c r="AD503" s="378"/>
      <c r="AE503" s="378"/>
      <c r="AF503" s="378"/>
    </row>
    <row r="504" spans="2:32">
      <c r="B504" s="378"/>
      <c r="C504" s="378"/>
      <c r="D504" s="378"/>
      <c r="F504" s="378"/>
      <c r="G504" s="378"/>
      <c r="H504" s="378"/>
      <c r="I504" s="378"/>
      <c r="J504" s="378"/>
      <c r="K504" s="378"/>
      <c r="L504" s="378"/>
      <c r="M504" s="378"/>
      <c r="N504" s="378"/>
      <c r="O504" s="378"/>
      <c r="P504" s="378"/>
      <c r="Q504" s="378"/>
      <c r="R504" s="378"/>
      <c r="S504" s="378"/>
      <c r="T504" s="378"/>
      <c r="U504" s="378"/>
      <c r="V504" s="378"/>
      <c r="W504" s="378"/>
      <c r="X504" s="378"/>
      <c r="Y504" s="378"/>
      <c r="Z504" s="378"/>
      <c r="AA504" s="378"/>
      <c r="AB504" s="378"/>
      <c r="AC504" s="378"/>
      <c r="AD504" s="378"/>
      <c r="AE504" s="378"/>
      <c r="AF504" s="378"/>
    </row>
    <row r="505" spans="2:32">
      <c r="B505" s="378"/>
      <c r="C505" s="378"/>
      <c r="D505" s="378"/>
      <c r="F505" s="378"/>
      <c r="G505" s="378"/>
      <c r="H505" s="378"/>
      <c r="I505" s="378"/>
      <c r="J505" s="378"/>
      <c r="K505" s="378"/>
      <c r="L505" s="378"/>
      <c r="M505" s="378"/>
      <c r="N505" s="378"/>
      <c r="O505" s="378"/>
      <c r="P505" s="378"/>
      <c r="Q505" s="378"/>
      <c r="R505" s="378"/>
      <c r="S505" s="378"/>
      <c r="T505" s="378"/>
      <c r="U505" s="378"/>
      <c r="V505" s="378"/>
      <c r="W505" s="378"/>
      <c r="X505" s="378"/>
      <c r="Y505" s="378"/>
      <c r="Z505" s="378"/>
      <c r="AA505" s="378"/>
      <c r="AB505" s="378"/>
      <c r="AC505" s="378"/>
      <c r="AD505" s="378"/>
      <c r="AE505" s="378"/>
      <c r="AF505" s="378"/>
    </row>
    <row r="506" spans="2:32">
      <c r="B506" s="378"/>
      <c r="C506" s="378"/>
      <c r="D506" s="378"/>
      <c r="F506" s="378"/>
      <c r="G506" s="378"/>
      <c r="H506" s="378"/>
      <c r="I506" s="378"/>
      <c r="J506" s="378"/>
      <c r="K506" s="378"/>
      <c r="L506" s="378"/>
      <c r="M506" s="378"/>
      <c r="N506" s="378"/>
      <c r="O506" s="378"/>
      <c r="P506" s="378"/>
      <c r="Q506" s="378"/>
      <c r="R506" s="378"/>
      <c r="S506" s="378"/>
      <c r="T506" s="378"/>
      <c r="U506" s="378"/>
      <c r="V506" s="378"/>
      <c r="W506" s="378"/>
      <c r="X506" s="378"/>
      <c r="Y506" s="378"/>
      <c r="Z506" s="378"/>
      <c r="AA506" s="378"/>
      <c r="AB506" s="378"/>
      <c r="AC506" s="378"/>
      <c r="AD506" s="378"/>
      <c r="AE506" s="378"/>
      <c r="AF506" s="378"/>
    </row>
    <row r="507" spans="2:32">
      <c r="B507" s="378"/>
      <c r="C507" s="378"/>
      <c r="D507" s="378"/>
      <c r="F507" s="378"/>
      <c r="G507" s="378"/>
      <c r="H507" s="378"/>
      <c r="I507" s="378"/>
      <c r="J507" s="378"/>
      <c r="K507" s="378"/>
      <c r="L507" s="378"/>
      <c r="M507" s="378"/>
      <c r="N507" s="378"/>
      <c r="O507" s="378"/>
      <c r="P507" s="378"/>
      <c r="Q507" s="378"/>
      <c r="R507" s="378"/>
      <c r="S507" s="378"/>
      <c r="T507" s="378"/>
      <c r="U507" s="378"/>
      <c r="V507" s="378"/>
      <c r="W507" s="378"/>
      <c r="X507" s="378"/>
      <c r="Y507" s="378"/>
      <c r="Z507" s="378"/>
      <c r="AA507" s="378"/>
      <c r="AB507" s="378"/>
      <c r="AC507" s="378"/>
      <c r="AD507" s="378"/>
      <c r="AE507" s="378"/>
      <c r="AF507" s="378"/>
    </row>
    <row r="508" spans="2:32">
      <c r="B508" s="378"/>
      <c r="C508" s="378"/>
      <c r="D508" s="378"/>
      <c r="F508" s="378"/>
      <c r="G508" s="378"/>
      <c r="H508" s="378"/>
      <c r="I508" s="378"/>
      <c r="J508" s="378"/>
      <c r="K508" s="378"/>
      <c r="L508" s="378"/>
      <c r="M508" s="378"/>
      <c r="N508" s="378"/>
      <c r="O508" s="378"/>
      <c r="P508" s="378"/>
      <c r="Q508" s="378"/>
      <c r="R508" s="378"/>
      <c r="S508" s="378"/>
      <c r="T508" s="378"/>
      <c r="U508" s="378"/>
      <c r="V508" s="378"/>
      <c r="W508" s="378"/>
      <c r="X508" s="378"/>
      <c r="Y508" s="378"/>
      <c r="Z508" s="378"/>
      <c r="AA508" s="378"/>
      <c r="AB508" s="378"/>
      <c r="AC508" s="378"/>
      <c r="AD508" s="378"/>
      <c r="AE508" s="378"/>
      <c r="AF508" s="378"/>
    </row>
    <row r="509" spans="2:32">
      <c r="B509" s="378"/>
      <c r="C509" s="378"/>
      <c r="D509" s="378"/>
      <c r="F509" s="378"/>
      <c r="G509" s="378"/>
      <c r="H509" s="378"/>
      <c r="I509" s="378"/>
      <c r="J509" s="378"/>
      <c r="K509" s="378"/>
      <c r="L509" s="378"/>
      <c r="M509" s="378"/>
      <c r="N509" s="378"/>
      <c r="O509" s="378"/>
      <c r="P509" s="378"/>
      <c r="Q509" s="378"/>
      <c r="R509" s="378"/>
      <c r="S509" s="378"/>
      <c r="T509" s="378"/>
      <c r="U509" s="378"/>
      <c r="V509" s="378"/>
      <c r="W509" s="378"/>
      <c r="X509" s="378"/>
      <c r="Y509" s="378"/>
      <c r="Z509" s="378"/>
      <c r="AA509" s="378"/>
      <c r="AB509" s="378"/>
      <c r="AC509" s="378"/>
      <c r="AD509" s="378"/>
      <c r="AE509" s="378"/>
      <c r="AF509" s="378"/>
    </row>
    <row r="510" spans="2:32">
      <c r="B510" s="378"/>
      <c r="C510" s="378"/>
      <c r="D510" s="378"/>
      <c r="F510" s="378"/>
      <c r="G510" s="378"/>
      <c r="H510" s="378"/>
      <c r="I510" s="378"/>
      <c r="J510" s="378"/>
      <c r="K510" s="378"/>
      <c r="L510" s="378"/>
      <c r="M510" s="378"/>
      <c r="N510" s="378"/>
      <c r="O510" s="378"/>
      <c r="P510" s="378"/>
      <c r="Q510" s="378"/>
      <c r="R510" s="378"/>
      <c r="S510" s="378"/>
      <c r="T510" s="378"/>
      <c r="U510" s="378"/>
      <c r="V510" s="378"/>
      <c r="W510" s="378"/>
      <c r="X510" s="378"/>
      <c r="Y510" s="378"/>
      <c r="Z510" s="378"/>
      <c r="AA510" s="378"/>
      <c r="AB510" s="378"/>
      <c r="AC510" s="378"/>
      <c r="AD510" s="378"/>
      <c r="AE510" s="378"/>
      <c r="AF510" s="378"/>
    </row>
    <row r="511" spans="2:32">
      <c r="B511" s="378"/>
      <c r="C511" s="378"/>
      <c r="D511" s="378"/>
      <c r="F511" s="378"/>
      <c r="G511" s="378"/>
      <c r="H511" s="378"/>
      <c r="I511" s="378"/>
      <c r="J511" s="378"/>
      <c r="K511" s="378"/>
      <c r="L511" s="378"/>
      <c r="M511" s="378"/>
      <c r="N511" s="378"/>
      <c r="O511" s="378"/>
      <c r="P511" s="378"/>
      <c r="Q511" s="378"/>
      <c r="R511" s="378"/>
      <c r="S511" s="378"/>
      <c r="T511" s="378"/>
      <c r="U511" s="378"/>
      <c r="V511" s="378"/>
      <c r="W511" s="378"/>
      <c r="X511" s="378"/>
      <c r="Y511" s="378"/>
      <c r="Z511" s="378"/>
      <c r="AA511" s="378"/>
      <c r="AB511" s="378"/>
      <c r="AC511" s="378"/>
      <c r="AD511" s="378"/>
      <c r="AE511" s="378"/>
      <c r="AF511" s="378"/>
    </row>
    <row r="512" spans="2:32">
      <c r="B512" s="378"/>
      <c r="C512" s="378"/>
      <c r="D512" s="378"/>
      <c r="F512" s="378"/>
      <c r="G512" s="378"/>
      <c r="H512" s="378"/>
      <c r="I512" s="378"/>
      <c r="J512" s="378"/>
      <c r="K512" s="378"/>
      <c r="L512" s="378"/>
      <c r="M512" s="378"/>
      <c r="N512" s="378"/>
      <c r="O512" s="378"/>
      <c r="P512" s="378"/>
      <c r="Q512" s="378"/>
      <c r="R512" s="378"/>
      <c r="S512" s="378"/>
      <c r="T512" s="378"/>
      <c r="U512" s="378"/>
      <c r="V512" s="378"/>
      <c r="W512" s="378"/>
      <c r="X512" s="378"/>
      <c r="Y512" s="378"/>
      <c r="Z512" s="378"/>
      <c r="AA512" s="378"/>
      <c r="AB512" s="378"/>
      <c r="AC512" s="378"/>
      <c r="AD512" s="378"/>
      <c r="AE512" s="378"/>
      <c r="AF512" s="378"/>
    </row>
    <row r="513" spans="2:32">
      <c r="B513" s="378"/>
      <c r="C513" s="378"/>
      <c r="D513" s="378"/>
      <c r="F513" s="378"/>
      <c r="G513" s="378"/>
      <c r="H513" s="378"/>
      <c r="I513" s="378"/>
      <c r="J513" s="378"/>
      <c r="K513" s="378"/>
      <c r="L513" s="378"/>
      <c r="M513" s="378"/>
      <c r="N513" s="378"/>
      <c r="O513" s="378"/>
      <c r="P513" s="378"/>
      <c r="Q513" s="378"/>
      <c r="R513" s="378"/>
      <c r="S513" s="378"/>
      <c r="T513" s="378"/>
      <c r="U513" s="378"/>
      <c r="V513" s="378"/>
      <c r="W513" s="378"/>
      <c r="X513" s="378"/>
      <c r="Y513" s="378"/>
      <c r="Z513" s="378"/>
      <c r="AA513" s="378"/>
      <c r="AB513" s="378"/>
      <c r="AC513" s="378"/>
      <c r="AD513" s="378"/>
      <c r="AE513" s="378"/>
      <c r="AF513" s="378"/>
    </row>
    <row r="514" spans="2:32">
      <c r="B514" s="378"/>
      <c r="C514" s="378"/>
      <c r="D514" s="378"/>
      <c r="F514" s="378"/>
      <c r="G514" s="378"/>
      <c r="H514" s="378"/>
      <c r="I514" s="378"/>
      <c r="J514" s="378"/>
      <c r="K514" s="378"/>
      <c r="L514" s="378"/>
      <c r="M514" s="378"/>
      <c r="N514" s="378"/>
      <c r="O514" s="378"/>
      <c r="P514" s="378"/>
      <c r="Q514" s="378"/>
      <c r="R514" s="378"/>
      <c r="S514" s="378"/>
      <c r="T514" s="378"/>
      <c r="U514" s="378"/>
      <c r="V514" s="378"/>
      <c r="W514" s="378"/>
      <c r="X514" s="378"/>
      <c r="Y514" s="378"/>
      <c r="Z514" s="378"/>
      <c r="AA514" s="378"/>
      <c r="AB514" s="378"/>
      <c r="AC514" s="378"/>
      <c r="AD514" s="378"/>
      <c r="AE514" s="378"/>
      <c r="AF514" s="378"/>
    </row>
    <row r="515" spans="2:32">
      <c r="B515" s="378"/>
      <c r="C515" s="378"/>
      <c r="D515" s="378"/>
      <c r="F515" s="378"/>
      <c r="G515" s="378"/>
      <c r="H515" s="378"/>
      <c r="I515" s="378"/>
      <c r="J515" s="378"/>
      <c r="K515" s="378"/>
      <c r="L515" s="378"/>
      <c r="M515" s="378"/>
      <c r="N515" s="378"/>
      <c r="O515" s="378"/>
      <c r="P515" s="378"/>
      <c r="Q515" s="378"/>
      <c r="R515" s="378"/>
      <c r="S515" s="378"/>
      <c r="T515" s="378"/>
      <c r="U515" s="378"/>
      <c r="V515" s="378"/>
      <c r="W515" s="378"/>
      <c r="X515" s="378"/>
      <c r="Y515" s="378"/>
      <c r="Z515" s="378"/>
      <c r="AA515" s="378"/>
      <c r="AB515" s="378"/>
      <c r="AC515" s="378"/>
      <c r="AD515" s="378"/>
      <c r="AE515" s="378"/>
      <c r="AF515" s="378"/>
    </row>
    <row r="516" spans="2:32">
      <c r="B516" s="378"/>
      <c r="C516" s="378"/>
      <c r="D516" s="378"/>
      <c r="F516" s="378"/>
      <c r="G516" s="378"/>
      <c r="H516" s="378"/>
      <c r="I516" s="378"/>
      <c r="J516" s="378"/>
      <c r="K516" s="378"/>
      <c r="L516" s="378"/>
      <c r="M516" s="378"/>
      <c r="N516" s="378"/>
      <c r="O516" s="378"/>
      <c r="P516" s="378"/>
      <c r="Q516" s="378"/>
      <c r="R516" s="378"/>
      <c r="S516" s="378"/>
      <c r="T516" s="378"/>
      <c r="U516" s="378"/>
      <c r="V516" s="378"/>
      <c r="W516" s="378"/>
      <c r="X516" s="378"/>
      <c r="Y516" s="378"/>
      <c r="Z516" s="378"/>
      <c r="AA516" s="378"/>
      <c r="AB516" s="378"/>
      <c r="AC516" s="378"/>
      <c r="AD516" s="378"/>
      <c r="AE516" s="378"/>
      <c r="AF516" s="378"/>
    </row>
    <row r="517" spans="2:32">
      <c r="B517" s="378"/>
      <c r="C517" s="378"/>
      <c r="D517" s="378"/>
      <c r="F517" s="378"/>
      <c r="G517" s="378"/>
      <c r="H517" s="378"/>
      <c r="I517" s="378"/>
      <c r="J517" s="378"/>
      <c r="K517" s="378"/>
      <c r="L517" s="378"/>
      <c r="M517" s="378"/>
      <c r="N517" s="378"/>
      <c r="O517" s="378"/>
      <c r="P517" s="378"/>
      <c r="Q517" s="378"/>
      <c r="R517" s="378"/>
      <c r="S517" s="378"/>
      <c r="T517" s="378"/>
      <c r="U517" s="378"/>
      <c r="V517" s="378"/>
      <c r="W517" s="378"/>
      <c r="X517" s="378"/>
      <c r="Y517" s="378"/>
      <c r="Z517" s="378"/>
      <c r="AA517" s="378"/>
      <c r="AB517" s="378"/>
      <c r="AC517" s="378"/>
      <c r="AD517" s="378"/>
      <c r="AE517" s="378"/>
      <c r="AF517" s="378"/>
    </row>
    <row r="518" spans="2:32">
      <c r="B518" s="378"/>
      <c r="C518" s="378"/>
      <c r="D518" s="378"/>
      <c r="F518" s="378"/>
      <c r="G518" s="378"/>
      <c r="H518" s="378"/>
      <c r="I518" s="378"/>
      <c r="J518" s="378"/>
      <c r="K518" s="378"/>
      <c r="L518" s="378"/>
      <c r="M518" s="378"/>
      <c r="N518" s="378"/>
      <c r="O518" s="378"/>
      <c r="P518" s="378"/>
      <c r="Q518" s="378"/>
      <c r="R518" s="378"/>
      <c r="S518" s="378"/>
      <c r="T518" s="378"/>
      <c r="U518" s="378"/>
      <c r="V518" s="378"/>
      <c r="W518" s="378"/>
      <c r="X518" s="378"/>
      <c r="Y518" s="378"/>
      <c r="Z518" s="378"/>
      <c r="AA518" s="378"/>
      <c r="AB518" s="378"/>
      <c r="AC518" s="378"/>
      <c r="AD518" s="378"/>
      <c r="AE518" s="378"/>
      <c r="AF518" s="378"/>
    </row>
    <row r="519" spans="2:32">
      <c r="B519" s="378"/>
      <c r="C519" s="378"/>
      <c r="D519" s="378"/>
      <c r="F519" s="378"/>
      <c r="G519" s="378"/>
      <c r="H519" s="378"/>
      <c r="I519" s="378"/>
      <c r="J519" s="378"/>
      <c r="K519" s="378"/>
      <c r="L519" s="378"/>
      <c r="M519" s="378"/>
      <c r="N519" s="378"/>
      <c r="O519" s="378"/>
      <c r="P519" s="378"/>
      <c r="Q519" s="378"/>
      <c r="R519" s="378"/>
      <c r="S519" s="378"/>
      <c r="T519" s="378"/>
      <c r="U519" s="378"/>
      <c r="V519" s="378"/>
      <c r="W519" s="378"/>
      <c r="X519" s="378"/>
      <c r="Y519" s="378"/>
      <c r="Z519" s="378"/>
      <c r="AA519" s="378"/>
      <c r="AB519" s="378"/>
      <c r="AC519" s="378"/>
      <c r="AD519" s="378"/>
      <c r="AE519" s="378"/>
      <c r="AF519" s="378"/>
    </row>
    <row r="520" spans="2:32">
      <c r="B520" s="378"/>
      <c r="C520" s="378"/>
      <c r="D520" s="378"/>
      <c r="F520" s="378"/>
      <c r="G520" s="378"/>
      <c r="H520" s="378"/>
      <c r="I520" s="378"/>
      <c r="J520" s="378"/>
      <c r="K520" s="378"/>
      <c r="L520" s="378"/>
      <c r="M520" s="378"/>
      <c r="N520" s="378"/>
      <c r="O520" s="378"/>
      <c r="P520" s="378"/>
      <c r="Q520" s="378"/>
      <c r="R520" s="378"/>
      <c r="S520" s="378"/>
      <c r="T520" s="378"/>
      <c r="U520" s="378"/>
      <c r="V520" s="378"/>
      <c r="W520" s="378"/>
      <c r="X520" s="378"/>
      <c r="Y520" s="378"/>
      <c r="Z520" s="378"/>
      <c r="AA520" s="378"/>
      <c r="AB520" s="378"/>
      <c r="AC520" s="378"/>
      <c r="AD520" s="378"/>
      <c r="AE520" s="378"/>
      <c r="AF520" s="378"/>
    </row>
    <row r="521" spans="2:32">
      <c r="B521" s="378"/>
      <c r="C521" s="378"/>
      <c r="D521" s="378"/>
      <c r="F521" s="378"/>
      <c r="G521" s="378"/>
      <c r="H521" s="378"/>
      <c r="I521" s="378"/>
      <c r="J521" s="378"/>
      <c r="K521" s="378"/>
      <c r="L521" s="378"/>
      <c r="M521" s="378"/>
      <c r="N521" s="378"/>
      <c r="O521" s="378"/>
      <c r="P521" s="378"/>
      <c r="Q521" s="378"/>
      <c r="R521" s="378"/>
      <c r="S521" s="378"/>
      <c r="T521" s="378"/>
      <c r="U521" s="378"/>
      <c r="V521" s="378"/>
      <c r="W521" s="378"/>
      <c r="X521" s="378"/>
      <c r="Y521" s="378"/>
      <c r="Z521" s="378"/>
      <c r="AA521" s="378"/>
      <c r="AB521" s="378"/>
      <c r="AC521" s="378"/>
      <c r="AD521" s="378"/>
      <c r="AE521" s="378"/>
      <c r="AF521" s="378"/>
    </row>
    <row r="522" spans="2:32">
      <c r="B522" s="378"/>
      <c r="C522" s="378"/>
      <c r="D522" s="378"/>
      <c r="F522" s="378"/>
      <c r="G522" s="378"/>
      <c r="H522" s="378"/>
      <c r="I522" s="378"/>
      <c r="J522" s="378"/>
      <c r="K522" s="378"/>
      <c r="L522" s="378"/>
      <c r="M522" s="378"/>
      <c r="N522" s="378"/>
      <c r="O522" s="378"/>
      <c r="P522" s="378"/>
      <c r="Q522" s="378"/>
      <c r="R522" s="378"/>
      <c r="S522" s="378"/>
      <c r="T522" s="378"/>
      <c r="U522" s="378"/>
      <c r="V522" s="378"/>
      <c r="W522" s="378"/>
      <c r="X522" s="378"/>
      <c r="Y522" s="378"/>
      <c r="Z522" s="378"/>
      <c r="AA522" s="378"/>
      <c r="AB522" s="378"/>
      <c r="AC522" s="378"/>
      <c r="AD522" s="378"/>
      <c r="AE522" s="378"/>
      <c r="AF522" s="378"/>
    </row>
    <row r="523" spans="2:32">
      <c r="B523" s="378"/>
      <c r="C523" s="378"/>
      <c r="D523" s="378"/>
      <c r="F523" s="378"/>
      <c r="G523" s="378"/>
      <c r="H523" s="378"/>
      <c r="I523" s="378"/>
      <c r="J523" s="378"/>
      <c r="K523" s="378"/>
      <c r="L523" s="378"/>
      <c r="M523" s="378"/>
      <c r="N523" s="378"/>
      <c r="O523" s="378"/>
      <c r="P523" s="378"/>
      <c r="Q523" s="378"/>
      <c r="R523" s="378"/>
      <c r="S523" s="378"/>
      <c r="T523" s="378"/>
      <c r="U523" s="378"/>
      <c r="V523" s="378"/>
      <c r="W523" s="378"/>
      <c r="X523" s="378"/>
      <c r="Y523" s="378"/>
      <c r="Z523" s="378"/>
      <c r="AA523" s="378"/>
      <c r="AB523" s="378"/>
      <c r="AC523" s="378"/>
      <c r="AD523" s="378"/>
      <c r="AE523" s="378"/>
      <c r="AF523" s="378"/>
    </row>
    <row r="524" spans="2:32">
      <c r="B524" s="378"/>
      <c r="C524" s="378"/>
      <c r="D524" s="378"/>
      <c r="F524" s="378"/>
      <c r="G524" s="378"/>
      <c r="H524" s="378"/>
      <c r="I524" s="378"/>
      <c r="J524" s="378"/>
      <c r="K524" s="378"/>
      <c r="L524" s="378"/>
      <c r="M524" s="378"/>
      <c r="N524" s="378"/>
      <c r="O524" s="378"/>
      <c r="P524" s="378"/>
      <c r="Q524" s="378"/>
      <c r="R524" s="378"/>
      <c r="S524" s="378"/>
      <c r="T524" s="378"/>
      <c r="U524" s="378"/>
      <c r="V524" s="378"/>
      <c r="W524" s="378"/>
      <c r="X524" s="378"/>
      <c r="Y524" s="378"/>
      <c r="Z524" s="378"/>
      <c r="AA524" s="378"/>
      <c r="AB524" s="378"/>
      <c r="AC524" s="378"/>
      <c r="AD524" s="378"/>
      <c r="AE524" s="378"/>
      <c r="AF524" s="378"/>
    </row>
    <row r="525" spans="2:32">
      <c r="B525" s="378"/>
      <c r="C525" s="378"/>
      <c r="D525" s="378"/>
      <c r="F525" s="378"/>
      <c r="G525" s="378"/>
      <c r="H525" s="378"/>
      <c r="I525" s="378"/>
      <c r="J525" s="378"/>
      <c r="K525" s="378"/>
      <c r="L525" s="378"/>
      <c r="M525" s="378"/>
      <c r="N525" s="378"/>
      <c r="O525" s="378"/>
      <c r="P525" s="378"/>
      <c r="Q525" s="378"/>
      <c r="R525" s="378"/>
      <c r="S525" s="378"/>
      <c r="T525" s="378"/>
      <c r="U525" s="378"/>
      <c r="V525" s="378"/>
      <c r="W525" s="378"/>
      <c r="X525" s="378"/>
      <c r="Y525" s="378"/>
      <c r="Z525" s="378"/>
      <c r="AA525" s="378"/>
      <c r="AB525" s="378"/>
      <c r="AC525" s="378"/>
      <c r="AD525" s="378"/>
      <c r="AE525" s="378"/>
      <c r="AF525" s="378"/>
    </row>
    <row r="526" spans="2:32">
      <c r="B526" s="378"/>
      <c r="C526" s="378"/>
      <c r="D526" s="378"/>
      <c r="F526" s="378"/>
      <c r="G526" s="378"/>
      <c r="H526" s="378"/>
      <c r="I526" s="378"/>
      <c r="J526" s="378"/>
      <c r="K526" s="378"/>
      <c r="L526" s="378"/>
      <c r="M526" s="378"/>
      <c r="N526" s="378"/>
      <c r="O526" s="378"/>
      <c r="P526" s="378"/>
      <c r="Q526" s="378"/>
      <c r="R526" s="378"/>
      <c r="S526" s="378"/>
      <c r="T526" s="378"/>
      <c r="U526" s="378"/>
      <c r="V526" s="378"/>
      <c r="W526" s="378"/>
      <c r="X526" s="378"/>
      <c r="Y526" s="378"/>
      <c r="Z526" s="378"/>
      <c r="AA526" s="378"/>
      <c r="AB526" s="378"/>
      <c r="AC526" s="378"/>
      <c r="AD526" s="378"/>
      <c r="AE526" s="378"/>
      <c r="AF526" s="378"/>
    </row>
    <row r="527" spans="2:32">
      <c r="B527" s="378"/>
      <c r="C527" s="378"/>
      <c r="D527" s="378"/>
      <c r="F527" s="378"/>
      <c r="G527" s="378"/>
      <c r="H527" s="378"/>
      <c r="I527" s="378"/>
      <c r="J527" s="378"/>
      <c r="K527" s="378"/>
      <c r="L527" s="378"/>
      <c r="M527" s="378"/>
      <c r="N527" s="378"/>
      <c r="O527" s="378"/>
      <c r="P527" s="378"/>
      <c r="Q527" s="378"/>
      <c r="R527" s="378"/>
      <c r="S527" s="378"/>
      <c r="T527" s="378"/>
      <c r="U527" s="378"/>
      <c r="V527" s="378"/>
      <c r="W527" s="378"/>
      <c r="X527" s="378"/>
      <c r="Y527" s="378"/>
      <c r="Z527" s="378"/>
      <c r="AA527" s="378"/>
      <c r="AB527" s="378"/>
      <c r="AC527" s="378"/>
      <c r="AD527" s="378"/>
      <c r="AE527" s="378"/>
      <c r="AF527" s="378"/>
    </row>
    <row r="528" spans="2:32">
      <c r="B528" s="378"/>
      <c r="C528" s="378"/>
      <c r="D528" s="378"/>
      <c r="F528" s="378"/>
      <c r="G528" s="378"/>
      <c r="H528" s="378"/>
      <c r="I528" s="378"/>
      <c r="J528" s="378"/>
      <c r="K528" s="378"/>
      <c r="L528" s="378"/>
      <c r="M528" s="378"/>
      <c r="N528" s="378"/>
      <c r="O528" s="378"/>
      <c r="P528" s="378"/>
      <c r="Q528" s="378"/>
      <c r="R528" s="378"/>
      <c r="S528" s="378"/>
      <c r="T528" s="378"/>
      <c r="U528" s="378"/>
      <c r="V528" s="378"/>
      <c r="W528" s="378"/>
      <c r="X528" s="378"/>
      <c r="Y528" s="378"/>
      <c r="Z528" s="378"/>
      <c r="AA528" s="378"/>
      <c r="AB528" s="378"/>
      <c r="AC528" s="378"/>
      <c r="AD528" s="378"/>
      <c r="AE528" s="378"/>
      <c r="AF528" s="378"/>
    </row>
    <row r="529" spans="2:32">
      <c r="B529" s="378"/>
      <c r="C529" s="378"/>
      <c r="D529" s="378"/>
      <c r="F529" s="378"/>
      <c r="G529" s="378"/>
      <c r="H529" s="378"/>
      <c r="I529" s="378"/>
      <c r="J529" s="378"/>
      <c r="K529" s="378"/>
      <c r="L529" s="378"/>
      <c r="M529" s="378"/>
      <c r="N529" s="378"/>
      <c r="O529" s="378"/>
      <c r="P529" s="378"/>
      <c r="Q529" s="378"/>
      <c r="R529" s="378"/>
      <c r="S529" s="378"/>
      <c r="T529" s="378"/>
      <c r="U529" s="378"/>
      <c r="V529" s="378"/>
      <c r="W529" s="378"/>
      <c r="X529" s="378"/>
      <c r="Y529" s="378"/>
      <c r="Z529" s="378"/>
      <c r="AA529" s="378"/>
      <c r="AB529" s="378"/>
      <c r="AC529" s="378"/>
      <c r="AD529" s="378"/>
      <c r="AE529" s="378"/>
      <c r="AF529" s="378"/>
    </row>
    <row r="530" spans="2:32">
      <c r="B530" s="378"/>
      <c r="C530" s="378"/>
      <c r="D530" s="378"/>
      <c r="F530" s="378"/>
      <c r="G530" s="378"/>
      <c r="H530" s="378"/>
      <c r="I530" s="378"/>
      <c r="J530" s="378"/>
      <c r="K530" s="378"/>
      <c r="L530" s="378"/>
      <c r="M530" s="378"/>
      <c r="N530" s="378"/>
      <c r="O530" s="378"/>
      <c r="P530" s="378"/>
      <c r="Q530" s="378"/>
      <c r="R530" s="378"/>
      <c r="S530" s="378"/>
      <c r="T530" s="378"/>
      <c r="U530" s="378"/>
      <c r="V530" s="378"/>
      <c r="W530" s="378"/>
      <c r="X530" s="378"/>
      <c r="Y530" s="378"/>
      <c r="Z530" s="378"/>
      <c r="AA530" s="378"/>
      <c r="AB530" s="378"/>
      <c r="AC530" s="378"/>
      <c r="AD530" s="378"/>
      <c r="AE530" s="378"/>
      <c r="AF530" s="378"/>
    </row>
    <row r="531" spans="2:32">
      <c r="B531" s="378"/>
      <c r="C531" s="378"/>
      <c r="D531" s="378"/>
      <c r="F531" s="378"/>
      <c r="G531" s="378"/>
      <c r="H531" s="378"/>
      <c r="I531" s="378"/>
      <c r="J531" s="378"/>
      <c r="K531" s="378"/>
      <c r="L531" s="378"/>
      <c r="M531" s="378"/>
      <c r="N531" s="378"/>
      <c r="O531" s="378"/>
      <c r="P531" s="378"/>
      <c r="Q531" s="378"/>
      <c r="R531" s="378"/>
      <c r="S531" s="378"/>
      <c r="T531" s="378"/>
      <c r="U531" s="378"/>
      <c r="V531" s="378"/>
      <c r="W531" s="378"/>
      <c r="X531" s="378"/>
      <c r="Y531" s="378"/>
      <c r="Z531" s="378"/>
      <c r="AA531" s="378"/>
      <c r="AB531" s="378"/>
      <c r="AC531" s="378"/>
      <c r="AD531" s="378"/>
      <c r="AE531" s="378"/>
      <c r="AF531" s="378"/>
    </row>
    <row r="532" spans="2:32">
      <c r="B532" s="378"/>
      <c r="C532" s="378"/>
      <c r="D532" s="378"/>
      <c r="F532" s="378"/>
      <c r="G532" s="378"/>
      <c r="H532" s="378"/>
      <c r="I532" s="378"/>
      <c r="J532" s="378"/>
      <c r="K532" s="378"/>
      <c r="L532" s="378"/>
      <c r="M532" s="378"/>
      <c r="N532" s="378"/>
      <c r="O532" s="378"/>
      <c r="P532" s="378"/>
      <c r="Q532" s="378"/>
      <c r="R532" s="378"/>
      <c r="S532" s="378"/>
      <c r="T532" s="378"/>
      <c r="U532" s="378"/>
      <c r="V532" s="378"/>
      <c r="W532" s="378"/>
      <c r="X532" s="378"/>
      <c r="Y532" s="378"/>
      <c r="Z532" s="378"/>
      <c r="AA532" s="378"/>
      <c r="AB532" s="378"/>
      <c r="AC532" s="378"/>
      <c r="AD532" s="378"/>
      <c r="AE532" s="378"/>
      <c r="AF532" s="378"/>
    </row>
    <row r="533" spans="2:32">
      <c r="B533" s="378"/>
      <c r="C533" s="378"/>
      <c r="D533" s="378"/>
      <c r="F533" s="378"/>
      <c r="G533" s="378"/>
      <c r="H533" s="378"/>
      <c r="I533" s="378"/>
      <c r="J533" s="378"/>
      <c r="K533" s="378"/>
      <c r="L533" s="378"/>
      <c r="M533" s="378"/>
      <c r="N533" s="378"/>
      <c r="O533" s="378"/>
      <c r="P533" s="378"/>
      <c r="Q533" s="378"/>
      <c r="R533" s="378"/>
      <c r="S533" s="378"/>
      <c r="T533" s="378"/>
      <c r="U533" s="378"/>
      <c r="V533" s="378"/>
      <c r="W533" s="378"/>
      <c r="X533" s="378"/>
      <c r="Y533" s="378"/>
      <c r="Z533" s="378"/>
      <c r="AA533" s="378"/>
      <c r="AB533" s="378"/>
      <c r="AC533" s="378"/>
      <c r="AD533" s="378"/>
      <c r="AE533" s="378"/>
      <c r="AF533" s="378"/>
    </row>
    <row r="534" spans="2:32">
      <c r="B534" s="378"/>
      <c r="C534" s="378"/>
      <c r="D534" s="378"/>
      <c r="F534" s="378"/>
      <c r="G534" s="378"/>
      <c r="H534" s="378"/>
      <c r="I534" s="378"/>
      <c r="J534" s="378"/>
      <c r="K534" s="378"/>
      <c r="L534" s="378"/>
      <c r="M534" s="378"/>
      <c r="N534" s="378"/>
      <c r="O534" s="378"/>
      <c r="P534" s="378"/>
      <c r="Q534" s="378"/>
      <c r="R534" s="378"/>
      <c r="S534" s="378"/>
      <c r="T534" s="378"/>
      <c r="U534" s="378"/>
      <c r="V534" s="378"/>
      <c r="W534" s="378"/>
      <c r="X534" s="378"/>
      <c r="Y534" s="378"/>
      <c r="Z534" s="378"/>
      <c r="AA534" s="378"/>
      <c r="AB534" s="378"/>
      <c r="AC534" s="378"/>
      <c r="AD534" s="378"/>
      <c r="AE534" s="378"/>
      <c r="AF534" s="378"/>
    </row>
    <row r="535" spans="2:32">
      <c r="B535" s="378"/>
      <c r="C535" s="378"/>
      <c r="D535" s="378"/>
      <c r="F535" s="378"/>
      <c r="G535" s="378"/>
      <c r="H535" s="378"/>
      <c r="I535" s="378"/>
      <c r="J535" s="378"/>
      <c r="K535" s="378"/>
      <c r="L535" s="378"/>
      <c r="M535" s="378"/>
      <c r="N535" s="378"/>
      <c r="O535" s="378"/>
      <c r="P535" s="378"/>
      <c r="Q535" s="378"/>
      <c r="R535" s="378"/>
      <c r="S535" s="378"/>
      <c r="T535" s="378"/>
      <c r="U535" s="378"/>
      <c r="V535" s="378"/>
      <c r="W535" s="378"/>
      <c r="X535" s="378"/>
      <c r="Y535" s="378"/>
      <c r="Z535" s="378"/>
      <c r="AA535" s="378"/>
      <c r="AB535" s="378"/>
      <c r="AC535" s="378"/>
      <c r="AD535" s="378"/>
      <c r="AE535" s="378"/>
      <c r="AF535" s="378"/>
    </row>
    <row r="536" spans="2:32">
      <c r="B536" s="378"/>
      <c r="C536" s="378"/>
      <c r="D536" s="378"/>
      <c r="F536" s="378"/>
      <c r="G536" s="378"/>
      <c r="H536" s="378"/>
      <c r="I536" s="378"/>
      <c r="J536" s="378"/>
      <c r="K536" s="378"/>
      <c r="L536" s="378"/>
      <c r="M536" s="378"/>
      <c r="N536" s="378"/>
      <c r="O536" s="378"/>
      <c r="P536" s="378"/>
      <c r="Q536" s="378"/>
      <c r="R536" s="378"/>
      <c r="S536" s="378"/>
      <c r="T536" s="378"/>
      <c r="U536" s="378"/>
      <c r="V536" s="378"/>
      <c r="W536" s="378"/>
      <c r="X536" s="378"/>
      <c r="Y536" s="378"/>
      <c r="Z536" s="378"/>
      <c r="AA536" s="378"/>
      <c r="AB536" s="378"/>
      <c r="AC536" s="378"/>
      <c r="AD536" s="378"/>
      <c r="AE536" s="378"/>
      <c r="AF536" s="378"/>
    </row>
    <row r="537" spans="2:32">
      <c r="B537" s="378"/>
      <c r="C537" s="378"/>
      <c r="D537" s="378"/>
      <c r="F537" s="378"/>
      <c r="G537" s="378"/>
      <c r="H537" s="378"/>
      <c r="I537" s="378"/>
      <c r="J537" s="378"/>
      <c r="K537" s="378"/>
      <c r="L537" s="378"/>
      <c r="M537" s="378"/>
      <c r="N537" s="378"/>
      <c r="O537" s="378"/>
      <c r="P537" s="378"/>
      <c r="Q537" s="378"/>
      <c r="R537" s="378"/>
      <c r="S537" s="378"/>
      <c r="T537" s="378"/>
      <c r="U537" s="378"/>
      <c r="V537" s="378"/>
      <c r="W537" s="378"/>
      <c r="X537" s="378"/>
      <c r="Y537" s="378"/>
      <c r="Z537" s="378"/>
      <c r="AA537" s="378"/>
      <c r="AB537" s="378"/>
      <c r="AC537" s="378"/>
      <c r="AD537" s="378"/>
      <c r="AE537" s="378"/>
      <c r="AF537" s="378"/>
    </row>
    <row r="538" spans="2:32">
      <c r="B538" s="378"/>
      <c r="C538" s="378"/>
      <c r="D538" s="378"/>
      <c r="F538" s="378"/>
      <c r="G538" s="378"/>
      <c r="H538" s="378"/>
      <c r="I538" s="378"/>
      <c r="J538" s="378"/>
      <c r="K538" s="378"/>
      <c r="L538" s="378"/>
      <c r="M538" s="378"/>
      <c r="N538" s="378"/>
      <c r="O538" s="378"/>
      <c r="P538" s="378"/>
      <c r="Q538" s="378"/>
      <c r="R538" s="378"/>
      <c r="S538" s="378"/>
      <c r="T538" s="378"/>
      <c r="U538" s="378"/>
      <c r="V538" s="378"/>
      <c r="W538" s="378"/>
      <c r="X538" s="378"/>
      <c r="Y538" s="378"/>
      <c r="Z538" s="378"/>
      <c r="AA538" s="378"/>
      <c r="AB538" s="378"/>
      <c r="AC538" s="378"/>
      <c r="AD538" s="378"/>
      <c r="AE538" s="378"/>
      <c r="AF538" s="378"/>
    </row>
    <row r="539" spans="2:32">
      <c r="B539" s="378"/>
      <c r="C539" s="378"/>
      <c r="D539" s="378"/>
      <c r="F539" s="378"/>
      <c r="G539" s="378"/>
      <c r="H539" s="378"/>
      <c r="I539" s="378"/>
      <c r="J539" s="378"/>
      <c r="K539" s="378"/>
      <c r="L539" s="378"/>
      <c r="M539" s="378"/>
      <c r="N539" s="378"/>
      <c r="O539" s="378"/>
      <c r="P539" s="378"/>
      <c r="Q539" s="378"/>
      <c r="R539" s="378"/>
      <c r="S539" s="378"/>
      <c r="T539" s="378"/>
      <c r="U539" s="378"/>
      <c r="V539" s="378"/>
      <c r="W539" s="378"/>
      <c r="X539" s="378"/>
      <c r="Y539" s="378"/>
      <c r="Z539" s="378"/>
      <c r="AA539" s="378"/>
      <c r="AB539" s="378"/>
      <c r="AC539" s="378"/>
      <c r="AD539" s="378"/>
      <c r="AE539" s="378"/>
      <c r="AF539" s="378"/>
    </row>
    <row r="540" spans="2:32">
      <c r="B540" s="378"/>
      <c r="C540" s="378"/>
      <c r="D540" s="378"/>
      <c r="F540" s="378"/>
      <c r="G540" s="378"/>
      <c r="H540" s="378"/>
      <c r="I540" s="378"/>
      <c r="J540" s="378"/>
      <c r="K540" s="378"/>
      <c r="L540" s="378"/>
      <c r="M540" s="378"/>
      <c r="N540" s="378"/>
      <c r="O540" s="378"/>
      <c r="P540" s="378"/>
      <c r="Q540" s="378"/>
      <c r="R540" s="378"/>
      <c r="S540" s="378"/>
      <c r="T540" s="378"/>
      <c r="U540" s="378"/>
      <c r="V540" s="378"/>
      <c r="W540" s="378"/>
      <c r="X540" s="378"/>
      <c r="Y540" s="378"/>
      <c r="Z540" s="378"/>
      <c r="AA540" s="378"/>
      <c r="AB540" s="378"/>
      <c r="AC540" s="378"/>
      <c r="AD540" s="378"/>
      <c r="AE540" s="378"/>
      <c r="AF540" s="378"/>
    </row>
    <row r="541" spans="2:32">
      <c r="B541" s="378"/>
      <c r="C541" s="378"/>
      <c r="D541" s="378"/>
      <c r="F541" s="378"/>
      <c r="G541" s="378"/>
      <c r="H541" s="378"/>
      <c r="I541" s="378"/>
      <c r="J541" s="378"/>
      <c r="K541" s="378"/>
      <c r="L541" s="378"/>
      <c r="M541" s="378"/>
      <c r="N541" s="378"/>
      <c r="O541" s="378"/>
      <c r="P541" s="378"/>
      <c r="Q541" s="378"/>
      <c r="R541" s="378"/>
      <c r="S541" s="378"/>
      <c r="T541" s="378"/>
      <c r="U541" s="378"/>
      <c r="V541" s="378"/>
      <c r="W541" s="378"/>
      <c r="X541" s="378"/>
      <c r="Y541" s="378"/>
      <c r="Z541" s="378"/>
      <c r="AA541" s="378"/>
      <c r="AB541" s="378"/>
      <c r="AC541" s="378"/>
      <c r="AD541" s="378"/>
      <c r="AE541" s="378"/>
      <c r="AF541" s="378"/>
    </row>
    <row r="542" spans="2:32">
      <c r="B542" s="378"/>
      <c r="C542" s="378"/>
      <c r="D542" s="378"/>
      <c r="F542" s="378"/>
      <c r="G542" s="378"/>
      <c r="H542" s="378"/>
      <c r="I542" s="378"/>
      <c r="J542" s="378"/>
      <c r="K542" s="378"/>
      <c r="L542" s="378"/>
      <c r="M542" s="378"/>
      <c r="N542" s="378"/>
      <c r="O542" s="378"/>
      <c r="P542" s="378"/>
      <c r="Q542" s="378"/>
      <c r="R542" s="378"/>
      <c r="S542" s="378"/>
      <c r="T542" s="378"/>
      <c r="U542" s="378"/>
      <c r="V542" s="378"/>
      <c r="W542" s="378"/>
      <c r="X542" s="378"/>
      <c r="Y542" s="378"/>
      <c r="Z542" s="378"/>
      <c r="AA542" s="378"/>
      <c r="AB542" s="378"/>
      <c r="AC542" s="378"/>
      <c r="AD542" s="378"/>
      <c r="AE542" s="378"/>
      <c r="AF542" s="378"/>
    </row>
    <row r="543" spans="2:32">
      <c r="B543" s="378"/>
      <c r="C543" s="378"/>
      <c r="D543" s="378"/>
      <c r="F543" s="378"/>
      <c r="G543" s="378"/>
      <c r="H543" s="378"/>
      <c r="I543" s="378"/>
      <c r="J543" s="378"/>
      <c r="K543" s="378"/>
      <c r="L543" s="378"/>
      <c r="M543" s="378"/>
      <c r="N543" s="378"/>
      <c r="O543" s="378"/>
      <c r="P543" s="378"/>
      <c r="Q543" s="378"/>
      <c r="R543" s="378"/>
      <c r="S543" s="378"/>
      <c r="T543" s="378"/>
      <c r="U543" s="378"/>
      <c r="V543" s="378"/>
      <c r="W543" s="378"/>
      <c r="X543" s="378"/>
      <c r="Y543" s="378"/>
      <c r="Z543" s="378"/>
      <c r="AA543" s="378"/>
      <c r="AB543" s="378"/>
      <c r="AC543" s="378"/>
      <c r="AD543" s="378"/>
      <c r="AE543" s="378"/>
      <c r="AF543" s="378"/>
    </row>
    <row r="544" spans="2:32">
      <c r="B544" s="378"/>
      <c r="C544" s="378"/>
      <c r="D544" s="378"/>
      <c r="F544" s="378"/>
      <c r="G544" s="378"/>
      <c r="H544" s="378"/>
      <c r="I544" s="378"/>
      <c r="J544" s="378"/>
      <c r="K544" s="378"/>
      <c r="L544" s="378"/>
      <c r="M544" s="378"/>
      <c r="N544" s="378"/>
      <c r="O544" s="378"/>
      <c r="P544" s="378"/>
      <c r="Q544" s="378"/>
      <c r="R544" s="378"/>
      <c r="S544" s="378"/>
      <c r="T544" s="378"/>
      <c r="U544" s="378"/>
      <c r="V544" s="378"/>
      <c r="W544" s="378"/>
      <c r="X544" s="378"/>
      <c r="Y544" s="378"/>
      <c r="Z544" s="378"/>
      <c r="AA544" s="378"/>
      <c r="AB544" s="378"/>
      <c r="AC544" s="378"/>
      <c r="AD544" s="378"/>
      <c r="AE544" s="378"/>
      <c r="AF544" s="378"/>
    </row>
    <row r="545" spans="2:32">
      <c r="B545" s="378"/>
      <c r="C545" s="378"/>
      <c r="D545" s="378"/>
      <c r="F545" s="378"/>
      <c r="G545" s="378"/>
      <c r="H545" s="378"/>
      <c r="I545" s="378"/>
      <c r="J545" s="378"/>
      <c r="K545" s="378"/>
      <c r="L545" s="378"/>
      <c r="M545" s="378"/>
      <c r="N545" s="378"/>
      <c r="O545" s="378"/>
      <c r="P545" s="378"/>
      <c r="Q545" s="378"/>
      <c r="R545" s="378"/>
      <c r="S545" s="378"/>
      <c r="T545" s="378"/>
      <c r="U545" s="378"/>
      <c r="V545" s="378"/>
      <c r="W545" s="378"/>
      <c r="X545" s="378"/>
      <c r="Y545" s="378"/>
      <c r="Z545" s="378"/>
      <c r="AA545" s="378"/>
      <c r="AB545" s="378"/>
      <c r="AC545" s="378"/>
      <c r="AD545" s="378"/>
      <c r="AE545" s="378"/>
      <c r="AF545" s="378"/>
    </row>
    <row r="546" spans="2:32">
      <c r="B546" s="378"/>
      <c r="C546" s="378"/>
      <c r="D546" s="378"/>
      <c r="F546" s="378"/>
      <c r="G546" s="378"/>
      <c r="H546" s="378"/>
      <c r="I546" s="378"/>
      <c r="J546" s="378"/>
      <c r="K546" s="378"/>
      <c r="L546" s="378"/>
      <c r="M546" s="378"/>
      <c r="N546" s="378"/>
      <c r="O546" s="378"/>
      <c r="P546" s="378"/>
      <c r="Q546" s="378"/>
      <c r="R546" s="378"/>
      <c r="S546" s="378"/>
      <c r="T546" s="378"/>
      <c r="U546" s="378"/>
      <c r="V546" s="378"/>
      <c r="W546" s="378"/>
      <c r="X546" s="378"/>
      <c r="Y546" s="378"/>
      <c r="Z546" s="378"/>
      <c r="AA546" s="378"/>
      <c r="AB546" s="378"/>
      <c r="AC546" s="378"/>
      <c r="AD546" s="378"/>
      <c r="AE546" s="378"/>
      <c r="AF546" s="378"/>
    </row>
    <row r="547" spans="2:32">
      <c r="B547" s="378"/>
      <c r="C547" s="378"/>
      <c r="D547" s="378"/>
      <c r="F547" s="378"/>
      <c r="G547" s="378"/>
      <c r="H547" s="378"/>
      <c r="I547" s="378"/>
      <c r="J547" s="378"/>
      <c r="K547" s="378"/>
      <c r="L547" s="378"/>
      <c r="M547" s="378"/>
      <c r="N547" s="378"/>
      <c r="O547" s="378"/>
      <c r="P547" s="378"/>
      <c r="Q547" s="378"/>
      <c r="R547" s="378"/>
      <c r="S547" s="378"/>
      <c r="T547" s="378"/>
      <c r="U547" s="378"/>
      <c r="V547" s="378"/>
      <c r="W547" s="378"/>
      <c r="X547" s="378"/>
      <c r="Y547" s="378"/>
      <c r="Z547" s="378"/>
      <c r="AA547" s="378"/>
      <c r="AB547" s="378"/>
      <c r="AC547" s="378"/>
      <c r="AD547" s="378"/>
      <c r="AE547" s="378"/>
      <c r="AF547" s="378"/>
    </row>
    <row r="548" spans="2:32">
      <c r="B548" s="378"/>
      <c r="C548" s="378"/>
      <c r="D548" s="378"/>
      <c r="F548" s="378"/>
      <c r="G548" s="378"/>
      <c r="H548" s="378"/>
      <c r="I548" s="378"/>
      <c r="J548" s="378"/>
      <c r="K548" s="378"/>
      <c r="L548" s="378"/>
      <c r="M548" s="378"/>
      <c r="N548" s="378"/>
      <c r="O548" s="378"/>
      <c r="P548" s="378"/>
      <c r="Q548" s="378"/>
      <c r="R548" s="378"/>
      <c r="S548" s="378"/>
      <c r="T548" s="378"/>
      <c r="U548" s="378"/>
      <c r="V548" s="378"/>
      <c r="W548" s="378"/>
      <c r="X548" s="378"/>
      <c r="Y548" s="378"/>
      <c r="Z548" s="378"/>
      <c r="AA548" s="378"/>
      <c r="AB548" s="378"/>
      <c r="AC548" s="378"/>
      <c r="AD548" s="378"/>
      <c r="AE548" s="378"/>
      <c r="AF548" s="378"/>
    </row>
    <row r="549" spans="2:32">
      <c r="B549" s="378"/>
      <c r="C549" s="378"/>
      <c r="D549" s="378"/>
      <c r="F549" s="378"/>
      <c r="G549" s="378"/>
      <c r="H549" s="378"/>
      <c r="I549" s="378"/>
      <c r="J549" s="378"/>
      <c r="K549" s="378"/>
      <c r="L549" s="378"/>
      <c r="M549" s="378"/>
      <c r="N549" s="378"/>
      <c r="O549" s="378"/>
      <c r="P549" s="378"/>
      <c r="Q549" s="378"/>
      <c r="R549" s="378"/>
      <c r="S549" s="378"/>
      <c r="T549" s="378"/>
      <c r="U549" s="378"/>
      <c r="V549" s="378"/>
      <c r="W549" s="378"/>
      <c r="X549" s="378"/>
      <c r="Y549" s="378"/>
      <c r="Z549" s="378"/>
      <c r="AA549" s="378"/>
      <c r="AB549" s="378"/>
      <c r="AC549" s="378"/>
      <c r="AD549" s="378"/>
      <c r="AE549" s="378"/>
      <c r="AF549" s="378"/>
    </row>
    <row r="550" spans="2:32">
      <c r="B550" s="378"/>
      <c r="C550" s="378"/>
      <c r="D550" s="378"/>
      <c r="F550" s="378"/>
      <c r="G550" s="378"/>
      <c r="H550" s="378"/>
      <c r="I550" s="378"/>
      <c r="J550" s="378"/>
      <c r="K550" s="378"/>
      <c r="L550" s="378"/>
      <c r="M550" s="378"/>
      <c r="N550" s="378"/>
      <c r="O550" s="378"/>
      <c r="P550" s="378"/>
      <c r="Q550" s="378"/>
      <c r="R550" s="378"/>
      <c r="S550" s="378"/>
      <c r="T550" s="378"/>
      <c r="U550" s="378"/>
      <c r="V550" s="378"/>
      <c r="W550" s="378"/>
      <c r="X550" s="378"/>
      <c r="Y550" s="378"/>
      <c r="Z550" s="378"/>
      <c r="AA550" s="378"/>
      <c r="AB550" s="378"/>
      <c r="AC550" s="378"/>
      <c r="AD550" s="378"/>
      <c r="AE550" s="378"/>
      <c r="AF550" s="378"/>
    </row>
    <row r="551" spans="2:32">
      <c r="B551" s="378"/>
      <c r="C551" s="378"/>
      <c r="D551" s="378"/>
      <c r="F551" s="378"/>
      <c r="G551" s="378"/>
      <c r="H551" s="378"/>
      <c r="I551" s="378"/>
      <c r="J551" s="378"/>
      <c r="K551" s="378"/>
      <c r="L551" s="378"/>
      <c r="M551" s="378"/>
      <c r="N551" s="378"/>
      <c r="O551" s="378"/>
      <c r="P551" s="378"/>
      <c r="Q551" s="378"/>
      <c r="R551" s="378"/>
      <c r="S551" s="378"/>
      <c r="T551" s="378"/>
      <c r="U551" s="378"/>
      <c r="V551" s="378"/>
      <c r="W551" s="378"/>
      <c r="X551" s="378"/>
      <c r="Y551" s="378"/>
      <c r="Z551" s="378"/>
      <c r="AA551" s="378"/>
      <c r="AB551" s="378"/>
      <c r="AC551" s="378"/>
      <c r="AD551" s="378"/>
      <c r="AE551" s="378"/>
      <c r="AF551" s="378"/>
    </row>
    <row r="552" spans="2:32">
      <c r="B552" s="378"/>
      <c r="C552" s="378"/>
      <c r="D552" s="378"/>
      <c r="F552" s="378"/>
      <c r="G552" s="378"/>
      <c r="H552" s="378"/>
      <c r="I552" s="378"/>
      <c r="J552" s="378"/>
      <c r="K552" s="378"/>
      <c r="L552" s="378"/>
      <c r="M552" s="378"/>
      <c r="N552" s="378"/>
      <c r="O552" s="378"/>
      <c r="P552" s="378"/>
      <c r="Q552" s="378"/>
      <c r="R552" s="378"/>
      <c r="S552" s="378"/>
      <c r="T552" s="378"/>
      <c r="U552" s="378"/>
      <c r="V552" s="378"/>
      <c r="W552" s="378"/>
      <c r="X552" s="378"/>
      <c r="Y552" s="378"/>
      <c r="Z552" s="378"/>
      <c r="AA552" s="378"/>
      <c r="AB552" s="378"/>
      <c r="AC552" s="378"/>
      <c r="AD552" s="378"/>
      <c r="AE552" s="378"/>
      <c r="AF552" s="378"/>
    </row>
    <row r="553" spans="2:32">
      <c r="B553" s="378"/>
      <c r="C553" s="378"/>
      <c r="D553" s="378"/>
      <c r="F553" s="378"/>
      <c r="G553" s="378"/>
      <c r="H553" s="378"/>
      <c r="I553" s="378"/>
      <c r="J553" s="378"/>
      <c r="K553" s="378"/>
      <c r="L553" s="378"/>
      <c r="M553" s="378"/>
      <c r="N553" s="378"/>
      <c r="O553" s="378"/>
      <c r="P553" s="378"/>
      <c r="Q553" s="378"/>
      <c r="R553" s="378"/>
      <c r="S553" s="378"/>
      <c r="T553" s="378"/>
      <c r="U553" s="378"/>
      <c r="V553" s="378"/>
      <c r="W553" s="378"/>
      <c r="X553" s="378"/>
      <c r="Y553" s="378"/>
      <c r="Z553" s="378"/>
      <c r="AA553" s="378"/>
      <c r="AB553" s="378"/>
      <c r="AC553" s="378"/>
      <c r="AD553" s="378"/>
      <c r="AE553" s="378"/>
      <c r="AF553" s="378"/>
    </row>
    <row r="554" spans="2:32">
      <c r="B554" s="378"/>
      <c r="C554" s="378"/>
      <c r="D554" s="378"/>
      <c r="F554" s="378"/>
      <c r="G554" s="378"/>
      <c r="H554" s="378"/>
      <c r="I554" s="378"/>
      <c r="J554" s="378"/>
      <c r="K554" s="378"/>
      <c r="L554" s="378"/>
      <c r="M554" s="378"/>
      <c r="N554" s="378"/>
      <c r="O554" s="378"/>
      <c r="P554" s="378"/>
      <c r="Q554" s="378"/>
      <c r="R554" s="378"/>
      <c r="S554" s="378"/>
      <c r="T554" s="378"/>
      <c r="U554" s="378"/>
      <c r="V554" s="378"/>
      <c r="W554" s="378"/>
      <c r="X554" s="378"/>
      <c r="Y554" s="378"/>
      <c r="Z554" s="378"/>
      <c r="AA554" s="378"/>
      <c r="AB554" s="378"/>
      <c r="AC554" s="378"/>
      <c r="AD554" s="378"/>
      <c r="AE554" s="378"/>
      <c r="AF554" s="378"/>
    </row>
    <row r="555" spans="2:32">
      <c r="B555" s="378"/>
      <c r="C555" s="378"/>
      <c r="D555" s="378"/>
      <c r="F555" s="378"/>
      <c r="G555" s="378"/>
      <c r="H555" s="378"/>
      <c r="I555" s="378"/>
      <c r="J555" s="378"/>
      <c r="K555" s="378"/>
      <c r="L555" s="378"/>
      <c r="M555" s="378"/>
      <c r="N555" s="378"/>
      <c r="O555" s="378"/>
      <c r="P555" s="378"/>
      <c r="Q555" s="378"/>
      <c r="R555" s="378"/>
      <c r="S555" s="378"/>
      <c r="T555" s="378"/>
      <c r="U555" s="378"/>
      <c r="V555" s="378"/>
      <c r="W555" s="378"/>
      <c r="X555" s="378"/>
      <c r="Y555" s="378"/>
      <c r="Z555" s="378"/>
      <c r="AA555" s="378"/>
      <c r="AB555" s="378"/>
      <c r="AC555" s="378"/>
      <c r="AD555" s="378"/>
      <c r="AE555" s="378"/>
      <c r="AF555" s="378"/>
    </row>
    <row r="556" spans="2:32">
      <c r="B556" s="378"/>
      <c r="C556" s="378"/>
      <c r="D556" s="378"/>
      <c r="F556" s="378"/>
      <c r="G556" s="378"/>
      <c r="H556" s="378"/>
      <c r="I556" s="378"/>
      <c r="J556" s="378"/>
      <c r="K556" s="378"/>
      <c r="L556" s="378"/>
      <c r="M556" s="378"/>
      <c r="N556" s="378"/>
      <c r="O556" s="378"/>
      <c r="P556" s="378"/>
      <c r="Q556" s="378"/>
      <c r="R556" s="378"/>
      <c r="S556" s="378"/>
      <c r="T556" s="378"/>
      <c r="U556" s="378"/>
      <c r="V556" s="378"/>
      <c r="W556" s="378"/>
      <c r="X556" s="378"/>
      <c r="Y556" s="378"/>
      <c r="Z556" s="378"/>
      <c r="AA556" s="378"/>
      <c r="AB556" s="378"/>
      <c r="AC556" s="378"/>
      <c r="AD556" s="378"/>
      <c r="AE556" s="378"/>
      <c r="AF556" s="378"/>
    </row>
    <row r="557" spans="2:32">
      <c r="B557" s="378"/>
      <c r="C557" s="378"/>
      <c r="D557" s="378"/>
      <c r="F557" s="378"/>
      <c r="G557" s="378"/>
      <c r="H557" s="378"/>
      <c r="I557" s="378"/>
      <c r="J557" s="378"/>
      <c r="K557" s="378"/>
      <c r="L557" s="378"/>
      <c r="M557" s="378"/>
      <c r="N557" s="378"/>
      <c r="O557" s="378"/>
      <c r="P557" s="378"/>
      <c r="Q557" s="378"/>
      <c r="R557" s="378"/>
      <c r="S557" s="378"/>
      <c r="T557" s="378"/>
      <c r="U557" s="378"/>
      <c r="V557" s="378"/>
      <c r="W557" s="378"/>
      <c r="X557" s="378"/>
      <c r="Y557" s="378"/>
      <c r="Z557" s="378"/>
      <c r="AA557" s="378"/>
      <c r="AB557" s="378"/>
      <c r="AC557" s="378"/>
      <c r="AD557" s="378"/>
      <c r="AE557" s="378"/>
      <c r="AF557" s="378"/>
    </row>
    <row r="558" spans="2:32">
      <c r="B558" s="378"/>
      <c r="C558" s="378"/>
      <c r="D558" s="378"/>
      <c r="F558" s="378"/>
      <c r="G558" s="378"/>
      <c r="H558" s="378"/>
      <c r="I558" s="378"/>
      <c r="J558" s="378"/>
      <c r="K558" s="378"/>
      <c r="L558" s="378"/>
      <c r="M558" s="378"/>
      <c r="N558" s="378"/>
      <c r="O558" s="378"/>
      <c r="P558" s="378"/>
      <c r="Q558" s="378"/>
      <c r="R558" s="378"/>
      <c r="S558" s="378"/>
      <c r="T558" s="378"/>
      <c r="U558" s="378"/>
      <c r="V558" s="378"/>
      <c r="W558" s="378"/>
      <c r="X558" s="378"/>
      <c r="Y558" s="378"/>
      <c r="Z558" s="378"/>
      <c r="AA558" s="378"/>
      <c r="AB558" s="378"/>
      <c r="AC558" s="378"/>
      <c r="AD558" s="378"/>
      <c r="AE558" s="378"/>
      <c r="AF558" s="378"/>
    </row>
    <row r="559" spans="2:32">
      <c r="B559" s="378"/>
      <c r="C559" s="378"/>
      <c r="D559" s="378"/>
      <c r="F559" s="378"/>
      <c r="G559" s="378"/>
      <c r="H559" s="378"/>
      <c r="I559" s="378"/>
      <c r="J559" s="378"/>
      <c r="K559" s="378"/>
      <c r="L559" s="378"/>
      <c r="M559" s="378"/>
      <c r="N559" s="378"/>
      <c r="O559" s="378"/>
      <c r="P559" s="378"/>
      <c r="Q559" s="378"/>
      <c r="R559" s="378"/>
      <c r="S559" s="378"/>
      <c r="T559" s="378"/>
      <c r="U559" s="378"/>
      <c r="V559" s="378"/>
      <c r="W559" s="378"/>
      <c r="X559" s="378"/>
      <c r="Y559" s="378"/>
      <c r="Z559" s="378"/>
      <c r="AA559" s="378"/>
      <c r="AB559" s="378"/>
      <c r="AC559" s="378"/>
      <c r="AD559" s="378"/>
      <c r="AE559" s="378"/>
      <c r="AF559" s="378"/>
    </row>
    <row r="560" spans="2:32">
      <c r="B560" s="378"/>
      <c r="C560" s="378"/>
      <c r="D560" s="378"/>
      <c r="F560" s="378"/>
      <c r="G560" s="378"/>
      <c r="H560" s="378"/>
      <c r="I560" s="378"/>
      <c r="J560" s="378"/>
      <c r="K560" s="378"/>
      <c r="L560" s="378"/>
      <c r="M560" s="378"/>
      <c r="N560" s="378"/>
      <c r="O560" s="378"/>
      <c r="P560" s="378"/>
      <c r="Q560" s="378"/>
      <c r="R560" s="378"/>
      <c r="S560" s="378"/>
      <c r="T560" s="378"/>
      <c r="U560" s="378"/>
      <c r="V560" s="378"/>
      <c r="W560" s="378"/>
      <c r="X560" s="378"/>
      <c r="Y560" s="378"/>
      <c r="Z560" s="378"/>
      <c r="AA560" s="378"/>
      <c r="AB560" s="378"/>
      <c r="AC560" s="378"/>
      <c r="AD560" s="378"/>
      <c r="AE560" s="378"/>
      <c r="AF560" s="378"/>
    </row>
    <row r="561" spans="2:32">
      <c r="B561" s="378"/>
      <c r="C561" s="378"/>
      <c r="D561" s="378"/>
      <c r="F561" s="378"/>
      <c r="G561" s="378"/>
      <c r="H561" s="378"/>
      <c r="I561" s="378"/>
      <c r="J561" s="378"/>
      <c r="K561" s="378"/>
      <c r="L561" s="378"/>
      <c r="M561" s="378"/>
      <c r="N561" s="378"/>
      <c r="O561" s="378"/>
      <c r="P561" s="378"/>
      <c r="Q561" s="378"/>
      <c r="R561" s="378"/>
      <c r="S561" s="378"/>
      <c r="T561" s="378"/>
      <c r="U561" s="378"/>
      <c r="V561" s="378"/>
      <c r="W561" s="378"/>
      <c r="X561" s="378"/>
      <c r="Y561" s="378"/>
      <c r="Z561" s="378"/>
      <c r="AA561" s="378"/>
      <c r="AB561" s="378"/>
      <c r="AC561" s="378"/>
      <c r="AD561" s="378"/>
      <c r="AE561" s="378"/>
      <c r="AF561" s="378"/>
    </row>
    <row r="562" spans="2:32">
      <c r="B562" s="378"/>
      <c r="C562" s="378"/>
      <c r="D562" s="378"/>
      <c r="F562" s="378"/>
      <c r="G562" s="378"/>
      <c r="H562" s="378"/>
      <c r="I562" s="378"/>
      <c r="J562" s="378"/>
      <c r="K562" s="378"/>
      <c r="L562" s="378"/>
      <c r="M562" s="378"/>
      <c r="N562" s="378"/>
      <c r="O562" s="378"/>
      <c r="P562" s="378"/>
      <c r="Q562" s="378"/>
      <c r="R562" s="378"/>
      <c r="S562" s="378"/>
      <c r="T562" s="378"/>
      <c r="U562" s="378"/>
      <c r="V562" s="378"/>
      <c r="W562" s="378"/>
      <c r="X562" s="378"/>
      <c r="Y562" s="378"/>
      <c r="Z562" s="378"/>
      <c r="AA562" s="378"/>
      <c r="AB562" s="378"/>
      <c r="AC562" s="378"/>
      <c r="AD562" s="378"/>
      <c r="AE562" s="378"/>
      <c r="AF562" s="378"/>
    </row>
    <row r="563" spans="2:32">
      <c r="B563" s="378"/>
      <c r="C563" s="378"/>
      <c r="D563" s="378"/>
      <c r="F563" s="378"/>
      <c r="G563" s="378"/>
      <c r="H563" s="378"/>
      <c r="I563" s="378"/>
      <c r="J563" s="378"/>
      <c r="K563" s="378"/>
      <c r="L563" s="378"/>
      <c r="M563" s="378"/>
      <c r="N563" s="378"/>
      <c r="O563" s="378"/>
      <c r="P563" s="378"/>
      <c r="Q563" s="378"/>
      <c r="R563" s="378"/>
      <c r="S563" s="378"/>
      <c r="T563" s="378"/>
      <c r="U563" s="378"/>
      <c r="V563" s="378"/>
      <c r="W563" s="378"/>
      <c r="X563" s="378"/>
      <c r="Y563" s="378"/>
      <c r="Z563" s="378"/>
      <c r="AA563" s="378"/>
      <c r="AB563" s="378"/>
      <c r="AC563" s="378"/>
      <c r="AD563" s="378"/>
      <c r="AE563" s="378"/>
      <c r="AF563" s="378"/>
    </row>
    <row r="564" spans="2:32">
      <c r="B564" s="378"/>
      <c r="C564" s="378"/>
      <c r="D564" s="378"/>
      <c r="F564" s="378"/>
      <c r="G564" s="378"/>
      <c r="H564" s="378"/>
      <c r="I564" s="378"/>
      <c r="J564" s="378"/>
      <c r="K564" s="378"/>
      <c r="L564" s="378"/>
      <c r="M564" s="378"/>
      <c r="N564" s="378"/>
      <c r="O564" s="378"/>
      <c r="P564" s="378"/>
      <c r="Q564" s="378"/>
      <c r="R564" s="378"/>
      <c r="S564" s="378"/>
      <c r="T564" s="378"/>
      <c r="U564" s="378"/>
      <c r="V564" s="378"/>
      <c r="W564" s="378"/>
      <c r="X564" s="378"/>
      <c r="Y564" s="378"/>
      <c r="Z564" s="378"/>
      <c r="AA564" s="378"/>
      <c r="AB564" s="378"/>
      <c r="AC564" s="378"/>
      <c r="AD564" s="378"/>
      <c r="AE564" s="378"/>
      <c r="AF564" s="378"/>
    </row>
    <row r="565" spans="2:32">
      <c r="B565" s="378"/>
      <c r="C565" s="378"/>
      <c r="D565" s="378"/>
      <c r="F565" s="378"/>
      <c r="G565" s="378"/>
      <c r="H565" s="378"/>
      <c r="I565" s="378"/>
      <c r="J565" s="378"/>
      <c r="K565" s="378"/>
      <c r="L565" s="378"/>
      <c r="M565" s="378"/>
      <c r="N565" s="378"/>
      <c r="O565" s="378"/>
      <c r="P565" s="378"/>
      <c r="Q565" s="378"/>
      <c r="R565" s="378"/>
      <c r="S565" s="378"/>
      <c r="T565" s="378"/>
      <c r="U565" s="378"/>
      <c r="V565" s="378"/>
      <c r="W565" s="378"/>
      <c r="X565" s="378"/>
      <c r="Y565" s="378"/>
      <c r="Z565" s="378"/>
      <c r="AA565" s="378"/>
      <c r="AB565" s="378"/>
      <c r="AC565" s="378"/>
      <c r="AD565" s="378"/>
      <c r="AE565" s="378"/>
      <c r="AF565" s="378"/>
    </row>
    <row r="566" spans="2:32">
      <c r="B566" s="378"/>
      <c r="C566" s="378"/>
      <c r="D566" s="378"/>
      <c r="F566" s="378"/>
      <c r="G566" s="378"/>
      <c r="H566" s="378"/>
      <c r="I566" s="378"/>
      <c r="J566" s="378"/>
      <c r="K566" s="378"/>
      <c r="L566" s="378"/>
      <c r="M566" s="378"/>
      <c r="N566" s="378"/>
      <c r="O566" s="378"/>
      <c r="P566" s="378"/>
      <c r="Q566" s="378"/>
      <c r="R566" s="378"/>
      <c r="S566" s="378"/>
      <c r="T566" s="378"/>
      <c r="U566" s="378"/>
      <c r="V566" s="378"/>
      <c r="W566" s="378"/>
      <c r="X566" s="378"/>
      <c r="Y566" s="378"/>
      <c r="Z566" s="378"/>
      <c r="AA566" s="378"/>
      <c r="AB566" s="378"/>
      <c r="AC566" s="378"/>
      <c r="AD566" s="378"/>
      <c r="AE566" s="378"/>
      <c r="AF566" s="378"/>
    </row>
    <row r="567" spans="2:32">
      <c r="B567" s="378"/>
      <c r="C567" s="378"/>
      <c r="D567" s="378"/>
      <c r="F567" s="378"/>
      <c r="G567" s="378"/>
      <c r="H567" s="378"/>
      <c r="I567" s="378"/>
      <c r="J567" s="378"/>
      <c r="K567" s="378"/>
      <c r="L567" s="378"/>
      <c r="M567" s="378"/>
      <c r="N567" s="378"/>
      <c r="O567" s="378"/>
      <c r="P567" s="378"/>
      <c r="Q567" s="378"/>
      <c r="R567" s="378"/>
      <c r="S567" s="378"/>
      <c r="T567" s="378"/>
      <c r="U567" s="378"/>
      <c r="V567" s="378"/>
      <c r="W567" s="378"/>
      <c r="X567" s="378"/>
      <c r="Y567" s="378"/>
      <c r="Z567" s="378"/>
      <c r="AA567" s="378"/>
      <c r="AB567" s="378"/>
      <c r="AC567" s="378"/>
      <c r="AD567" s="378"/>
      <c r="AE567" s="378"/>
      <c r="AF567" s="378"/>
    </row>
    <row r="568" spans="2:32">
      <c r="B568" s="378"/>
      <c r="C568" s="378"/>
      <c r="D568" s="378"/>
      <c r="F568" s="378"/>
      <c r="G568" s="378"/>
      <c r="H568" s="378"/>
      <c r="I568" s="378"/>
      <c r="J568" s="378"/>
      <c r="K568" s="378"/>
      <c r="L568" s="378"/>
      <c r="M568" s="378"/>
      <c r="N568" s="378"/>
      <c r="O568" s="378"/>
      <c r="P568" s="378"/>
      <c r="Q568" s="378"/>
      <c r="R568" s="378"/>
      <c r="S568" s="378"/>
      <c r="T568" s="378"/>
      <c r="U568" s="378"/>
      <c r="V568" s="378"/>
      <c r="W568" s="378"/>
      <c r="X568" s="378"/>
      <c r="Y568" s="378"/>
      <c r="Z568" s="378"/>
      <c r="AA568" s="378"/>
      <c r="AB568" s="378"/>
      <c r="AC568" s="378"/>
      <c r="AD568" s="378"/>
      <c r="AE568" s="378"/>
      <c r="AF568" s="378"/>
    </row>
    <row r="569" spans="2:32">
      <c r="B569" s="378"/>
      <c r="C569" s="378"/>
      <c r="D569" s="378"/>
      <c r="F569" s="378"/>
      <c r="G569" s="378"/>
      <c r="H569" s="378"/>
      <c r="I569" s="378"/>
      <c r="J569" s="378"/>
      <c r="K569" s="378"/>
      <c r="L569" s="378"/>
      <c r="M569" s="378"/>
      <c r="N569" s="378"/>
      <c r="O569" s="378"/>
      <c r="P569" s="378"/>
      <c r="Q569" s="378"/>
      <c r="R569" s="378"/>
      <c r="S569" s="378"/>
      <c r="T569" s="378"/>
      <c r="U569" s="378"/>
      <c r="V569" s="378"/>
      <c r="W569" s="378"/>
      <c r="X569" s="378"/>
      <c r="Y569" s="378"/>
      <c r="Z569" s="378"/>
      <c r="AA569" s="378"/>
      <c r="AB569" s="378"/>
      <c r="AC569" s="378"/>
      <c r="AD569" s="378"/>
      <c r="AE569" s="378"/>
      <c r="AF569" s="378"/>
    </row>
    <row r="570" spans="2:32">
      <c r="B570" s="378"/>
      <c r="C570" s="378"/>
      <c r="D570" s="378"/>
      <c r="F570" s="378"/>
      <c r="G570" s="378"/>
      <c r="H570" s="378"/>
      <c r="I570" s="378"/>
      <c r="J570" s="378"/>
      <c r="K570" s="378"/>
      <c r="L570" s="378"/>
      <c r="M570" s="378"/>
      <c r="N570" s="378"/>
      <c r="O570" s="378"/>
      <c r="P570" s="378"/>
      <c r="Q570" s="378"/>
      <c r="R570" s="378"/>
      <c r="S570" s="378"/>
      <c r="T570" s="378"/>
      <c r="U570" s="378"/>
      <c r="V570" s="378"/>
      <c r="W570" s="378"/>
      <c r="X570" s="378"/>
      <c r="Y570" s="378"/>
      <c r="Z570" s="378"/>
      <c r="AA570" s="378"/>
      <c r="AB570" s="378"/>
      <c r="AC570" s="378"/>
      <c r="AD570" s="378"/>
      <c r="AE570" s="378"/>
      <c r="AF570" s="378"/>
    </row>
    <row r="571" spans="2:32">
      <c r="B571" s="378"/>
      <c r="C571" s="378"/>
      <c r="D571" s="378"/>
      <c r="F571" s="378"/>
      <c r="G571" s="378"/>
      <c r="H571" s="378"/>
      <c r="I571" s="378"/>
      <c r="J571" s="378"/>
      <c r="K571" s="378"/>
      <c r="L571" s="378"/>
      <c r="M571" s="378"/>
      <c r="N571" s="378"/>
      <c r="O571" s="378"/>
      <c r="P571" s="378"/>
      <c r="Q571" s="378"/>
      <c r="R571" s="378"/>
      <c r="S571" s="378"/>
      <c r="T571" s="378"/>
      <c r="U571" s="378"/>
      <c r="V571" s="378"/>
      <c r="W571" s="378"/>
      <c r="X571" s="378"/>
      <c r="Y571" s="378"/>
      <c r="Z571" s="378"/>
      <c r="AA571" s="378"/>
      <c r="AB571" s="378"/>
      <c r="AC571" s="378"/>
      <c r="AD571" s="378"/>
      <c r="AE571" s="378"/>
      <c r="AF571" s="378"/>
    </row>
    <row r="572" spans="2:32">
      <c r="B572" s="378"/>
      <c r="C572" s="378"/>
      <c r="D572" s="378"/>
      <c r="F572" s="378"/>
      <c r="G572" s="378"/>
      <c r="H572" s="378"/>
      <c r="I572" s="378"/>
      <c r="J572" s="378"/>
      <c r="K572" s="378"/>
      <c r="L572" s="378"/>
      <c r="M572" s="378"/>
      <c r="N572" s="378"/>
      <c r="O572" s="378"/>
      <c r="P572" s="378"/>
      <c r="Q572" s="378"/>
      <c r="R572" s="378"/>
      <c r="S572" s="378"/>
      <c r="T572" s="378"/>
      <c r="U572" s="378"/>
      <c r="V572" s="378"/>
      <c r="W572" s="378"/>
      <c r="X572" s="378"/>
      <c r="Y572" s="378"/>
      <c r="Z572" s="378"/>
      <c r="AA572" s="378"/>
      <c r="AB572" s="378"/>
      <c r="AC572" s="378"/>
      <c r="AD572" s="378"/>
      <c r="AE572" s="378"/>
      <c r="AF572" s="378"/>
    </row>
    <row r="573" spans="2:32">
      <c r="B573" s="378"/>
      <c r="C573" s="378"/>
      <c r="D573" s="378"/>
      <c r="F573" s="378"/>
      <c r="G573" s="378"/>
      <c r="H573" s="378"/>
      <c r="I573" s="378"/>
      <c r="J573" s="378"/>
      <c r="K573" s="378"/>
      <c r="L573" s="378"/>
      <c r="M573" s="378"/>
      <c r="N573" s="378"/>
      <c r="O573" s="378"/>
      <c r="P573" s="378"/>
      <c r="Q573" s="378"/>
      <c r="R573" s="378"/>
      <c r="S573" s="378"/>
      <c r="T573" s="378"/>
      <c r="U573" s="378"/>
      <c r="V573" s="378"/>
      <c r="W573" s="378"/>
      <c r="X573" s="378"/>
      <c r="Y573" s="378"/>
      <c r="Z573" s="378"/>
      <c r="AA573" s="378"/>
      <c r="AB573" s="378"/>
      <c r="AC573" s="378"/>
      <c r="AD573" s="378"/>
      <c r="AE573" s="378"/>
      <c r="AF573" s="378"/>
    </row>
    <row r="574" spans="2:32">
      <c r="B574" s="378"/>
      <c r="C574" s="378"/>
      <c r="D574" s="378"/>
      <c r="F574" s="378"/>
      <c r="G574" s="378"/>
      <c r="H574" s="378"/>
      <c r="I574" s="378"/>
      <c r="J574" s="378"/>
      <c r="K574" s="378"/>
      <c r="L574" s="378"/>
      <c r="M574" s="378"/>
      <c r="N574" s="378"/>
      <c r="O574" s="378"/>
      <c r="P574" s="378"/>
      <c r="Q574" s="378"/>
      <c r="R574" s="378"/>
      <c r="S574" s="378"/>
      <c r="T574" s="378"/>
      <c r="U574" s="378"/>
      <c r="V574" s="378"/>
      <c r="W574" s="378"/>
      <c r="X574" s="378"/>
      <c r="Y574" s="378"/>
      <c r="Z574" s="378"/>
      <c r="AA574" s="378"/>
      <c r="AB574" s="378"/>
      <c r="AC574" s="378"/>
      <c r="AD574" s="378"/>
      <c r="AE574" s="378"/>
      <c r="AF574" s="378"/>
    </row>
    <row r="575" spans="2:32">
      <c r="B575" s="378"/>
      <c r="C575" s="378"/>
      <c r="D575" s="378"/>
      <c r="F575" s="378"/>
      <c r="G575" s="378"/>
      <c r="H575" s="378"/>
      <c r="I575" s="378"/>
      <c r="J575" s="378"/>
      <c r="K575" s="378"/>
      <c r="L575" s="378"/>
      <c r="M575" s="378"/>
      <c r="N575" s="378"/>
      <c r="O575" s="378"/>
      <c r="P575" s="378"/>
      <c r="Q575" s="378"/>
      <c r="R575" s="378"/>
      <c r="S575" s="378"/>
      <c r="T575" s="378"/>
      <c r="U575" s="378"/>
      <c r="V575" s="378"/>
      <c r="W575" s="378"/>
      <c r="X575" s="378"/>
      <c r="Y575" s="378"/>
      <c r="Z575" s="378"/>
      <c r="AA575" s="378"/>
      <c r="AB575" s="378"/>
      <c r="AC575" s="378"/>
      <c r="AD575" s="378"/>
      <c r="AE575" s="378"/>
      <c r="AF575" s="378"/>
    </row>
    <row r="576" spans="2:32">
      <c r="B576" s="378"/>
      <c r="C576" s="378"/>
      <c r="D576" s="378"/>
      <c r="F576" s="378"/>
      <c r="G576" s="378"/>
      <c r="H576" s="378"/>
      <c r="I576" s="378"/>
      <c r="J576" s="378"/>
      <c r="K576" s="378"/>
      <c r="L576" s="378"/>
      <c r="M576" s="378"/>
      <c r="N576" s="378"/>
      <c r="O576" s="378"/>
      <c r="P576" s="378"/>
      <c r="Q576" s="378"/>
      <c r="R576" s="378"/>
      <c r="S576" s="378"/>
      <c r="T576" s="378"/>
      <c r="U576" s="378"/>
      <c r="V576" s="378"/>
      <c r="W576" s="378"/>
      <c r="X576" s="378"/>
      <c r="Y576" s="378"/>
      <c r="Z576" s="378"/>
      <c r="AA576" s="378"/>
      <c r="AB576" s="378"/>
      <c r="AC576" s="378"/>
      <c r="AD576" s="378"/>
      <c r="AE576" s="378"/>
      <c r="AF576" s="378"/>
    </row>
    <row r="577" spans="2:32">
      <c r="B577" s="378"/>
      <c r="C577" s="378"/>
      <c r="D577" s="378"/>
      <c r="F577" s="378"/>
      <c r="G577" s="378"/>
      <c r="H577" s="378"/>
      <c r="I577" s="378"/>
      <c r="J577" s="378"/>
      <c r="K577" s="378"/>
      <c r="L577" s="378"/>
      <c r="M577" s="378"/>
      <c r="N577" s="378"/>
      <c r="O577" s="378"/>
      <c r="P577" s="378"/>
      <c r="Q577" s="378"/>
      <c r="R577" s="378"/>
      <c r="S577" s="378"/>
      <c r="T577" s="378"/>
      <c r="U577" s="378"/>
      <c r="V577" s="378"/>
      <c r="W577" s="378"/>
      <c r="X577" s="378"/>
      <c r="Y577" s="378"/>
      <c r="Z577" s="378"/>
      <c r="AA577" s="378"/>
      <c r="AB577" s="378"/>
      <c r="AC577" s="378"/>
      <c r="AD577" s="378"/>
      <c r="AE577" s="378"/>
      <c r="AF577" s="378"/>
    </row>
    <row r="578" spans="2:32">
      <c r="B578" s="378"/>
      <c r="C578" s="378"/>
      <c r="D578" s="378"/>
      <c r="F578" s="378"/>
      <c r="G578" s="378"/>
      <c r="H578" s="378"/>
      <c r="I578" s="378"/>
      <c r="J578" s="378"/>
      <c r="K578" s="378"/>
      <c r="L578" s="378"/>
      <c r="M578" s="378"/>
      <c r="N578" s="378"/>
      <c r="O578" s="378"/>
      <c r="P578" s="378"/>
      <c r="Q578" s="378"/>
      <c r="R578" s="378"/>
      <c r="S578" s="378"/>
      <c r="T578" s="378"/>
      <c r="U578" s="378"/>
      <c r="V578" s="378"/>
      <c r="W578" s="378"/>
      <c r="X578" s="378"/>
      <c r="Y578" s="378"/>
      <c r="Z578" s="378"/>
      <c r="AA578" s="378"/>
      <c r="AB578" s="378"/>
      <c r="AC578" s="378"/>
      <c r="AD578" s="378"/>
      <c r="AE578" s="378"/>
      <c r="AF578" s="378"/>
    </row>
    <row r="579" spans="2:32">
      <c r="B579" s="378"/>
      <c r="C579" s="378"/>
      <c r="D579" s="378"/>
      <c r="F579" s="378"/>
      <c r="G579" s="378"/>
      <c r="H579" s="378"/>
      <c r="I579" s="378"/>
      <c r="J579" s="378"/>
      <c r="K579" s="378"/>
      <c r="L579" s="378"/>
      <c r="M579" s="378"/>
      <c r="N579" s="378"/>
      <c r="O579" s="378"/>
      <c r="P579" s="378"/>
      <c r="Q579" s="378"/>
      <c r="R579" s="378"/>
      <c r="S579" s="378"/>
      <c r="T579" s="378"/>
      <c r="U579" s="378"/>
      <c r="V579" s="378"/>
      <c r="W579" s="378"/>
      <c r="X579" s="378"/>
      <c r="Y579" s="378"/>
      <c r="Z579" s="378"/>
      <c r="AA579" s="378"/>
      <c r="AB579" s="378"/>
      <c r="AC579" s="378"/>
      <c r="AD579" s="378"/>
      <c r="AE579" s="378"/>
      <c r="AF579" s="378"/>
    </row>
    <row r="580" spans="2:32">
      <c r="B580" s="378"/>
      <c r="C580" s="378"/>
      <c r="D580" s="378"/>
      <c r="F580" s="378"/>
      <c r="G580" s="378"/>
      <c r="H580" s="378"/>
      <c r="I580" s="378"/>
      <c r="J580" s="378"/>
      <c r="K580" s="378"/>
      <c r="L580" s="378"/>
      <c r="M580" s="378"/>
      <c r="N580" s="378"/>
      <c r="O580" s="378"/>
      <c r="P580" s="378"/>
      <c r="Q580" s="378"/>
      <c r="R580" s="378"/>
      <c r="S580" s="378"/>
      <c r="T580" s="378"/>
      <c r="U580" s="378"/>
      <c r="V580" s="378"/>
      <c r="W580" s="378"/>
      <c r="X580" s="378"/>
      <c r="Y580" s="378"/>
      <c r="Z580" s="378"/>
      <c r="AA580" s="378"/>
      <c r="AB580" s="378"/>
      <c r="AC580" s="378"/>
      <c r="AD580" s="378"/>
      <c r="AE580" s="378"/>
      <c r="AF580" s="378"/>
    </row>
    <row r="581" spans="2:32">
      <c r="B581" s="378"/>
      <c r="C581" s="378"/>
      <c r="D581" s="378"/>
      <c r="F581" s="378"/>
      <c r="G581" s="378"/>
      <c r="H581" s="378"/>
      <c r="I581" s="378"/>
      <c r="J581" s="378"/>
      <c r="K581" s="378"/>
      <c r="L581" s="378"/>
      <c r="M581" s="378"/>
      <c r="N581" s="378"/>
      <c r="O581" s="378"/>
      <c r="P581" s="378"/>
      <c r="Q581" s="378"/>
      <c r="R581" s="378"/>
      <c r="S581" s="378"/>
      <c r="T581" s="378"/>
      <c r="U581" s="378"/>
      <c r="V581" s="378"/>
      <c r="W581" s="378"/>
      <c r="X581" s="378"/>
      <c r="Y581" s="378"/>
      <c r="Z581" s="378"/>
      <c r="AA581" s="378"/>
      <c r="AB581" s="378"/>
      <c r="AC581" s="378"/>
      <c r="AD581" s="378"/>
      <c r="AE581" s="378"/>
      <c r="AF581" s="378"/>
    </row>
    <row r="582" spans="2:32">
      <c r="B582" s="378"/>
      <c r="C582" s="378"/>
      <c r="D582" s="378"/>
      <c r="F582" s="378"/>
      <c r="G582" s="378"/>
      <c r="H582" s="378"/>
      <c r="I582" s="378"/>
      <c r="J582" s="378"/>
      <c r="K582" s="378"/>
      <c r="L582" s="378"/>
      <c r="M582" s="378"/>
      <c r="N582" s="378"/>
      <c r="O582" s="378"/>
      <c r="P582" s="378"/>
      <c r="Q582" s="378"/>
      <c r="R582" s="378"/>
      <c r="S582" s="378"/>
      <c r="T582" s="378"/>
      <c r="U582" s="378"/>
      <c r="V582" s="378"/>
      <c r="W582" s="378"/>
      <c r="X582" s="378"/>
      <c r="Y582" s="378"/>
      <c r="Z582" s="378"/>
      <c r="AA582" s="378"/>
      <c r="AB582" s="378"/>
      <c r="AC582" s="378"/>
      <c r="AD582" s="378"/>
      <c r="AE582" s="378"/>
      <c r="AF582" s="378"/>
    </row>
    <row r="583" spans="2:32">
      <c r="B583" s="378"/>
      <c r="C583" s="378"/>
      <c r="D583" s="378"/>
      <c r="F583" s="378"/>
      <c r="G583" s="378"/>
      <c r="H583" s="378"/>
      <c r="I583" s="378"/>
      <c r="J583" s="378"/>
      <c r="K583" s="378"/>
      <c r="L583" s="378"/>
      <c r="M583" s="378"/>
      <c r="N583" s="378"/>
      <c r="O583" s="378"/>
      <c r="P583" s="378"/>
      <c r="Q583" s="378"/>
      <c r="R583" s="378"/>
      <c r="S583" s="378"/>
      <c r="T583" s="378"/>
      <c r="U583" s="378"/>
      <c r="V583" s="378"/>
      <c r="W583" s="378"/>
      <c r="X583" s="378"/>
      <c r="Y583" s="378"/>
      <c r="Z583" s="378"/>
      <c r="AA583" s="378"/>
      <c r="AB583" s="378"/>
      <c r="AC583" s="378"/>
      <c r="AD583" s="378"/>
      <c r="AE583" s="378"/>
      <c r="AF583" s="378"/>
    </row>
    <row r="584" spans="2:32">
      <c r="B584" s="378"/>
      <c r="C584" s="378"/>
      <c r="D584" s="378"/>
      <c r="F584" s="378"/>
      <c r="G584" s="378"/>
      <c r="H584" s="378"/>
      <c r="I584" s="378"/>
      <c r="J584" s="378"/>
      <c r="K584" s="378"/>
      <c r="L584" s="378"/>
      <c r="M584" s="378"/>
      <c r="N584" s="378"/>
      <c r="O584" s="378"/>
      <c r="P584" s="378"/>
      <c r="Q584" s="378"/>
      <c r="R584" s="378"/>
      <c r="S584" s="378"/>
      <c r="T584" s="378"/>
      <c r="U584" s="378"/>
      <c r="V584" s="378"/>
      <c r="W584" s="378"/>
      <c r="X584" s="378"/>
      <c r="Y584" s="378"/>
      <c r="Z584" s="378"/>
      <c r="AA584" s="378"/>
      <c r="AB584" s="378"/>
      <c r="AC584" s="378"/>
      <c r="AD584" s="378"/>
      <c r="AE584" s="378"/>
      <c r="AF584" s="378"/>
    </row>
    <row r="585" spans="2:32">
      <c r="B585" s="378"/>
      <c r="C585" s="378"/>
      <c r="D585" s="378"/>
      <c r="F585" s="378"/>
      <c r="G585" s="378"/>
      <c r="H585" s="378"/>
      <c r="I585" s="378"/>
      <c r="J585" s="378"/>
      <c r="K585" s="378"/>
      <c r="L585" s="378"/>
      <c r="M585" s="378"/>
      <c r="N585" s="378"/>
      <c r="O585" s="378"/>
      <c r="P585" s="378"/>
      <c r="Q585" s="378"/>
      <c r="R585" s="378"/>
      <c r="S585" s="378"/>
      <c r="T585" s="378"/>
      <c r="U585" s="378"/>
      <c r="V585" s="378"/>
      <c r="W585" s="378"/>
      <c r="X585" s="378"/>
      <c r="Y585" s="378"/>
      <c r="Z585" s="378"/>
      <c r="AA585" s="378"/>
      <c r="AB585" s="378"/>
      <c r="AC585" s="378"/>
      <c r="AD585" s="378"/>
      <c r="AE585" s="378"/>
      <c r="AF585" s="378"/>
    </row>
    <row r="586" spans="2:32">
      <c r="B586" s="378"/>
      <c r="C586" s="378"/>
      <c r="D586" s="378"/>
      <c r="F586" s="378"/>
      <c r="G586" s="378"/>
      <c r="H586" s="378"/>
      <c r="I586" s="378"/>
      <c r="J586" s="378"/>
      <c r="K586" s="378"/>
      <c r="L586" s="378"/>
      <c r="M586" s="378"/>
      <c r="N586" s="378"/>
      <c r="O586" s="378"/>
      <c r="P586" s="378"/>
      <c r="Q586" s="378"/>
      <c r="R586" s="378"/>
      <c r="S586" s="378"/>
      <c r="T586" s="378"/>
      <c r="U586" s="378"/>
      <c r="V586" s="378"/>
      <c r="W586" s="378"/>
      <c r="X586" s="378"/>
      <c r="Y586" s="378"/>
      <c r="Z586" s="378"/>
      <c r="AA586" s="378"/>
      <c r="AB586" s="378"/>
      <c r="AC586" s="378"/>
      <c r="AD586" s="378"/>
      <c r="AE586" s="378"/>
      <c r="AF586" s="378"/>
    </row>
    <row r="587" spans="2:32">
      <c r="B587" s="378"/>
      <c r="C587" s="378"/>
      <c r="D587" s="378"/>
      <c r="F587" s="378"/>
      <c r="G587" s="378"/>
      <c r="H587" s="378"/>
      <c r="I587" s="378"/>
      <c r="J587" s="378"/>
      <c r="K587" s="378"/>
      <c r="L587" s="378"/>
      <c r="M587" s="378"/>
      <c r="N587" s="378"/>
      <c r="O587" s="378"/>
      <c r="P587" s="378"/>
      <c r="Q587" s="378"/>
      <c r="R587" s="378"/>
      <c r="S587" s="378"/>
      <c r="T587" s="378"/>
      <c r="U587" s="378"/>
      <c r="V587" s="378"/>
      <c r="W587" s="378"/>
      <c r="X587" s="378"/>
      <c r="Y587" s="378"/>
      <c r="Z587" s="378"/>
      <c r="AA587" s="378"/>
      <c r="AB587" s="378"/>
      <c r="AC587" s="378"/>
      <c r="AD587" s="378"/>
      <c r="AE587" s="378"/>
      <c r="AF587" s="378"/>
    </row>
    <row r="588" spans="2:32">
      <c r="B588" s="378"/>
      <c r="C588" s="378"/>
      <c r="D588" s="378"/>
      <c r="F588" s="378"/>
      <c r="G588" s="378"/>
      <c r="H588" s="378"/>
      <c r="I588" s="378"/>
      <c r="J588" s="378"/>
      <c r="K588" s="378"/>
      <c r="L588" s="378"/>
      <c r="M588" s="378"/>
      <c r="N588" s="378"/>
      <c r="O588" s="378"/>
      <c r="P588" s="378"/>
      <c r="Q588" s="378"/>
      <c r="R588" s="378"/>
      <c r="S588" s="378"/>
      <c r="T588" s="378"/>
      <c r="U588" s="378"/>
      <c r="V588" s="378"/>
      <c r="W588" s="378"/>
      <c r="X588" s="378"/>
      <c r="Y588" s="378"/>
      <c r="Z588" s="378"/>
      <c r="AA588" s="378"/>
      <c r="AB588" s="378"/>
      <c r="AC588" s="378"/>
      <c r="AD588" s="378"/>
      <c r="AE588" s="378"/>
      <c r="AF588" s="378"/>
    </row>
    <row r="589" spans="2:32">
      <c r="B589" s="378"/>
      <c r="C589" s="378"/>
      <c r="D589" s="378"/>
      <c r="F589" s="378"/>
      <c r="G589" s="378"/>
      <c r="H589" s="378"/>
      <c r="I589" s="378"/>
      <c r="J589" s="378"/>
      <c r="K589" s="378"/>
      <c r="L589" s="378"/>
      <c r="M589" s="378"/>
      <c r="N589" s="378"/>
      <c r="O589" s="378"/>
      <c r="P589" s="378"/>
      <c r="Q589" s="378"/>
      <c r="R589" s="378"/>
      <c r="S589" s="378"/>
      <c r="T589" s="378"/>
      <c r="U589" s="378"/>
      <c r="V589" s="378"/>
      <c r="W589" s="378"/>
      <c r="X589" s="378"/>
      <c r="Y589" s="378"/>
      <c r="Z589" s="378"/>
      <c r="AA589" s="378"/>
      <c r="AB589" s="378"/>
      <c r="AC589" s="378"/>
      <c r="AD589" s="378"/>
      <c r="AE589" s="378"/>
      <c r="AF589" s="378"/>
    </row>
    <row r="590" spans="2:32">
      <c r="B590" s="378"/>
      <c r="C590" s="378"/>
      <c r="D590" s="378"/>
      <c r="F590" s="378"/>
      <c r="G590" s="378"/>
      <c r="H590" s="378"/>
      <c r="I590" s="378"/>
      <c r="J590" s="378"/>
      <c r="K590" s="378"/>
      <c r="L590" s="378"/>
      <c r="M590" s="378"/>
      <c r="N590" s="378"/>
      <c r="O590" s="378"/>
      <c r="P590" s="378"/>
      <c r="Q590" s="378"/>
      <c r="R590" s="378"/>
      <c r="S590" s="378"/>
      <c r="T590" s="378"/>
      <c r="U590" s="378"/>
      <c r="V590" s="378"/>
      <c r="W590" s="378"/>
      <c r="X590" s="378"/>
      <c r="Y590" s="378"/>
      <c r="Z590" s="378"/>
      <c r="AA590" s="378"/>
      <c r="AB590" s="378"/>
      <c r="AC590" s="378"/>
      <c r="AD590" s="378"/>
      <c r="AE590" s="378"/>
      <c r="AF590" s="378"/>
    </row>
    <row r="591" spans="2:32">
      <c r="B591" s="378"/>
      <c r="C591" s="378"/>
      <c r="D591" s="378"/>
      <c r="F591" s="378"/>
      <c r="G591" s="378"/>
      <c r="H591" s="378"/>
      <c r="I591" s="378"/>
      <c r="J591" s="378"/>
      <c r="K591" s="378"/>
      <c r="L591" s="378"/>
      <c r="M591" s="378"/>
      <c r="N591" s="378"/>
      <c r="O591" s="378"/>
      <c r="P591" s="378"/>
      <c r="Q591" s="378"/>
      <c r="R591" s="378"/>
      <c r="S591" s="378"/>
      <c r="T591" s="378"/>
      <c r="U591" s="378"/>
      <c r="V591" s="378"/>
      <c r="W591" s="378"/>
      <c r="X591" s="378"/>
      <c r="Y591" s="378"/>
      <c r="Z591" s="378"/>
      <c r="AA591" s="378"/>
      <c r="AB591" s="378"/>
      <c r="AC591" s="378"/>
      <c r="AD591" s="378"/>
      <c r="AE591" s="378"/>
      <c r="AF591" s="378"/>
    </row>
    <row r="592" spans="2:32">
      <c r="B592" s="378"/>
      <c r="C592" s="378"/>
      <c r="D592" s="378"/>
      <c r="F592" s="378"/>
      <c r="G592" s="378"/>
      <c r="H592" s="378"/>
      <c r="I592" s="378"/>
      <c r="J592" s="378"/>
      <c r="K592" s="378"/>
      <c r="L592" s="378"/>
      <c r="M592" s="378"/>
      <c r="N592" s="378"/>
      <c r="O592" s="378"/>
      <c r="P592" s="378"/>
      <c r="Q592" s="378"/>
      <c r="R592" s="378"/>
      <c r="S592" s="378"/>
      <c r="T592" s="378"/>
      <c r="U592" s="378"/>
      <c r="V592" s="378"/>
      <c r="W592" s="378"/>
      <c r="X592" s="378"/>
      <c r="Y592" s="378"/>
      <c r="Z592" s="378"/>
      <c r="AA592" s="378"/>
      <c r="AB592" s="378"/>
      <c r="AC592" s="378"/>
      <c r="AD592" s="378"/>
      <c r="AE592" s="378"/>
      <c r="AF592" s="378"/>
    </row>
    <row r="593" spans="2:32">
      <c r="B593" s="378"/>
      <c r="C593" s="378"/>
      <c r="D593" s="378"/>
      <c r="F593" s="378"/>
      <c r="G593" s="378"/>
      <c r="H593" s="378"/>
      <c r="I593" s="378"/>
      <c r="J593" s="378"/>
      <c r="K593" s="378"/>
      <c r="L593" s="378"/>
      <c r="M593" s="378"/>
      <c r="N593" s="378"/>
      <c r="O593" s="378"/>
      <c r="P593" s="378"/>
      <c r="Q593" s="378"/>
      <c r="R593" s="378"/>
      <c r="S593" s="378"/>
      <c r="T593" s="378"/>
      <c r="U593" s="378"/>
      <c r="V593" s="378"/>
      <c r="W593" s="378"/>
      <c r="X593" s="378"/>
      <c r="Y593" s="378"/>
      <c r="Z593" s="378"/>
      <c r="AA593" s="378"/>
      <c r="AB593" s="378"/>
      <c r="AC593" s="378"/>
      <c r="AD593" s="378"/>
      <c r="AE593" s="378"/>
      <c r="AF593" s="378"/>
    </row>
    <row r="594" spans="2:32">
      <c r="B594" s="378"/>
      <c r="C594" s="378"/>
      <c r="D594" s="378"/>
      <c r="F594" s="378"/>
      <c r="G594" s="378"/>
      <c r="H594" s="378"/>
      <c r="I594" s="378"/>
      <c r="J594" s="378"/>
      <c r="K594" s="378"/>
      <c r="L594" s="378"/>
      <c r="M594" s="378"/>
      <c r="N594" s="378"/>
      <c r="O594" s="378"/>
      <c r="P594" s="378"/>
      <c r="Q594" s="378"/>
      <c r="R594" s="378"/>
      <c r="S594" s="378"/>
      <c r="T594" s="378"/>
      <c r="U594" s="378"/>
      <c r="V594" s="378"/>
      <c r="W594" s="378"/>
      <c r="X594" s="378"/>
      <c r="Y594" s="378"/>
      <c r="Z594" s="378"/>
      <c r="AA594" s="378"/>
      <c r="AB594" s="378"/>
      <c r="AC594" s="378"/>
      <c r="AD594" s="378"/>
      <c r="AE594" s="378"/>
      <c r="AF594" s="378"/>
    </row>
    <row r="595" spans="2:32">
      <c r="B595" s="378"/>
      <c r="C595" s="378"/>
      <c r="D595" s="378"/>
      <c r="F595" s="378"/>
      <c r="G595" s="378"/>
      <c r="H595" s="378"/>
      <c r="I595" s="378"/>
      <c r="J595" s="378"/>
      <c r="K595" s="378"/>
      <c r="L595" s="378"/>
      <c r="M595" s="378"/>
      <c r="N595" s="378"/>
      <c r="O595" s="378"/>
      <c r="P595" s="378"/>
      <c r="Q595" s="378"/>
      <c r="R595" s="378"/>
      <c r="S595" s="378"/>
      <c r="T595" s="378"/>
      <c r="U595" s="378"/>
      <c r="V595" s="378"/>
      <c r="W595" s="378"/>
      <c r="X595" s="378"/>
      <c r="Y595" s="378"/>
      <c r="Z595" s="378"/>
      <c r="AA595" s="378"/>
      <c r="AB595" s="378"/>
      <c r="AC595" s="378"/>
      <c r="AD595" s="378"/>
      <c r="AE595" s="378"/>
      <c r="AF595" s="378"/>
    </row>
    <row r="596" spans="2:32">
      <c r="B596" s="378"/>
      <c r="C596" s="378"/>
      <c r="D596" s="378"/>
      <c r="F596" s="378"/>
      <c r="G596" s="378"/>
      <c r="H596" s="378"/>
      <c r="I596" s="378"/>
      <c r="J596" s="378"/>
      <c r="K596" s="378"/>
      <c r="L596" s="378"/>
      <c r="M596" s="378"/>
      <c r="N596" s="378"/>
      <c r="O596" s="378"/>
      <c r="P596" s="378"/>
      <c r="Q596" s="378"/>
      <c r="R596" s="378"/>
      <c r="S596" s="378"/>
      <c r="T596" s="378"/>
      <c r="U596" s="378"/>
      <c r="V596" s="378"/>
      <c r="W596" s="378"/>
      <c r="X596" s="378"/>
      <c r="Y596" s="378"/>
      <c r="Z596" s="378"/>
      <c r="AA596" s="378"/>
      <c r="AB596" s="378"/>
      <c r="AC596" s="378"/>
      <c r="AD596" s="378"/>
      <c r="AE596" s="378"/>
      <c r="AF596" s="378"/>
    </row>
    <row r="597" spans="2:32">
      <c r="B597" s="378"/>
      <c r="C597" s="378"/>
      <c r="D597" s="378"/>
      <c r="F597" s="378"/>
      <c r="G597" s="378"/>
      <c r="H597" s="378"/>
      <c r="I597" s="378"/>
      <c r="J597" s="378"/>
      <c r="K597" s="378"/>
      <c r="L597" s="378"/>
      <c r="M597" s="378"/>
      <c r="N597" s="378"/>
      <c r="O597" s="378"/>
      <c r="P597" s="378"/>
      <c r="Q597" s="378"/>
      <c r="R597" s="378"/>
      <c r="S597" s="378"/>
      <c r="T597" s="378"/>
      <c r="U597" s="378"/>
      <c r="V597" s="378"/>
      <c r="W597" s="378"/>
      <c r="X597" s="378"/>
      <c r="Y597" s="378"/>
      <c r="Z597" s="378"/>
      <c r="AA597" s="378"/>
      <c r="AB597" s="378"/>
      <c r="AC597" s="378"/>
      <c r="AD597" s="378"/>
      <c r="AE597" s="378"/>
      <c r="AF597" s="378"/>
    </row>
    <row r="598" spans="2:32">
      <c r="B598" s="378"/>
      <c r="C598" s="378"/>
      <c r="D598" s="378"/>
      <c r="F598" s="378"/>
      <c r="G598" s="378"/>
      <c r="H598" s="378"/>
      <c r="I598" s="378"/>
      <c r="J598" s="378"/>
      <c r="K598" s="378"/>
      <c r="L598" s="378"/>
      <c r="M598" s="378"/>
      <c r="N598" s="378"/>
      <c r="O598" s="378"/>
      <c r="P598" s="378"/>
      <c r="Q598" s="378"/>
      <c r="R598" s="378"/>
      <c r="S598" s="378"/>
      <c r="T598" s="378"/>
      <c r="U598" s="378"/>
      <c r="V598" s="378"/>
      <c r="W598" s="378"/>
      <c r="X598" s="378"/>
      <c r="Y598" s="378"/>
      <c r="Z598" s="378"/>
      <c r="AA598" s="378"/>
      <c r="AB598" s="378"/>
      <c r="AC598" s="378"/>
      <c r="AD598" s="378"/>
      <c r="AE598" s="378"/>
      <c r="AF598" s="378"/>
    </row>
    <row r="599" spans="2:32">
      <c r="B599" s="378"/>
      <c r="C599" s="378"/>
      <c r="D599" s="378"/>
      <c r="F599" s="378"/>
      <c r="G599" s="378"/>
      <c r="H599" s="378"/>
      <c r="I599" s="378"/>
      <c r="J599" s="378"/>
      <c r="K599" s="378"/>
      <c r="L599" s="378"/>
      <c r="M599" s="378"/>
      <c r="N599" s="378"/>
      <c r="O599" s="378"/>
      <c r="P599" s="378"/>
      <c r="Q599" s="378"/>
      <c r="R599" s="378"/>
      <c r="S599" s="378"/>
      <c r="T599" s="378"/>
      <c r="U599" s="378"/>
      <c r="V599" s="378"/>
      <c r="W599" s="378"/>
      <c r="X599" s="378"/>
      <c r="Y599" s="378"/>
      <c r="Z599" s="378"/>
      <c r="AA599" s="378"/>
      <c r="AB599" s="378"/>
      <c r="AC599" s="378"/>
      <c r="AD599" s="378"/>
      <c r="AE599" s="378"/>
      <c r="AF599" s="378"/>
    </row>
    <row r="600" spans="2:32">
      <c r="B600" s="378"/>
      <c r="C600" s="378"/>
      <c r="D600" s="378"/>
      <c r="F600" s="378"/>
      <c r="G600" s="378"/>
      <c r="H600" s="378"/>
      <c r="I600" s="378"/>
      <c r="J600" s="378"/>
      <c r="K600" s="378"/>
      <c r="L600" s="378"/>
      <c r="M600" s="378"/>
      <c r="N600" s="378"/>
      <c r="O600" s="378"/>
      <c r="P600" s="378"/>
      <c r="Q600" s="378"/>
      <c r="R600" s="378"/>
      <c r="S600" s="378"/>
      <c r="T600" s="378"/>
      <c r="U600" s="378"/>
      <c r="V600" s="378"/>
      <c r="W600" s="378"/>
      <c r="X600" s="378"/>
      <c r="Y600" s="378"/>
      <c r="Z600" s="378"/>
      <c r="AA600" s="378"/>
      <c r="AB600" s="378"/>
      <c r="AC600" s="378"/>
      <c r="AD600" s="378"/>
      <c r="AE600" s="378"/>
      <c r="AF600" s="378"/>
    </row>
    <row r="601" spans="2:32">
      <c r="B601" s="378"/>
      <c r="C601" s="378"/>
      <c r="D601" s="378"/>
      <c r="F601" s="378"/>
      <c r="G601" s="378"/>
      <c r="H601" s="378"/>
      <c r="I601" s="378"/>
      <c r="J601" s="378"/>
      <c r="K601" s="378"/>
      <c r="L601" s="378"/>
      <c r="M601" s="378"/>
      <c r="N601" s="378"/>
      <c r="O601" s="378"/>
      <c r="P601" s="378"/>
      <c r="Q601" s="378"/>
      <c r="R601" s="378"/>
      <c r="S601" s="378"/>
      <c r="T601" s="378"/>
      <c r="U601" s="378"/>
      <c r="V601" s="378"/>
      <c r="W601" s="378"/>
      <c r="X601" s="378"/>
      <c r="Y601" s="378"/>
      <c r="Z601" s="378"/>
      <c r="AA601" s="378"/>
      <c r="AB601" s="378"/>
      <c r="AC601" s="378"/>
      <c r="AD601" s="378"/>
      <c r="AE601" s="378"/>
      <c r="AF601" s="378"/>
    </row>
    <row r="602" spans="2:32">
      <c r="B602" s="378"/>
      <c r="C602" s="378"/>
      <c r="D602" s="378"/>
      <c r="F602" s="378"/>
      <c r="G602" s="378"/>
      <c r="H602" s="378"/>
      <c r="I602" s="378"/>
      <c r="J602" s="378"/>
      <c r="K602" s="378"/>
      <c r="L602" s="378"/>
      <c r="M602" s="378"/>
      <c r="N602" s="378"/>
      <c r="O602" s="378"/>
      <c r="P602" s="378"/>
      <c r="Q602" s="378"/>
      <c r="R602" s="378"/>
      <c r="S602" s="378"/>
      <c r="T602" s="378"/>
      <c r="U602" s="378"/>
      <c r="V602" s="378"/>
      <c r="W602" s="378"/>
      <c r="X602" s="378"/>
      <c r="Y602" s="378"/>
      <c r="Z602" s="378"/>
      <c r="AA602" s="378"/>
      <c r="AB602" s="378"/>
      <c r="AC602" s="378"/>
      <c r="AD602" s="378"/>
      <c r="AE602" s="378"/>
      <c r="AF602" s="378"/>
    </row>
    <row r="603" spans="2:32">
      <c r="B603" s="378"/>
      <c r="C603" s="378"/>
      <c r="D603" s="378"/>
      <c r="F603" s="378"/>
      <c r="G603" s="378"/>
      <c r="H603" s="378"/>
      <c r="I603" s="378"/>
      <c r="J603" s="378"/>
      <c r="K603" s="378"/>
      <c r="L603" s="378"/>
      <c r="M603" s="378"/>
      <c r="N603" s="378"/>
      <c r="O603" s="378"/>
      <c r="P603" s="378"/>
      <c r="Q603" s="378"/>
      <c r="R603" s="378"/>
      <c r="S603" s="378"/>
      <c r="T603" s="378"/>
      <c r="U603" s="378"/>
      <c r="V603" s="378"/>
      <c r="W603" s="378"/>
      <c r="X603" s="378"/>
      <c r="Y603" s="378"/>
      <c r="Z603" s="378"/>
      <c r="AA603" s="378"/>
      <c r="AB603" s="378"/>
      <c r="AC603" s="378"/>
      <c r="AD603" s="378"/>
      <c r="AE603" s="378"/>
      <c r="AF603" s="378"/>
    </row>
    <row r="604" spans="2:32">
      <c r="B604" s="378"/>
      <c r="C604" s="378"/>
      <c r="D604" s="378"/>
      <c r="F604" s="378"/>
      <c r="G604" s="378"/>
      <c r="H604" s="378"/>
      <c r="I604" s="378"/>
      <c r="J604" s="378"/>
      <c r="K604" s="378"/>
      <c r="L604" s="378"/>
      <c r="M604" s="378"/>
      <c r="N604" s="378"/>
      <c r="O604" s="378"/>
      <c r="P604" s="378"/>
      <c r="Q604" s="378"/>
      <c r="R604" s="378"/>
      <c r="S604" s="378"/>
      <c r="T604" s="378"/>
      <c r="U604" s="378"/>
      <c r="V604" s="378"/>
      <c r="W604" s="378"/>
      <c r="X604" s="378"/>
      <c r="Y604" s="378"/>
      <c r="Z604" s="378"/>
      <c r="AA604" s="378"/>
      <c r="AB604" s="378"/>
      <c r="AC604" s="378"/>
      <c r="AD604" s="378"/>
      <c r="AE604" s="378"/>
      <c r="AF604" s="378"/>
    </row>
    <row r="605" spans="2:32">
      <c r="B605" s="378"/>
      <c r="C605" s="378"/>
      <c r="D605" s="378"/>
      <c r="F605" s="378"/>
      <c r="G605" s="378"/>
      <c r="H605" s="378"/>
      <c r="I605" s="378"/>
      <c r="J605" s="378"/>
      <c r="K605" s="378"/>
      <c r="L605" s="378"/>
      <c r="M605" s="378"/>
      <c r="N605" s="378"/>
      <c r="O605" s="378"/>
      <c r="P605" s="378"/>
      <c r="Q605" s="378"/>
      <c r="R605" s="378"/>
      <c r="S605" s="378"/>
      <c r="T605" s="378"/>
      <c r="U605" s="378"/>
      <c r="V605" s="378"/>
      <c r="W605" s="378"/>
      <c r="X605" s="378"/>
      <c r="Y605" s="378"/>
      <c r="Z605" s="378"/>
      <c r="AA605" s="378"/>
      <c r="AB605" s="378"/>
      <c r="AC605" s="378"/>
      <c r="AD605" s="378"/>
      <c r="AE605" s="378"/>
      <c r="AF605" s="378"/>
    </row>
    <row r="606" spans="2:32">
      <c r="B606" s="378"/>
      <c r="C606" s="378"/>
      <c r="D606" s="378"/>
      <c r="F606" s="378"/>
      <c r="G606" s="378"/>
      <c r="H606" s="378"/>
      <c r="I606" s="378"/>
      <c r="J606" s="378"/>
      <c r="K606" s="378"/>
      <c r="L606" s="378"/>
      <c r="M606" s="378"/>
      <c r="N606" s="378"/>
      <c r="O606" s="378"/>
      <c r="P606" s="378"/>
      <c r="Q606" s="378"/>
      <c r="R606" s="378"/>
      <c r="S606" s="378"/>
      <c r="T606" s="378"/>
      <c r="U606" s="378"/>
      <c r="V606" s="378"/>
      <c r="W606" s="378"/>
      <c r="X606" s="378"/>
      <c r="Y606" s="378"/>
      <c r="Z606" s="378"/>
      <c r="AA606" s="378"/>
      <c r="AB606" s="378"/>
      <c r="AC606" s="378"/>
      <c r="AD606" s="378"/>
      <c r="AE606" s="378"/>
      <c r="AF606" s="378"/>
    </row>
    <row r="607" spans="2:32">
      <c r="B607" s="378"/>
      <c r="C607" s="378"/>
      <c r="D607" s="378"/>
      <c r="F607" s="378"/>
      <c r="G607" s="378"/>
      <c r="H607" s="378"/>
      <c r="I607" s="378"/>
      <c r="J607" s="378"/>
      <c r="K607" s="378"/>
      <c r="L607" s="378"/>
      <c r="M607" s="378"/>
      <c r="N607" s="378"/>
      <c r="O607" s="378"/>
      <c r="P607" s="378"/>
      <c r="Q607" s="378"/>
      <c r="R607" s="378"/>
      <c r="S607" s="378"/>
      <c r="T607" s="378"/>
      <c r="U607" s="378"/>
      <c r="V607" s="378"/>
      <c r="W607" s="378"/>
      <c r="X607" s="378"/>
      <c r="Y607" s="378"/>
      <c r="Z607" s="378"/>
      <c r="AA607" s="378"/>
      <c r="AB607" s="378"/>
      <c r="AC607" s="378"/>
      <c r="AD607" s="378"/>
      <c r="AE607" s="378"/>
      <c r="AF607" s="378"/>
    </row>
    <row r="608" spans="2:32">
      <c r="B608" s="378"/>
      <c r="C608" s="378"/>
      <c r="D608" s="378"/>
      <c r="F608" s="378"/>
      <c r="G608" s="378"/>
      <c r="H608" s="378"/>
      <c r="I608" s="378"/>
      <c r="J608" s="378"/>
      <c r="K608" s="378"/>
      <c r="L608" s="378"/>
      <c r="M608" s="378"/>
      <c r="N608" s="378"/>
      <c r="O608" s="378"/>
      <c r="P608" s="378"/>
      <c r="Q608" s="378"/>
      <c r="R608" s="378"/>
      <c r="S608" s="378"/>
      <c r="T608" s="378"/>
      <c r="U608" s="378"/>
      <c r="V608" s="378"/>
      <c r="W608" s="378"/>
      <c r="X608" s="378"/>
      <c r="Y608" s="378"/>
      <c r="Z608" s="378"/>
      <c r="AA608" s="378"/>
      <c r="AB608" s="378"/>
      <c r="AC608" s="378"/>
      <c r="AD608" s="378"/>
      <c r="AE608" s="378"/>
      <c r="AF608" s="378"/>
    </row>
    <row r="609" spans="2:32">
      <c r="B609" s="378"/>
      <c r="C609" s="378"/>
      <c r="D609" s="378"/>
      <c r="F609" s="378"/>
      <c r="G609" s="378"/>
      <c r="H609" s="378"/>
      <c r="I609" s="378"/>
      <c r="J609" s="378"/>
      <c r="K609" s="378"/>
      <c r="L609" s="378"/>
      <c r="M609" s="378"/>
      <c r="N609" s="378"/>
      <c r="O609" s="378"/>
      <c r="P609" s="378"/>
      <c r="Q609" s="378"/>
      <c r="R609" s="378"/>
      <c r="S609" s="378"/>
      <c r="T609" s="378"/>
      <c r="U609" s="378"/>
      <c r="V609" s="378"/>
      <c r="W609" s="378"/>
      <c r="X609" s="378"/>
      <c r="Y609" s="378"/>
      <c r="Z609" s="378"/>
      <c r="AA609" s="378"/>
      <c r="AB609" s="378"/>
      <c r="AC609" s="378"/>
      <c r="AD609" s="378"/>
      <c r="AE609" s="378"/>
      <c r="AF609" s="378"/>
    </row>
    <row r="610" spans="2:32">
      <c r="B610" s="378"/>
      <c r="C610" s="378"/>
      <c r="D610" s="378"/>
      <c r="F610" s="378"/>
      <c r="G610" s="378"/>
      <c r="H610" s="378"/>
      <c r="I610" s="378"/>
      <c r="J610" s="378"/>
      <c r="K610" s="378"/>
      <c r="L610" s="378"/>
      <c r="M610" s="378"/>
      <c r="N610" s="378"/>
      <c r="O610" s="378"/>
      <c r="P610" s="378"/>
      <c r="Q610" s="378"/>
      <c r="R610" s="378"/>
      <c r="S610" s="378"/>
      <c r="T610" s="378"/>
      <c r="U610" s="378"/>
      <c r="V610" s="378"/>
      <c r="W610" s="378"/>
      <c r="X610" s="378"/>
      <c r="Y610" s="378"/>
      <c r="Z610" s="378"/>
      <c r="AA610" s="378"/>
      <c r="AB610" s="378"/>
      <c r="AC610" s="378"/>
      <c r="AD610" s="378"/>
      <c r="AE610" s="378"/>
      <c r="AF610" s="378"/>
    </row>
    <row r="611" spans="2:32">
      <c r="B611" s="378"/>
      <c r="C611" s="378"/>
      <c r="D611" s="378"/>
      <c r="F611" s="378"/>
      <c r="G611" s="378"/>
      <c r="H611" s="378"/>
      <c r="I611" s="378"/>
      <c r="J611" s="378"/>
      <c r="K611" s="378"/>
      <c r="L611" s="378"/>
      <c r="M611" s="378"/>
      <c r="N611" s="378"/>
      <c r="O611" s="378"/>
      <c r="P611" s="378"/>
      <c r="Q611" s="378"/>
      <c r="R611" s="378"/>
      <c r="S611" s="378"/>
      <c r="T611" s="378"/>
      <c r="U611" s="378"/>
      <c r="V611" s="378"/>
      <c r="W611" s="378"/>
      <c r="X611" s="378"/>
      <c r="Y611" s="378"/>
      <c r="Z611" s="378"/>
      <c r="AA611" s="378"/>
      <c r="AB611" s="378"/>
      <c r="AC611" s="378"/>
      <c r="AD611" s="378"/>
      <c r="AE611" s="378"/>
      <c r="AF611" s="378"/>
    </row>
    <row r="612" spans="2:32">
      <c r="B612" s="378"/>
      <c r="C612" s="378"/>
      <c r="D612" s="378"/>
      <c r="F612" s="378"/>
      <c r="G612" s="378"/>
      <c r="H612" s="378"/>
      <c r="I612" s="378"/>
      <c r="J612" s="378"/>
      <c r="K612" s="378"/>
      <c r="L612" s="378"/>
      <c r="M612" s="378"/>
      <c r="N612" s="378"/>
      <c r="O612" s="378"/>
      <c r="P612" s="378"/>
      <c r="Q612" s="378"/>
      <c r="R612" s="378"/>
      <c r="S612" s="378"/>
      <c r="T612" s="378"/>
      <c r="U612" s="378"/>
      <c r="V612" s="378"/>
      <c r="W612" s="378"/>
      <c r="X612" s="378"/>
      <c r="Y612" s="378"/>
      <c r="Z612" s="378"/>
      <c r="AA612" s="378"/>
      <c r="AB612" s="378"/>
      <c r="AC612" s="378"/>
      <c r="AD612" s="378"/>
      <c r="AE612" s="378"/>
      <c r="AF612" s="378"/>
    </row>
    <row r="613" spans="2:32">
      <c r="B613" s="378"/>
      <c r="C613" s="378"/>
      <c r="D613" s="378"/>
      <c r="F613" s="378"/>
      <c r="G613" s="378"/>
      <c r="H613" s="378"/>
      <c r="I613" s="378"/>
      <c r="J613" s="378"/>
      <c r="K613" s="378"/>
      <c r="L613" s="378"/>
      <c r="M613" s="378"/>
      <c r="N613" s="378"/>
      <c r="O613" s="378"/>
      <c r="P613" s="378"/>
      <c r="Q613" s="378"/>
      <c r="R613" s="378"/>
      <c r="S613" s="378"/>
      <c r="T613" s="378"/>
      <c r="U613" s="378"/>
      <c r="V613" s="378"/>
      <c r="W613" s="378"/>
      <c r="X613" s="378"/>
      <c r="Y613" s="378"/>
      <c r="Z613" s="378"/>
      <c r="AA613" s="378"/>
      <c r="AB613" s="378"/>
      <c r="AC613" s="378"/>
      <c r="AD613" s="378"/>
      <c r="AE613" s="378"/>
      <c r="AF613" s="378"/>
    </row>
    <row r="614" spans="2:32">
      <c r="B614" s="378"/>
      <c r="C614" s="378"/>
      <c r="D614" s="378"/>
      <c r="F614" s="378"/>
      <c r="G614" s="378"/>
      <c r="H614" s="378"/>
      <c r="I614" s="378"/>
      <c r="J614" s="378"/>
      <c r="K614" s="378"/>
      <c r="L614" s="378"/>
      <c r="M614" s="378"/>
      <c r="N614" s="378"/>
      <c r="O614" s="378"/>
      <c r="P614" s="378"/>
      <c r="Q614" s="378"/>
      <c r="R614" s="378"/>
      <c r="S614" s="378"/>
      <c r="T614" s="378"/>
      <c r="U614" s="378"/>
      <c r="V614" s="378"/>
      <c r="W614" s="378"/>
      <c r="X614" s="378"/>
      <c r="Y614" s="378"/>
      <c r="Z614" s="378"/>
      <c r="AA614" s="378"/>
      <c r="AB614" s="378"/>
      <c r="AC614" s="378"/>
      <c r="AD614" s="378"/>
      <c r="AE614" s="378"/>
      <c r="AF614" s="378"/>
    </row>
    <row r="615" spans="2:32">
      <c r="B615" s="378"/>
      <c r="C615" s="378"/>
      <c r="D615" s="378"/>
      <c r="F615" s="378"/>
      <c r="G615" s="378"/>
      <c r="H615" s="378"/>
      <c r="I615" s="378"/>
      <c r="J615" s="378"/>
      <c r="K615" s="378"/>
      <c r="L615" s="378"/>
      <c r="M615" s="378"/>
      <c r="N615" s="378"/>
      <c r="O615" s="378"/>
      <c r="P615" s="378"/>
      <c r="Q615" s="378"/>
      <c r="R615" s="378"/>
      <c r="S615" s="378"/>
      <c r="T615" s="378"/>
      <c r="U615" s="378"/>
      <c r="V615" s="378"/>
      <c r="W615" s="378"/>
      <c r="X615" s="378"/>
      <c r="Y615" s="378"/>
      <c r="Z615" s="378"/>
      <c r="AA615" s="378"/>
      <c r="AB615" s="378"/>
      <c r="AC615" s="378"/>
      <c r="AD615" s="378"/>
      <c r="AE615" s="378"/>
      <c r="AF615" s="378"/>
    </row>
    <row r="616" spans="2:32">
      <c r="B616" s="378"/>
      <c r="C616" s="378"/>
      <c r="D616" s="378"/>
      <c r="F616" s="378"/>
      <c r="G616" s="378"/>
      <c r="H616" s="378"/>
      <c r="I616" s="378"/>
      <c r="J616" s="378"/>
      <c r="K616" s="378"/>
      <c r="L616" s="378"/>
      <c r="M616" s="378"/>
      <c r="N616" s="378"/>
      <c r="O616" s="378"/>
      <c r="P616" s="378"/>
      <c r="Q616" s="378"/>
      <c r="R616" s="378"/>
      <c r="S616" s="378"/>
      <c r="T616" s="378"/>
      <c r="U616" s="378"/>
      <c r="V616" s="378"/>
      <c r="W616" s="378"/>
      <c r="X616" s="378"/>
      <c r="Y616" s="378"/>
      <c r="Z616" s="378"/>
      <c r="AA616" s="378"/>
      <c r="AB616" s="378"/>
      <c r="AC616" s="378"/>
      <c r="AD616" s="378"/>
      <c r="AE616" s="378"/>
      <c r="AF616" s="378"/>
    </row>
    <row r="617" spans="2:32">
      <c r="B617" s="378"/>
      <c r="C617" s="378"/>
      <c r="D617" s="378"/>
      <c r="F617" s="378"/>
      <c r="G617" s="378"/>
      <c r="H617" s="378"/>
      <c r="I617" s="378"/>
      <c r="J617" s="378"/>
      <c r="K617" s="378"/>
      <c r="L617" s="378"/>
      <c r="M617" s="378"/>
      <c r="N617" s="378"/>
      <c r="O617" s="378"/>
      <c r="P617" s="378"/>
      <c r="Q617" s="378"/>
      <c r="R617" s="378"/>
      <c r="S617" s="378"/>
      <c r="T617" s="378"/>
      <c r="U617" s="378"/>
      <c r="V617" s="378"/>
      <c r="W617" s="378"/>
      <c r="X617" s="378"/>
      <c r="Y617" s="378"/>
      <c r="Z617" s="378"/>
      <c r="AA617" s="378"/>
      <c r="AB617" s="378"/>
      <c r="AC617" s="378"/>
      <c r="AD617" s="378"/>
      <c r="AE617" s="378"/>
      <c r="AF617" s="378"/>
    </row>
    <row r="618" spans="2:32">
      <c r="B618" s="378"/>
      <c r="C618" s="378"/>
      <c r="D618" s="378"/>
      <c r="F618" s="378"/>
      <c r="G618" s="378"/>
      <c r="H618" s="378"/>
      <c r="I618" s="378"/>
      <c r="J618" s="378"/>
      <c r="K618" s="378"/>
      <c r="L618" s="378"/>
      <c r="M618" s="378"/>
      <c r="N618" s="378"/>
      <c r="O618" s="378"/>
      <c r="P618" s="378"/>
      <c r="Q618" s="378"/>
      <c r="R618" s="378"/>
      <c r="S618" s="378"/>
      <c r="T618" s="378"/>
      <c r="U618" s="378"/>
      <c r="V618" s="378"/>
      <c r="W618" s="378"/>
      <c r="X618" s="378"/>
      <c r="Y618" s="378"/>
      <c r="Z618" s="378"/>
      <c r="AA618" s="378"/>
      <c r="AB618" s="378"/>
      <c r="AC618" s="378"/>
      <c r="AD618" s="378"/>
      <c r="AE618" s="378"/>
      <c r="AF618" s="378"/>
    </row>
    <row r="619" spans="2:32">
      <c r="B619" s="378"/>
      <c r="C619" s="378"/>
      <c r="D619" s="378"/>
      <c r="F619" s="378"/>
      <c r="G619" s="378"/>
      <c r="H619" s="378"/>
      <c r="I619" s="378"/>
      <c r="J619" s="378"/>
      <c r="K619" s="378"/>
      <c r="L619" s="378"/>
      <c r="M619" s="378"/>
      <c r="N619" s="378"/>
      <c r="O619" s="378"/>
      <c r="P619" s="378"/>
      <c r="Q619" s="378"/>
      <c r="R619" s="378"/>
      <c r="S619" s="378"/>
      <c r="T619" s="378"/>
      <c r="U619" s="378"/>
      <c r="V619" s="378"/>
      <c r="W619" s="378"/>
      <c r="X619" s="378"/>
      <c r="Y619" s="378"/>
      <c r="Z619" s="378"/>
      <c r="AA619" s="378"/>
      <c r="AB619" s="378"/>
      <c r="AC619" s="378"/>
      <c r="AD619" s="378"/>
      <c r="AE619" s="378"/>
      <c r="AF619" s="378"/>
    </row>
    <row r="620" spans="2:32">
      <c r="B620" s="378"/>
      <c r="C620" s="378"/>
      <c r="D620" s="378"/>
      <c r="F620" s="378"/>
      <c r="G620" s="378"/>
      <c r="H620" s="378"/>
      <c r="I620" s="378"/>
      <c r="J620" s="378"/>
      <c r="K620" s="378"/>
      <c r="L620" s="378"/>
      <c r="M620" s="378"/>
      <c r="N620" s="378"/>
      <c r="O620" s="378"/>
      <c r="P620" s="378"/>
      <c r="Q620" s="378"/>
      <c r="R620" s="378"/>
      <c r="S620" s="378"/>
      <c r="T620" s="378"/>
      <c r="U620" s="378"/>
      <c r="V620" s="378"/>
      <c r="W620" s="378"/>
      <c r="X620" s="378"/>
      <c r="Y620" s="378"/>
      <c r="Z620" s="378"/>
      <c r="AA620" s="378"/>
      <c r="AB620" s="378"/>
      <c r="AC620" s="378"/>
      <c r="AD620" s="378"/>
      <c r="AE620" s="378"/>
      <c r="AF620" s="378"/>
    </row>
    <row r="621" spans="2:32">
      <c r="B621" s="378"/>
      <c r="C621" s="378"/>
      <c r="D621" s="378"/>
      <c r="F621" s="378"/>
      <c r="G621" s="378"/>
      <c r="H621" s="378"/>
      <c r="I621" s="378"/>
      <c r="J621" s="378"/>
      <c r="K621" s="378"/>
      <c r="L621" s="378"/>
      <c r="M621" s="378"/>
      <c r="N621" s="378"/>
      <c r="O621" s="378"/>
      <c r="P621" s="378"/>
      <c r="Q621" s="378"/>
      <c r="R621" s="378"/>
      <c r="S621" s="378"/>
      <c r="T621" s="378"/>
      <c r="U621" s="378"/>
      <c r="V621" s="378"/>
      <c r="W621" s="378"/>
      <c r="X621" s="378"/>
      <c r="Y621" s="378"/>
      <c r="Z621" s="378"/>
      <c r="AA621" s="378"/>
      <c r="AB621" s="378"/>
      <c r="AC621" s="378"/>
      <c r="AD621" s="378"/>
      <c r="AE621" s="378"/>
      <c r="AF621" s="378"/>
    </row>
    <row r="622" spans="2:32">
      <c r="B622" s="378"/>
      <c r="C622" s="378"/>
      <c r="D622" s="378"/>
      <c r="F622" s="378"/>
      <c r="G622" s="378"/>
      <c r="H622" s="378"/>
      <c r="I622" s="378"/>
      <c r="J622" s="378"/>
      <c r="K622" s="378"/>
      <c r="L622" s="378"/>
      <c r="M622" s="378"/>
      <c r="N622" s="378"/>
      <c r="O622" s="378"/>
      <c r="P622" s="378"/>
      <c r="Q622" s="378"/>
      <c r="R622" s="378"/>
      <c r="S622" s="378"/>
      <c r="T622" s="378"/>
      <c r="U622" s="378"/>
      <c r="V622" s="378"/>
      <c r="W622" s="378"/>
      <c r="X622" s="378"/>
      <c r="Y622" s="378"/>
      <c r="Z622" s="378"/>
      <c r="AA622" s="378"/>
      <c r="AB622" s="378"/>
      <c r="AC622" s="378"/>
      <c r="AD622" s="378"/>
      <c r="AE622" s="378"/>
      <c r="AF622" s="378"/>
    </row>
    <row r="623" spans="2:32">
      <c r="B623" s="378"/>
      <c r="C623" s="378"/>
      <c r="D623" s="378"/>
      <c r="F623" s="378"/>
      <c r="G623" s="378"/>
      <c r="H623" s="378"/>
      <c r="I623" s="378"/>
      <c r="J623" s="378"/>
      <c r="K623" s="378"/>
      <c r="L623" s="378"/>
      <c r="M623" s="378"/>
      <c r="N623" s="378"/>
      <c r="O623" s="378"/>
      <c r="P623" s="378"/>
      <c r="Q623" s="378"/>
      <c r="R623" s="378"/>
      <c r="S623" s="378"/>
      <c r="T623" s="378"/>
      <c r="U623" s="378"/>
      <c r="V623" s="378"/>
      <c r="W623" s="378"/>
      <c r="X623" s="378"/>
      <c r="Y623" s="378"/>
      <c r="Z623" s="378"/>
      <c r="AA623" s="378"/>
      <c r="AB623" s="378"/>
      <c r="AC623" s="378"/>
      <c r="AD623" s="378"/>
      <c r="AE623" s="378"/>
      <c r="AF623" s="378"/>
    </row>
    <row r="624" spans="2:32">
      <c r="B624" s="378"/>
      <c r="C624" s="378"/>
      <c r="D624" s="378"/>
      <c r="F624" s="378"/>
      <c r="G624" s="378"/>
      <c r="H624" s="378"/>
      <c r="I624" s="378"/>
      <c r="J624" s="378"/>
      <c r="K624" s="378"/>
      <c r="L624" s="378"/>
      <c r="M624" s="378"/>
      <c r="N624" s="378"/>
      <c r="O624" s="378"/>
      <c r="P624" s="378"/>
      <c r="Q624" s="378"/>
      <c r="R624" s="378"/>
      <c r="S624" s="378"/>
      <c r="T624" s="378"/>
      <c r="U624" s="378"/>
      <c r="V624" s="378"/>
      <c r="W624" s="378"/>
      <c r="X624" s="378"/>
      <c r="Y624" s="378"/>
      <c r="Z624" s="378"/>
      <c r="AA624" s="378"/>
      <c r="AB624" s="378"/>
      <c r="AC624" s="378"/>
      <c r="AD624" s="378"/>
      <c r="AE624" s="378"/>
      <c r="AF624" s="378"/>
    </row>
    <row r="625" spans="2:32">
      <c r="B625" s="378"/>
      <c r="C625" s="378"/>
      <c r="D625" s="378"/>
      <c r="F625" s="378"/>
      <c r="G625" s="378"/>
      <c r="H625" s="378"/>
      <c r="I625" s="378"/>
      <c r="J625" s="378"/>
      <c r="K625" s="378"/>
      <c r="L625" s="378"/>
      <c r="M625" s="378"/>
      <c r="N625" s="378"/>
      <c r="O625" s="378"/>
      <c r="P625" s="378"/>
      <c r="Q625" s="378"/>
      <c r="R625" s="378"/>
      <c r="S625" s="378"/>
      <c r="T625" s="378"/>
      <c r="U625" s="378"/>
      <c r="V625" s="378"/>
      <c r="W625" s="378"/>
      <c r="X625" s="378"/>
      <c r="Y625" s="378"/>
      <c r="Z625" s="378"/>
      <c r="AA625" s="378"/>
      <c r="AB625" s="378"/>
      <c r="AC625" s="378"/>
      <c r="AD625" s="378"/>
      <c r="AE625" s="378"/>
      <c r="AF625" s="378"/>
    </row>
    <row r="626" spans="2:32">
      <c r="B626" s="378"/>
      <c r="C626" s="378"/>
      <c r="D626" s="378"/>
      <c r="F626" s="378"/>
      <c r="G626" s="378"/>
      <c r="H626" s="378"/>
      <c r="I626" s="378"/>
      <c r="J626" s="378"/>
      <c r="K626" s="378"/>
      <c r="L626" s="378"/>
      <c r="M626" s="378"/>
      <c r="N626" s="378"/>
      <c r="O626" s="378"/>
      <c r="P626" s="378"/>
      <c r="Q626" s="378"/>
      <c r="R626" s="378"/>
      <c r="S626" s="378"/>
      <c r="T626" s="378"/>
      <c r="U626" s="378"/>
      <c r="V626" s="378"/>
      <c r="W626" s="378"/>
      <c r="X626" s="378"/>
      <c r="Y626" s="378"/>
      <c r="Z626" s="378"/>
      <c r="AA626" s="378"/>
      <c r="AB626" s="378"/>
      <c r="AC626" s="378"/>
      <c r="AD626" s="378"/>
      <c r="AE626" s="378"/>
      <c r="AF626" s="378"/>
    </row>
    <row r="627" spans="2:32">
      <c r="B627" s="378"/>
      <c r="C627" s="378"/>
      <c r="D627" s="378"/>
      <c r="F627" s="378"/>
      <c r="G627" s="378"/>
      <c r="H627" s="378"/>
      <c r="I627" s="378"/>
      <c r="J627" s="378"/>
      <c r="K627" s="378"/>
      <c r="L627" s="378"/>
      <c r="M627" s="378"/>
      <c r="N627" s="378"/>
      <c r="O627" s="378"/>
      <c r="P627" s="378"/>
      <c r="Q627" s="378"/>
      <c r="R627" s="378"/>
      <c r="S627" s="378"/>
      <c r="T627" s="378"/>
      <c r="U627" s="378"/>
      <c r="V627" s="378"/>
      <c r="W627" s="378"/>
      <c r="X627" s="378"/>
      <c r="Y627" s="378"/>
      <c r="Z627" s="378"/>
      <c r="AA627" s="378"/>
      <c r="AB627" s="378"/>
      <c r="AC627" s="378"/>
      <c r="AD627" s="378"/>
      <c r="AE627" s="378"/>
      <c r="AF627" s="378"/>
    </row>
    <row r="628" spans="2:32">
      <c r="B628" s="378"/>
      <c r="C628" s="378"/>
      <c r="D628" s="378"/>
      <c r="F628" s="378"/>
      <c r="G628" s="378"/>
      <c r="H628" s="378"/>
      <c r="I628" s="378"/>
      <c r="J628" s="378"/>
      <c r="K628" s="378"/>
      <c r="L628" s="378"/>
      <c r="M628" s="378"/>
      <c r="N628" s="378"/>
      <c r="O628" s="378"/>
      <c r="P628" s="378"/>
      <c r="Q628" s="378"/>
      <c r="R628" s="378"/>
      <c r="S628" s="378"/>
      <c r="T628" s="378"/>
      <c r="U628" s="378"/>
      <c r="V628" s="378"/>
      <c r="W628" s="378"/>
      <c r="X628" s="378"/>
      <c r="Y628" s="378"/>
      <c r="Z628" s="378"/>
      <c r="AA628" s="378"/>
      <c r="AB628" s="378"/>
      <c r="AC628" s="378"/>
      <c r="AD628" s="378"/>
      <c r="AE628" s="378"/>
      <c r="AF628" s="378"/>
    </row>
    <row r="629" spans="2:32">
      <c r="B629" s="378"/>
      <c r="C629" s="378"/>
      <c r="D629" s="378"/>
      <c r="F629" s="378"/>
      <c r="G629" s="378"/>
      <c r="H629" s="378"/>
      <c r="I629" s="378"/>
      <c r="J629" s="378"/>
      <c r="K629" s="378"/>
      <c r="L629" s="378"/>
      <c r="M629" s="378"/>
      <c r="N629" s="378"/>
      <c r="O629" s="378"/>
      <c r="P629" s="378"/>
      <c r="Q629" s="378"/>
      <c r="R629" s="378"/>
      <c r="S629" s="378"/>
      <c r="T629" s="378"/>
      <c r="U629" s="378"/>
      <c r="V629" s="378"/>
      <c r="W629" s="378"/>
      <c r="X629" s="378"/>
      <c r="Y629" s="378"/>
      <c r="Z629" s="378"/>
      <c r="AA629" s="378"/>
      <c r="AB629" s="378"/>
      <c r="AC629" s="378"/>
      <c r="AD629" s="378"/>
      <c r="AE629" s="378"/>
      <c r="AF629" s="378"/>
    </row>
    <row r="630" spans="2:32">
      <c r="B630" s="378"/>
      <c r="C630" s="378"/>
      <c r="D630" s="378"/>
      <c r="F630" s="378"/>
      <c r="G630" s="378"/>
      <c r="H630" s="378"/>
      <c r="I630" s="378"/>
      <c r="J630" s="378"/>
      <c r="K630" s="378"/>
      <c r="L630" s="378"/>
      <c r="M630" s="378"/>
      <c r="N630" s="378"/>
      <c r="O630" s="378"/>
      <c r="P630" s="378"/>
      <c r="Q630" s="378"/>
      <c r="R630" s="378"/>
      <c r="S630" s="378"/>
      <c r="T630" s="378"/>
      <c r="U630" s="378"/>
      <c r="V630" s="378"/>
      <c r="W630" s="378"/>
      <c r="X630" s="378"/>
      <c r="Y630" s="378"/>
      <c r="Z630" s="378"/>
      <c r="AA630" s="378"/>
      <c r="AB630" s="378"/>
      <c r="AC630" s="378"/>
      <c r="AD630" s="378"/>
      <c r="AE630" s="378"/>
      <c r="AF630" s="378"/>
    </row>
    <row r="631" spans="2:32">
      <c r="B631" s="378"/>
      <c r="C631" s="378"/>
      <c r="D631" s="378"/>
      <c r="F631" s="378"/>
      <c r="G631" s="378"/>
      <c r="H631" s="378"/>
      <c r="I631" s="378"/>
      <c r="J631" s="378"/>
      <c r="K631" s="378"/>
      <c r="L631" s="378"/>
      <c r="M631" s="378"/>
      <c r="N631" s="378"/>
      <c r="O631" s="378"/>
      <c r="P631" s="378"/>
      <c r="Q631" s="378"/>
      <c r="R631" s="378"/>
      <c r="S631" s="378"/>
      <c r="T631" s="378"/>
      <c r="U631" s="378"/>
      <c r="V631" s="378"/>
      <c r="W631" s="378"/>
      <c r="X631" s="378"/>
      <c r="Y631" s="378"/>
      <c r="Z631" s="378"/>
      <c r="AA631" s="378"/>
      <c r="AB631" s="378"/>
      <c r="AC631" s="378"/>
      <c r="AD631" s="378"/>
      <c r="AE631" s="378"/>
      <c r="AF631" s="378"/>
    </row>
    <row r="632" spans="2:32">
      <c r="B632" s="378"/>
      <c r="C632" s="378"/>
      <c r="D632" s="378"/>
      <c r="F632" s="378"/>
      <c r="G632" s="378"/>
      <c r="H632" s="378"/>
      <c r="I632" s="378"/>
      <c r="J632" s="378"/>
      <c r="K632" s="378"/>
      <c r="L632" s="378"/>
      <c r="M632" s="378"/>
      <c r="N632" s="378"/>
      <c r="O632" s="378"/>
      <c r="P632" s="378"/>
      <c r="Q632" s="378"/>
      <c r="R632" s="378"/>
      <c r="S632" s="378"/>
      <c r="T632" s="378"/>
      <c r="U632" s="378"/>
      <c r="V632" s="378"/>
      <c r="W632" s="378"/>
      <c r="X632" s="378"/>
      <c r="Y632" s="378"/>
      <c r="Z632" s="378"/>
      <c r="AA632" s="378"/>
      <c r="AB632" s="378"/>
      <c r="AC632" s="378"/>
      <c r="AD632" s="378"/>
      <c r="AE632" s="378"/>
      <c r="AF632" s="378"/>
    </row>
    <row r="633" spans="2:32">
      <c r="B633" s="378"/>
      <c r="C633" s="378"/>
      <c r="D633" s="378"/>
      <c r="F633" s="378"/>
      <c r="G633" s="378"/>
      <c r="H633" s="378"/>
      <c r="I633" s="378"/>
      <c r="J633" s="378"/>
      <c r="K633" s="378"/>
      <c r="L633" s="378"/>
      <c r="M633" s="378"/>
      <c r="N633" s="378"/>
      <c r="O633" s="378"/>
      <c r="P633" s="378"/>
      <c r="Q633" s="378"/>
      <c r="R633" s="378"/>
      <c r="S633" s="378"/>
      <c r="T633" s="378"/>
      <c r="U633" s="378"/>
      <c r="V633" s="378"/>
      <c r="W633" s="378"/>
      <c r="X633" s="378"/>
      <c r="Y633" s="378"/>
      <c r="Z633" s="378"/>
      <c r="AA633" s="378"/>
      <c r="AB633" s="378"/>
      <c r="AC633" s="378"/>
      <c r="AD633" s="378"/>
      <c r="AE633" s="378"/>
      <c r="AF633" s="378"/>
    </row>
    <row r="634" spans="2:32">
      <c r="B634" s="378"/>
      <c r="C634" s="378"/>
      <c r="D634" s="378"/>
      <c r="F634" s="378"/>
      <c r="G634" s="378"/>
      <c r="H634" s="378"/>
      <c r="I634" s="378"/>
      <c r="J634" s="378"/>
      <c r="K634" s="378"/>
      <c r="L634" s="378"/>
      <c r="M634" s="378"/>
      <c r="N634" s="378"/>
      <c r="O634" s="378"/>
      <c r="P634" s="378"/>
      <c r="Q634" s="378"/>
      <c r="R634" s="378"/>
      <c r="S634" s="378"/>
      <c r="T634" s="378"/>
      <c r="U634" s="378"/>
      <c r="V634" s="378"/>
      <c r="W634" s="378"/>
      <c r="X634" s="378"/>
      <c r="Y634" s="378"/>
      <c r="Z634" s="378"/>
      <c r="AA634" s="378"/>
      <c r="AB634" s="378"/>
      <c r="AC634" s="378"/>
      <c r="AD634" s="378"/>
      <c r="AE634" s="378"/>
      <c r="AF634" s="378"/>
    </row>
    <row r="635" spans="2:32">
      <c r="B635" s="378"/>
      <c r="C635" s="378"/>
      <c r="D635" s="378"/>
      <c r="F635" s="378"/>
      <c r="G635" s="378"/>
      <c r="H635" s="378"/>
      <c r="I635" s="378"/>
      <c r="J635" s="378"/>
      <c r="K635" s="378"/>
      <c r="L635" s="378"/>
      <c r="M635" s="378"/>
      <c r="N635" s="378"/>
      <c r="O635" s="378"/>
      <c r="P635" s="378"/>
      <c r="Q635" s="378"/>
      <c r="R635" s="378"/>
      <c r="S635" s="378"/>
      <c r="T635" s="378"/>
      <c r="U635" s="378"/>
      <c r="V635" s="378"/>
      <c r="W635" s="378"/>
      <c r="X635" s="378"/>
      <c r="Y635" s="378"/>
      <c r="Z635" s="378"/>
      <c r="AA635" s="378"/>
      <c r="AB635" s="378"/>
      <c r="AC635" s="378"/>
      <c r="AD635" s="378"/>
      <c r="AE635" s="378"/>
      <c r="AF635" s="378"/>
    </row>
    <row r="636" spans="2:32">
      <c r="B636" s="378"/>
      <c r="C636" s="378"/>
      <c r="D636" s="378"/>
      <c r="F636" s="378"/>
      <c r="G636" s="378"/>
      <c r="H636" s="378"/>
      <c r="I636" s="378"/>
      <c r="J636" s="378"/>
      <c r="K636" s="378"/>
      <c r="L636" s="378"/>
      <c r="M636" s="378"/>
      <c r="N636" s="378"/>
      <c r="O636" s="378"/>
      <c r="P636" s="378"/>
      <c r="Q636" s="378"/>
      <c r="R636" s="378"/>
      <c r="S636" s="378"/>
      <c r="T636" s="378"/>
      <c r="U636" s="378"/>
      <c r="V636" s="378"/>
      <c r="W636" s="378"/>
      <c r="X636" s="378"/>
      <c r="Y636" s="378"/>
      <c r="Z636" s="378"/>
      <c r="AA636" s="378"/>
      <c r="AB636" s="378"/>
      <c r="AC636" s="378"/>
      <c r="AD636" s="378"/>
      <c r="AE636" s="378"/>
      <c r="AF636" s="378"/>
    </row>
    <row r="637" spans="2:32">
      <c r="B637" s="378"/>
      <c r="C637" s="378"/>
      <c r="D637" s="378"/>
      <c r="F637" s="378"/>
      <c r="G637" s="378"/>
      <c r="H637" s="378"/>
      <c r="I637" s="378"/>
      <c r="J637" s="378"/>
      <c r="K637" s="378"/>
      <c r="L637" s="378"/>
      <c r="M637" s="378"/>
      <c r="N637" s="378"/>
      <c r="O637" s="378"/>
      <c r="P637" s="378"/>
      <c r="Q637" s="378"/>
      <c r="R637" s="378"/>
      <c r="S637" s="378"/>
      <c r="T637" s="378"/>
      <c r="U637" s="378"/>
      <c r="V637" s="378"/>
      <c r="W637" s="378"/>
      <c r="X637" s="378"/>
      <c r="Y637" s="378"/>
      <c r="Z637" s="378"/>
      <c r="AA637" s="378"/>
      <c r="AB637" s="378"/>
      <c r="AC637" s="378"/>
      <c r="AD637" s="378"/>
      <c r="AE637" s="378"/>
      <c r="AF637" s="378"/>
    </row>
    <row r="638" spans="2:32">
      <c r="B638" s="378"/>
      <c r="C638" s="378"/>
      <c r="D638" s="378"/>
      <c r="F638" s="378"/>
      <c r="G638" s="378"/>
      <c r="H638" s="378"/>
      <c r="I638" s="378"/>
      <c r="J638" s="378"/>
      <c r="K638" s="378"/>
      <c r="L638" s="378"/>
      <c r="M638" s="378"/>
      <c r="N638" s="378"/>
      <c r="O638" s="378"/>
      <c r="P638" s="378"/>
      <c r="Q638" s="378"/>
      <c r="R638" s="378"/>
      <c r="S638" s="378"/>
      <c r="T638" s="378"/>
      <c r="U638" s="378"/>
      <c r="V638" s="378"/>
      <c r="W638" s="378"/>
      <c r="X638" s="378"/>
      <c r="Y638" s="378"/>
      <c r="Z638" s="378"/>
      <c r="AA638" s="378"/>
      <c r="AB638" s="378"/>
      <c r="AC638" s="378"/>
      <c r="AD638" s="378"/>
      <c r="AE638" s="378"/>
      <c r="AF638" s="378"/>
    </row>
    <row r="639" spans="2:32">
      <c r="B639" s="378"/>
      <c r="C639" s="378"/>
      <c r="D639" s="378"/>
      <c r="F639" s="378"/>
      <c r="G639" s="378"/>
      <c r="H639" s="378"/>
      <c r="I639" s="378"/>
      <c r="J639" s="378"/>
      <c r="K639" s="378"/>
      <c r="L639" s="378"/>
      <c r="M639" s="378"/>
      <c r="N639" s="378"/>
      <c r="O639" s="378"/>
      <c r="P639" s="378"/>
      <c r="Q639" s="378"/>
      <c r="R639" s="378"/>
      <c r="S639" s="378"/>
      <c r="T639" s="378"/>
      <c r="U639" s="378"/>
      <c r="V639" s="378"/>
      <c r="W639" s="378"/>
      <c r="X639" s="378"/>
      <c r="Y639" s="378"/>
      <c r="Z639" s="378"/>
      <c r="AA639" s="378"/>
      <c r="AB639" s="378"/>
      <c r="AC639" s="378"/>
      <c r="AD639" s="378"/>
      <c r="AE639" s="378"/>
      <c r="AF639" s="378"/>
    </row>
    <row r="640" spans="2:32">
      <c r="B640" s="378"/>
      <c r="C640" s="378"/>
      <c r="D640" s="378"/>
      <c r="F640" s="378"/>
      <c r="G640" s="378"/>
      <c r="H640" s="378"/>
      <c r="I640" s="378"/>
      <c r="J640" s="378"/>
      <c r="K640" s="378"/>
      <c r="L640" s="378"/>
      <c r="M640" s="378"/>
      <c r="N640" s="378"/>
      <c r="O640" s="378"/>
      <c r="P640" s="378"/>
      <c r="Q640" s="378"/>
      <c r="R640" s="378"/>
      <c r="S640" s="378"/>
      <c r="T640" s="378"/>
      <c r="U640" s="378"/>
      <c r="V640" s="378"/>
      <c r="W640" s="378"/>
      <c r="X640" s="378"/>
      <c r="Y640" s="378"/>
      <c r="Z640" s="378"/>
      <c r="AA640" s="378"/>
      <c r="AB640" s="378"/>
      <c r="AC640" s="378"/>
      <c r="AD640" s="378"/>
      <c r="AE640" s="378"/>
      <c r="AF640" s="378"/>
    </row>
    <row r="641" spans="2:32">
      <c r="B641" s="378"/>
      <c r="C641" s="378"/>
      <c r="D641" s="378"/>
      <c r="F641" s="378"/>
      <c r="G641" s="378"/>
      <c r="H641" s="378"/>
      <c r="I641" s="378"/>
      <c r="J641" s="378"/>
      <c r="K641" s="378"/>
      <c r="L641" s="378"/>
      <c r="M641" s="378"/>
      <c r="N641" s="378"/>
      <c r="O641" s="378"/>
      <c r="P641" s="378"/>
      <c r="Q641" s="378"/>
      <c r="R641" s="378"/>
      <c r="S641" s="378"/>
      <c r="T641" s="378"/>
      <c r="U641" s="378"/>
      <c r="V641" s="378"/>
      <c r="W641" s="378"/>
      <c r="X641" s="378"/>
      <c r="Y641" s="378"/>
      <c r="Z641" s="378"/>
      <c r="AA641" s="378"/>
      <c r="AB641" s="378"/>
      <c r="AC641" s="378"/>
      <c r="AD641" s="378"/>
      <c r="AE641" s="378"/>
      <c r="AF641" s="378"/>
    </row>
    <row r="642" spans="2:32">
      <c r="B642" s="378"/>
      <c r="C642" s="378"/>
      <c r="D642" s="378"/>
      <c r="F642" s="378"/>
      <c r="G642" s="378"/>
      <c r="H642" s="378"/>
      <c r="I642" s="378"/>
      <c r="J642" s="378"/>
      <c r="K642" s="378"/>
      <c r="L642" s="378"/>
      <c r="M642" s="378"/>
      <c r="N642" s="378"/>
      <c r="O642" s="378"/>
      <c r="P642" s="378"/>
      <c r="Q642" s="378"/>
      <c r="R642" s="378"/>
      <c r="S642" s="378"/>
      <c r="T642" s="378"/>
      <c r="U642" s="378"/>
      <c r="V642" s="378"/>
      <c r="W642" s="378"/>
      <c r="X642" s="378"/>
      <c r="Y642" s="378"/>
      <c r="Z642" s="378"/>
      <c r="AA642" s="378"/>
      <c r="AB642" s="378"/>
      <c r="AC642" s="378"/>
      <c r="AD642" s="378"/>
      <c r="AE642" s="378"/>
      <c r="AF642" s="378"/>
    </row>
    <row r="643" spans="2:32">
      <c r="B643" s="378"/>
      <c r="C643" s="378"/>
      <c r="D643" s="378"/>
      <c r="F643" s="378"/>
      <c r="G643" s="378"/>
      <c r="H643" s="378"/>
      <c r="I643" s="378"/>
      <c r="J643" s="378"/>
      <c r="K643" s="378"/>
      <c r="L643" s="378"/>
      <c r="M643" s="378"/>
      <c r="N643" s="378"/>
      <c r="O643" s="378"/>
      <c r="P643" s="378"/>
      <c r="Q643" s="378"/>
      <c r="R643" s="378"/>
      <c r="S643" s="378"/>
      <c r="T643" s="378"/>
      <c r="U643" s="378"/>
      <c r="V643" s="378"/>
      <c r="W643" s="378"/>
      <c r="X643" s="378"/>
      <c r="Y643" s="378"/>
      <c r="Z643" s="378"/>
      <c r="AA643" s="378"/>
      <c r="AB643" s="378"/>
      <c r="AC643" s="378"/>
      <c r="AD643" s="378"/>
      <c r="AE643" s="378"/>
      <c r="AF643" s="378"/>
    </row>
    <row r="644" spans="2:32">
      <c r="B644" s="378"/>
      <c r="C644" s="378"/>
      <c r="D644" s="378"/>
      <c r="F644" s="378"/>
      <c r="G644" s="378"/>
      <c r="H644" s="378"/>
      <c r="I644" s="378"/>
      <c r="J644" s="378"/>
      <c r="K644" s="378"/>
      <c r="L644" s="378"/>
      <c r="M644" s="378"/>
      <c r="N644" s="378"/>
      <c r="O644" s="378"/>
      <c r="P644" s="378"/>
      <c r="Q644" s="378"/>
      <c r="R644" s="378"/>
      <c r="S644" s="378"/>
      <c r="T644" s="378"/>
      <c r="U644" s="378"/>
      <c r="V644" s="378"/>
      <c r="W644" s="378"/>
      <c r="X644" s="378"/>
      <c r="Y644" s="378"/>
      <c r="Z644" s="378"/>
      <c r="AA644" s="378"/>
      <c r="AB644" s="378"/>
      <c r="AC644" s="378"/>
      <c r="AD644" s="378"/>
      <c r="AE644" s="378"/>
      <c r="AF644" s="378"/>
    </row>
    <row r="645" spans="2:32">
      <c r="B645" s="378"/>
      <c r="C645" s="378"/>
      <c r="D645" s="378"/>
      <c r="F645" s="378"/>
      <c r="G645" s="378"/>
      <c r="H645" s="378"/>
      <c r="I645" s="378"/>
      <c r="J645" s="378"/>
      <c r="K645" s="378"/>
      <c r="L645" s="378"/>
      <c r="M645" s="378"/>
      <c r="N645" s="378"/>
      <c r="O645" s="378"/>
      <c r="P645" s="378"/>
      <c r="Q645" s="378"/>
      <c r="R645" s="378"/>
      <c r="S645" s="378"/>
      <c r="T645" s="378"/>
      <c r="U645" s="378"/>
      <c r="V645" s="378"/>
      <c r="W645" s="378"/>
      <c r="X645" s="378"/>
      <c r="Y645" s="378"/>
      <c r="Z645" s="378"/>
      <c r="AA645" s="378"/>
      <c r="AB645" s="378"/>
      <c r="AC645" s="378"/>
      <c r="AD645" s="378"/>
      <c r="AE645" s="378"/>
      <c r="AF645" s="378"/>
    </row>
    <row r="646" spans="2:32">
      <c r="B646" s="378"/>
      <c r="C646" s="378"/>
      <c r="D646" s="378"/>
      <c r="F646" s="378"/>
      <c r="G646" s="378"/>
      <c r="H646" s="378"/>
      <c r="I646" s="378"/>
      <c r="J646" s="378"/>
      <c r="K646" s="378"/>
      <c r="L646" s="378"/>
      <c r="M646" s="378"/>
      <c r="N646" s="378"/>
      <c r="O646" s="378"/>
      <c r="P646" s="378"/>
      <c r="Q646" s="378"/>
      <c r="R646" s="378"/>
      <c r="S646" s="378"/>
      <c r="T646" s="378"/>
      <c r="U646" s="378"/>
      <c r="V646" s="378"/>
      <c r="W646" s="378"/>
      <c r="X646" s="378"/>
      <c r="Y646" s="378"/>
      <c r="Z646" s="378"/>
      <c r="AA646" s="378"/>
      <c r="AB646" s="378"/>
      <c r="AC646" s="378"/>
      <c r="AD646" s="378"/>
      <c r="AE646" s="378"/>
      <c r="AF646" s="378"/>
    </row>
    <row r="647" spans="2:32">
      <c r="B647" s="378"/>
      <c r="C647" s="378"/>
      <c r="D647" s="378"/>
      <c r="F647" s="378"/>
      <c r="G647" s="378"/>
      <c r="H647" s="378"/>
      <c r="I647" s="378"/>
      <c r="J647" s="378"/>
      <c r="K647" s="378"/>
      <c r="L647" s="378"/>
      <c r="M647" s="378"/>
      <c r="N647" s="378"/>
      <c r="O647" s="378"/>
      <c r="P647" s="378"/>
      <c r="Q647" s="378"/>
      <c r="R647" s="378"/>
      <c r="S647" s="378"/>
      <c r="T647" s="378"/>
      <c r="U647" s="378"/>
      <c r="V647" s="378"/>
      <c r="W647" s="378"/>
      <c r="X647" s="378"/>
      <c r="Y647" s="378"/>
      <c r="Z647" s="378"/>
      <c r="AA647" s="378"/>
      <c r="AB647" s="378"/>
      <c r="AC647" s="378"/>
      <c r="AD647" s="378"/>
      <c r="AE647" s="378"/>
      <c r="AF647" s="378"/>
    </row>
    <row r="648" spans="2:32">
      <c r="B648" s="378"/>
      <c r="C648" s="378"/>
      <c r="D648" s="378"/>
      <c r="F648" s="378"/>
      <c r="G648" s="378"/>
      <c r="H648" s="378"/>
      <c r="I648" s="378"/>
      <c r="J648" s="378"/>
      <c r="K648" s="378"/>
      <c r="L648" s="378"/>
      <c r="M648" s="378"/>
      <c r="N648" s="378"/>
      <c r="O648" s="378"/>
      <c r="P648" s="378"/>
      <c r="Q648" s="378"/>
      <c r="R648" s="378"/>
      <c r="S648" s="378"/>
      <c r="T648" s="378"/>
      <c r="U648" s="378"/>
      <c r="V648" s="378"/>
      <c r="W648" s="378"/>
      <c r="X648" s="378"/>
      <c r="Y648" s="378"/>
      <c r="Z648" s="378"/>
      <c r="AA648" s="378"/>
      <c r="AB648" s="378"/>
      <c r="AC648" s="378"/>
      <c r="AD648" s="378"/>
      <c r="AE648" s="378"/>
      <c r="AF648" s="378"/>
    </row>
    <row r="649" spans="2:32">
      <c r="B649" s="378"/>
      <c r="C649" s="378"/>
      <c r="D649" s="378"/>
      <c r="F649" s="378"/>
      <c r="G649" s="378"/>
      <c r="H649" s="378"/>
      <c r="I649" s="378"/>
      <c r="J649" s="378"/>
      <c r="K649" s="378"/>
      <c r="L649" s="378"/>
      <c r="M649" s="378"/>
      <c r="N649" s="378"/>
      <c r="O649" s="378"/>
      <c r="P649" s="378"/>
      <c r="Q649" s="378"/>
      <c r="R649" s="378"/>
      <c r="S649" s="378"/>
      <c r="T649" s="378"/>
      <c r="U649" s="378"/>
      <c r="V649" s="378"/>
      <c r="W649" s="378"/>
      <c r="X649" s="378"/>
      <c r="Y649" s="378"/>
      <c r="Z649" s="378"/>
      <c r="AA649" s="378"/>
      <c r="AB649" s="378"/>
      <c r="AC649" s="378"/>
      <c r="AD649" s="378"/>
      <c r="AE649" s="378"/>
      <c r="AF649" s="378"/>
    </row>
    <row r="650" spans="2:32">
      <c r="B650" s="378"/>
      <c r="C650" s="378"/>
      <c r="D650" s="378"/>
      <c r="F650" s="378"/>
      <c r="G650" s="378"/>
      <c r="H650" s="378"/>
      <c r="I650" s="378"/>
      <c r="J650" s="378"/>
      <c r="K650" s="378"/>
      <c r="L650" s="378"/>
      <c r="M650" s="378"/>
      <c r="N650" s="378"/>
      <c r="O650" s="378"/>
      <c r="P650" s="378"/>
      <c r="Q650" s="378"/>
      <c r="R650" s="378"/>
      <c r="S650" s="378"/>
      <c r="T650" s="378"/>
      <c r="U650" s="378"/>
      <c r="V650" s="378"/>
      <c r="W650" s="378"/>
      <c r="X650" s="378"/>
      <c r="Y650" s="378"/>
      <c r="Z650" s="378"/>
      <c r="AA650" s="378"/>
      <c r="AB650" s="378"/>
      <c r="AC650" s="378"/>
      <c r="AD650" s="378"/>
      <c r="AE650" s="378"/>
      <c r="AF650" s="378"/>
    </row>
    <row r="651" spans="2:32">
      <c r="B651" s="378"/>
      <c r="C651" s="378"/>
      <c r="D651" s="378"/>
      <c r="F651" s="378"/>
      <c r="G651" s="378"/>
      <c r="H651" s="378"/>
      <c r="I651" s="378"/>
      <c r="J651" s="378"/>
      <c r="K651" s="378"/>
      <c r="L651" s="378"/>
      <c r="M651" s="378"/>
      <c r="N651" s="378"/>
      <c r="O651" s="378"/>
      <c r="P651" s="378"/>
      <c r="Q651" s="378"/>
      <c r="R651" s="378"/>
      <c r="S651" s="378"/>
      <c r="T651" s="378"/>
      <c r="U651" s="378"/>
      <c r="V651" s="378"/>
      <c r="W651" s="378"/>
      <c r="X651" s="378"/>
      <c r="Y651" s="378"/>
      <c r="Z651" s="378"/>
      <c r="AA651" s="378"/>
      <c r="AB651" s="378"/>
      <c r="AC651" s="378"/>
      <c r="AD651" s="378"/>
      <c r="AE651" s="378"/>
      <c r="AF651" s="378"/>
    </row>
    <row r="652" spans="2:32">
      <c r="B652" s="378"/>
      <c r="C652" s="378"/>
      <c r="D652" s="378"/>
      <c r="F652" s="378"/>
      <c r="G652" s="378"/>
      <c r="H652" s="378"/>
      <c r="I652" s="378"/>
      <c r="J652" s="378"/>
      <c r="K652" s="378"/>
      <c r="L652" s="378"/>
      <c r="M652" s="378"/>
      <c r="N652" s="378"/>
      <c r="O652" s="378"/>
      <c r="P652" s="378"/>
      <c r="Q652" s="378"/>
      <c r="R652" s="378"/>
      <c r="S652" s="378"/>
      <c r="T652" s="378"/>
      <c r="U652" s="378"/>
      <c r="V652" s="378"/>
      <c r="W652" s="378"/>
      <c r="X652" s="378"/>
      <c r="Y652" s="378"/>
      <c r="Z652" s="378"/>
      <c r="AA652" s="378"/>
      <c r="AB652" s="378"/>
      <c r="AC652" s="378"/>
      <c r="AD652" s="378"/>
      <c r="AE652" s="378"/>
      <c r="AF652" s="378"/>
    </row>
    <row r="653" spans="2:32">
      <c r="B653" s="378"/>
      <c r="C653" s="378"/>
      <c r="D653" s="378"/>
      <c r="F653" s="378"/>
      <c r="G653" s="378"/>
      <c r="H653" s="378"/>
      <c r="I653" s="378"/>
      <c r="J653" s="378"/>
      <c r="K653" s="378"/>
      <c r="L653" s="378"/>
      <c r="M653" s="378"/>
      <c r="N653" s="378"/>
      <c r="O653" s="378"/>
      <c r="P653" s="378"/>
      <c r="Q653" s="378"/>
      <c r="R653" s="378"/>
      <c r="S653" s="378"/>
      <c r="T653" s="378"/>
      <c r="U653" s="378"/>
      <c r="V653" s="378"/>
      <c r="W653" s="378"/>
      <c r="X653" s="378"/>
      <c r="Y653" s="378"/>
      <c r="Z653" s="378"/>
      <c r="AA653" s="378"/>
      <c r="AB653" s="378"/>
      <c r="AC653" s="378"/>
      <c r="AD653" s="378"/>
      <c r="AE653" s="378"/>
      <c r="AF653" s="378"/>
    </row>
    <row r="654" spans="2:32">
      <c r="B654" s="378"/>
      <c r="C654" s="378"/>
      <c r="D654" s="378"/>
      <c r="F654" s="378"/>
      <c r="G654" s="378"/>
      <c r="H654" s="378"/>
      <c r="I654" s="378"/>
      <c r="J654" s="378"/>
      <c r="K654" s="378"/>
      <c r="L654" s="378"/>
      <c r="M654" s="378"/>
      <c r="N654" s="378"/>
      <c r="O654" s="378"/>
      <c r="P654" s="378"/>
      <c r="Q654" s="378"/>
      <c r="R654" s="378"/>
      <c r="S654" s="378"/>
      <c r="T654" s="378"/>
      <c r="U654" s="378"/>
      <c r="V654" s="378"/>
      <c r="W654" s="378"/>
      <c r="X654" s="378"/>
      <c r="Y654" s="378"/>
      <c r="Z654" s="378"/>
      <c r="AA654" s="378"/>
      <c r="AB654" s="378"/>
      <c r="AC654" s="378"/>
      <c r="AD654" s="378"/>
      <c r="AE654" s="378"/>
      <c r="AF654" s="378"/>
    </row>
    <row r="655" spans="2:32">
      <c r="B655" s="378"/>
      <c r="C655" s="378"/>
      <c r="D655" s="378"/>
      <c r="F655" s="378"/>
      <c r="G655" s="378"/>
      <c r="H655" s="378"/>
      <c r="I655" s="378"/>
      <c r="J655" s="378"/>
      <c r="K655" s="378"/>
      <c r="L655" s="378"/>
      <c r="M655" s="378"/>
      <c r="N655" s="378"/>
      <c r="O655" s="378"/>
      <c r="P655" s="378"/>
      <c r="Q655" s="378"/>
      <c r="R655" s="378"/>
      <c r="S655" s="378"/>
      <c r="T655" s="378"/>
      <c r="U655" s="378"/>
      <c r="V655" s="378"/>
      <c r="W655" s="378"/>
      <c r="X655" s="378"/>
      <c r="Y655" s="378"/>
      <c r="Z655" s="378"/>
      <c r="AA655" s="378"/>
      <c r="AB655" s="378"/>
      <c r="AC655" s="378"/>
      <c r="AD655" s="378"/>
      <c r="AE655" s="378"/>
      <c r="AF655" s="378"/>
    </row>
    <row r="656" spans="2:32">
      <c r="B656" s="378"/>
      <c r="C656" s="378"/>
      <c r="D656" s="378"/>
      <c r="F656" s="378"/>
      <c r="G656" s="378"/>
      <c r="H656" s="378"/>
      <c r="I656" s="378"/>
      <c r="J656" s="378"/>
      <c r="K656" s="378"/>
      <c r="L656" s="378"/>
      <c r="M656" s="378"/>
      <c r="N656" s="378"/>
      <c r="O656" s="378"/>
      <c r="P656" s="378"/>
      <c r="Q656" s="378"/>
      <c r="R656" s="378"/>
      <c r="S656" s="378"/>
      <c r="T656" s="378"/>
      <c r="U656" s="378"/>
      <c r="V656" s="378"/>
      <c r="W656" s="378"/>
      <c r="X656" s="378"/>
      <c r="Y656" s="378"/>
      <c r="Z656" s="378"/>
      <c r="AA656" s="378"/>
      <c r="AB656" s="378"/>
      <c r="AC656" s="378"/>
      <c r="AD656" s="378"/>
      <c r="AE656" s="378"/>
      <c r="AF656" s="378"/>
    </row>
    <row r="657" spans="2:32">
      <c r="B657" s="378"/>
      <c r="C657" s="378"/>
      <c r="D657" s="378"/>
      <c r="F657" s="378"/>
      <c r="G657" s="378"/>
      <c r="H657" s="378"/>
      <c r="I657" s="378"/>
      <c r="J657" s="378"/>
      <c r="K657" s="378"/>
      <c r="L657" s="378"/>
      <c r="M657" s="378"/>
      <c r="N657" s="378"/>
      <c r="O657" s="378"/>
      <c r="P657" s="378"/>
      <c r="Q657" s="378"/>
      <c r="R657" s="378"/>
      <c r="S657" s="378"/>
      <c r="T657" s="378"/>
      <c r="U657" s="378"/>
      <c r="V657" s="378"/>
      <c r="W657" s="378"/>
      <c r="X657" s="378"/>
      <c r="Y657" s="378"/>
      <c r="Z657" s="378"/>
      <c r="AA657" s="378"/>
      <c r="AB657" s="378"/>
      <c r="AC657" s="378"/>
      <c r="AD657" s="378"/>
      <c r="AE657" s="378"/>
      <c r="AF657" s="378"/>
    </row>
    <row r="658" spans="2:32">
      <c r="B658" s="378"/>
      <c r="C658" s="378"/>
      <c r="D658" s="378"/>
      <c r="F658" s="378"/>
      <c r="G658" s="378"/>
      <c r="H658" s="378"/>
      <c r="I658" s="378"/>
      <c r="J658" s="378"/>
      <c r="K658" s="378"/>
      <c r="L658" s="378"/>
      <c r="M658" s="378"/>
      <c r="N658" s="378"/>
      <c r="O658" s="378"/>
      <c r="P658" s="378"/>
      <c r="Q658" s="378"/>
      <c r="R658" s="378"/>
      <c r="S658" s="378"/>
      <c r="T658" s="378"/>
      <c r="U658" s="378"/>
      <c r="V658" s="378"/>
      <c r="W658" s="378"/>
      <c r="X658" s="378"/>
      <c r="Y658" s="378"/>
      <c r="Z658" s="378"/>
      <c r="AA658" s="378"/>
      <c r="AB658" s="378"/>
      <c r="AC658" s="378"/>
      <c r="AD658" s="378"/>
      <c r="AE658" s="378"/>
      <c r="AF658" s="378"/>
    </row>
    <row r="659" spans="2:32">
      <c r="B659" s="378"/>
      <c r="C659" s="378"/>
      <c r="D659" s="378"/>
      <c r="F659" s="378"/>
      <c r="G659" s="378"/>
      <c r="H659" s="378"/>
      <c r="I659" s="378"/>
      <c r="J659" s="378"/>
      <c r="K659" s="378"/>
      <c r="L659" s="378"/>
      <c r="M659" s="378"/>
      <c r="N659" s="378"/>
      <c r="O659" s="378"/>
      <c r="P659" s="378"/>
      <c r="Q659" s="378"/>
      <c r="R659" s="378"/>
      <c r="S659" s="378"/>
      <c r="T659" s="378"/>
      <c r="U659" s="378"/>
      <c r="V659" s="378"/>
      <c r="W659" s="378"/>
      <c r="X659" s="378"/>
      <c r="Y659" s="378"/>
      <c r="Z659" s="378"/>
      <c r="AA659" s="378"/>
      <c r="AB659" s="378"/>
      <c r="AC659" s="378"/>
      <c r="AD659" s="378"/>
      <c r="AE659" s="378"/>
      <c r="AF659" s="378"/>
    </row>
    <row r="660" spans="2:32">
      <c r="B660" s="378"/>
      <c r="C660" s="378"/>
      <c r="D660" s="378"/>
      <c r="F660" s="378"/>
      <c r="G660" s="378"/>
      <c r="H660" s="378"/>
      <c r="I660" s="378"/>
      <c r="J660" s="378"/>
      <c r="K660" s="378"/>
      <c r="L660" s="378"/>
      <c r="M660" s="378"/>
      <c r="N660" s="378"/>
      <c r="O660" s="378"/>
      <c r="P660" s="378"/>
      <c r="Q660" s="378"/>
      <c r="R660" s="378"/>
      <c r="S660" s="378"/>
      <c r="T660" s="378"/>
      <c r="U660" s="378"/>
      <c r="V660" s="378"/>
      <c r="W660" s="378"/>
      <c r="X660" s="378"/>
      <c r="Y660" s="378"/>
      <c r="Z660" s="378"/>
      <c r="AA660" s="378"/>
      <c r="AB660" s="378"/>
      <c r="AC660" s="378"/>
      <c r="AD660" s="378"/>
      <c r="AE660" s="378"/>
      <c r="AF660" s="378"/>
    </row>
    <row r="661" spans="2:32">
      <c r="B661" s="378"/>
      <c r="C661" s="378"/>
      <c r="D661" s="378"/>
      <c r="F661" s="378"/>
      <c r="G661" s="378"/>
      <c r="H661" s="378"/>
      <c r="I661" s="378"/>
      <c r="J661" s="378"/>
      <c r="K661" s="378"/>
      <c r="L661" s="378"/>
      <c r="M661" s="378"/>
      <c r="N661" s="378"/>
      <c r="O661" s="378"/>
      <c r="P661" s="378"/>
      <c r="Q661" s="378"/>
      <c r="R661" s="378"/>
      <c r="S661" s="378"/>
      <c r="T661" s="378"/>
      <c r="U661" s="378"/>
      <c r="V661" s="378"/>
      <c r="W661" s="378"/>
      <c r="X661" s="378"/>
      <c r="Y661" s="378"/>
      <c r="Z661" s="378"/>
      <c r="AA661" s="378"/>
      <c r="AB661" s="378"/>
      <c r="AC661" s="378"/>
      <c r="AD661" s="378"/>
      <c r="AE661" s="378"/>
      <c r="AF661" s="378"/>
    </row>
    <row r="662" spans="2:32">
      <c r="B662" s="378"/>
      <c r="C662" s="378"/>
      <c r="D662" s="378"/>
      <c r="F662" s="378"/>
      <c r="G662" s="378"/>
      <c r="H662" s="378"/>
      <c r="I662" s="378"/>
      <c r="J662" s="378"/>
      <c r="K662" s="378"/>
      <c r="L662" s="378"/>
      <c r="M662" s="378"/>
      <c r="N662" s="378"/>
      <c r="O662" s="378"/>
      <c r="P662" s="378"/>
      <c r="Q662" s="378"/>
      <c r="R662" s="378"/>
      <c r="S662" s="378"/>
      <c r="T662" s="378"/>
      <c r="U662" s="378"/>
      <c r="V662" s="378"/>
      <c r="W662" s="378"/>
      <c r="X662" s="378"/>
      <c r="Y662" s="378"/>
      <c r="Z662" s="378"/>
      <c r="AA662" s="378"/>
      <c r="AB662" s="378"/>
      <c r="AC662" s="378"/>
      <c r="AD662" s="378"/>
      <c r="AE662" s="378"/>
      <c r="AF662" s="378"/>
    </row>
    <row r="663" spans="2:32">
      <c r="B663" s="378"/>
      <c r="C663" s="378"/>
      <c r="D663" s="378"/>
      <c r="F663" s="378"/>
      <c r="G663" s="378"/>
      <c r="H663" s="378"/>
      <c r="I663" s="378"/>
      <c r="J663" s="378"/>
      <c r="K663" s="378"/>
      <c r="L663" s="378"/>
      <c r="M663" s="378"/>
      <c r="N663" s="378"/>
      <c r="O663" s="378"/>
      <c r="P663" s="378"/>
      <c r="Q663" s="378"/>
      <c r="R663" s="378"/>
      <c r="S663" s="378"/>
      <c r="T663" s="378"/>
      <c r="U663" s="378"/>
      <c r="V663" s="378"/>
      <c r="W663" s="378"/>
      <c r="X663" s="378"/>
      <c r="Y663" s="378"/>
      <c r="Z663" s="378"/>
      <c r="AA663" s="378"/>
      <c r="AB663" s="378"/>
      <c r="AC663" s="378"/>
      <c r="AD663" s="378"/>
      <c r="AE663" s="378"/>
      <c r="AF663" s="378"/>
    </row>
    <row r="664" spans="2:32">
      <c r="B664" s="378"/>
      <c r="C664" s="378"/>
      <c r="D664" s="378"/>
      <c r="F664" s="378"/>
      <c r="G664" s="378"/>
      <c r="H664" s="378"/>
      <c r="I664" s="378"/>
      <c r="J664" s="378"/>
      <c r="K664" s="378"/>
      <c r="L664" s="378"/>
      <c r="M664" s="378"/>
      <c r="N664" s="378"/>
      <c r="O664" s="378"/>
      <c r="P664" s="378"/>
      <c r="Q664" s="378"/>
      <c r="R664" s="378"/>
      <c r="S664" s="378"/>
      <c r="T664" s="378"/>
      <c r="U664" s="378"/>
      <c r="V664" s="378"/>
      <c r="W664" s="378"/>
      <c r="X664" s="378"/>
      <c r="Y664" s="378"/>
      <c r="Z664" s="378"/>
      <c r="AA664" s="378"/>
      <c r="AB664" s="378"/>
      <c r="AC664" s="378"/>
      <c r="AD664" s="378"/>
      <c r="AE664" s="378"/>
      <c r="AF664" s="378"/>
    </row>
    <row r="665" spans="2:32">
      <c r="B665" s="378"/>
      <c r="C665" s="378"/>
      <c r="D665" s="378"/>
      <c r="F665" s="378"/>
      <c r="G665" s="378"/>
      <c r="H665" s="378"/>
      <c r="I665" s="378"/>
      <c r="J665" s="378"/>
      <c r="K665" s="378"/>
      <c r="L665" s="378"/>
      <c r="M665" s="378"/>
      <c r="N665" s="378"/>
      <c r="O665" s="378"/>
      <c r="P665" s="378"/>
      <c r="Q665" s="378"/>
      <c r="R665" s="378"/>
      <c r="S665" s="378"/>
      <c r="T665" s="378"/>
      <c r="U665" s="378"/>
      <c r="V665" s="378"/>
      <c r="W665" s="378"/>
      <c r="X665" s="378"/>
      <c r="Y665" s="378"/>
      <c r="Z665" s="378"/>
      <c r="AA665" s="378"/>
      <c r="AB665" s="378"/>
      <c r="AC665" s="378"/>
      <c r="AD665" s="378"/>
      <c r="AE665" s="378"/>
      <c r="AF665" s="378"/>
    </row>
    <row r="666" spans="2:32">
      <c r="B666" s="378"/>
      <c r="C666" s="378"/>
      <c r="D666" s="378"/>
      <c r="F666" s="378"/>
      <c r="G666" s="378"/>
      <c r="H666" s="378"/>
      <c r="I666" s="378"/>
      <c r="J666" s="378"/>
      <c r="K666" s="378"/>
      <c r="L666" s="378"/>
      <c r="M666" s="378"/>
      <c r="N666" s="378"/>
      <c r="O666" s="378"/>
      <c r="P666" s="378"/>
      <c r="Q666" s="378"/>
      <c r="R666" s="378"/>
      <c r="S666" s="378"/>
      <c r="T666" s="378"/>
      <c r="U666" s="378"/>
      <c r="V666" s="378"/>
      <c r="W666" s="378"/>
      <c r="X666" s="378"/>
      <c r="Y666" s="378"/>
      <c r="Z666" s="378"/>
      <c r="AA666" s="378"/>
      <c r="AB666" s="378"/>
      <c r="AC666" s="378"/>
      <c r="AD666" s="378"/>
      <c r="AE666" s="378"/>
      <c r="AF666" s="378"/>
    </row>
    <row r="667" spans="2:32">
      <c r="B667" s="378"/>
      <c r="C667" s="378"/>
      <c r="D667" s="378"/>
      <c r="F667" s="378"/>
      <c r="G667" s="378"/>
      <c r="H667" s="378"/>
      <c r="I667" s="378"/>
      <c r="J667" s="378"/>
      <c r="K667" s="378"/>
      <c r="L667" s="378"/>
      <c r="M667" s="378"/>
      <c r="N667" s="378"/>
      <c r="O667" s="378"/>
      <c r="P667" s="378"/>
      <c r="Q667" s="378"/>
      <c r="R667" s="378"/>
      <c r="S667" s="378"/>
      <c r="T667" s="378"/>
      <c r="U667" s="378"/>
      <c r="V667" s="378"/>
      <c r="W667" s="378"/>
      <c r="X667" s="378"/>
      <c r="Y667" s="378"/>
      <c r="Z667" s="378"/>
      <c r="AA667" s="378"/>
      <c r="AB667" s="378"/>
      <c r="AC667" s="378"/>
      <c r="AD667" s="378"/>
      <c r="AE667" s="378"/>
      <c r="AF667" s="378"/>
    </row>
    <row r="668" spans="2:32">
      <c r="B668" s="378"/>
      <c r="C668" s="378"/>
      <c r="D668" s="378"/>
      <c r="F668" s="378"/>
      <c r="G668" s="378"/>
      <c r="H668" s="378"/>
      <c r="I668" s="378"/>
      <c r="J668" s="378"/>
      <c r="K668" s="378"/>
      <c r="L668" s="378"/>
      <c r="M668" s="378"/>
      <c r="N668" s="378"/>
      <c r="O668" s="378"/>
      <c r="P668" s="378"/>
      <c r="Q668" s="378"/>
      <c r="R668" s="378"/>
      <c r="S668" s="378"/>
      <c r="T668" s="378"/>
      <c r="U668" s="378"/>
      <c r="V668" s="378"/>
      <c r="W668" s="378"/>
      <c r="X668" s="378"/>
      <c r="Y668" s="378"/>
      <c r="Z668" s="378"/>
      <c r="AA668" s="378"/>
      <c r="AB668" s="378"/>
      <c r="AC668" s="378"/>
      <c r="AD668" s="378"/>
      <c r="AE668" s="378"/>
      <c r="AF668" s="378"/>
    </row>
    <row r="669" spans="2:32">
      <c r="B669" s="378"/>
      <c r="C669" s="378"/>
      <c r="D669" s="378"/>
      <c r="F669" s="378"/>
      <c r="G669" s="378"/>
      <c r="H669" s="378"/>
      <c r="I669" s="378"/>
      <c r="J669" s="378"/>
      <c r="K669" s="378"/>
      <c r="L669" s="378"/>
      <c r="M669" s="378"/>
      <c r="N669" s="378"/>
      <c r="O669" s="378"/>
      <c r="P669" s="378"/>
      <c r="Q669" s="378"/>
      <c r="R669" s="378"/>
      <c r="S669" s="378"/>
      <c r="T669" s="378"/>
      <c r="U669" s="378"/>
      <c r="V669" s="378"/>
      <c r="W669" s="378"/>
      <c r="X669" s="378"/>
      <c r="Y669" s="378"/>
      <c r="Z669" s="378"/>
      <c r="AA669" s="378"/>
      <c r="AB669" s="378"/>
      <c r="AC669" s="378"/>
      <c r="AD669" s="378"/>
      <c r="AE669" s="378"/>
      <c r="AF669" s="378"/>
    </row>
    <row r="670" spans="2:32">
      <c r="B670" s="378"/>
      <c r="C670" s="378"/>
      <c r="D670" s="378"/>
      <c r="F670" s="378"/>
      <c r="G670" s="378"/>
      <c r="H670" s="378"/>
      <c r="I670" s="378"/>
      <c r="J670" s="378"/>
      <c r="K670" s="378"/>
      <c r="L670" s="378"/>
      <c r="M670" s="378"/>
      <c r="N670" s="378"/>
      <c r="O670" s="378"/>
      <c r="P670" s="378"/>
      <c r="Q670" s="378"/>
      <c r="R670" s="378"/>
      <c r="S670" s="378"/>
      <c r="T670" s="378"/>
      <c r="U670" s="378"/>
      <c r="V670" s="378"/>
      <c r="W670" s="378"/>
      <c r="X670" s="378"/>
      <c r="Y670" s="378"/>
      <c r="Z670" s="378"/>
      <c r="AA670" s="378"/>
      <c r="AB670" s="378"/>
      <c r="AC670" s="378"/>
      <c r="AD670" s="378"/>
      <c r="AE670" s="378"/>
      <c r="AF670" s="378"/>
    </row>
    <row r="671" spans="2:32">
      <c r="B671" s="378"/>
      <c r="C671" s="378"/>
      <c r="D671" s="378"/>
      <c r="F671" s="378"/>
      <c r="G671" s="378"/>
      <c r="H671" s="378"/>
      <c r="I671" s="378"/>
      <c r="J671" s="378"/>
      <c r="K671" s="378"/>
      <c r="L671" s="378"/>
      <c r="M671" s="378"/>
      <c r="N671" s="378"/>
      <c r="O671" s="378"/>
      <c r="P671" s="378"/>
      <c r="Q671" s="378"/>
      <c r="R671" s="378"/>
      <c r="S671" s="378"/>
      <c r="T671" s="378"/>
      <c r="U671" s="378"/>
      <c r="V671" s="378"/>
      <c r="W671" s="378"/>
      <c r="X671" s="378"/>
      <c r="Y671" s="378"/>
      <c r="Z671" s="378"/>
      <c r="AA671" s="378"/>
      <c r="AB671" s="378"/>
      <c r="AC671" s="378"/>
      <c r="AD671" s="378"/>
      <c r="AE671" s="378"/>
      <c r="AF671" s="378"/>
    </row>
    <row r="672" spans="2:32">
      <c r="B672" s="378"/>
      <c r="C672" s="378"/>
      <c r="D672" s="378"/>
      <c r="F672" s="378"/>
      <c r="G672" s="378"/>
      <c r="H672" s="378"/>
      <c r="I672" s="378"/>
      <c r="J672" s="378"/>
      <c r="K672" s="378"/>
      <c r="L672" s="378"/>
      <c r="M672" s="378"/>
      <c r="N672" s="378"/>
      <c r="O672" s="378"/>
      <c r="P672" s="378"/>
      <c r="Q672" s="378"/>
      <c r="R672" s="378"/>
      <c r="S672" s="378"/>
      <c r="T672" s="378"/>
      <c r="U672" s="378"/>
      <c r="V672" s="378"/>
      <c r="W672" s="378"/>
      <c r="X672" s="378"/>
      <c r="Y672" s="378"/>
      <c r="Z672" s="378"/>
      <c r="AA672" s="378"/>
      <c r="AB672" s="378"/>
      <c r="AC672" s="378"/>
      <c r="AD672" s="378"/>
      <c r="AE672" s="378"/>
      <c r="AF672" s="378"/>
    </row>
    <row r="673" spans="2:32">
      <c r="B673" s="378"/>
      <c r="C673" s="378"/>
      <c r="D673" s="378"/>
      <c r="F673" s="378"/>
      <c r="G673" s="378"/>
      <c r="H673" s="378"/>
      <c r="I673" s="378"/>
      <c r="J673" s="378"/>
      <c r="K673" s="378"/>
      <c r="L673" s="378"/>
      <c r="M673" s="378"/>
      <c r="N673" s="378"/>
      <c r="O673" s="378"/>
      <c r="P673" s="378"/>
      <c r="Q673" s="378"/>
      <c r="R673" s="378"/>
      <c r="S673" s="378"/>
      <c r="T673" s="378"/>
      <c r="U673" s="378"/>
      <c r="V673" s="378"/>
      <c r="W673" s="378"/>
      <c r="X673" s="378"/>
      <c r="Y673" s="378"/>
      <c r="Z673" s="378"/>
      <c r="AA673" s="378"/>
      <c r="AB673" s="378"/>
      <c r="AC673" s="378"/>
      <c r="AD673" s="378"/>
      <c r="AE673" s="378"/>
      <c r="AF673" s="378"/>
    </row>
    <row r="674" spans="2:32">
      <c r="B674" s="378"/>
      <c r="C674" s="378"/>
      <c r="D674" s="378"/>
      <c r="F674" s="378"/>
      <c r="G674" s="378"/>
      <c r="H674" s="378"/>
      <c r="I674" s="378"/>
      <c r="J674" s="378"/>
      <c r="K674" s="378"/>
      <c r="L674" s="378"/>
      <c r="M674" s="378"/>
      <c r="N674" s="378"/>
      <c r="O674" s="378"/>
      <c r="P674" s="378"/>
      <c r="Q674" s="378"/>
      <c r="R674" s="378"/>
      <c r="S674" s="378"/>
      <c r="T674" s="378"/>
      <c r="U674" s="378"/>
      <c r="V674" s="378"/>
      <c r="W674" s="378"/>
      <c r="X674" s="378"/>
      <c r="Y674" s="378"/>
      <c r="Z674" s="378"/>
      <c r="AA674" s="378"/>
      <c r="AB674" s="378"/>
      <c r="AC674" s="378"/>
      <c r="AD674" s="378"/>
      <c r="AE674" s="378"/>
      <c r="AF674" s="378"/>
    </row>
    <row r="675" spans="2:32">
      <c r="B675" s="378"/>
      <c r="C675" s="378"/>
      <c r="D675" s="378"/>
      <c r="F675" s="378"/>
      <c r="G675" s="378"/>
      <c r="H675" s="378"/>
      <c r="I675" s="378"/>
      <c r="J675" s="378"/>
      <c r="K675" s="378"/>
      <c r="L675" s="378"/>
      <c r="M675" s="378"/>
      <c r="N675" s="378"/>
      <c r="O675" s="378"/>
      <c r="P675" s="378"/>
      <c r="Q675" s="378"/>
      <c r="R675" s="378"/>
      <c r="S675" s="378"/>
      <c r="T675" s="378"/>
      <c r="U675" s="378"/>
      <c r="V675" s="378"/>
      <c r="W675" s="378"/>
      <c r="X675" s="378"/>
      <c r="Y675" s="378"/>
      <c r="Z675" s="378"/>
      <c r="AA675" s="378"/>
      <c r="AB675" s="378"/>
      <c r="AC675" s="378"/>
      <c r="AD675" s="378"/>
      <c r="AE675" s="378"/>
      <c r="AF675" s="378"/>
    </row>
    <row r="676" spans="2:32">
      <c r="B676" s="378"/>
      <c r="C676" s="378"/>
      <c r="D676" s="378"/>
      <c r="F676" s="378"/>
      <c r="G676" s="378"/>
      <c r="H676" s="378"/>
      <c r="I676" s="378"/>
      <c r="J676" s="378"/>
      <c r="K676" s="378"/>
      <c r="L676" s="378"/>
      <c r="M676" s="378"/>
      <c r="N676" s="378"/>
      <c r="O676" s="378"/>
      <c r="P676" s="378"/>
      <c r="Q676" s="378"/>
      <c r="R676" s="378"/>
      <c r="S676" s="378"/>
      <c r="T676" s="378"/>
      <c r="U676" s="378"/>
      <c r="V676" s="378"/>
      <c r="W676" s="378"/>
      <c r="X676" s="378"/>
      <c r="Y676" s="378"/>
      <c r="Z676" s="378"/>
      <c r="AA676" s="378"/>
      <c r="AB676" s="378"/>
      <c r="AC676" s="378"/>
      <c r="AD676" s="378"/>
      <c r="AE676" s="378"/>
      <c r="AF676" s="378"/>
    </row>
    <row r="677" spans="2:32">
      <c r="B677" s="378"/>
      <c r="C677" s="378"/>
      <c r="D677" s="378"/>
      <c r="F677" s="378"/>
      <c r="G677" s="378"/>
      <c r="H677" s="378"/>
      <c r="I677" s="378"/>
      <c r="J677" s="378"/>
      <c r="K677" s="378"/>
      <c r="L677" s="378"/>
      <c r="M677" s="378"/>
      <c r="N677" s="378"/>
      <c r="O677" s="378"/>
      <c r="P677" s="378"/>
      <c r="Q677" s="378"/>
      <c r="R677" s="378"/>
      <c r="S677" s="378"/>
      <c r="T677" s="378"/>
      <c r="U677" s="378"/>
      <c r="V677" s="378"/>
      <c r="W677" s="378"/>
      <c r="X677" s="378"/>
      <c r="Y677" s="378"/>
      <c r="Z677" s="378"/>
      <c r="AA677" s="378"/>
      <c r="AB677" s="378"/>
      <c r="AC677" s="378"/>
      <c r="AD677" s="378"/>
      <c r="AE677" s="378"/>
      <c r="AF677" s="378"/>
    </row>
    <row r="678" spans="2:32">
      <c r="B678" s="378"/>
      <c r="C678" s="378"/>
      <c r="D678" s="378"/>
      <c r="F678" s="378"/>
      <c r="G678" s="378"/>
      <c r="H678" s="378"/>
      <c r="I678" s="378"/>
      <c r="J678" s="378"/>
      <c r="K678" s="378"/>
      <c r="L678" s="378"/>
      <c r="M678" s="378"/>
      <c r="N678" s="378"/>
      <c r="O678" s="378"/>
      <c r="P678" s="378"/>
      <c r="Q678" s="378"/>
      <c r="R678" s="378"/>
      <c r="S678" s="378"/>
      <c r="T678" s="378"/>
      <c r="U678" s="378"/>
      <c r="V678" s="378"/>
      <c r="W678" s="378"/>
      <c r="X678" s="378"/>
      <c r="Y678" s="378"/>
      <c r="Z678" s="378"/>
      <c r="AA678" s="378"/>
      <c r="AB678" s="378"/>
      <c r="AC678" s="378"/>
      <c r="AD678" s="378"/>
      <c r="AE678" s="378"/>
      <c r="AF678" s="378"/>
    </row>
    <row r="679" spans="2:32">
      <c r="B679" s="378"/>
      <c r="C679" s="378"/>
      <c r="D679" s="378"/>
      <c r="F679" s="378"/>
      <c r="G679" s="378"/>
      <c r="H679" s="378"/>
      <c r="I679" s="378"/>
      <c r="J679" s="378"/>
      <c r="K679" s="378"/>
      <c r="L679" s="378"/>
      <c r="M679" s="378"/>
      <c r="N679" s="378"/>
      <c r="O679" s="378"/>
      <c r="P679" s="378"/>
      <c r="Q679" s="378"/>
      <c r="R679" s="378"/>
      <c r="S679" s="378"/>
      <c r="T679" s="378"/>
      <c r="U679" s="378"/>
      <c r="V679" s="378"/>
      <c r="W679" s="378"/>
      <c r="X679" s="378"/>
      <c r="Y679" s="378"/>
      <c r="Z679" s="378"/>
      <c r="AA679" s="378"/>
      <c r="AB679" s="378"/>
      <c r="AC679" s="378"/>
      <c r="AD679" s="378"/>
      <c r="AE679" s="378"/>
      <c r="AF679" s="378"/>
    </row>
    <row r="680" spans="2:32">
      <c r="B680" s="378"/>
      <c r="C680" s="378"/>
      <c r="D680" s="378"/>
      <c r="F680" s="378"/>
      <c r="G680" s="378"/>
      <c r="H680" s="378"/>
      <c r="I680" s="378"/>
      <c r="J680" s="378"/>
      <c r="K680" s="378"/>
      <c r="L680" s="378"/>
      <c r="M680" s="378"/>
      <c r="N680" s="378"/>
      <c r="O680" s="378"/>
      <c r="P680" s="378"/>
      <c r="Q680" s="378"/>
      <c r="R680" s="378"/>
      <c r="S680" s="378"/>
      <c r="T680" s="378"/>
      <c r="U680" s="378"/>
      <c r="V680" s="378"/>
      <c r="W680" s="378"/>
      <c r="X680" s="378"/>
      <c r="Y680" s="378"/>
      <c r="Z680" s="378"/>
      <c r="AA680" s="378"/>
      <c r="AB680" s="378"/>
      <c r="AC680" s="378"/>
      <c r="AD680" s="378"/>
      <c r="AE680" s="378"/>
      <c r="AF680" s="378"/>
    </row>
    <row r="681" spans="2:32">
      <c r="B681" s="378"/>
      <c r="C681" s="378"/>
      <c r="D681" s="378"/>
      <c r="F681" s="378"/>
      <c r="G681" s="378"/>
      <c r="H681" s="378"/>
      <c r="I681" s="378"/>
      <c r="J681" s="378"/>
      <c r="K681" s="378"/>
      <c r="L681" s="378"/>
      <c r="M681" s="378"/>
      <c r="N681" s="378"/>
      <c r="O681" s="378"/>
      <c r="P681" s="378"/>
      <c r="Q681" s="378"/>
      <c r="R681" s="378"/>
      <c r="S681" s="378"/>
      <c r="T681" s="378"/>
      <c r="U681" s="378"/>
      <c r="V681" s="378"/>
      <c r="W681" s="378"/>
      <c r="X681" s="378"/>
      <c r="Y681" s="378"/>
      <c r="Z681" s="378"/>
      <c r="AA681" s="378"/>
      <c r="AB681" s="378"/>
      <c r="AC681" s="378"/>
      <c r="AD681" s="378"/>
      <c r="AE681" s="378"/>
      <c r="AF681" s="378"/>
    </row>
    <row r="682" spans="2:32">
      <c r="B682" s="378"/>
      <c r="C682" s="378"/>
      <c r="D682" s="378"/>
      <c r="F682" s="378"/>
      <c r="G682" s="378"/>
      <c r="H682" s="378"/>
      <c r="I682" s="378"/>
      <c r="J682" s="378"/>
      <c r="K682" s="378"/>
      <c r="L682" s="378"/>
      <c r="M682" s="378"/>
      <c r="N682" s="378"/>
      <c r="O682" s="378"/>
      <c r="P682" s="378"/>
      <c r="Q682" s="378"/>
      <c r="R682" s="378"/>
      <c r="S682" s="378"/>
      <c r="T682" s="378"/>
      <c r="U682" s="378"/>
      <c r="V682" s="378"/>
      <c r="W682" s="378"/>
      <c r="X682" s="378"/>
      <c r="Y682" s="378"/>
      <c r="Z682" s="378"/>
      <c r="AA682" s="378"/>
      <c r="AB682" s="378"/>
      <c r="AC682" s="378"/>
      <c r="AD682" s="378"/>
      <c r="AE682" s="378"/>
      <c r="AF682" s="378"/>
    </row>
    <row r="683" spans="2:32">
      <c r="B683" s="378"/>
      <c r="C683" s="378"/>
      <c r="D683" s="378"/>
      <c r="F683" s="378"/>
      <c r="G683" s="378"/>
      <c r="H683" s="378"/>
      <c r="I683" s="378"/>
      <c r="J683" s="378"/>
      <c r="K683" s="378"/>
      <c r="L683" s="378"/>
      <c r="M683" s="378"/>
      <c r="N683" s="378"/>
      <c r="O683" s="378"/>
      <c r="P683" s="378"/>
      <c r="Q683" s="378"/>
      <c r="R683" s="378"/>
      <c r="S683" s="378"/>
      <c r="T683" s="378"/>
      <c r="U683" s="378"/>
      <c r="V683" s="378"/>
      <c r="W683" s="378"/>
      <c r="X683" s="378"/>
      <c r="Y683" s="378"/>
      <c r="Z683" s="378"/>
      <c r="AA683" s="378"/>
      <c r="AB683" s="378"/>
      <c r="AC683" s="378"/>
      <c r="AD683" s="378"/>
      <c r="AE683" s="378"/>
      <c r="AF683" s="378"/>
    </row>
    <row r="684" spans="2:32">
      <c r="B684" s="378"/>
      <c r="C684" s="378"/>
      <c r="D684" s="378"/>
      <c r="F684" s="378"/>
      <c r="G684" s="378"/>
      <c r="H684" s="378"/>
      <c r="I684" s="378"/>
      <c r="J684" s="378"/>
      <c r="K684" s="378"/>
      <c r="L684" s="378"/>
      <c r="M684" s="378"/>
      <c r="N684" s="378"/>
      <c r="O684" s="378"/>
      <c r="P684" s="378"/>
      <c r="Q684" s="378"/>
      <c r="R684" s="378"/>
      <c r="S684" s="378"/>
      <c r="T684" s="378"/>
      <c r="U684" s="378"/>
      <c r="V684" s="378"/>
      <c r="W684" s="378"/>
      <c r="X684" s="378"/>
      <c r="Y684" s="378"/>
      <c r="Z684" s="378"/>
      <c r="AA684" s="378"/>
      <c r="AB684" s="378"/>
      <c r="AC684" s="378"/>
      <c r="AD684" s="378"/>
      <c r="AE684" s="378"/>
      <c r="AF684" s="378"/>
    </row>
    <row r="685" spans="2:32">
      <c r="B685" s="378"/>
      <c r="C685" s="378"/>
      <c r="D685" s="378"/>
      <c r="F685" s="378"/>
      <c r="G685" s="378"/>
      <c r="H685" s="378"/>
      <c r="I685" s="378"/>
      <c r="J685" s="378"/>
      <c r="K685" s="378"/>
      <c r="L685" s="378"/>
      <c r="M685" s="378"/>
      <c r="N685" s="378"/>
      <c r="O685" s="378"/>
      <c r="P685" s="378"/>
      <c r="Q685" s="378"/>
      <c r="R685" s="378"/>
      <c r="S685" s="378"/>
      <c r="T685" s="378"/>
      <c r="U685" s="378"/>
      <c r="V685" s="378"/>
      <c r="W685" s="378"/>
      <c r="X685" s="378"/>
      <c r="Y685" s="378"/>
      <c r="Z685" s="378"/>
      <c r="AA685" s="378"/>
      <c r="AB685" s="378"/>
      <c r="AC685" s="378"/>
      <c r="AD685" s="378"/>
      <c r="AE685" s="378"/>
      <c r="AF685" s="378"/>
    </row>
    <row r="686" spans="2:32">
      <c r="B686" s="378"/>
      <c r="C686" s="378"/>
      <c r="D686" s="378"/>
      <c r="F686" s="378"/>
      <c r="G686" s="378"/>
      <c r="H686" s="378"/>
      <c r="I686" s="378"/>
      <c r="J686" s="378"/>
      <c r="K686" s="378"/>
      <c r="L686" s="378"/>
      <c r="M686" s="378"/>
      <c r="N686" s="378"/>
      <c r="O686" s="378"/>
      <c r="P686" s="378"/>
      <c r="Q686" s="378"/>
      <c r="R686" s="378"/>
      <c r="S686" s="378"/>
      <c r="T686" s="378"/>
      <c r="U686" s="378"/>
      <c r="V686" s="378"/>
      <c r="W686" s="378"/>
      <c r="X686" s="378"/>
      <c r="Y686" s="378"/>
      <c r="Z686" s="378"/>
      <c r="AA686" s="378"/>
      <c r="AB686" s="378"/>
      <c r="AC686" s="378"/>
      <c r="AD686" s="378"/>
      <c r="AE686" s="378"/>
      <c r="AF686" s="378"/>
    </row>
    <row r="687" spans="2:32">
      <c r="B687" s="378"/>
      <c r="C687" s="378"/>
      <c r="D687" s="378"/>
      <c r="F687" s="378"/>
      <c r="G687" s="378"/>
      <c r="H687" s="378"/>
      <c r="I687" s="378"/>
      <c r="J687" s="378"/>
      <c r="K687" s="378"/>
      <c r="L687" s="378"/>
      <c r="M687" s="378"/>
      <c r="N687" s="378"/>
      <c r="O687" s="378"/>
      <c r="P687" s="378"/>
      <c r="Q687" s="378"/>
      <c r="R687" s="378"/>
      <c r="S687" s="378"/>
      <c r="T687" s="378"/>
      <c r="U687" s="378"/>
      <c r="V687" s="378"/>
      <c r="W687" s="378"/>
      <c r="X687" s="378"/>
      <c r="Y687" s="378"/>
      <c r="Z687" s="378"/>
      <c r="AA687" s="378"/>
      <c r="AB687" s="378"/>
      <c r="AC687" s="378"/>
      <c r="AD687" s="378"/>
      <c r="AE687" s="378"/>
      <c r="AF687" s="378"/>
    </row>
    <row r="688" spans="2:32">
      <c r="B688" s="378"/>
      <c r="C688" s="378"/>
      <c r="D688" s="378"/>
      <c r="F688" s="378"/>
      <c r="G688" s="378"/>
      <c r="H688" s="378"/>
      <c r="I688" s="378"/>
      <c r="J688" s="378"/>
      <c r="K688" s="378"/>
      <c r="L688" s="378"/>
      <c r="M688" s="378"/>
      <c r="N688" s="378"/>
      <c r="O688" s="378"/>
      <c r="P688" s="378"/>
      <c r="Q688" s="378"/>
      <c r="R688" s="378"/>
      <c r="S688" s="378"/>
      <c r="T688" s="378"/>
      <c r="U688" s="378"/>
      <c r="V688" s="378"/>
      <c r="W688" s="378"/>
      <c r="X688" s="378"/>
      <c r="Y688" s="378"/>
      <c r="Z688" s="378"/>
      <c r="AA688" s="378"/>
      <c r="AB688" s="378"/>
      <c r="AC688" s="378"/>
      <c r="AD688" s="378"/>
      <c r="AE688" s="378"/>
      <c r="AF688" s="378"/>
    </row>
    <row r="689" spans="2:32">
      <c r="B689" s="378"/>
      <c r="C689" s="378"/>
      <c r="D689" s="378"/>
      <c r="F689" s="378"/>
      <c r="G689" s="378"/>
      <c r="H689" s="378"/>
      <c r="I689" s="378"/>
      <c r="J689" s="378"/>
      <c r="K689" s="378"/>
      <c r="L689" s="378"/>
      <c r="M689" s="378"/>
      <c r="N689" s="378"/>
      <c r="O689" s="378"/>
      <c r="P689" s="378"/>
      <c r="Q689" s="378"/>
      <c r="R689" s="378"/>
      <c r="S689" s="378"/>
      <c r="T689" s="378"/>
      <c r="U689" s="378"/>
      <c r="V689" s="378"/>
      <c r="W689" s="378"/>
      <c r="X689" s="378"/>
      <c r="Y689" s="378"/>
      <c r="Z689" s="378"/>
      <c r="AA689" s="378"/>
      <c r="AB689" s="378"/>
      <c r="AC689" s="378"/>
      <c r="AD689" s="378"/>
      <c r="AE689" s="378"/>
      <c r="AF689" s="378"/>
    </row>
    <row r="690" spans="2:32">
      <c r="B690" s="378"/>
      <c r="C690" s="378"/>
      <c r="D690" s="378"/>
      <c r="F690" s="378"/>
      <c r="G690" s="378"/>
      <c r="H690" s="378"/>
      <c r="I690" s="378"/>
      <c r="J690" s="378"/>
      <c r="K690" s="378"/>
      <c r="L690" s="378"/>
      <c r="M690" s="378"/>
      <c r="N690" s="378"/>
      <c r="O690" s="378"/>
      <c r="P690" s="378"/>
      <c r="Q690" s="378"/>
      <c r="R690" s="378"/>
      <c r="S690" s="378"/>
      <c r="T690" s="378"/>
      <c r="U690" s="378"/>
      <c r="V690" s="378"/>
      <c r="W690" s="378"/>
      <c r="X690" s="378"/>
      <c r="Y690" s="378"/>
      <c r="Z690" s="378"/>
      <c r="AA690" s="378"/>
      <c r="AB690" s="378"/>
      <c r="AC690" s="378"/>
      <c r="AD690" s="378"/>
      <c r="AE690" s="378"/>
      <c r="AF690" s="378"/>
    </row>
    <row r="691" spans="2:32">
      <c r="B691" s="378"/>
      <c r="C691" s="378"/>
      <c r="D691" s="378"/>
      <c r="F691" s="378"/>
      <c r="G691" s="378"/>
      <c r="H691" s="378"/>
      <c r="I691" s="378"/>
      <c r="J691" s="378"/>
      <c r="K691" s="378"/>
      <c r="L691" s="378"/>
      <c r="M691" s="378"/>
      <c r="N691" s="378"/>
      <c r="O691" s="378"/>
      <c r="P691" s="378"/>
      <c r="Q691" s="378"/>
      <c r="R691" s="378"/>
      <c r="S691" s="378"/>
      <c r="T691" s="378"/>
      <c r="U691" s="378"/>
      <c r="V691" s="378"/>
      <c r="W691" s="378"/>
      <c r="X691" s="378"/>
      <c r="Y691" s="378"/>
      <c r="Z691" s="378"/>
      <c r="AA691" s="378"/>
      <c r="AB691" s="378"/>
      <c r="AC691" s="378"/>
      <c r="AD691" s="378"/>
      <c r="AE691" s="378"/>
      <c r="AF691" s="378"/>
    </row>
    <row r="692" spans="2:32">
      <c r="B692" s="378"/>
      <c r="C692" s="378"/>
      <c r="D692" s="378"/>
      <c r="F692" s="378"/>
      <c r="G692" s="378"/>
      <c r="H692" s="378"/>
      <c r="I692" s="378"/>
      <c r="J692" s="378"/>
      <c r="K692" s="378"/>
      <c r="L692" s="378"/>
      <c r="M692" s="378"/>
      <c r="N692" s="378"/>
      <c r="O692" s="378"/>
      <c r="P692" s="378"/>
      <c r="Q692" s="378"/>
      <c r="R692" s="378"/>
      <c r="S692" s="378"/>
      <c r="T692" s="378"/>
      <c r="U692" s="378"/>
      <c r="V692" s="378"/>
      <c r="W692" s="378"/>
      <c r="X692" s="378"/>
      <c r="Y692" s="378"/>
      <c r="Z692" s="378"/>
      <c r="AA692" s="378"/>
      <c r="AB692" s="378"/>
      <c r="AC692" s="378"/>
      <c r="AD692" s="378"/>
      <c r="AE692" s="378"/>
      <c r="AF692" s="378"/>
    </row>
    <row r="693" spans="2:32">
      <c r="B693" s="378"/>
      <c r="C693" s="378"/>
      <c r="D693" s="378"/>
      <c r="F693" s="378"/>
      <c r="G693" s="378"/>
      <c r="H693" s="378"/>
      <c r="I693" s="378"/>
      <c r="J693" s="378"/>
      <c r="K693" s="378"/>
      <c r="L693" s="378"/>
      <c r="M693" s="378"/>
      <c r="N693" s="378"/>
      <c r="O693" s="378"/>
      <c r="P693" s="378"/>
      <c r="Q693" s="378"/>
      <c r="R693" s="378"/>
      <c r="S693" s="378"/>
      <c r="T693" s="378"/>
      <c r="U693" s="378"/>
      <c r="V693" s="378"/>
      <c r="W693" s="378"/>
      <c r="X693" s="378"/>
      <c r="Y693" s="378"/>
      <c r="Z693" s="378"/>
      <c r="AA693" s="378"/>
      <c r="AB693" s="378"/>
      <c r="AC693" s="378"/>
      <c r="AD693" s="378"/>
      <c r="AE693" s="378"/>
      <c r="AF693" s="378"/>
    </row>
    <row r="694" spans="2:32">
      <c r="B694" s="378"/>
      <c r="C694" s="378"/>
      <c r="D694" s="378"/>
      <c r="F694" s="378"/>
      <c r="G694" s="378"/>
      <c r="H694" s="378"/>
      <c r="I694" s="378"/>
      <c r="J694" s="378"/>
      <c r="K694" s="378"/>
      <c r="L694" s="378"/>
      <c r="M694" s="378"/>
      <c r="N694" s="378"/>
      <c r="O694" s="378"/>
      <c r="P694" s="378"/>
      <c r="Q694" s="378"/>
      <c r="R694" s="378"/>
      <c r="S694" s="378"/>
      <c r="T694" s="378"/>
      <c r="U694" s="378"/>
      <c r="V694" s="378"/>
      <c r="W694" s="378"/>
      <c r="X694" s="378"/>
      <c r="Y694" s="378"/>
      <c r="Z694" s="378"/>
      <c r="AA694" s="378"/>
      <c r="AB694" s="378"/>
      <c r="AC694" s="378"/>
      <c r="AD694" s="378"/>
      <c r="AE694" s="378"/>
      <c r="AF694" s="378"/>
    </row>
    <row r="695" spans="2:32">
      <c r="B695" s="378"/>
      <c r="C695" s="378"/>
      <c r="D695" s="378"/>
      <c r="F695" s="378"/>
      <c r="G695" s="378"/>
      <c r="H695" s="378"/>
      <c r="I695" s="378"/>
      <c r="J695" s="378"/>
      <c r="K695" s="378"/>
      <c r="L695" s="378"/>
      <c r="M695" s="378"/>
      <c r="N695" s="378"/>
      <c r="O695" s="378"/>
      <c r="P695" s="378"/>
      <c r="Q695" s="378"/>
      <c r="R695" s="378"/>
      <c r="S695" s="378"/>
      <c r="T695" s="378"/>
      <c r="U695" s="378"/>
      <c r="V695" s="378"/>
      <c r="W695" s="378"/>
      <c r="X695" s="378"/>
      <c r="Y695" s="378"/>
      <c r="Z695" s="378"/>
      <c r="AA695" s="378"/>
      <c r="AB695" s="378"/>
      <c r="AC695" s="378"/>
      <c r="AD695" s="378"/>
      <c r="AE695" s="378"/>
      <c r="AF695" s="378"/>
    </row>
    <row r="696" spans="2:32">
      <c r="B696" s="378"/>
      <c r="C696" s="378"/>
      <c r="D696" s="378"/>
      <c r="F696" s="378"/>
      <c r="G696" s="378"/>
      <c r="H696" s="378"/>
      <c r="I696" s="378"/>
      <c r="J696" s="378"/>
      <c r="K696" s="378"/>
      <c r="L696" s="378"/>
      <c r="M696" s="378"/>
      <c r="N696" s="378"/>
      <c r="O696" s="378"/>
      <c r="P696" s="378"/>
      <c r="Q696" s="378"/>
      <c r="R696" s="378"/>
      <c r="S696" s="378"/>
      <c r="T696" s="378"/>
      <c r="U696" s="378"/>
      <c r="V696" s="378"/>
      <c r="W696" s="378"/>
      <c r="X696" s="378"/>
      <c r="Y696" s="378"/>
      <c r="Z696" s="378"/>
      <c r="AA696" s="378"/>
      <c r="AB696" s="378"/>
      <c r="AC696" s="378"/>
      <c r="AD696" s="378"/>
      <c r="AE696" s="378"/>
      <c r="AF696" s="378"/>
    </row>
    <row r="697" spans="2:32">
      <c r="B697" s="378"/>
      <c r="C697" s="378"/>
      <c r="D697" s="378"/>
      <c r="F697" s="378"/>
      <c r="G697" s="378"/>
      <c r="H697" s="378"/>
      <c r="I697" s="378"/>
      <c r="J697" s="378"/>
      <c r="K697" s="378"/>
      <c r="L697" s="378"/>
      <c r="M697" s="378"/>
      <c r="N697" s="378"/>
      <c r="O697" s="378"/>
      <c r="P697" s="378"/>
      <c r="Q697" s="378"/>
      <c r="R697" s="378"/>
      <c r="S697" s="378"/>
      <c r="T697" s="378"/>
      <c r="U697" s="378"/>
      <c r="V697" s="378"/>
      <c r="W697" s="378"/>
      <c r="X697" s="378"/>
      <c r="Y697" s="378"/>
      <c r="Z697" s="378"/>
      <c r="AA697" s="378"/>
      <c r="AB697" s="378"/>
      <c r="AC697" s="378"/>
      <c r="AD697" s="378"/>
      <c r="AE697" s="378"/>
      <c r="AF697" s="378"/>
    </row>
    <row r="698" spans="2:32">
      <c r="B698" s="378"/>
      <c r="C698" s="378"/>
      <c r="D698" s="378"/>
      <c r="F698" s="378"/>
      <c r="G698" s="378"/>
      <c r="H698" s="378"/>
      <c r="I698" s="378"/>
      <c r="J698" s="378"/>
      <c r="K698" s="378"/>
      <c r="L698" s="378"/>
      <c r="M698" s="378"/>
      <c r="N698" s="378"/>
      <c r="O698" s="378"/>
      <c r="P698" s="378"/>
      <c r="Q698" s="378"/>
      <c r="R698" s="378"/>
      <c r="S698" s="378"/>
      <c r="T698" s="378"/>
      <c r="U698" s="378"/>
      <c r="V698" s="378"/>
      <c r="W698" s="378"/>
      <c r="X698" s="378"/>
      <c r="Y698" s="378"/>
      <c r="Z698" s="378"/>
      <c r="AA698" s="378"/>
      <c r="AB698" s="378"/>
      <c r="AC698" s="378"/>
      <c r="AD698" s="378"/>
      <c r="AE698" s="378"/>
      <c r="AF698" s="378"/>
    </row>
    <row r="699" spans="2:32">
      <c r="B699" s="378"/>
      <c r="C699" s="378"/>
      <c r="D699" s="378"/>
      <c r="F699" s="378"/>
      <c r="G699" s="378"/>
      <c r="H699" s="378"/>
      <c r="I699" s="378"/>
      <c r="J699" s="378"/>
      <c r="K699" s="378"/>
      <c r="L699" s="378"/>
      <c r="M699" s="378"/>
      <c r="N699" s="378"/>
      <c r="O699" s="378"/>
      <c r="P699" s="378"/>
      <c r="Q699" s="378"/>
      <c r="R699" s="378"/>
      <c r="S699" s="378"/>
      <c r="T699" s="378"/>
      <c r="U699" s="378"/>
      <c r="V699" s="378"/>
      <c r="W699" s="378"/>
      <c r="X699" s="378"/>
      <c r="Y699" s="378"/>
      <c r="Z699" s="378"/>
      <c r="AA699" s="378"/>
      <c r="AB699" s="378"/>
      <c r="AC699" s="378"/>
      <c r="AD699" s="378"/>
      <c r="AE699" s="378"/>
      <c r="AF699" s="378"/>
    </row>
    <row r="700" spans="2:32">
      <c r="B700" s="378"/>
      <c r="C700" s="378"/>
      <c r="D700" s="378"/>
      <c r="F700" s="378"/>
      <c r="G700" s="378"/>
      <c r="H700" s="378"/>
      <c r="I700" s="378"/>
      <c r="J700" s="378"/>
      <c r="K700" s="378"/>
      <c r="L700" s="378"/>
      <c r="M700" s="378"/>
      <c r="N700" s="378"/>
      <c r="O700" s="378"/>
      <c r="P700" s="378"/>
      <c r="Q700" s="378"/>
      <c r="R700" s="378"/>
      <c r="S700" s="378"/>
      <c r="T700" s="378"/>
      <c r="U700" s="378"/>
      <c r="V700" s="378"/>
      <c r="W700" s="378"/>
      <c r="X700" s="378"/>
      <c r="Y700" s="378"/>
      <c r="Z700" s="378"/>
      <c r="AA700" s="378"/>
      <c r="AB700" s="378"/>
      <c r="AC700" s="378"/>
      <c r="AD700" s="378"/>
      <c r="AE700" s="378"/>
      <c r="AF700" s="378"/>
    </row>
    <row r="701" spans="2:32">
      <c r="B701" s="378"/>
      <c r="C701" s="378"/>
      <c r="D701" s="378"/>
      <c r="F701" s="378"/>
      <c r="G701" s="378"/>
      <c r="H701" s="378"/>
      <c r="I701" s="378"/>
      <c r="J701" s="378"/>
      <c r="K701" s="378"/>
      <c r="L701" s="378"/>
      <c r="M701" s="378"/>
      <c r="N701" s="378"/>
      <c r="O701" s="378"/>
      <c r="P701" s="378"/>
      <c r="Q701" s="378"/>
      <c r="R701" s="378"/>
      <c r="S701" s="378"/>
      <c r="T701" s="378"/>
      <c r="U701" s="378"/>
      <c r="V701" s="378"/>
      <c r="W701" s="378"/>
      <c r="X701" s="378"/>
      <c r="Y701" s="378"/>
      <c r="Z701" s="378"/>
      <c r="AA701" s="378"/>
      <c r="AB701" s="378"/>
      <c r="AC701" s="378"/>
      <c r="AD701" s="378"/>
      <c r="AE701" s="378"/>
      <c r="AF701" s="378"/>
    </row>
    <row r="702" spans="2:32">
      <c r="B702" s="378"/>
      <c r="C702" s="378"/>
      <c r="D702" s="378"/>
      <c r="F702" s="378"/>
      <c r="G702" s="378"/>
      <c r="H702" s="378"/>
      <c r="I702" s="378"/>
      <c r="J702" s="378"/>
      <c r="K702" s="378"/>
      <c r="L702" s="378"/>
      <c r="M702" s="378"/>
      <c r="N702" s="378"/>
      <c r="O702" s="378"/>
      <c r="P702" s="378"/>
      <c r="Q702" s="378"/>
      <c r="R702" s="378"/>
      <c r="S702" s="378"/>
      <c r="T702" s="378"/>
      <c r="U702" s="378"/>
      <c r="V702" s="378"/>
      <c r="W702" s="378"/>
      <c r="X702" s="378"/>
      <c r="Y702" s="378"/>
      <c r="Z702" s="378"/>
      <c r="AA702" s="378"/>
      <c r="AB702" s="378"/>
      <c r="AC702" s="378"/>
      <c r="AD702" s="378"/>
      <c r="AE702" s="378"/>
      <c r="AF702" s="378"/>
    </row>
    <row r="703" spans="2:32">
      <c r="B703" s="378"/>
      <c r="C703" s="378"/>
      <c r="D703" s="378"/>
      <c r="F703" s="378"/>
      <c r="G703" s="378"/>
      <c r="H703" s="378"/>
      <c r="I703" s="378"/>
      <c r="J703" s="378"/>
      <c r="K703" s="378"/>
      <c r="L703" s="378"/>
      <c r="M703" s="378"/>
      <c r="N703" s="378"/>
      <c r="O703" s="378"/>
      <c r="P703" s="378"/>
      <c r="Q703" s="378"/>
      <c r="R703" s="378"/>
      <c r="S703" s="378"/>
      <c r="T703" s="378"/>
      <c r="U703" s="378"/>
      <c r="V703" s="378"/>
      <c r="W703" s="378"/>
      <c r="X703" s="378"/>
      <c r="Y703" s="378"/>
      <c r="Z703" s="378"/>
      <c r="AA703" s="378"/>
      <c r="AB703" s="378"/>
      <c r="AC703" s="378"/>
      <c r="AD703" s="378"/>
      <c r="AE703" s="378"/>
      <c r="AF703" s="378"/>
    </row>
    <row r="704" spans="2:32">
      <c r="B704" s="378"/>
      <c r="C704" s="378"/>
      <c r="D704" s="378"/>
      <c r="F704" s="378"/>
      <c r="G704" s="378"/>
      <c r="H704" s="378"/>
      <c r="I704" s="378"/>
      <c r="J704" s="378"/>
      <c r="K704" s="378"/>
      <c r="L704" s="378"/>
      <c r="M704" s="378"/>
      <c r="N704" s="378"/>
      <c r="O704" s="378"/>
      <c r="P704" s="378"/>
      <c r="Q704" s="378"/>
      <c r="R704" s="378"/>
      <c r="S704" s="378"/>
      <c r="T704" s="378"/>
      <c r="U704" s="378"/>
      <c r="V704" s="378"/>
      <c r="W704" s="378"/>
      <c r="X704" s="378"/>
      <c r="Y704" s="378"/>
      <c r="Z704" s="378"/>
      <c r="AA704" s="378"/>
      <c r="AB704" s="378"/>
      <c r="AC704" s="378"/>
      <c r="AD704" s="378"/>
      <c r="AE704" s="378"/>
      <c r="AF704" s="378"/>
    </row>
    <row r="705" spans="2:32">
      <c r="B705" s="378"/>
      <c r="C705" s="378"/>
      <c r="D705" s="378"/>
      <c r="F705" s="378"/>
      <c r="G705" s="378"/>
      <c r="H705" s="378"/>
      <c r="I705" s="378"/>
      <c r="J705" s="378"/>
      <c r="K705" s="378"/>
      <c r="L705" s="378"/>
      <c r="M705" s="378"/>
      <c r="N705" s="378"/>
      <c r="O705" s="378"/>
      <c r="P705" s="378"/>
      <c r="Q705" s="378"/>
      <c r="R705" s="378"/>
      <c r="S705" s="378"/>
      <c r="T705" s="378"/>
      <c r="U705" s="378"/>
      <c r="V705" s="378"/>
      <c r="W705" s="378"/>
      <c r="X705" s="378"/>
      <c r="Y705" s="378"/>
      <c r="Z705" s="378"/>
      <c r="AA705" s="378"/>
      <c r="AB705" s="378"/>
      <c r="AC705" s="378"/>
      <c r="AD705" s="378"/>
      <c r="AE705" s="378"/>
      <c r="AF705" s="378"/>
    </row>
    <row r="706" spans="2:32">
      <c r="B706" s="378"/>
      <c r="C706" s="378"/>
      <c r="D706" s="378"/>
      <c r="F706" s="378"/>
      <c r="G706" s="378"/>
      <c r="H706" s="378"/>
      <c r="I706" s="378"/>
      <c r="J706" s="378"/>
      <c r="K706" s="378"/>
      <c r="L706" s="378"/>
      <c r="M706" s="378"/>
      <c r="N706" s="378"/>
      <c r="O706" s="378"/>
      <c r="P706" s="378"/>
      <c r="Q706" s="378"/>
      <c r="R706" s="378"/>
      <c r="S706" s="378"/>
      <c r="T706" s="378"/>
      <c r="U706" s="378"/>
      <c r="V706" s="378"/>
      <c r="W706" s="378"/>
      <c r="X706" s="378"/>
      <c r="Y706" s="378"/>
      <c r="Z706" s="378"/>
      <c r="AA706" s="378"/>
      <c r="AB706" s="378"/>
      <c r="AC706" s="378"/>
      <c r="AD706" s="378"/>
      <c r="AE706" s="378"/>
      <c r="AF706" s="378"/>
    </row>
    <row r="707" spans="2:32">
      <c r="B707" s="378"/>
      <c r="C707" s="378"/>
      <c r="D707" s="378"/>
      <c r="F707" s="378"/>
      <c r="G707" s="378"/>
      <c r="H707" s="378"/>
      <c r="I707" s="378"/>
      <c r="J707" s="378"/>
      <c r="K707" s="378"/>
      <c r="L707" s="378"/>
      <c r="M707" s="378"/>
      <c r="N707" s="378"/>
      <c r="O707" s="378"/>
      <c r="P707" s="378"/>
      <c r="Q707" s="378"/>
      <c r="R707" s="378"/>
      <c r="S707" s="378"/>
      <c r="T707" s="378"/>
      <c r="U707" s="378"/>
      <c r="V707" s="378"/>
      <c r="W707" s="378"/>
      <c r="X707" s="378"/>
      <c r="Y707" s="378"/>
      <c r="Z707" s="378"/>
      <c r="AA707" s="378"/>
      <c r="AB707" s="378"/>
      <c r="AC707" s="378"/>
      <c r="AD707" s="378"/>
      <c r="AE707" s="378"/>
      <c r="AF707" s="378"/>
    </row>
    <row r="708" spans="2:32">
      <c r="B708" s="378"/>
      <c r="C708" s="378"/>
      <c r="D708" s="378"/>
      <c r="F708" s="378"/>
      <c r="G708" s="378"/>
      <c r="H708" s="378"/>
      <c r="I708" s="378"/>
      <c r="J708" s="378"/>
      <c r="K708" s="378"/>
      <c r="L708" s="378"/>
      <c r="M708" s="378"/>
      <c r="N708" s="378"/>
      <c r="O708" s="378"/>
      <c r="P708" s="378"/>
      <c r="Q708" s="378"/>
      <c r="R708" s="378"/>
      <c r="S708" s="378"/>
      <c r="T708" s="378"/>
      <c r="U708" s="378"/>
      <c r="V708" s="378"/>
      <c r="W708" s="378"/>
      <c r="X708" s="378"/>
      <c r="Y708" s="378"/>
      <c r="Z708" s="378"/>
      <c r="AA708" s="378"/>
      <c r="AB708" s="378"/>
      <c r="AC708" s="378"/>
      <c r="AD708" s="378"/>
      <c r="AE708" s="378"/>
      <c r="AF708" s="378"/>
    </row>
    <row r="709" spans="2:32">
      <c r="B709" s="378"/>
      <c r="C709" s="378"/>
      <c r="D709" s="378"/>
      <c r="F709" s="378"/>
      <c r="G709" s="378"/>
      <c r="H709" s="378"/>
      <c r="I709" s="378"/>
      <c r="J709" s="378"/>
      <c r="K709" s="378"/>
      <c r="L709" s="378"/>
      <c r="M709" s="378"/>
      <c r="N709" s="378"/>
      <c r="O709" s="378"/>
      <c r="P709" s="378"/>
      <c r="Q709" s="378"/>
      <c r="R709" s="378"/>
      <c r="S709" s="378"/>
      <c r="T709" s="378"/>
      <c r="U709" s="378"/>
      <c r="V709" s="378"/>
      <c r="W709" s="378"/>
      <c r="X709" s="378"/>
      <c r="Y709" s="378"/>
      <c r="Z709" s="378"/>
      <c r="AA709" s="378"/>
      <c r="AB709" s="378"/>
      <c r="AC709" s="378"/>
      <c r="AD709" s="378"/>
      <c r="AE709" s="378"/>
      <c r="AF709" s="378"/>
    </row>
    <row r="710" spans="2:32">
      <c r="B710" s="378"/>
      <c r="C710" s="378"/>
      <c r="D710" s="378"/>
      <c r="F710" s="378"/>
      <c r="G710" s="378"/>
      <c r="H710" s="378"/>
      <c r="I710" s="378"/>
      <c r="J710" s="378"/>
      <c r="K710" s="378"/>
      <c r="L710" s="378"/>
      <c r="M710" s="378"/>
      <c r="N710" s="378"/>
      <c r="O710" s="378"/>
      <c r="P710" s="378"/>
      <c r="Q710" s="378"/>
      <c r="R710" s="378"/>
      <c r="S710" s="378"/>
      <c r="T710" s="378"/>
      <c r="U710" s="378"/>
      <c r="V710" s="378"/>
      <c r="W710" s="378"/>
      <c r="X710" s="378"/>
      <c r="Y710" s="378"/>
      <c r="Z710" s="378"/>
      <c r="AA710" s="378"/>
      <c r="AB710" s="378"/>
      <c r="AC710" s="378"/>
      <c r="AD710" s="378"/>
      <c r="AE710" s="378"/>
      <c r="AF710" s="378"/>
    </row>
    <row r="711" spans="2:32">
      <c r="B711" s="378"/>
      <c r="C711" s="378"/>
      <c r="D711" s="378"/>
      <c r="F711" s="378"/>
      <c r="G711" s="378"/>
      <c r="H711" s="378"/>
      <c r="I711" s="378"/>
      <c r="J711" s="378"/>
      <c r="K711" s="378"/>
      <c r="L711" s="378"/>
      <c r="M711" s="378"/>
      <c r="N711" s="378"/>
      <c r="O711" s="378"/>
      <c r="P711" s="378"/>
      <c r="Q711" s="378"/>
      <c r="R711" s="378"/>
      <c r="S711" s="378"/>
      <c r="T711" s="378"/>
      <c r="U711" s="378"/>
      <c r="V711" s="378"/>
      <c r="W711" s="378"/>
      <c r="X711" s="378"/>
      <c r="Y711" s="378"/>
      <c r="Z711" s="378"/>
      <c r="AA711" s="378"/>
      <c r="AB711" s="378"/>
      <c r="AC711" s="378"/>
      <c r="AD711" s="378"/>
      <c r="AE711" s="378"/>
      <c r="AF711" s="378"/>
    </row>
    <row r="712" spans="2:32">
      <c r="B712" s="378"/>
      <c r="C712" s="378"/>
      <c r="D712" s="378"/>
      <c r="F712" s="378"/>
      <c r="G712" s="378"/>
      <c r="H712" s="378"/>
      <c r="I712" s="378"/>
      <c r="J712" s="378"/>
      <c r="K712" s="378"/>
      <c r="L712" s="378"/>
      <c r="M712" s="378"/>
      <c r="N712" s="378"/>
      <c r="O712" s="378"/>
      <c r="P712" s="378"/>
      <c r="Q712" s="378"/>
      <c r="R712" s="378"/>
      <c r="S712" s="378"/>
      <c r="T712" s="378"/>
      <c r="U712" s="378"/>
      <c r="V712" s="378"/>
      <c r="W712" s="378"/>
      <c r="X712" s="378"/>
      <c r="Y712" s="378"/>
      <c r="Z712" s="378"/>
      <c r="AA712" s="378"/>
      <c r="AB712" s="378"/>
      <c r="AC712" s="378"/>
      <c r="AD712" s="378"/>
      <c r="AE712" s="378"/>
      <c r="AF712" s="378"/>
    </row>
    <row r="713" spans="2:32">
      <c r="B713" s="378"/>
      <c r="C713" s="378"/>
      <c r="D713" s="378"/>
      <c r="F713" s="378"/>
      <c r="G713" s="378"/>
      <c r="H713" s="378"/>
      <c r="I713" s="378"/>
      <c r="J713" s="378"/>
      <c r="K713" s="378"/>
      <c r="L713" s="378"/>
      <c r="M713" s="378"/>
      <c r="N713" s="378"/>
      <c r="O713" s="378"/>
      <c r="P713" s="378"/>
      <c r="Q713" s="378"/>
      <c r="R713" s="378"/>
      <c r="S713" s="378"/>
      <c r="T713" s="378"/>
      <c r="U713" s="378"/>
      <c r="V713" s="378"/>
      <c r="W713" s="378"/>
      <c r="X713" s="378"/>
      <c r="Y713" s="378"/>
      <c r="Z713" s="378"/>
      <c r="AA713" s="378"/>
      <c r="AB713" s="378"/>
      <c r="AC713" s="378"/>
      <c r="AD713" s="378"/>
      <c r="AE713" s="378"/>
      <c r="AF713" s="378"/>
    </row>
    <row r="714" spans="2:32">
      <c r="B714" s="378"/>
      <c r="C714" s="378"/>
      <c r="D714" s="378"/>
      <c r="F714" s="378"/>
      <c r="G714" s="378"/>
      <c r="H714" s="378"/>
      <c r="I714" s="378"/>
      <c r="J714" s="378"/>
      <c r="K714" s="378"/>
      <c r="L714" s="378"/>
      <c r="M714" s="378"/>
      <c r="N714" s="378"/>
      <c r="O714" s="378"/>
      <c r="P714" s="378"/>
      <c r="Q714" s="378"/>
      <c r="R714" s="378"/>
      <c r="S714" s="378"/>
      <c r="T714" s="378"/>
      <c r="U714" s="378"/>
      <c r="V714" s="378"/>
      <c r="W714" s="378"/>
      <c r="X714" s="378"/>
      <c r="Y714" s="378"/>
      <c r="Z714" s="378"/>
      <c r="AA714" s="378"/>
      <c r="AB714" s="378"/>
      <c r="AC714" s="378"/>
      <c r="AD714" s="378"/>
      <c r="AE714" s="378"/>
      <c r="AF714" s="378"/>
    </row>
    <row r="715" spans="2:32">
      <c r="B715" s="378"/>
      <c r="C715" s="378"/>
      <c r="D715" s="378"/>
      <c r="F715" s="378"/>
      <c r="G715" s="378"/>
      <c r="H715" s="378"/>
      <c r="I715" s="378"/>
      <c r="J715" s="378"/>
      <c r="K715" s="378"/>
      <c r="L715" s="378"/>
      <c r="M715" s="378"/>
      <c r="N715" s="378"/>
      <c r="O715" s="378"/>
      <c r="P715" s="378"/>
      <c r="Q715" s="378"/>
      <c r="R715" s="378"/>
      <c r="S715" s="378"/>
      <c r="T715" s="378"/>
      <c r="U715" s="378"/>
      <c r="V715" s="378"/>
      <c r="W715" s="378"/>
      <c r="X715" s="378"/>
      <c r="Y715" s="378"/>
      <c r="Z715" s="378"/>
      <c r="AA715" s="378"/>
      <c r="AB715" s="378"/>
      <c r="AC715" s="378"/>
      <c r="AD715" s="378"/>
      <c r="AE715" s="378"/>
      <c r="AF715" s="378"/>
    </row>
    <row r="716" spans="2:32">
      <c r="B716" s="378"/>
      <c r="C716" s="378"/>
      <c r="D716" s="378"/>
      <c r="F716" s="378"/>
      <c r="G716" s="378"/>
      <c r="H716" s="378"/>
      <c r="I716" s="378"/>
      <c r="J716" s="378"/>
      <c r="K716" s="378"/>
      <c r="L716" s="378"/>
      <c r="M716" s="378"/>
      <c r="N716" s="378"/>
      <c r="O716" s="378"/>
      <c r="P716" s="378"/>
      <c r="Q716" s="378"/>
      <c r="R716" s="378"/>
      <c r="S716" s="378"/>
      <c r="T716" s="378"/>
      <c r="U716" s="378"/>
      <c r="V716" s="378"/>
      <c r="W716" s="378"/>
      <c r="X716" s="378"/>
      <c r="Y716" s="378"/>
      <c r="Z716" s="378"/>
      <c r="AA716" s="378"/>
      <c r="AB716" s="378"/>
      <c r="AC716" s="378"/>
      <c r="AD716" s="378"/>
      <c r="AE716" s="378"/>
      <c r="AF716" s="378"/>
    </row>
    <row r="717" spans="2:32">
      <c r="B717" s="378"/>
      <c r="C717" s="378"/>
      <c r="D717" s="378"/>
      <c r="F717" s="378"/>
      <c r="G717" s="378"/>
      <c r="H717" s="378"/>
      <c r="I717" s="378"/>
      <c r="J717" s="378"/>
      <c r="K717" s="378"/>
      <c r="L717" s="378"/>
      <c r="M717" s="378"/>
      <c r="N717" s="378"/>
      <c r="O717" s="378"/>
      <c r="P717" s="378"/>
      <c r="Q717" s="378"/>
      <c r="R717" s="378"/>
      <c r="S717" s="378"/>
      <c r="T717" s="378"/>
      <c r="U717" s="378"/>
      <c r="V717" s="378"/>
      <c r="W717" s="378"/>
      <c r="X717" s="378"/>
      <c r="Y717" s="378"/>
      <c r="Z717" s="378"/>
      <c r="AA717" s="378"/>
      <c r="AB717" s="378"/>
      <c r="AC717" s="378"/>
      <c r="AD717" s="378"/>
      <c r="AE717" s="378"/>
      <c r="AF717" s="378"/>
    </row>
    <row r="718" spans="2:32">
      <c r="B718" s="378"/>
      <c r="C718" s="378"/>
      <c r="D718" s="378"/>
      <c r="F718" s="378"/>
      <c r="G718" s="378"/>
      <c r="H718" s="378"/>
      <c r="I718" s="378"/>
      <c r="J718" s="378"/>
      <c r="K718" s="378"/>
      <c r="L718" s="378"/>
      <c r="M718" s="378"/>
      <c r="N718" s="378"/>
      <c r="O718" s="378"/>
      <c r="P718" s="378"/>
      <c r="Q718" s="378"/>
      <c r="R718" s="378"/>
      <c r="S718" s="378"/>
      <c r="T718" s="378"/>
      <c r="U718" s="378"/>
      <c r="V718" s="378"/>
      <c r="W718" s="378"/>
      <c r="X718" s="378"/>
      <c r="Y718" s="378"/>
      <c r="Z718" s="378"/>
      <c r="AA718" s="378"/>
      <c r="AB718" s="378"/>
      <c r="AC718" s="378"/>
      <c r="AD718" s="378"/>
      <c r="AE718" s="378"/>
      <c r="AF718" s="378"/>
    </row>
    <row r="719" spans="2:32">
      <c r="B719" s="378"/>
      <c r="C719" s="378"/>
      <c r="D719" s="378"/>
      <c r="F719" s="378"/>
      <c r="G719" s="378"/>
      <c r="H719" s="378"/>
      <c r="I719" s="378"/>
      <c r="J719" s="378"/>
      <c r="K719" s="378"/>
      <c r="L719" s="378"/>
      <c r="M719" s="378"/>
      <c r="N719" s="378"/>
      <c r="O719" s="378"/>
      <c r="P719" s="378"/>
      <c r="Q719" s="378"/>
      <c r="R719" s="378"/>
      <c r="S719" s="378"/>
      <c r="T719" s="378"/>
      <c r="U719" s="378"/>
      <c r="V719" s="378"/>
      <c r="W719" s="378"/>
      <c r="X719" s="378"/>
      <c r="Y719" s="378"/>
      <c r="Z719" s="378"/>
      <c r="AA719" s="378"/>
      <c r="AB719" s="378"/>
      <c r="AC719" s="378"/>
      <c r="AD719" s="378"/>
      <c r="AE719" s="378"/>
      <c r="AF719" s="378"/>
    </row>
    <row r="720" spans="2:32">
      <c r="B720" s="378"/>
      <c r="C720" s="378"/>
      <c r="D720" s="378"/>
      <c r="F720" s="378"/>
      <c r="G720" s="378"/>
      <c r="H720" s="378"/>
      <c r="I720" s="378"/>
      <c r="J720" s="378"/>
      <c r="K720" s="378"/>
      <c r="L720" s="378"/>
      <c r="M720" s="378"/>
      <c r="N720" s="378"/>
      <c r="O720" s="378"/>
      <c r="P720" s="378"/>
      <c r="Q720" s="378"/>
      <c r="R720" s="378"/>
      <c r="S720" s="378"/>
      <c r="T720" s="378"/>
      <c r="U720" s="378"/>
      <c r="V720" s="378"/>
      <c r="W720" s="378"/>
      <c r="X720" s="378"/>
      <c r="Y720" s="378"/>
      <c r="Z720" s="378"/>
      <c r="AA720" s="378"/>
      <c r="AB720" s="378"/>
      <c r="AC720" s="378"/>
      <c r="AD720" s="378"/>
      <c r="AE720" s="378"/>
      <c r="AF720" s="378"/>
    </row>
    <row r="721" spans="2:32">
      <c r="B721" s="378"/>
      <c r="C721" s="378"/>
      <c r="D721" s="378"/>
      <c r="F721" s="378"/>
      <c r="G721" s="378"/>
      <c r="H721" s="378"/>
      <c r="I721" s="378"/>
      <c r="J721" s="378"/>
      <c r="K721" s="378"/>
      <c r="L721" s="378"/>
      <c r="M721" s="378"/>
      <c r="N721" s="378"/>
      <c r="O721" s="378"/>
      <c r="P721" s="378"/>
      <c r="Q721" s="378"/>
      <c r="R721" s="378"/>
      <c r="S721" s="378"/>
      <c r="T721" s="378"/>
      <c r="U721" s="378"/>
      <c r="V721" s="378"/>
      <c r="W721" s="378"/>
      <c r="X721" s="378"/>
      <c r="Y721" s="378"/>
      <c r="Z721" s="378"/>
      <c r="AA721" s="378"/>
      <c r="AB721" s="378"/>
      <c r="AC721" s="378"/>
      <c r="AD721" s="378"/>
      <c r="AE721" s="378"/>
      <c r="AF721" s="378"/>
    </row>
    <row r="722" spans="2:32">
      <c r="B722" s="378"/>
      <c r="C722" s="378"/>
      <c r="D722" s="378"/>
      <c r="F722" s="378"/>
      <c r="G722" s="378"/>
      <c r="H722" s="378"/>
      <c r="I722" s="378"/>
      <c r="J722" s="378"/>
      <c r="K722" s="378"/>
      <c r="L722" s="378"/>
      <c r="M722" s="378"/>
      <c r="N722" s="378"/>
      <c r="O722" s="378"/>
      <c r="P722" s="378"/>
      <c r="Q722" s="378"/>
      <c r="R722" s="378"/>
      <c r="S722" s="378"/>
      <c r="T722" s="378"/>
      <c r="U722" s="378"/>
      <c r="V722" s="378"/>
      <c r="W722" s="378"/>
      <c r="X722" s="378"/>
      <c r="Y722" s="378"/>
      <c r="Z722" s="378"/>
      <c r="AA722" s="378"/>
      <c r="AB722" s="378"/>
      <c r="AC722" s="378"/>
      <c r="AD722" s="378"/>
      <c r="AE722" s="378"/>
      <c r="AF722" s="378"/>
    </row>
    <row r="723" spans="2:32">
      <c r="B723" s="378"/>
      <c r="C723" s="378"/>
      <c r="D723" s="378"/>
      <c r="F723" s="378"/>
      <c r="G723" s="378"/>
      <c r="H723" s="378"/>
      <c r="I723" s="378"/>
      <c r="J723" s="378"/>
      <c r="K723" s="378"/>
      <c r="L723" s="378"/>
      <c r="M723" s="378"/>
      <c r="N723" s="378"/>
      <c r="O723" s="378"/>
      <c r="P723" s="378"/>
      <c r="Q723" s="378"/>
      <c r="R723" s="378"/>
      <c r="S723" s="378"/>
      <c r="T723" s="378"/>
      <c r="U723" s="378"/>
      <c r="V723" s="378"/>
      <c r="W723" s="378"/>
      <c r="X723" s="378"/>
      <c r="Y723" s="378"/>
      <c r="Z723" s="378"/>
      <c r="AA723" s="378"/>
      <c r="AB723" s="378"/>
      <c r="AC723" s="378"/>
      <c r="AD723" s="378"/>
      <c r="AE723" s="378"/>
      <c r="AF723" s="378"/>
    </row>
    <row r="724" spans="2:32">
      <c r="B724" s="378"/>
      <c r="C724" s="378"/>
      <c r="D724" s="378"/>
      <c r="F724" s="378"/>
      <c r="G724" s="378"/>
      <c r="H724" s="378"/>
      <c r="I724" s="378"/>
      <c r="J724" s="378"/>
      <c r="K724" s="378"/>
      <c r="L724" s="378"/>
      <c r="M724" s="378"/>
      <c r="N724" s="378"/>
      <c r="O724" s="378"/>
      <c r="P724" s="378"/>
      <c r="Q724" s="378"/>
      <c r="R724" s="378"/>
      <c r="S724" s="378"/>
      <c r="T724" s="378"/>
      <c r="U724" s="378"/>
      <c r="V724" s="378"/>
      <c r="W724" s="378"/>
      <c r="X724" s="378"/>
      <c r="Y724" s="378"/>
      <c r="Z724" s="378"/>
      <c r="AA724" s="378"/>
      <c r="AB724" s="378"/>
      <c r="AC724" s="378"/>
      <c r="AD724" s="378"/>
      <c r="AE724" s="378"/>
      <c r="AF724" s="378"/>
    </row>
    <row r="725" spans="2:32">
      <c r="B725" s="378"/>
      <c r="C725" s="378"/>
      <c r="D725" s="378"/>
      <c r="F725" s="378"/>
      <c r="G725" s="378"/>
      <c r="H725" s="378"/>
      <c r="I725" s="378"/>
      <c r="J725" s="378"/>
      <c r="K725" s="378"/>
      <c r="L725" s="378"/>
      <c r="M725" s="378"/>
      <c r="N725" s="378"/>
      <c r="O725" s="378"/>
      <c r="P725" s="378"/>
      <c r="Q725" s="378"/>
      <c r="R725" s="378"/>
      <c r="S725" s="378"/>
      <c r="T725" s="378"/>
      <c r="U725" s="378"/>
      <c r="V725" s="378"/>
      <c r="W725" s="378"/>
      <c r="X725" s="378"/>
      <c r="Y725" s="378"/>
      <c r="Z725" s="378"/>
      <c r="AA725" s="378"/>
      <c r="AB725" s="378"/>
      <c r="AC725" s="378"/>
      <c r="AD725" s="378"/>
      <c r="AE725" s="378"/>
      <c r="AF725" s="378"/>
    </row>
    <row r="726" spans="2:32">
      <c r="B726" s="378"/>
      <c r="C726" s="378"/>
      <c r="D726" s="378"/>
      <c r="F726" s="378"/>
      <c r="G726" s="378"/>
      <c r="H726" s="378"/>
      <c r="I726" s="378"/>
      <c r="J726" s="378"/>
      <c r="K726" s="378"/>
      <c r="L726" s="378"/>
      <c r="M726" s="378"/>
      <c r="N726" s="378"/>
      <c r="O726" s="378"/>
      <c r="P726" s="378"/>
      <c r="Q726" s="378"/>
      <c r="R726" s="378"/>
      <c r="S726" s="378"/>
      <c r="T726" s="378"/>
      <c r="U726" s="378"/>
      <c r="V726" s="378"/>
      <c r="W726" s="378"/>
      <c r="X726" s="378"/>
      <c r="Y726" s="378"/>
      <c r="Z726" s="378"/>
      <c r="AA726" s="378"/>
      <c r="AB726" s="378"/>
      <c r="AC726" s="378"/>
      <c r="AD726" s="378"/>
      <c r="AE726" s="378"/>
      <c r="AF726" s="378"/>
    </row>
    <row r="727" spans="2:32">
      <c r="B727" s="378"/>
      <c r="C727" s="378"/>
      <c r="D727" s="378"/>
      <c r="F727" s="378"/>
      <c r="G727" s="378"/>
      <c r="H727" s="378"/>
      <c r="I727" s="378"/>
      <c r="J727" s="378"/>
      <c r="K727" s="378"/>
      <c r="L727" s="378"/>
      <c r="M727" s="378"/>
      <c r="N727" s="378"/>
      <c r="O727" s="378"/>
      <c r="P727" s="378"/>
      <c r="Q727" s="378"/>
      <c r="R727" s="378"/>
      <c r="S727" s="378"/>
      <c r="T727" s="378"/>
      <c r="U727" s="378"/>
      <c r="V727" s="378"/>
      <c r="W727" s="378"/>
      <c r="X727" s="378"/>
      <c r="Y727" s="378"/>
      <c r="Z727" s="378"/>
      <c r="AA727" s="378"/>
      <c r="AB727" s="378"/>
      <c r="AC727" s="378"/>
      <c r="AD727" s="378"/>
      <c r="AE727" s="378"/>
      <c r="AF727" s="378"/>
    </row>
    <row r="728" spans="2:32">
      <c r="B728" s="378"/>
      <c r="C728" s="378"/>
      <c r="D728" s="378"/>
      <c r="F728" s="378"/>
      <c r="G728" s="378"/>
      <c r="H728" s="378"/>
      <c r="I728" s="378"/>
      <c r="J728" s="378"/>
      <c r="K728" s="378"/>
      <c r="L728" s="378"/>
      <c r="M728" s="378"/>
      <c r="N728" s="378"/>
      <c r="O728" s="378"/>
      <c r="P728" s="378"/>
      <c r="Q728" s="378"/>
      <c r="R728" s="378"/>
      <c r="S728" s="378"/>
      <c r="T728" s="378"/>
      <c r="U728" s="378"/>
      <c r="V728" s="378"/>
      <c r="W728" s="378"/>
      <c r="X728" s="378"/>
      <c r="Y728" s="378"/>
      <c r="Z728" s="378"/>
      <c r="AA728" s="378"/>
      <c r="AB728" s="378"/>
      <c r="AC728" s="378"/>
      <c r="AD728" s="378"/>
      <c r="AE728" s="378"/>
      <c r="AF728" s="378"/>
    </row>
    <row r="729" spans="2:32">
      <c r="B729" s="378"/>
      <c r="C729" s="378"/>
      <c r="D729" s="378"/>
      <c r="F729" s="378"/>
      <c r="G729" s="378"/>
      <c r="H729" s="378"/>
      <c r="I729" s="378"/>
      <c r="J729" s="378"/>
      <c r="K729" s="378"/>
      <c r="L729" s="378"/>
      <c r="M729" s="378"/>
      <c r="N729" s="378"/>
      <c r="O729" s="378"/>
      <c r="P729" s="378"/>
      <c r="Q729" s="378"/>
      <c r="R729" s="378"/>
      <c r="S729" s="378"/>
      <c r="T729" s="378"/>
      <c r="U729" s="378"/>
      <c r="V729" s="378"/>
      <c r="W729" s="378"/>
      <c r="X729" s="378"/>
      <c r="Y729" s="378"/>
      <c r="Z729" s="378"/>
      <c r="AA729" s="378"/>
      <c r="AB729" s="378"/>
      <c r="AC729" s="378"/>
      <c r="AD729" s="378"/>
      <c r="AE729" s="378"/>
      <c r="AF729" s="378"/>
    </row>
    <row r="730" spans="2:32">
      <c r="B730" s="378"/>
      <c r="C730" s="378"/>
      <c r="D730" s="378"/>
      <c r="F730" s="378"/>
      <c r="G730" s="378"/>
      <c r="H730" s="378"/>
      <c r="I730" s="378"/>
      <c r="J730" s="378"/>
      <c r="K730" s="378"/>
      <c r="L730" s="378"/>
      <c r="M730" s="378"/>
      <c r="N730" s="378"/>
      <c r="O730" s="378"/>
      <c r="P730" s="378"/>
      <c r="Q730" s="378"/>
      <c r="R730" s="378"/>
      <c r="S730" s="378"/>
      <c r="T730" s="378"/>
      <c r="U730" s="378"/>
      <c r="V730" s="378"/>
      <c r="W730" s="378"/>
      <c r="X730" s="378"/>
      <c r="Y730" s="378"/>
      <c r="Z730" s="378"/>
      <c r="AA730" s="378"/>
      <c r="AB730" s="378"/>
      <c r="AC730" s="378"/>
      <c r="AD730" s="378"/>
      <c r="AE730" s="378"/>
      <c r="AF730" s="378"/>
    </row>
    <row r="731" spans="2:32">
      <c r="B731" s="378"/>
      <c r="C731" s="378"/>
      <c r="D731" s="378"/>
      <c r="F731" s="378"/>
      <c r="G731" s="378"/>
      <c r="H731" s="378"/>
      <c r="I731" s="378"/>
      <c r="J731" s="378"/>
      <c r="K731" s="378"/>
      <c r="L731" s="378"/>
      <c r="M731" s="378"/>
      <c r="N731" s="378"/>
      <c r="O731" s="378"/>
      <c r="P731" s="378"/>
      <c r="Q731" s="378"/>
      <c r="R731" s="378"/>
      <c r="S731" s="378"/>
      <c r="T731" s="378"/>
      <c r="U731" s="378"/>
      <c r="V731" s="378"/>
      <c r="W731" s="378"/>
      <c r="X731" s="378"/>
      <c r="Y731" s="378"/>
      <c r="Z731" s="378"/>
      <c r="AA731" s="378"/>
      <c r="AB731" s="378"/>
      <c r="AC731" s="378"/>
      <c r="AD731" s="378"/>
      <c r="AE731" s="378"/>
      <c r="AF731" s="378"/>
    </row>
    <row r="732" spans="2:32">
      <c r="B732" s="378"/>
      <c r="C732" s="378"/>
      <c r="D732" s="378"/>
      <c r="F732" s="378"/>
      <c r="G732" s="378"/>
      <c r="H732" s="378"/>
      <c r="I732" s="378"/>
      <c r="J732" s="378"/>
      <c r="K732" s="378"/>
      <c r="L732" s="378"/>
      <c r="M732" s="378"/>
      <c r="N732" s="378"/>
      <c r="O732" s="378"/>
      <c r="P732" s="378"/>
      <c r="Q732" s="378"/>
      <c r="R732" s="378"/>
      <c r="S732" s="378"/>
      <c r="T732" s="378"/>
      <c r="U732" s="378"/>
      <c r="V732" s="378"/>
      <c r="W732" s="378"/>
      <c r="X732" s="378"/>
      <c r="Y732" s="378"/>
      <c r="Z732" s="378"/>
      <c r="AA732" s="378"/>
      <c r="AB732" s="378"/>
      <c r="AC732" s="378"/>
      <c r="AD732" s="378"/>
      <c r="AE732" s="378"/>
      <c r="AF732" s="378"/>
    </row>
    <row r="733" spans="2:32">
      <c r="B733" s="378"/>
      <c r="C733" s="378"/>
      <c r="D733" s="378"/>
      <c r="F733" s="378"/>
      <c r="G733" s="378"/>
      <c r="H733" s="378"/>
      <c r="I733" s="378"/>
      <c r="J733" s="378"/>
      <c r="K733" s="378"/>
      <c r="L733" s="378"/>
      <c r="M733" s="378"/>
      <c r="N733" s="378"/>
      <c r="O733" s="378"/>
      <c r="P733" s="378"/>
      <c r="Q733" s="378"/>
      <c r="R733" s="378"/>
      <c r="S733" s="378"/>
      <c r="T733" s="378"/>
      <c r="U733" s="378"/>
      <c r="V733" s="378"/>
      <c r="W733" s="378"/>
      <c r="X733" s="378"/>
      <c r="Y733" s="378"/>
      <c r="Z733" s="378"/>
      <c r="AA733" s="378"/>
      <c r="AB733" s="378"/>
      <c r="AC733" s="378"/>
      <c r="AD733" s="378"/>
      <c r="AE733" s="378"/>
      <c r="AF733" s="378"/>
    </row>
    <row r="734" spans="2:32">
      <c r="B734" s="378"/>
      <c r="C734" s="378"/>
      <c r="D734" s="378"/>
      <c r="F734" s="378"/>
      <c r="G734" s="378"/>
      <c r="H734" s="378"/>
      <c r="I734" s="378"/>
      <c r="J734" s="378"/>
      <c r="K734" s="378"/>
      <c r="L734" s="378"/>
      <c r="M734" s="378"/>
      <c r="N734" s="378"/>
      <c r="O734" s="378"/>
      <c r="P734" s="378"/>
      <c r="Q734" s="378"/>
      <c r="R734" s="378"/>
      <c r="S734" s="378"/>
      <c r="T734" s="378"/>
      <c r="U734" s="378"/>
      <c r="V734" s="378"/>
      <c r="W734" s="378"/>
      <c r="X734" s="378"/>
      <c r="Y734" s="378"/>
      <c r="Z734" s="378"/>
      <c r="AA734" s="378"/>
      <c r="AB734" s="378"/>
      <c r="AC734" s="378"/>
      <c r="AD734" s="378"/>
      <c r="AE734" s="378"/>
      <c r="AF734" s="378"/>
    </row>
    <row r="735" spans="2:32">
      <c r="B735" s="378"/>
      <c r="C735" s="378"/>
      <c r="D735" s="378"/>
      <c r="F735" s="378"/>
      <c r="G735" s="378"/>
      <c r="H735" s="378"/>
      <c r="I735" s="378"/>
      <c r="J735" s="378"/>
      <c r="K735" s="378"/>
      <c r="L735" s="378"/>
      <c r="M735" s="378"/>
      <c r="N735" s="378"/>
      <c r="O735" s="378"/>
      <c r="P735" s="378"/>
      <c r="Q735" s="378"/>
      <c r="R735" s="378"/>
      <c r="S735" s="378"/>
      <c r="T735" s="378"/>
      <c r="U735" s="378"/>
      <c r="V735" s="378"/>
      <c r="W735" s="378"/>
      <c r="X735" s="378"/>
      <c r="Y735" s="378"/>
      <c r="Z735" s="378"/>
      <c r="AA735" s="378"/>
      <c r="AB735" s="378"/>
      <c r="AC735" s="378"/>
      <c r="AD735" s="378"/>
      <c r="AE735" s="378"/>
      <c r="AF735" s="378"/>
    </row>
    <row r="736" spans="2:32">
      <c r="B736" s="378"/>
      <c r="C736" s="378"/>
      <c r="D736" s="378"/>
      <c r="F736" s="378"/>
      <c r="G736" s="378"/>
      <c r="H736" s="378"/>
      <c r="I736" s="378"/>
      <c r="J736" s="378"/>
      <c r="K736" s="378"/>
      <c r="L736" s="378"/>
      <c r="M736" s="378"/>
      <c r="N736" s="378"/>
      <c r="O736" s="378"/>
      <c r="P736" s="378"/>
      <c r="Q736" s="378"/>
      <c r="R736" s="378"/>
      <c r="S736" s="378"/>
      <c r="T736" s="378"/>
      <c r="U736" s="378"/>
      <c r="V736" s="378"/>
      <c r="W736" s="378"/>
      <c r="X736" s="378"/>
      <c r="Y736" s="378"/>
      <c r="Z736" s="378"/>
      <c r="AA736" s="378"/>
      <c r="AB736" s="378"/>
      <c r="AC736" s="378"/>
      <c r="AD736" s="378"/>
      <c r="AE736" s="378"/>
      <c r="AF736" s="378"/>
    </row>
    <row r="737" spans="2:32">
      <c r="B737" s="378"/>
      <c r="C737" s="378"/>
      <c r="D737" s="378"/>
      <c r="F737" s="378"/>
      <c r="G737" s="378"/>
      <c r="H737" s="378"/>
      <c r="I737" s="378"/>
      <c r="J737" s="378"/>
      <c r="K737" s="378"/>
      <c r="L737" s="378"/>
      <c r="M737" s="378"/>
      <c r="N737" s="378"/>
      <c r="O737" s="378"/>
      <c r="P737" s="378"/>
      <c r="Q737" s="378"/>
      <c r="R737" s="378"/>
      <c r="S737" s="378"/>
      <c r="T737" s="378"/>
      <c r="U737" s="378"/>
      <c r="V737" s="378"/>
      <c r="W737" s="378"/>
      <c r="X737" s="378"/>
      <c r="Y737" s="378"/>
      <c r="Z737" s="378"/>
      <c r="AA737" s="378"/>
      <c r="AB737" s="378"/>
      <c r="AC737" s="378"/>
      <c r="AD737" s="378"/>
      <c r="AE737" s="378"/>
      <c r="AF737" s="378"/>
    </row>
    <row r="738" spans="2:32">
      <c r="B738" s="378"/>
      <c r="C738" s="378"/>
      <c r="D738" s="378"/>
      <c r="F738" s="378"/>
      <c r="G738" s="378"/>
      <c r="H738" s="378"/>
      <c r="I738" s="378"/>
      <c r="J738" s="378"/>
      <c r="K738" s="378"/>
      <c r="L738" s="378"/>
      <c r="M738" s="378"/>
      <c r="N738" s="378"/>
      <c r="O738" s="378"/>
      <c r="P738" s="378"/>
      <c r="Q738" s="378"/>
      <c r="R738" s="378"/>
      <c r="S738" s="378"/>
      <c r="T738" s="378"/>
      <c r="U738" s="378"/>
      <c r="V738" s="378"/>
      <c r="W738" s="378"/>
      <c r="X738" s="378"/>
      <c r="Y738" s="378"/>
      <c r="Z738" s="378"/>
      <c r="AA738" s="378"/>
      <c r="AB738" s="378"/>
      <c r="AC738" s="378"/>
      <c r="AD738" s="378"/>
      <c r="AE738" s="378"/>
      <c r="AF738" s="378"/>
    </row>
    <row r="739" spans="2:32">
      <c r="B739" s="378"/>
      <c r="C739" s="378"/>
      <c r="D739" s="378"/>
      <c r="F739" s="378"/>
      <c r="G739" s="378"/>
      <c r="H739" s="378"/>
      <c r="I739" s="378"/>
      <c r="J739" s="378"/>
      <c r="K739" s="378"/>
      <c r="L739" s="378"/>
      <c r="M739" s="378"/>
      <c r="N739" s="378"/>
      <c r="O739" s="378"/>
      <c r="P739" s="378"/>
      <c r="Q739" s="378"/>
      <c r="R739" s="378"/>
      <c r="S739" s="378"/>
      <c r="T739" s="378"/>
      <c r="U739" s="378"/>
      <c r="V739" s="378"/>
      <c r="W739" s="378"/>
      <c r="X739" s="378"/>
      <c r="Y739" s="378"/>
      <c r="Z739" s="378"/>
      <c r="AA739" s="378"/>
      <c r="AB739" s="378"/>
      <c r="AC739" s="378"/>
      <c r="AD739" s="378"/>
      <c r="AE739" s="378"/>
      <c r="AF739" s="378"/>
    </row>
    <row r="740" spans="2:32">
      <c r="B740" s="378"/>
      <c r="C740" s="378"/>
      <c r="D740" s="378"/>
      <c r="F740" s="378"/>
      <c r="G740" s="378"/>
      <c r="H740" s="378"/>
      <c r="I740" s="378"/>
      <c r="J740" s="378"/>
      <c r="K740" s="378"/>
      <c r="L740" s="378"/>
      <c r="M740" s="378"/>
      <c r="N740" s="378"/>
      <c r="O740" s="378"/>
      <c r="P740" s="378"/>
      <c r="Q740" s="378"/>
      <c r="R740" s="378"/>
      <c r="S740" s="378"/>
      <c r="T740" s="378"/>
      <c r="U740" s="378"/>
      <c r="V740" s="378"/>
      <c r="W740" s="378"/>
      <c r="X740" s="378"/>
      <c r="Y740" s="378"/>
      <c r="Z740" s="378"/>
      <c r="AA740" s="378"/>
      <c r="AB740" s="378"/>
      <c r="AC740" s="378"/>
      <c r="AD740" s="378"/>
      <c r="AE740" s="378"/>
      <c r="AF740" s="378"/>
    </row>
    <row r="741" spans="2:32">
      <c r="B741" s="378"/>
      <c r="C741" s="378"/>
      <c r="D741" s="378"/>
      <c r="F741" s="378"/>
      <c r="G741" s="378"/>
      <c r="H741" s="378"/>
      <c r="I741" s="378"/>
      <c r="J741" s="378"/>
      <c r="K741" s="378"/>
      <c r="L741" s="378"/>
      <c r="M741" s="378"/>
      <c r="N741" s="378"/>
      <c r="O741" s="378"/>
      <c r="P741" s="378"/>
      <c r="Q741" s="378"/>
      <c r="R741" s="378"/>
      <c r="S741" s="378"/>
      <c r="T741" s="378"/>
      <c r="U741" s="378"/>
      <c r="V741" s="378"/>
      <c r="W741" s="378"/>
      <c r="X741" s="378"/>
      <c r="Y741" s="378"/>
      <c r="Z741" s="378"/>
      <c r="AA741" s="378"/>
      <c r="AB741" s="378"/>
      <c r="AC741" s="378"/>
      <c r="AD741" s="378"/>
      <c r="AE741" s="378"/>
      <c r="AF741" s="378"/>
    </row>
    <row r="742" spans="2:32">
      <c r="B742" s="378"/>
      <c r="C742" s="378"/>
      <c r="D742" s="378"/>
      <c r="F742" s="378"/>
      <c r="G742" s="378"/>
      <c r="H742" s="378"/>
      <c r="I742" s="378"/>
      <c r="J742" s="378"/>
      <c r="K742" s="378"/>
      <c r="L742" s="378"/>
      <c r="M742" s="378"/>
      <c r="N742" s="378"/>
      <c r="O742" s="378"/>
      <c r="P742" s="378"/>
      <c r="Q742" s="378"/>
      <c r="R742" s="378"/>
      <c r="S742" s="378"/>
      <c r="T742" s="378"/>
      <c r="U742" s="378"/>
      <c r="V742" s="378"/>
      <c r="W742" s="378"/>
      <c r="X742" s="378"/>
      <c r="Y742" s="378"/>
      <c r="Z742" s="378"/>
      <c r="AA742" s="378"/>
      <c r="AB742" s="378"/>
      <c r="AC742" s="378"/>
      <c r="AD742" s="378"/>
      <c r="AE742" s="378"/>
      <c r="AF742" s="378"/>
    </row>
    <row r="743" spans="2:32">
      <c r="B743" s="378"/>
      <c r="C743" s="378"/>
      <c r="D743" s="378"/>
      <c r="F743" s="378"/>
      <c r="G743" s="378"/>
      <c r="H743" s="378"/>
      <c r="I743" s="378"/>
      <c r="J743" s="378"/>
      <c r="K743" s="378"/>
      <c r="L743" s="378"/>
      <c r="M743" s="378"/>
      <c r="N743" s="378"/>
      <c r="O743" s="378"/>
      <c r="P743" s="378"/>
      <c r="Q743" s="378"/>
      <c r="R743" s="378"/>
      <c r="S743" s="378"/>
      <c r="T743" s="378"/>
      <c r="U743" s="378"/>
      <c r="V743" s="378"/>
      <c r="W743" s="378"/>
      <c r="X743" s="378"/>
      <c r="Y743" s="378"/>
      <c r="Z743" s="378"/>
      <c r="AA743" s="378"/>
      <c r="AB743" s="378"/>
      <c r="AC743" s="378"/>
      <c r="AD743" s="378"/>
      <c r="AE743" s="378"/>
      <c r="AF743" s="378"/>
    </row>
    <row r="744" spans="2:32">
      <c r="B744" s="378"/>
      <c r="C744" s="378"/>
      <c r="D744" s="378"/>
      <c r="F744" s="378"/>
      <c r="G744" s="378"/>
      <c r="H744" s="378"/>
      <c r="I744" s="378"/>
      <c r="J744" s="378"/>
      <c r="K744" s="378"/>
      <c r="L744" s="378"/>
      <c r="M744" s="378"/>
      <c r="N744" s="378"/>
      <c r="O744" s="378"/>
      <c r="P744" s="378"/>
      <c r="Q744" s="378"/>
      <c r="R744" s="378"/>
      <c r="S744" s="378"/>
      <c r="T744" s="378"/>
      <c r="U744" s="378"/>
      <c r="V744" s="378"/>
      <c r="W744" s="378"/>
      <c r="X744" s="378"/>
      <c r="Y744" s="378"/>
      <c r="Z744" s="378"/>
      <c r="AA744" s="378"/>
      <c r="AB744" s="378"/>
      <c r="AC744" s="378"/>
      <c r="AD744" s="378"/>
      <c r="AE744" s="378"/>
      <c r="AF744" s="378"/>
    </row>
    <row r="745" spans="2:32">
      <c r="B745" s="378"/>
      <c r="C745" s="378"/>
      <c r="D745" s="378"/>
      <c r="F745" s="378"/>
      <c r="G745" s="378"/>
      <c r="H745" s="378"/>
      <c r="I745" s="378"/>
      <c r="J745" s="378"/>
      <c r="K745" s="378"/>
      <c r="L745" s="378"/>
      <c r="M745" s="378"/>
      <c r="N745" s="378"/>
      <c r="O745" s="378"/>
      <c r="P745" s="378"/>
      <c r="Q745" s="378"/>
      <c r="R745" s="378"/>
      <c r="S745" s="378"/>
      <c r="T745" s="378"/>
      <c r="U745" s="378"/>
      <c r="V745" s="378"/>
      <c r="W745" s="378"/>
      <c r="X745" s="378"/>
      <c r="Y745" s="378"/>
      <c r="Z745" s="378"/>
      <c r="AA745" s="378"/>
      <c r="AB745" s="378"/>
      <c r="AC745" s="378"/>
      <c r="AD745" s="378"/>
      <c r="AE745" s="378"/>
      <c r="AF745" s="378"/>
    </row>
    <row r="746" spans="2:32">
      <c r="B746" s="378"/>
      <c r="C746" s="378"/>
      <c r="D746" s="378"/>
      <c r="F746" s="378"/>
      <c r="G746" s="378"/>
      <c r="H746" s="378"/>
      <c r="I746" s="378"/>
      <c r="J746" s="378"/>
      <c r="K746" s="378"/>
      <c r="L746" s="378"/>
      <c r="M746" s="378"/>
      <c r="N746" s="378"/>
      <c r="O746" s="378"/>
      <c r="P746" s="378"/>
      <c r="Q746" s="378"/>
      <c r="R746" s="378"/>
      <c r="S746" s="378"/>
      <c r="T746" s="378"/>
      <c r="U746" s="378"/>
      <c r="V746" s="378"/>
      <c r="W746" s="378"/>
      <c r="X746" s="378"/>
      <c r="Y746" s="378"/>
      <c r="Z746" s="378"/>
      <c r="AA746" s="378"/>
      <c r="AB746" s="378"/>
      <c r="AC746" s="378"/>
      <c r="AD746" s="378"/>
      <c r="AE746" s="378"/>
      <c r="AF746" s="378"/>
    </row>
    <row r="747" spans="2:32">
      <c r="B747" s="378"/>
      <c r="C747" s="378"/>
      <c r="D747" s="378"/>
      <c r="F747" s="378"/>
      <c r="G747" s="378"/>
      <c r="H747" s="378"/>
      <c r="I747" s="378"/>
      <c r="J747" s="378"/>
      <c r="K747" s="378"/>
      <c r="L747" s="378"/>
      <c r="M747" s="378"/>
      <c r="N747" s="378"/>
      <c r="O747" s="378"/>
      <c r="P747" s="378"/>
      <c r="Q747" s="378"/>
      <c r="R747" s="378"/>
      <c r="S747" s="378"/>
      <c r="T747" s="378"/>
      <c r="U747" s="378"/>
      <c r="V747" s="378"/>
      <c r="W747" s="378"/>
      <c r="X747" s="378"/>
      <c r="Y747" s="378"/>
      <c r="Z747" s="378"/>
      <c r="AA747" s="378"/>
      <c r="AB747" s="378"/>
      <c r="AC747" s="378"/>
      <c r="AD747" s="378"/>
      <c r="AE747" s="378"/>
      <c r="AF747" s="378"/>
    </row>
    <row r="748" spans="2:32">
      <c r="B748" s="378"/>
      <c r="C748" s="378"/>
      <c r="D748" s="378"/>
      <c r="F748" s="378"/>
      <c r="G748" s="378"/>
      <c r="H748" s="378"/>
      <c r="I748" s="378"/>
      <c r="J748" s="378"/>
      <c r="K748" s="378"/>
      <c r="L748" s="378"/>
      <c r="M748" s="378"/>
      <c r="N748" s="378"/>
      <c r="O748" s="378"/>
      <c r="P748" s="378"/>
      <c r="Q748" s="378"/>
      <c r="R748" s="378"/>
      <c r="S748" s="378"/>
      <c r="T748" s="378"/>
      <c r="U748" s="378"/>
      <c r="V748" s="378"/>
      <c r="W748" s="378"/>
      <c r="X748" s="378"/>
      <c r="Y748" s="378"/>
      <c r="Z748" s="378"/>
      <c r="AA748" s="378"/>
      <c r="AB748" s="378"/>
      <c r="AC748" s="378"/>
      <c r="AD748" s="378"/>
      <c r="AE748" s="378"/>
      <c r="AF748" s="378"/>
    </row>
    <row r="749" spans="2:32">
      <c r="B749" s="378"/>
      <c r="C749" s="378"/>
      <c r="D749" s="378"/>
      <c r="F749" s="378"/>
      <c r="G749" s="378"/>
      <c r="H749" s="378"/>
      <c r="I749" s="378"/>
      <c r="J749" s="378"/>
      <c r="K749" s="378"/>
      <c r="L749" s="378"/>
      <c r="M749" s="378"/>
      <c r="N749" s="378"/>
      <c r="O749" s="378"/>
      <c r="P749" s="378"/>
      <c r="Q749" s="378"/>
      <c r="R749" s="378"/>
      <c r="S749" s="378"/>
      <c r="T749" s="378"/>
      <c r="U749" s="378"/>
      <c r="V749" s="378"/>
      <c r="W749" s="378"/>
      <c r="X749" s="378"/>
      <c r="Y749" s="378"/>
      <c r="Z749" s="378"/>
      <c r="AA749" s="378"/>
      <c r="AB749" s="378"/>
      <c r="AC749" s="378"/>
      <c r="AD749" s="378"/>
      <c r="AE749" s="378"/>
      <c r="AF749" s="378"/>
    </row>
    <row r="750" spans="2:32">
      <c r="B750" s="378"/>
      <c r="C750" s="378"/>
      <c r="D750" s="378"/>
      <c r="F750" s="378"/>
      <c r="G750" s="378"/>
      <c r="H750" s="378"/>
      <c r="I750" s="378"/>
      <c r="J750" s="378"/>
      <c r="K750" s="378"/>
      <c r="L750" s="378"/>
      <c r="M750" s="378"/>
      <c r="N750" s="378"/>
      <c r="O750" s="378"/>
      <c r="P750" s="378"/>
      <c r="Q750" s="378"/>
      <c r="R750" s="378"/>
      <c r="S750" s="378"/>
      <c r="T750" s="378"/>
      <c r="U750" s="378"/>
      <c r="V750" s="378"/>
      <c r="W750" s="378"/>
      <c r="X750" s="378"/>
      <c r="Y750" s="378"/>
      <c r="Z750" s="378"/>
      <c r="AA750" s="378"/>
      <c r="AB750" s="378"/>
      <c r="AC750" s="378"/>
      <c r="AD750" s="378"/>
      <c r="AE750" s="378"/>
      <c r="AF750" s="378"/>
    </row>
    <row r="751" spans="2:32">
      <c r="B751" s="378"/>
      <c r="C751" s="378"/>
      <c r="D751" s="378"/>
      <c r="F751" s="378"/>
      <c r="G751" s="378"/>
      <c r="H751" s="378"/>
      <c r="I751" s="378"/>
      <c r="J751" s="378"/>
      <c r="K751" s="378"/>
      <c r="L751" s="378"/>
      <c r="M751" s="378"/>
      <c r="N751" s="378"/>
      <c r="O751" s="378"/>
      <c r="P751" s="378"/>
      <c r="Q751" s="378"/>
      <c r="R751" s="378"/>
      <c r="S751" s="378"/>
      <c r="T751" s="378"/>
      <c r="U751" s="378"/>
      <c r="V751" s="378"/>
      <c r="W751" s="378"/>
      <c r="X751" s="378"/>
      <c r="Y751" s="378"/>
      <c r="Z751" s="378"/>
      <c r="AA751" s="378"/>
      <c r="AB751" s="378"/>
      <c r="AC751" s="378"/>
      <c r="AD751" s="378"/>
      <c r="AE751" s="378"/>
      <c r="AF751" s="378"/>
    </row>
    <row r="752" spans="2:32">
      <c r="B752" s="378"/>
      <c r="C752" s="378"/>
      <c r="D752" s="378"/>
      <c r="F752" s="378"/>
      <c r="G752" s="378"/>
      <c r="H752" s="378"/>
      <c r="I752" s="378"/>
      <c r="J752" s="378"/>
      <c r="K752" s="378"/>
      <c r="L752" s="378"/>
      <c r="M752" s="378"/>
      <c r="N752" s="378"/>
      <c r="O752" s="378"/>
      <c r="P752" s="378"/>
      <c r="Q752" s="378"/>
      <c r="R752" s="378"/>
      <c r="S752" s="378"/>
      <c r="T752" s="378"/>
      <c r="U752" s="378"/>
      <c r="V752" s="378"/>
      <c r="W752" s="378"/>
      <c r="X752" s="378"/>
      <c r="Y752" s="378"/>
      <c r="Z752" s="378"/>
      <c r="AA752" s="378"/>
      <c r="AB752" s="378"/>
      <c r="AC752" s="378"/>
      <c r="AD752" s="378"/>
      <c r="AE752" s="378"/>
      <c r="AF752" s="378"/>
    </row>
    <row r="753" spans="2:32">
      <c r="B753" s="378"/>
      <c r="C753" s="378"/>
      <c r="D753" s="378"/>
      <c r="F753" s="378"/>
      <c r="G753" s="378"/>
      <c r="H753" s="378"/>
      <c r="I753" s="378"/>
      <c r="J753" s="378"/>
      <c r="K753" s="378"/>
      <c r="L753" s="378"/>
      <c r="M753" s="378"/>
      <c r="N753" s="378"/>
      <c r="O753" s="378"/>
      <c r="P753" s="378"/>
      <c r="Q753" s="378"/>
      <c r="R753" s="378"/>
      <c r="S753" s="378"/>
      <c r="T753" s="378"/>
      <c r="U753" s="378"/>
      <c r="V753" s="378"/>
      <c r="W753" s="378"/>
      <c r="X753" s="378"/>
      <c r="Y753" s="378"/>
      <c r="Z753" s="378"/>
      <c r="AA753" s="378"/>
      <c r="AB753" s="378"/>
      <c r="AC753" s="378"/>
      <c r="AD753" s="378"/>
      <c r="AE753" s="378"/>
      <c r="AF753" s="378"/>
    </row>
    <row r="754" spans="2:32">
      <c r="B754" s="378"/>
      <c r="C754" s="378"/>
      <c r="D754" s="378"/>
      <c r="F754" s="378"/>
      <c r="G754" s="378"/>
      <c r="H754" s="378"/>
      <c r="I754" s="378"/>
      <c r="J754" s="378"/>
      <c r="K754" s="378"/>
      <c r="L754" s="378"/>
      <c r="M754" s="378"/>
      <c r="N754" s="378"/>
      <c r="O754" s="378"/>
      <c r="P754" s="378"/>
      <c r="Q754" s="378"/>
      <c r="R754" s="378"/>
      <c r="S754" s="378"/>
      <c r="T754" s="378"/>
      <c r="U754" s="378"/>
      <c r="V754" s="378"/>
      <c r="W754" s="378"/>
      <c r="X754" s="378"/>
      <c r="Y754" s="378"/>
      <c r="Z754" s="378"/>
      <c r="AA754" s="378"/>
      <c r="AB754" s="378"/>
      <c r="AC754" s="378"/>
      <c r="AD754" s="378"/>
      <c r="AE754" s="378"/>
      <c r="AF754" s="378"/>
    </row>
    <row r="755" spans="2:32">
      <c r="B755" s="378"/>
      <c r="C755" s="378"/>
      <c r="D755" s="378"/>
      <c r="F755" s="378"/>
      <c r="G755" s="378"/>
      <c r="H755" s="378"/>
      <c r="I755" s="378"/>
      <c r="J755" s="378"/>
      <c r="K755" s="378"/>
      <c r="L755" s="378"/>
      <c r="M755" s="378"/>
      <c r="N755" s="378"/>
      <c r="O755" s="378"/>
      <c r="P755" s="378"/>
      <c r="Q755" s="378"/>
      <c r="R755" s="378"/>
      <c r="S755" s="378"/>
      <c r="T755" s="378"/>
      <c r="U755" s="378"/>
      <c r="V755" s="378"/>
      <c r="W755" s="378"/>
      <c r="X755" s="378"/>
      <c r="Y755" s="378"/>
      <c r="Z755" s="378"/>
      <c r="AA755" s="378"/>
      <c r="AB755" s="378"/>
      <c r="AC755" s="378"/>
      <c r="AD755" s="378"/>
      <c r="AE755" s="378"/>
      <c r="AF755" s="378"/>
    </row>
    <row r="756" spans="2:32">
      <c r="B756" s="378"/>
      <c r="C756" s="378"/>
      <c r="D756" s="378"/>
      <c r="F756" s="378"/>
      <c r="G756" s="378"/>
      <c r="H756" s="378"/>
      <c r="I756" s="378"/>
      <c r="J756" s="378"/>
      <c r="K756" s="378"/>
      <c r="L756" s="378"/>
      <c r="M756" s="378"/>
      <c r="N756" s="378"/>
      <c r="O756" s="378"/>
      <c r="P756" s="378"/>
      <c r="Q756" s="378"/>
      <c r="R756" s="378"/>
      <c r="S756" s="378"/>
      <c r="T756" s="378"/>
      <c r="U756" s="378"/>
      <c r="V756" s="378"/>
      <c r="W756" s="378"/>
      <c r="X756" s="378"/>
      <c r="Y756" s="378"/>
      <c r="Z756" s="378"/>
      <c r="AA756" s="378"/>
      <c r="AB756" s="378"/>
      <c r="AC756" s="378"/>
      <c r="AD756" s="378"/>
      <c r="AE756" s="378"/>
      <c r="AF756" s="378"/>
    </row>
    <row r="757" spans="2:32">
      <c r="B757" s="378"/>
      <c r="C757" s="378"/>
      <c r="D757" s="378"/>
      <c r="F757" s="378"/>
      <c r="G757" s="378"/>
      <c r="H757" s="378"/>
      <c r="I757" s="378"/>
      <c r="J757" s="378"/>
      <c r="K757" s="378"/>
      <c r="L757" s="378"/>
      <c r="M757" s="378"/>
      <c r="N757" s="378"/>
      <c r="O757" s="378"/>
      <c r="P757" s="378"/>
      <c r="Q757" s="378"/>
      <c r="R757" s="378"/>
      <c r="S757" s="378"/>
      <c r="T757" s="378"/>
      <c r="U757" s="378"/>
      <c r="V757" s="378"/>
      <c r="W757" s="378"/>
      <c r="X757" s="378"/>
      <c r="Y757" s="378"/>
      <c r="Z757" s="378"/>
      <c r="AA757" s="378"/>
      <c r="AB757" s="378"/>
      <c r="AC757" s="378"/>
      <c r="AD757" s="378"/>
      <c r="AE757" s="378"/>
      <c r="AF757" s="378"/>
    </row>
    <row r="758" spans="2:32">
      <c r="B758" s="378"/>
      <c r="C758" s="378"/>
      <c r="D758" s="378"/>
      <c r="F758" s="378"/>
      <c r="G758" s="378"/>
      <c r="H758" s="378"/>
      <c r="I758" s="378"/>
      <c r="J758" s="378"/>
      <c r="K758" s="378"/>
      <c r="L758" s="378"/>
      <c r="M758" s="378"/>
      <c r="N758" s="378"/>
      <c r="O758" s="378"/>
      <c r="P758" s="378"/>
      <c r="Q758" s="378"/>
      <c r="R758" s="378"/>
      <c r="S758" s="378"/>
      <c r="T758" s="378"/>
      <c r="U758" s="378"/>
      <c r="V758" s="378"/>
      <c r="W758" s="378"/>
      <c r="X758" s="378"/>
      <c r="Y758" s="378"/>
      <c r="Z758" s="378"/>
      <c r="AA758" s="378"/>
      <c r="AB758" s="378"/>
      <c r="AC758" s="378"/>
      <c r="AD758" s="378"/>
      <c r="AE758" s="378"/>
      <c r="AF758" s="378"/>
    </row>
    <row r="759" spans="2:32">
      <c r="B759" s="378"/>
      <c r="C759" s="378"/>
      <c r="D759" s="378"/>
      <c r="F759" s="378"/>
      <c r="G759" s="378"/>
      <c r="H759" s="378"/>
      <c r="I759" s="378"/>
      <c r="J759" s="378"/>
      <c r="K759" s="378"/>
      <c r="L759" s="378"/>
      <c r="M759" s="378"/>
      <c r="N759" s="378"/>
      <c r="O759" s="378"/>
      <c r="P759" s="378"/>
      <c r="Q759" s="378"/>
      <c r="R759" s="378"/>
      <c r="S759" s="378"/>
      <c r="T759" s="378"/>
      <c r="U759" s="378"/>
      <c r="V759" s="378"/>
      <c r="W759" s="378"/>
      <c r="X759" s="378"/>
      <c r="Y759" s="378"/>
      <c r="Z759" s="378"/>
      <c r="AA759" s="378"/>
      <c r="AB759" s="378"/>
      <c r="AC759" s="378"/>
      <c r="AD759" s="378"/>
      <c r="AE759" s="378"/>
      <c r="AF759" s="378"/>
    </row>
    <row r="760" spans="2:32">
      <c r="B760" s="378"/>
      <c r="C760" s="378"/>
      <c r="D760" s="378"/>
      <c r="F760" s="378"/>
      <c r="G760" s="378"/>
      <c r="H760" s="378"/>
      <c r="I760" s="378"/>
      <c r="J760" s="378"/>
      <c r="K760" s="378"/>
      <c r="L760" s="378"/>
      <c r="M760" s="378"/>
      <c r="N760" s="378"/>
      <c r="O760" s="378"/>
      <c r="P760" s="378"/>
      <c r="Q760" s="378"/>
      <c r="R760" s="378"/>
      <c r="S760" s="378"/>
      <c r="T760" s="378"/>
      <c r="U760" s="378"/>
      <c r="V760" s="378"/>
      <c r="W760" s="378"/>
      <c r="X760" s="378"/>
      <c r="Y760" s="378"/>
      <c r="Z760" s="378"/>
      <c r="AA760" s="378"/>
      <c r="AB760" s="378"/>
      <c r="AC760" s="378"/>
      <c r="AD760" s="378"/>
      <c r="AE760" s="378"/>
      <c r="AF760" s="378"/>
    </row>
    <row r="761" spans="2:32">
      <c r="B761" s="378"/>
      <c r="C761" s="378"/>
      <c r="D761" s="378"/>
      <c r="F761" s="378"/>
      <c r="G761" s="378"/>
      <c r="H761" s="378"/>
      <c r="I761" s="378"/>
      <c r="J761" s="378"/>
      <c r="K761" s="378"/>
      <c r="L761" s="378"/>
      <c r="M761" s="378"/>
      <c r="N761" s="378"/>
      <c r="O761" s="378"/>
      <c r="P761" s="378"/>
      <c r="Q761" s="378"/>
      <c r="R761" s="378"/>
      <c r="S761" s="378"/>
      <c r="T761" s="378"/>
      <c r="U761" s="378"/>
      <c r="V761" s="378"/>
      <c r="W761" s="378"/>
      <c r="X761" s="378"/>
      <c r="Y761" s="378"/>
      <c r="Z761" s="378"/>
      <c r="AA761" s="378"/>
      <c r="AB761" s="378"/>
      <c r="AC761" s="378"/>
      <c r="AD761" s="378"/>
      <c r="AE761" s="378"/>
      <c r="AF761" s="378"/>
    </row>
    <row r="762" spans="2:32">
      <c r="B762" s="378"/>
      <c r="C762" s="378"/>
      <c r="D762" s="378"/>
      <c r="F762" s="378"/>
      <c r="G762" s="378"/>
      <c r="H762" s="378"/>
      <c r="I762" s="378"/>
      <c r="J762" s="378"/>
      <c r="K762" s="378"/>
      <c r="L762" s="378"/>
      <c r="M762" s="378"/>
      <c r="N762" s="378"/>
      <c r="O762" s="378"/>
      <c r="P762" s="378"/>
      <c r="Q762" s="378"/>
      <c r="R762" s="378"/>
      <c r="S762" s="378"/>
      <c r="T762" s="378"/>
      <c r="U762" s="378"/>
      <c r="V762" s="378"/>
      <c r="W762" s="378"/>
      <c r="X762" s="378"/>
      <c r="Y762" s="378"/>
      <c r="Z762" s="378"/>
      <c r="AA762" s="378"/>
      <c r="AB762" s="378"/>
      <c r="AC762" s="378"/>
      <c r="AD762" s="378"/>
      <c r="AE762" s="378"/>
      <c r="AF762" s="378"/>
    </row>
    <row r="763" spans="2:32">
      <c r="B763" s="378"/>
      <c r="C763" s="378"/>
      <c r="D763" s="378"/>
      <c r="F763" s="378"/>
      <c r="G763" s="378"/>
      <c r="H763" s="378"/>
      <c r="I763" s="378"/>
      <c r="J763" s="378"/>
      <c r="K763" s="378"/>
      <c r="L763" s="378"/>
      <c r="M763" s="378"/>
      <c r="N763" s="378"/>
      <c r="O763" s="378"/>
      <c r="P763" s="378"/>
      <c r="Q763" s="378"/>
      <c r="R763" s="378"/>
      <c r="S763" s="378"/>
      <c r="T763" s="378"/>
      <c r="U763" s="378"/>
      <c r="V763" s="378"/>
      <c r="W763" s="378"/>
      <c r="X763" s="378"/>
      <c r="Y763" s="378"/>
      <c r="Z763" s="378"/>
      <c r="AA763" s="378"/>
      <c r="AB763" s="378"/>
      <c r="AC763" s="378"/>
      <c r="AD763" s="378"/>
      <c r="AE763" s="378"/>
      <c r="AF763" s="378"/>
    </row>
    <row r="764" spans="2:32">
      <c r="B764" s="378"/>
      <c r="C764" s="378"/>
      <c r="D764" s="378"/>
      <c r="F764" s="378"/>
      <c r="G764" s="378"/>
      <c r="H764" s="378"/>
      <c r="I764" s="378"/>
      <c r="J764" s="378"/>
      <c r="K764" s="378"/>
      <c r="L764" s="378"/>
      <c r="M764" s="378"/>
      <c r="N764" s="378"/>
      <c r="O764" s="378"/>
      <c r="P764" s="378"/>
      <c r="Q764" s="378"/>
      <c r="R764" s="378"/>
      <c r="S764" s="378"/>
      <c r="T764" s="378"/>
      <c r="U764" s="378"/>
      <c r="V764" s="378"/>
      <c r="W764" s="378"/>
      <c r="X764" s="378"/>
      <c r="Y764" s="378"/>
      <c r="Z764" s="378"/>
      <c r="AA764" s="378"/>
      <c r="AB764" s="378"/>
      <c r="AC764" s="378"/>
      <c r="AD764" s="378"/>
      <c r="AE764" s="378"/>
      <c r="AF764" s="378"/>
    </row>
    <row r="765" spans="2:32">
      <c r="B765" s="378"/>
      <c r="C765" s="378"/>
      <c r="D765" s="378"/>
      <c r="F765" s="378"/>
      <c r="G765" s="378"/>
      <c r="H765" s="378"/>
      <c r="I765" s="378"/>
      <c r="J765" s="378"/>
      <c r="K765" s="378"/>
      <c r="L765" s="378"/>
      <c r="M765" s="378"/>
      <c r="N765" s="378"/>
      <c r="O765" s="378"/>
      <c r="P765" s="378"/>
      <c r="Q765" s="378"/>
      <c r="R765" s="378"/>
      <c r="S765" s="378"/>
      <c r="T765" s="378"/>
      <c r="U765" s="378"/>
      <c r="V765" s="378"/>
      <c r="W765" s="378"/>
      <c r="X765" s="378"/>
      <c r="Y765" s="378"/>
      <c r="Z765" s="378"/>
      <c r="AA765" s="378"/>
      <c r="AB765" s="378"/>
      <c r="AC765" s="378"/>
      <c r="AD765" s="378"/>
      <c r="AE765" s="378"/>
      <c r="AF765" s="378"/>
    </row>
    <row r="766" spans="2:32">
      <c r="B766" s="378"/>
      <c r="C766" s="378"/>
      <c r="D766" s="378"/>
      <c r="F766" s="378"/>
      <c r="G766" s="378"/>
      <c r="H766" s="378"/>
      <c r="I766" s="378"/>
      <c r="J766" s="378"/>
      <c r="K766" s="378"/>
      <c r="L766" s="378"/>
      <c r="M766" s="378"/>
      <c r="N766" s="378"/>
      <c r="O766" s="378"/>
      <c r="P766" s="378"/>
      <c r="Q766" s="378"/>
      <c r="R766" s="378"/>
      <c r="S766" s="378"/>
      <c r="T766" s="378"/>
      <c r="U766" s="378"/>
      <c r="V766" s="378"/>
      <c r="W766" s="378"/>
      <c r="X766" s="378"/>
      <c r="Y766" s="378"/>
      <c r="Z766" s="378"/>
      <c r="AA766" s="378"/>
      <c r="AB766" s="378"/>
      <c r="AC766" s="378"/>
      <c r="AD766" s="378"/>
      <c r="AE766" s="378"/>
      <c r="AF766" s="378"/>
    </row>
    <row r="767" spans="2:32">
      <c r="B767" s="378"/>
      <c r="C767" s="378"/>
      <c r="D767" s="378"/>
      <c r="F767" s="378"/>
      <c r="G767" s="378"/>
      <c r="H767" s="378"/>
      <c r="I767" s="378"/>
      <c r="J767" s="378"/>
      <c r="K767" s="378"/>
      <c r="L767" s="378"/>
      <c r="M767" s="378"/>
      <c r="N767" s="378"/>
      <c r="O767" s="378"/>
      <c r="P767" s="378"/>
      <c r="Q767" s="378"/>
      <c r="R767" s="378"/>
      <c r="S767" s="378"/>
      <c r="T767" s="378"/>
      <c r="U767" s="378"/>
      <c r="V767" s="378"/>
      <c r="W767" s="378"/>
      <c r="X767" s="378"/>
      <c r="Y767" s="378"/>
      <c r="Z767" s="378"/>
      <c r="AA767" s="378"/>
      <c r="AB767" s="378"/>
      <c r="AC767" s="378"/>
      <c r="AD767" s="378"/>
      <c r="AE767" s="378"/>
      <c r="AF767" s="378"/>
    </row>
    <row r="768" spans="2:32">
      <c r="B768" s="378"/>
      <c r="C768" s="378"/>
      <c r="D768" s="378"/>
      <c r="F768" s="378"/>
      <c r="G768" s="378"/>
      <c r="H768" s="378"/>
      <c r="I768" s="378"/>
      <c r="J768" s="378"/>
      <c r="K768" s="378"/>
      <c r="L768" s="378"/>
      <c r="M768" s="378"/>
      <c r="N768" s="378"/>
      <c r="O768" s="378"/>
      <c r="P768" s="378"/>
      <c r="Q768" s="378"/>
      <c r="R768" s="378"/>
      <c r="S768" s="378"/>
      <c r="T768" s="378"/>
      <c r="U768" s="378"/>
      <c r="V768" s="378"/>
      <c r="W768" s="378"/>
      <c r="X768" s="378"/>
      <c r="Y768" s="378"/>
      <c r="Z768" s="378"/>
      <c r="AA768" s="378"/>
      <c r="AB768" s="378"/>
      <c r="AC768" s="378"/>
      <c r="AD768" s="378"/>
      <c r="AE768" s="378"/>
      <c r="AF768" s="378"/>
    </row>
    <row r="769" spans="2:32">
      <c r="B769" s="378"/>
      <c r="C769" s="378"/>
      <c r="D769" s="378"/>
      <c r="F769" s="378"/>
      <c r="G769" s="378"/>
      <c r="H769" s="378"/>
      <c r="I769" s="378"/>
      <c r="J769" s="378"/>
      <c r="K769" s="378"/>
      <c r="L769" s="378"/>
      <c r="M769" s="378"/>
      <c r="N769" s="378"/>
      <c r="O769" s="378"/>
      <c r="P769" s="378"/>
      <c r="Q769" s="378"/>
      <c r="R769" s="378"/>
      <c r="S769" s="378"/>
      <c r="T769" s="378"/>
      <c r="U769" s="378"/>
      <c r="V769" s="378"/>
      <c r="W769" s="378"/>
      <c r="X769" s="378"/>
      <c r="Y769" s="378"/>
      <c r="Z769" s="378"/>
      <c r="AA769" s="378"/>
      <c r="AB769" s="378"/>
      <c r="AC769" s="378"/>
      <c r="AD769" s="378"/>
      <c r="AE769" s="378"/>
      <c r="AF769" s="378"/>
    </row>
    <row r="770" spans="2:32">
      <c r="B770" s="378"/>
      <c r="C770" s="378"/>
      <c r="D770" s="378"/>
      <c r="F770" s="378"/>
      <c r="G770" s="378"/>
      <c r="H770" s="378"/>
      <c r="I770" s="378"/>
      <c r="J770" s="378"/>
      <c r="K770" s="378"/>
      <c r="L770" s="378"/>
      <c r="M770" s="378"/>
      <c r="N770" s="378"/>
      <c r="O770" s="378"/>
      <c r="P770" s="378"/>
      <c r="Q770" s="378"/>
      <c r="R770" s="378"/>
      <c r="S770" s="378"/>
      <c r="T770" s="378"/>
      <c r="U770" s="378"/>
      <c r="V770" s="378"/>
      <c r="W770" s="378"/>
      <c r="X770" s="378"/>
      <c r="Y770" s="378"/>
      <c r="Z770" s="378"/>
      <c r="AA770" s="378"/>
      <c r="AB770" s="378"/>
      <c r="AC770" s="378"/>
      <c r="AD770" s="378"/>
      <c r="AE770" s="378"/>
      <c r="AF770" s="378"/>
    </row>
    <row r="771" spans="2:32">
      <c r="B771" s="378"/>
      <c r="C771" s="378"/>
      <c r="D771" s="378"/>
      <c r="F771" s="378"/>
      <c r="G771" s="378"/>
      <c r="H771" s="378"/>
      <c r="I771" s="378"/>
      <c r="J771" s="378"/>
      <c r="K771" s="378"/>
      <c r="L771" s="378"/>
      <c r="M771" s="378"/>
      <c r="N771" s="378"/>
      <c r="O771" s="378"/>
      <c r="P771" s="378"/>
      <c r="Q771" s="378"/>
      <c r="R771" s="378"/>
      <c r="S771" s="378"/>
      <c r="T771" s="378"/>
      <c r="U771" s="378"/>
      <c r="V771" s="378"/>
      <c r="W771" s="378"/>
      <c r="X771" s="378"/>
      <c r="Y771" s="378"/>
      <c r="Z771" s="378"/>
      <c r="AA771" s="378"/>
      <c r="AB771" s="378"/>
      <c r="AC771" s="378"/>
      <c r="AD771" s="378"/>
      <c r="AE771" s="378"/>
      <c r="AF771" s="378"/>
    </row>
    <row r="772" spans="2:32">
      <c r="B772" s="378"/>
      <c r="C772" s="378"/>
      <c r="D772" s="378"/>
      <c r="F772" s="378"/>
      <c r="G772" s="378"/>
      <c r="H772" s="378"/>
      <c r="I772" s="378"/>
      <c r="J772" s="378"/>
      <c r="K772" s="378"/>
      <c r="L772" s="378"/>
      <c r="M772" s="378"/>
      <c r="N772" s="378"/>
      <c r="O772" s="378"/>
      <c r="P772" s="378"/>
      <c r="Q772" s="378"/>
      <c r="R772" s="378"/>
      <c r="S772" s="378"/>
      <c r="T772" s="378"/>
      <c r="U772" s="378"/>
      <c r="V772" s="378"/>
      <c r="W772" s="378"/>
      <c r="X772" s="378"/>
      <c r="Y772" s="378"/>
      <c r="Z772" s="378"/>
      <c r="AA772" s="378"/>
      <c r="AB772" s="378"/>
      <c r="AC772" s="378"/>
      <c r="AD772" s="378"/>
      <c r="AE772" s="378"/>
      <c r="AF772" s="378"/>
    </row>
    <row r="773" spans="2:32">
      <c r="B773" s="378"/>
      <c r="C773" s="378"/>
      <c r="D773" s="378"/>
      <c r="F773" s="378"/>
      <c r="G773" s="378"/>
      <c r="H773" s="378"/>
      <c r="I773" s="378"/>
      <c r="J773" s="378"/>
      <c r="K773" s="378"/>
      <c r="L773" s="378"/>
      <c r="M773" s="378"/>
      <c r="N773" s="378"/>
      <c r="O773" s="378"/>
      <c r="P773" s="378"/>
      <c r="Q773" s="378"/>
      <c r="R773" s="378"/>
      <c r="S773" s="378"/>
      <c r="T773" s="378"/>
      <c r="U773" s="378"/>
      <c r="V773" s="378"/>
      <c r="W773" s="378"/>
      <c r="X773" s="378"/>
      <c r="Y773" s="378"/>
      <c r="Z773" s="378"/>
      <c r="AA773" s="378"/>
      <c r="AB773" s="378"/>
      <c r="AC773" s="378"/>
      <c r="AD773" s="378"/>
      <c r="AE773" s="378"/>
      <c r="AF773" s="378"/>
    </row>
    <row r="774" spans="2:32">
      <c r="B774" s="378"/>
      <c r="C774" s="378"/>
      <c r="D774" s="378"/>
      <c r="F774" s="378"/>
      <c r="G774" s="378"/>
      <c r="H774" s="378"/>
      <c r="I774" s="378"/>
      <c r="J774" s="378"/>
      <c r="K774" s="378"/>
      <c r="L774" s="378"/>
      <c r="M774" s="378"/>
      <c r="N774" s="378"/>
      <c r="O774" s="378"/>
      <c r="P774" s="378"/>
      <c r="Q774" s="378"/>
      <c r="R774" s="378"/>
      <c r="S774" s="378"/>
      <c r="T774" s="378"/>
      <c r="U774" s="378"/>
      <c r="V774" s="378"/>
      <c r="W774" s="378"/>
      <c r="X774" s="378"/>
      <c r="Y774" s="378"/>
      <c r="Z774" s="378"/>
      <c r="AA774" s="378"/>
      <c r="AB774" s="378"/>
      <c r="AC774" s="378"/>
      <c r="AD774" s="378"/>
      <c r="AE774" s="378"/>
      <c r="AF774" s="378"/>
    </row>
    <row r="775" spans="2:32">
      <c r="B775" s="378"/>
      <c r="C775" s="378"/>
      <c r="D775" s="378"/>
      <c r="F775" s="378"/>
      <c r="G775" s="378"/>
      <c r="H775" s="378"/>
      <c r="I775" s="378"/>
      <c r="J775" s="378"/>
      <c r="K775" s="378"/>
      <c r="L775" s="378"/>
      <c r="M775" s="378"/>
      <c r="N775" s="378"/>
      <c r="O775" s="378"/>
      <c r="P775" s="378"/>
      <c r="Q775" s="378"/>
      <c r="R775" s="378"/>
      <c r="S775" s="378"/>
      <c r="T775" s="378"/>
      <c r="U775" s="378"/>
      <c r="V775" s="378"/>
      <c r="W775" s="378"/>
      <c r="X775" s="378"/>
      <c r="Y775" s="378"/>
      <c r="Z775" s="378"/>
      <c r="AA775" s="378"/>
      <c r="AB775" s="378"/>
      <c r="AC775" s="378"/>
      <c r="AD775" s="378"/>
      <c r="AE775" s="378"/>
      <c r="AF775" s="378"/>
    </row>
    <row r="776" spans="2:32">
      <c r="B776" s="378"/>
      <c r="C776" s="378"/>
      <c r="D776" s="378"/>
      <c r="F776" s="378"/>
      <c r="G776" s="378"/>
      <c r="H776" s="378"/>
      <c r="I776" s="378"/>
      <c r="J776" s="378"/>
      <c r="K776" s="378"/>
      <c r="L776" s="378"/>
      <c r="M776" s="378"/>
      <c r="N776" s="378"/>
      <c r="O776" s="378"/>
      <c r="P776" s="378"/>
      <c r="Q776" s="378"/>
      <c r="R776" s="378"/>
      <c r="S776" s="378"/>
      <c r="T776" s="378"/>
      <c r="U776" s="378"/>
      <c r="V776" s="378"/>
      <c r="W776" s="378"/>
      <c r="X776" s="378"/>
      <c r="Y776" s="378"/>
      <c r="Z776" s="378"/>
      <c r="AA776" s="378"/>
      <c r="AB776" s="378"/>
      <c r="AC776" s="378"/>
      <c r="AD776" s="378"/>
      <c r="AE776" s="378"/>
      <c r="AF776" s="378"/>
    </row>
    <row r="777" spans="2:32">
      <c r="B777" s="378"/>
      <c r="C777" s="378"/>
      <c r="D777" s="378"/>
      <c r="F777" s="378"/>
      <c r="G777" s="378"/>
      <c r="H777" s="378"/>
      <c r="I777" s="378"/>
      <c r="J777" s="378"/>
      <c r="K777" s="378"/>
      <c r="L777" s="378"/>
      <c r="M777" s="378"/>
      <c r="N777" s="378"/>
      <c r="O777" s="378"/>
      <c r="P777" s="378"/>
      <c r="Q777" s="378"/>
      <c r="R777" s="378"/>
      <c r="S777" s="378"/>
      <c r="T777" s="378"/>
      <c r="U777" s="378"/>
      <c r="V777" s="378"/>
      <c r="W777" s="378"/>
      <c r="X777" s="378"/>
      <c r="Y777" s="378"/>
      <c r="Z777" s="378"/>
      <c r="AA777" s="378"/>
      <c r="AB777" s="378"/>
      <c r="AC777" s="378"/>
      <c r="AD777" s="378"/>
      <c r="AE777" s="378"/>
      <c r="AF777" s="378"/>
    </row>
    <row r="778" spans="2:32">
      <c r="B778" s="378"/>
      <c r="C778" s="378"/>
      <c r="D778" s="378"/>
      <c r="F778" s="378"/>
      <c r="G778" s="378"/>
      <c r="H778" s="378"/>
      <c r="I778" s="378"/>
      <c r="J778" s="378"/>
      <c r="K778" s="378"/>
      <c r="L778" s="378"/>
      <c r="M778" s="378"/>
      <c r="N778" s="378"/>
      <c r="O778" s="378"/>
      <c r="P778" s="378"/>
      <c r="Q778" s="378"/>
      <c r="R778" s="378"/>
      <c r="S778" s="378"/>
      <c r="T778" s="378"/>
      <c r="U778" s="378"/>
      <c r="V778" s="378"/>
      <c r="W778" s="378"/>
      <c r="X778" s="378"/>
      <c r="Y778" s="378"/>
      <c r="Z778" s="378"/>
      <c r="AA778" s="378"/>
      <c r="AB778" s="378"/>
      <c r="AC778" s="378"/>
      <c r="AD778" s="378"/>
      <c r="AE778" s="378"/>
      <c r="AF778" s="378"/>
    </row>
    <row r="779" spans="2:32">
      <c r="B779" s="378"/>
      <c r="C779" s="378"/>
      <c r="D779" s="378"/>
      <c r="F779" s="378"/>
      <c r="G779" s="378"/>
      <c r="H779" s="378"/>
      <c r="I779" s="378"/>
      <c r="J779" s="378"/>
      <c r="K779" s="378"/>
      <c r="L779" s="378"/>
      <c r="M779" s="378"/>
      <c r="N779" s="378"/>
      <c r="O779" s="378"/>
      <c r="P779" s="378"/>
      <c r="Q779" s="378"/>
      <c r="R779" s="378"/>
      <c r="S779" s="378"/>
      <c r="T779" s="378"/>
      <c r="U779" s="378"/>
      <c r="V779" s="378"/>
      <c r="W779" s="378"/>
      <c r="X779" s="378"/>
      <c r="Y779" s="378"/>
      <c r="Z779" s="378"/>
      <c r="AA779" s="378"/>
      <c r="AB779" s="378"/>
      <c r="AC779" s="378"/>
      <c r="AD779" s="378"/>
      <c r="AE779" s="378"/>
      <c r="AF779" s="378"/>
    </row>
    <row r="780" spans="2:32">
      <c r="B780" s="378"/>
      <c r="C780" s="378"/>
      <c r="D780" s="378"/>
      <c r="F780" s="378"/>
      <c r="G780" s="378"/>
      <c r="H780" s="378"/>
      <c r="I780" s="378"/>
      <c r="J780" s="378"/>
      <c r="K780" s="378"/>
      <c r="L780" s="378"/>
      <c r="M780" s="378"/>
      <c r="N780" s="378"/>
      <c r="O780" s="378"/>
      <c r="P780" s="378"/>
      <c r="Q780" s="378"/>
      <c r="R780" s="378"/>
      <c r="S780" s="378"/>
      <c r="T780" s="378"/>
      <c r="U780" s="378"/>
      <c r="V780" s="378"/>
      <c r="W780" s="378"/>
      <c r="X780" s="378"/>
      <c r="Y780" s="378"/>
      <c r="Z780" s="378"/>
      <c r="AA780" s="378"/>
      <c r="AB780" s="378"/>
      <c r="AC780" s="378"/>
      <c r="AD780" s="378"/>
      <c r="AE780" s="378"/>
      <c r="AF780" s="378"/>
    </row>
    <row r="781" spans="2:32">
      <c r="B781" s="378"/>
      <c r="C781" s="378"/>
      <c r="D781" s="378"/>
      <c r="F781" s="378"/>
      <c r="G781" s="378"/>
      <c r="H781" s="378"/>
      <c r="I781" s="378"/>
      <c r="J781" s="378"/>
      <c r="K781" s="378"/>
      <c r="L781" s="378"/>
      <c r="M781" s="378"/>
      <c r="N781" s="378"/>
      <c r="O781" s="378"/>
      <c r="P781" s="378"/>
      <c r="Q781" s="378"/>
      <c r="R781" s="378"/>
      <c r="S781" s="378"/>
      <c r="T781" s="378"/>
      <c r="U781" s="378"/>
      <c r="V781" s="378"/>
      <c r="W781" s="378"/>
      <c r="X781" s="378"/>
      <c r="Y781" s="378"/>
      <c r="Z781" s="378"/>
      <c r="AA781" s="378"/>
      <c r="AB781" s="378"/>
      <c r="AC781" s="378"/>
      <c r="AD781" s="378"/>
      <c r="AE781" s="378"/>
      <c r="AF781" s="378"/>
    </row>
    <row r="782" spans="2:32">
      <c r="B782" s="378"/>
      <c r="C782" s="378"/>
      <c r="D782" s="378"/>
      <c r="F782" s="378"/>
      <c r="G782" s="378"/>
      <c r="H782" s="378"/>
      <c r="I782" s="378"/>
      <c r="J782" s="378"/>
      <c r="K782" s="378"/>
      <c r="L782" s="378"/>
      <c r="M782" s="378"/>
      <c r="N782" s="378"/>
      <c r="O782" s="378"/>
      <c r="P782" s="378"/>
      <c r="Q782" s="378"/>
      <c r="R782" s="378"/>
      <c r="S782" s="378"/>
      <c r="T782" s="378"/>
      <c r="U782" s="378"/>
      <c r="V782" s="378"/>
      <c r="W782" s="378"/>
      <c r="X782" s="378"/>
      <c r="Y782" s="378"/>
      <c r="Z782" s="378"/>
      <c r="AA782" s="378"/>
      <c r="AB782" s="378"/>
      <c r="AC782" s="378"/>
      <c r="AD782" s="378"/>
      <c r="AE782" s="378"/>
      <c r="AF782" s="378"/>
    </row>
    <row r="783" spans="2:32">
      <c r="B783" s="378"/>
      <c r="C783" s="378"/>
      <c r="D783" s="378"/>
      <c r="F783" s="378"/>
      <c r="G783" s="378"/>
      <c r="H783" s="378"/>
      <c r="I783" s="378"/>
      <c r="J783" s="378"/>
      <c r="K783" s="378"/>
      <c r="L783" s="378"/>
      <c r="M783" s="378"/>
      <c r="N783" s="378"/>
      <c r="O783" s="378"/>
      <c r="P783" s="378"/>
      <c r="Q783" s="378"/>
      <c r="R783" s="378"/>
      <c r="S783" s="378"/>
      <c r="T783" s="378"/>
      <c r="U783" s="378"/>
      <c r="V783" s="378"/>
      <c r="W783" s="378"/>
      <c r="X783" s="378"/>
      <c r="Y783" s="378"/>
      <c r="Z783" s="378"/>
      <c r="AA783" s="378"/>
      <c r="AB783" s="378"/>
      <c r="AC783" s="378"/>
      <c r="AD783" s="378"/>
      <c r="AE783" s="378"/>
      <c r="AF783" s="378"/>
    </row>
    <row r="784" spans="2:32">
      <c r="B784" s="378"/>
      <c r="C784" s="378"/>
      <c r="D784" s="378"/>
      <c r="F784" s="378"/>
      <c r="G784" s="378"/>
      <c r="H784" s="378"/>
      <c r="I784" s="378"/>
      <c r="J784" s="378"/>
      <c r="K784" s="378"/>
      <c r="L784" s="378"/>
      <c r="M784" s="378"/>
      <c r="N784" s="378"/>
      <c r="O784" s="378"/>
      <c r="P784" s="378"/>
      <c r="Q784" s="378"/>
      <c r="R784" s="378"/>
      <c r="S784" s="378"/>
      <c r="T784" s="378"/>
      <c r="U784" s="378"/>
      <c r="V784" s="378"/>
      <c r="W784" s="378"/>
      <c r="X784" s="378"/>
      <c r="Y784" s="378"/>
      <c r="Z784" s="378"/>
      <c r="AA784" s="378"/>
      <c r="AB784" s="378"/>
      <c r="AC784" s="378"/>
      <c r="AD784" s="378"/>
      <c r="AE784" s="378"/>
      <c r="AF784" s="378"/>
    </row>
    <row r="785" spans="2:32">
      <c r="B785" s="378"/>
      <c r="C785" s="378"/>
      <c r="D785" s="378"/>
      <c r="F785" s="378"/>
      <c r="G785" s="378"/>
      <c r="H785" s="378"/>
      <c r="I785" s="378"/>
      <c r="J785" s="378"/>
      <c r="K785" s="378"/>
      <c r="L785" s="378"/>
      <c r="M785" s="378"/>
      <c r="N785" s="378"/>
      <c r="O785" s="378"/>
      <c r="P785" s="378"/>
      <c r="Q785" s="378"/>
      <c r="R785" s="378"/>
      <c r="S785" s="378"/>
      <c r="T785" s="378"/>
      <c r="U785" s="378"/>
      <c r="V785" s="378"/>
      <c r="W785" s="378"/>
      <c r="X785" s="378"/>
      <c r="Y785" s="378"/>
      <c r="Z785" s="378"/>
      <c r="AA785" s="378"/>
      <c r="AB785" s="378"/>
      <c r="AC785" s="378"/>
      <c r="AD785" s="378"/>
      <c r="AE785" s="378"/>
      <c r="AF785" s="378"/>
    </row>
    <row r="786" spans="2:32">
      <c r="B786" s="378"/>
      <c r="C786" s="378"/>
      <c r="D786" s="378"/>
      <c r="F786" s="378"/>
      <c r="G786" s="378"/>
      <c r="H786" s="378"/>
      <c r="I786" s="378"/>
      <c r="J786" s="378"/>
      <c r="K786" s="378"/>
      <c r="L786" s="378"/>
      <c r="M786" s="378"/>
      <c r="N786" s="378"/>
      <c r="O786" s="378"/>
      <c r="P786" s="378"/>
      <c r="Q786" s="378"/>
      <c r="R786" s="378"/>
      <c r="S786" s="378"/>
      <c r="T786" s="378"/>
      <c r="U786" s="378"/>
      <c r="V786" s="378"/>
      <c r="W786" s="378"/>
      <c r="X786" s="378"/>
      <c r="Y786" s="378"/>
      <c r="Z786" s="378"/>
      <c r="AA786" s="378"/>
      <c r="AB786" s="378"/>
      <c r="AC786" s="378"/>
      <c r="AD786" s="378"/>
      <c r="AE786" s="378"/>
      <c r="AF786" s="378"/>
    </row>
    <row r="787" spans="2:32">
      <c r="B787" s="378"/>
      <c r="C787" s="378"/>
      <c r="D787" s="378"/>
      <c r="F787" s="378"/>
      <c r="G787" s="378"/>
      <c r="H787" s="378"/>
      <c r="I787" s="378"/>
      <c r="J787" s="378"/>
      <c r="K787" s="378"/>
      <c r="L787" s="378"/>
      <c r="M787" s="378"/>
      <c r="N787" s="378"/>
      <c r="O787" s="378"/>
      <c r="P787" s="378"/>
      <c r="Q787" s="378"/>
      <c r="R787" s="378"/>
      <c r="S787" s="378"/>
      <c r="T787" s="378"/>
      <c r="U787" s="378"/>
      <c r="V787" s="378"/>
      <c r="W787" s="378"/>
      <c r="X787" s="378"/>
      <c r="Y787" s="378"/>
      <c r="Z787" s="378"/>
      <c r="AA787" s="378"/>
      <c r="AB787" s="378"/>
      <c r="AC787" s="378"/>
      <c r="AD787" s="378"/>
      <c r="AE787" s="378"/>
      <c r="AF787" s="378"/>
    </row>
    <row r="788" spans="2:32">
      <c r="B788" s="378"/>
      <c r="C788" s="378"/>
      <c r="D788" s="378"/>
      <c r="F788" s="378"/>
      <c r="G788" s="378"/>
      <c r="H788" s="378"/>
      <c r="I788" s="378"/>
      <c r="J788" s="378"/>
      <c r="K788" s="378"/>
      <c r="L788" s="378"/>
      <c r="M788" s="378"/>
      <c r="N788" s="378"/>
      <c r="O788" s="378"/>
      <c r="P788" s="378"/>
      <c r="Q788" s="378"/>
      <c r="R788" s="378"/>
      <c r="S788" s="378"/>
      <c r="T788" s="378"/>
      <c r="U788" s="378"/>
      <c r="V788" s="378"/>
      <c r="W788" s="378"/>
      <c r="X788" s="378"/>
      <c r="Y788" s="378"/>
      <c r="Z788" s="378"/>
      <c r="AA788" s="378"/>
      <c r="AB788" s="378"/>
      <c r="AC788" s="378"/>
      <c r="AD788" s="378"/>
      <c r="AE788" s="378"/>
      <c r="AF788" s="378"/>
    </row>
    <row r="789" spans="2:32">
      <c r="B789" s="378"/>
      <c r="C789" s="378"/>
      <c r="D789" s="378"/>
      <c r="F789" s="378"/>
      <c r="G789" s="378"/>
      <c r="H789" s="378"/>
      <c r="I789" s="378"/>
      <c r="J789" s="378"/>
      <c r="K789" s="378"/>
      <c r="L789" s="378"/>
      <c r="M789" s="378"/>
      <c r="N789" s="378"/>
      <c r="O789" s="378"/>
      <c r="P789" s="378"/>
      <c r="Q789" s="378"/>
      <c r="R789" s="378"/>
      <c r="S789" s="378"/>
      <c r="T789" s="378"/>
      <c r="U789" s="378"/>
      <c r="V789" s="378"/>
      <c r="W789" s="378"/>
      <c r="X789" s="378"/>
      <c r="Y789" s="378"/>
      <c r="Z789" s="378"/>
      <c r="AA789" s="378"/>
      <c r="AB789" s="378"/>
      <c r="AC789" s="378"/>
      <c r="AD789" s="378"/>
      <c r="AE789" s="378"/>
      <c r="AF789" s="378"/>
    </row>
    <row r="790" spans="2:32">
      <c r="B790" s="378"/>
      <c r="C790" s="378"/>
      <c r="D790" s="378"/>
      <c r="F790" s="378"/>
      <c r="G790" s="378"/>
      <c r="H790" s="378"/>
      <c r="I790" s="378"/>
      <c r="J790" s="378"/>
      <c r="K790" s="378"/>
      <c r="L790" s="378"/>
      <c r="M790" s="378"/>
      <c r="N790" s="378"/>
      <c r="O790" s="378"/>
      <c r="P790" s="378"/>
      <c r="Q790" s="378"/>
      <c r="R790" s="378"/>
      <c r="S790" s="378"/>
      <c r="T790" s="378"/>
      <c r="U790" s="378"/>
      <c r="V790" s="378"/>
      <c r="W790" s="378"/>
      <c r="X790" s="378"/>
      <c r="Y790" s="378"/>
      <c r="Z790" s="378"/>
      <c r="AA790" s="378"/>
      <c r="AB790" s="378"/>
      <c r="AC790" s="378"/>
      <c r="AD790" s="378"/>
      <c r="AE790" s="378"/>
      <c r="AF790" s="378"/>
    </row>
    <row r="791" spans="2:32">
      <c r="B791" s="378"/>
      <c r="C791" s="378"/>
      <c r="D791" s="378"/>
      <c r="F791" s="378"/>
      <c r="G791" s="378"/>
      <c r="H791" s="378"/>
      <c r="I791" s="378"/>
      <c r="J791" s="378"/>
      <c r="K791" s="378"/>
      <c r="L791" s="378"/>
      <c r="M791" s="378"/>
      <c r="N791" s="378"/>
      <c r="O791" s="378"/>
      <c r="P791" s="378"/>
      <c r="Q791" s="378"/>
      <c r="R791" s="378"/>
      <c r="S791" s="378"/>
      <c r="T791" s="378"/>
      <c r="U791" s="378"/>
      <c r="V791" s="378"/>
      <c r="W791" s="378"/>
      <c r="X791" s="378"/>
      <c r="Y791" s="378"/>
      <c r="Z791" s="378"/>
      <c r="AA791" s="378"/>
      <c r="AB791" s="378"/>
      <c r="AC791" s="378"/>
      <c r="AD791" s="378"/>
      <c r="AE791" s="378"/>
      <c r="AF791" s="378"/>
    </row>
    <row r="792" spans="2:32">
      <c r="B792" s="378"/>
      <c r="C792" s="378"/>
      <c r="D792" s="378"/>
      <c r="F792" s="378"/>
      <c r="G792" s="378"/>
      <c r="H792" s="378"/>
      <c r="I792" s="378"/>
      <c r="J792" s="378"/>
      <c r="K792" s="378"/>
      <c r="L792" s="378"/>
      <c r="M792" s="378"/>
      <c r="N792" s="378"/>
      <c r="O792" s="378"/>
      <c r="P792" s="378"/>
      <c r="Q792" s="378"/>
      <c r="R792" s="378"/>
      <c r="S792" s="378"/>
      <c r="T792" s="378"/>
      <c r="U792" s="378"/>
      <c r="V792" s="378"/>
      <c r="W792" s="378"/>
      <c r="X792" s="378"/>
      <c r="Y792" s="378"/>
      <c r="Z792" s="378"/>
      <c r="AA792" s="378"/>
      <c r="AB792" s="378"/>
      <c r="AC792" s="378"/>
      <c r="AD792" s="378"/>
      <c r="AE792" s="378"/>
      <c r="AF792" s="378"/>
    </row>
    <row r="793" spans="2:32">
      <c r="B793" s="378"/>
      <c r="C793" s="378"/>
      <c r="D793" s="378"/>
      <c r="F793" s="378"/>
      <c r="G793" s="378"/>
      <c r="H793" s="378"/>
      <c r="I793" s="378"/>
      <c r="J793" s="378"/>
      <c r="K793" s="378"/>
      <c r="L793" s="378"/>
      <c r="M793" s="378"/>
      <c r="N793" s="378"/>
      <c r="O793" s="378"/>
      <c r="P793" s="378"/>
      <c r="Q793" s="378"/>
      <c r="R793" s="378"/>
      <c r="S793" s="378"/>
      <c r="T793" s="378"/>
      <c r="U793" s="378"/>
      <c r="V793" s="378"/>
      <c r="W793" s="378"/>
      <c r="X793" s="378"/>
      <c r="Y793" s="378"/>
      <c r="Z793" s="378"/>
      <c r="AA793" s="378"/>
      <c r="AB793" s="378"/>
      <c r="AC793" s="378"/>
      <c r="AD793" s="378"/>
      <c r="AE793" s="378"/>
      <c r="AF793" s="378"/>
    </row>
    <row r="794" spans="2:32">
      <c r="B794" s="378"/>
      <c r="C794" s="378"/>
      <c r="D794" s="378"/>
      <c r="F794" s="378"/>
      <c r="G794" s="378"/>
      <c r="H794" s="378"/>
      <c r="I794" s="378"/>
      <c r="J794" s="378"/>
      <c r="K794" s="378"/>
      <c r="L794" s="378"/>
      <c r="M794" s="378"/>
      <c r="N794" s="378"/>
      <c r="O794" s="378"/>
      <c r="P794" s="378"/>
      <c r="Q794" s="378"/>
      <c r="R794" s="378"/>
      <c r="S794" s="378"/>
      <c r="T794" s="378"/>
      <c r="U794" s="378"/>
      <c r="V794" s="378"/>
      <c r="W794" s="378"/>
      <c r="X794" s="378"/>
      <c r="Y794" s="378"/>
      <c r="Z794" s="378"/>
      <c r="AA794" s="378"/>
      <c r="AB794" s="378"/>
      <c r="AC794" s="378"/>
      <c r="AD794" s="378"/>
      <c r="AE794" s="378"/>
      <c r="AF794" s="378"/>
    </row>
    <row r="795" spans="2:32">
      <c r="B795" s="378"/>
      <c r="C795" s="378"/>
      <c r="D795" s="378"/>
      <c r="F795" s="378"/>
      <c r="G795" s="378"/>
      <c r="H795" s="378"/>
      <c r="I795" s="378"/>
      <c r="J795" s="378"/>
      <c r="K795" s="378"/>
      <c r="L795" s="378"/>
      <c r="M795" s="378"/>
      <c r="N795" s="378"/>
      <c r="O795" s="378"/>
      <c r="P795" s="378"/>
      <c r="Q795" s="378"/>
      <c r="R795" s="378"/>
      <c r="S795" s="378"/>
      <c r="T795" s="378"/>
      <c r="U795" s="378"/>
      <c r="V795" s="378"/>
      <c r="W795" s="378"/>
      <c r="X795" s="378"/>
      <c r="Y795" s="378"/>
      <c r="Z795" s="378"/>
      <c r="AA795" s="378"/>
      <c r="AB795" s="378"/>
      <c r="AC795" s="378"/>
      <c r="AD795" s="378"/>
      <c r="AE795" s="378"/>
      <c r="AF795" s="378"/>
    </row>
    <row r="796" spans="2:32">
      <c r="B796" s="378"/>
      <c r="C796" s="378"/>
      <c r="D796" s="378"/>
      <c r="F796" s="378"/>
      <c r="G796" s="378"/>
      <c r="H796" s="378"/>
      <c r="I796" s="378"/>
      <c r="J796" s="378"/>
      <c r="K796" s="378"/>
      <c r="L796" s="378"/>
      <c r="M796" s="378"/>
      <c r="N796" s="378"/>
      <c r="O796" s="378"/>
      <c r="P796" s="378"/>
      <c r="Q796" s="378"/>
      <c r="R796" s="378"/>
      <c r="S796" s="378"/>
      <c r="T796" s="378"/>
      <c r="U796" s="378"/>
      <c r="V796" s="378"/>
      <c r="W796" s="378"/>
      <c r="X796" s="378"/>
      <c r="Y796" s="378"/>
      <c r="Z796" s="378"/>
      <c r="AA796" s="378"/>
      <c r="AB796" s="378"/>
      <c r="AC796" s="378"/>
      <c r="AD796" s="378"/>
      <c r="AE796" s="378"/>
      <c r="AF796" s="378"/>
    </row>
    <row r="797" spans="2:32">
      <c r="B797" s="378"/>
      <c r="C797" s="378"/>
      <c r="D797" s="378"/>
      <c r="F797" s="378"/>
      <c r="G797" s="378"/>
      <c r="H797" s="378"/>
      <c r="I797" s="378"/>
      <c r="J797" s="378"/>
      <c r="K797" s="378"/>
      <c r="L797" s="378"/>
      <c r="M797" s="378"/>
      <c r="N797" s="378"/>
      <c r="O797" s="378"/>
      <c r="P797" s="378"/>
      <c r="Q797" s="378"/>
      <c r="R797" s="378"/>
      <c r="S797" s="378"/>
      <c r="T797" s="378"/>
      <c r="U797" s="378"/>
      <c r="V797" s="378"/>
      <c r="W797" s="378"/>
      <c r="X797" s="378"/>
      <c r="Y797" s="378"/>
      <c r="Z797" s="378"/>
      <c r="AA797" s="378"/>
      <c r="AB797" s="378"/>
      <c r="AC797" s="378"/>
      <c r="AD797" s="378"/>
      <c r="AE797" s="378"/>
      <c r="AF797" s="378"/>
    </row>
    <row r="798" spans="2:32">
      <c r="B798" s="378"/>
      <c r="C798" s="378"/>
      <c r="D798" s="378"/>
      <c r="F798" s="378"/>
      <c r="G798" s="378"/>
      <c r="H798" s="378"/>
      <c r="I798" s="378"/>
      <c r="J798" s="378"/>
      <c r="K798" s="378"/>
      <c r="L798" s="378"/>
      <c r="M798" s="378"/>
      <c r="N798" s="378"/>
      <c r="O798" s="378"/>
      <c r="P798" s="378"/>
      <c r="Q798" s="378"/>
      <c r="R798" s="378"/>
      <c r="S798" s="378"/>
      <c r="T798" s="378"/>
      <c r="U798" s="378"/>
      <c r="V798" s="378"/>
      <c r="W798" s="378"/>
      <c r="X798" s="378"/>
      <c r="Y798" s="378"/>
      <c r="Z798" s="378"/>
      <c r="AA798" s="378"/>
      <c r="AB798" s="378"/>
      <c r="AC798" s="378"/>
      <c r="AD798" s="378"/>
      <c r="AE798" s="378"/>
      <c r="AF798" s="378"/>
    </row>
    <row r="799" spans="2:32">
      <c r="B799" s="378"/>
      <c r="C799" s="378"/>
      <c r="D799" s="378"/>
      <c r="F799" s="378"/>
      <c r="G799" s="378"/>
      <c r="H799" s="378"/>
      <c r="I799" s="378"/>
      <c r="J799" s="378"/>
      <c r="K799" s="378"/>
      <c r="L799" s="378"/>
      <c r="M799" s="378"/>
      <c r="N799" s="378"/>
      <c r="O799" s="378"/>
      <c r="P799" s="378"/>
      <c r="Q799" s="378"/>
      <c r="R799" s="378"/>
      <c r="S799" s="378"/>
      <c r="T799" s="378"/>
      <c r="U799" s="378"/>
      <c r="V799" s="378"/>
      <c r="W799" s="378"/>
      <c r="X799" s="378"/>
      <c r="Y799" s="378"/>
      <c r="Z799" s="378"/>
      <c r="AA799" s="378"/>
      <c r="AB799" s="378"/>
      <c r="AC799" s="378"/>
      <c r="AD799" s="378"/>
      <c r="AE799" s="378"/>
      <c r="AF799" s="378"/>
    </row>
    <row r="800" spans="2:32">
      <c r="B800" s="378"/>
      <c r="C800" s="378"/>
      <c r="D800" s="378"/>
      <c r="F800" s="378"/>
      <c r="G800" s="378"/>
      <c r="H800" s="378"/>
      <c r="I800" s="378"/>
      <c r="J800" s="378"/>
      <c r="K800" s="378"/>
      <c r="L800" s="378"/>
      <c r="M800" s="378"/>
      <c r="N800" s="378"/>
      <c r="O800" s="378"/>
      <c r="P800" s="378"/>
      <c r="Q800" s="378"/>
      <c r="R800" s="378"/>
      <c r="S800" s="378"/>
      <c r="T800" s="378"/>
      <c r="U800" s="378"/>
      <c r="V800" s="378"/>
      <c r="W800" s="378"/>
      <c r="X800" s="378"/>
      <c r="Y800" s="378"/>
      <c r="Z800" s="378"/>
      <c r="AA800" s="378"/>
      <c r="AB800" s="378"/>
      <c r="AC800" s="378"/>
      <c r="AD800" s="378"/>
      <c r="AE800" s="378"/>
      <c r="AF800" s="378"/>
    </row>
    <row r="801" spans="2:32">
      <c r="B801" s="378"/>
      <c r="C801" s="378"/>
      <c r="D801" s="378"/>
      <c r="F801" s="378"/>
      <c r="G801" s="378"/>
      <c r="H801" s="378"/>
      <c r="I801" s="378"/>
      <c r="J801" s="378"/>
      <c r="K801" s="378"/>
      <c r="L801" s="378"/>
      <c r="M801" s="378"/>
      <c r="N801" s="378"/>
      <c r="O801" s="378"/>
      <c r="P801" s="378"/>
      <c r="Q801" s="378"/>
      <c r="R801" s="378"/>
      <c r="S801" s="378"/>
      <c r="T801" s="378"/>
      <c r="U801" s="378"/>
      <c r="V801" s="378"/>
      <c r="W801" s="378"/>
      <c r="X801" s="378"/>
      <c r="Y801" s="378"/>
      <c r="Z801" s="378"/>
      <c r="AA801" s="378"/>
      <c r="AB801" s="378"/>
      <c r="AC801" s="378"/>
      <c r="AD801" s="378"/>
      <c r="AE801" s="378"/>
      <c r="AF801" s="378"/>
    </row>
    <row r="802" spans="2:32">
      <c r="B802" s="378"/>
      <c r="C802" s="378"/>
      <c r="D802" s="378"/>
      <c r="F802" s="378"/>
      <c r="G802" s="378"/>
      <c r="H802" s="378"/>
      <c r="I802" s="378"/>
      <c r="J802" s="378"/>
      <c r="K802" s="378"/>
      <c r="L802" s="378"/>
      <c r="M802" s="378"/>
      <c r="N802" s="378"/>
      <c r="O802" s="378"/>
      <c r="P802" s="378"/>
      <c r="Q802" s="378"/>
      <c r="R802" s="378"/>
      <c r="S802" s="378"/>
      <c r="T802" s="378"/>
      <c r="U802" s="378"/>
      <c r="V802" s="378"/>
      <c r="W802" s="378"/>
      <c r="X802" s="378"/>
      <c r="Y802" s="378"/>
      <c r="Z802" s="378"/>
      <c r="AA802" s="378"/>
      <c r="AB802" s="378"/>
      <c r="AC802" s="378"/>
      <c r="AD802" s="378"/>
      <c r="AE802" s="378"/>
      <c r="AF802" s="378"/>
    </row>
    <row r="803" spans="2:32">
      <c r="B803" s="378"/>
      <c r="C803" s="378"/>
      <c r="D803" s="378"/>
      <c r="F803" s="378"/>
      <c r="G803" s="378"/>
      <c r="H803" s="378"/>
      <c r="I803" s="378"/>
      <c r="J803" s="378"/>
      <c r="K803" s="378"/>
      <c r="L803" s="378"/>
      <c r="M803" s="378"/>
      <c r="N803" s="378"/>
      <c r="O803" s="378"/>
      <c r="P803" s="378"/>
      <c r="Q803" s="378"/>
      <c r="R803" s="378"/>
      <c r="S803" s="378"/>
      <c r="T803" s="378"/>
      <c r="U803" s="378"/>
      <c r="V803" s="378"/>
      <c r="W803" s="378"/>
      <c r="X803" s="378"/>
      <c r="Y803" s="378"/>
      <c r="Z803" s="378"/>
      <c r="AA803" s="378"/>
      <c r="AB803" s="378"/>
      <c r="AC803" s="378"/>
      <c r="AD803" s="378"/>
      <c r="AE803" s="378"/>
      <c r="AF803" s="378"/>
    </row>
    <row r="804" spans="2:32">
      <c r="B804" s="378"/>
      <c r="C804" s="378"/>
      <c r="D804" s="378"/>
      <c r="F804" s="378"/>
      <c r="G804" s="378"/>
      <c r="H804" s="378"/>
      <c r="I804" s="378"/>
      <c r="J804" s="378"/>
      <c r="K804" s="378"/>
      <c r="L804" s="378"/>
      <c r="M804" s="378"/>
      <c r="N804" s="378"/>
      <c r="O804" s="378"/>
      <c r="P804" s="378"/>
      <c r="Q804" s="378"/>
      <c r="R804" s="378"/>
      <c r="S804" s="378"/>
      <c r="T804" s="378"/>
      <c r="U804" s="378"/>
      <c r="V804" s="378"/>
      <c r="W804" s="378"/>
      <c r="X804" s="378"/>
      <c r="Y804" s="378"/>
      <c r="Z804" s="378"/>
      <c r="AA804" s="378"/>
      <c r="AB804" s="378"/>
      <c r="AC804" s="378"/>
      <c r="AD804" s="378"/>
      <c r="AE804" s="378"/>
      <c r="AF804" s="378"/>
    </row>
    <row r="805" spans="2:32">
      <c r="B805" s="378"/>
      <c r="C805" s="378"/>
      <c r="D805" s="378"/>
      <c r="F805" s="378"/>
      <c r="G805" s="378"/>
      <c r="H805" s="378"/>
      <c r="I805" s="378"/>
      <c r="J805" s="378"/>
      <c r="K805" s="378"/>
      <c r="L805" s="378"/>
      <c r="M805" s="378"/>
      <c r="N805" s="378"/>
      <c r="O805" s="378"/>
      <c r="P805" s="378"/>
      <c r="Q805" s="378"/>
      <c r="R805" s="378"/>
      <c r="S805" s="378"/>
      <c r="T805" s="378"/>
      <c r="U805" s="378"/>
      <c r="V805" s="378"/>
      <c r="W805" s="378"/>
      <c r="X805" s="378"/>
      <c r="Y805" s="378"/>
      <c r="Z805" s="378"/>
      <c r="AA805" s="378"/>
      <c r="AB805" s="378"/>
      <c r="AC805" s="378"/>
      <c r="AD805" s="378"/>
      <c r="AE805" s="378"/>
      <c r="AF805" s="378"/>
    </row>
    <row r="806" spans="2:32">
      <c r="B806" s="378"/>
      <c r="C806" s="378"/>
      <c r="D806" s="378"/>
      <c r="F806" s="378"/>
      <c r="G806" s="378"/>
      <c r="H806" s="378"/>
      <c r="I806" s="378"/>
      <c r="J806" s="378"/>
      <c r="K806" s="378"/>
      <c r="L806" s="378"/>
      <c r="M806" s="378"/>
      <c r="N806" s="378"/>
      <c r="O806" s="378"/>
      <c r="P806" s="378"/>
      <c r="Q806" s="378"/>
      <c r="R806" s="378"/>
      <c r="S806" s="378"/>
      <c r="T806" s="378"/>
      <c r="U806" s="378"/>
      <c r="V806" s="378"/>
      <c r="W806" s="378"/>
      <c r="X806" s="378"/>
      <c r="Y806" s="378"/>
      <c r="Z806" s="378"/>
      <c r="AA806" s="378"/>
      <c r="AB806" s="378"/>
      <c r="AC806" s="378"/>
      <c r="AD806" s="378"/>
      <c r="AE806" s="378"/>
      <c r="AF806" s="378"/>
    </row>
    <row r="807" spans="2:32">
      <c r="B807" s="378"/>
      <c r="C807" s="378"/>
      <c r="D807" s="378"/>
      <c r="F807" s="378"/>
      <c r="G807" s="378"/>
      <c r="H807" s="378"/>
      <c r="I807" s="378"/>
      <c r="J807" s="378"/>
      <c r="K807" s="378"/>
      <c r="L807" s="378"/>
      <c r="M807" s="378"/>
      <c r="N807" s="378"/>
      <c r="O807" s="378"/>
      <c r="P807" s="378"/>
      <c r="Q807" s="378"/>
      <c r="R807" s="378"/>
      <c r="S807" s="378"/>
      <c r="T807" s="378"/>
      <c r="U807" s="378"/>
      <c r="V807" s="378"/>
      <c r="W807" s="378"/>
      <c r="X807" s="378"/>
      <c r="Y807" s="378"/>
      <c r="Z807" s="378"/>
      <c r="AA807" s="378"/>
      <c r="AB807" s="378"/>
      <c r="AC807" s="378"/>
      <c r="AD807" s="378"/>
      <c r="AE807" s="378"/>
      <c r="AF807" s="378"/>
    </row>
    <row r="808" spans="2:32">
      <c r="B808" s="378"/>
      <c r="C808" s="378"/>
      <c r="D808" s="378"/>
      <c r="F808" s="378"/>
      <c r="G808" s="378"/>
      <c r="H808" s="378"/>
      <c r="I808" s="378"/>
      <c r="J808" s="378"/>
      <c r="K808" s="378"/>
      <c r="L808" s="378"/>
      <c r="M808" s="378"/>
      <c r="N808" s="378"/>
      <c r="O808" s="378"/>
      <c r="P808" s="378"/>
      <c r="Q808" s="378"/>
      <c r="R808" s="378"/>
      <c r="S808" s="378"/>
      <c r="T808" s="378"/>
      <c r="U808" s="378"/>
      <c r="V808" s="378"/>
      <c r="W808" s="378"/>
      <c r="X808" s="378"/>
      <c r="Y808" s="378"/>
      <c r="Z808" s="378"/>
      <c r="AA808" s="378"/>
      <c r="AB808" s="378"/>
      <c r="AC808" s="378"/>
      <c r="AD808" s="378"/>
      <c r="AE808" s="378"/>
      <c r="AF808" s="378"/>
    </row>
    <row r="809" spans="2:32">
      <c r="B809" s="378"/>
      <c r="C809" s="378"/>
      <c r="D809" s="378"/>
      <c r="F809" s="378"/>
      <c r="G809" s="378"/>
      <c r="H809" s="378"/>
      <c r="I809" s="378"/>
      <c r="J809" s="378"/>
      <c r="K809" s="378"/>
      <c r="L809" s="378"/>
      <c r="M809" s="378"/>
      <c r="N809" s="378"/>
      <c r="O809" s="378"/>
      <c r="P809" s="378"/>
      <c r="Q809" s="378"/>
      <c r="R809" s="378"/>
      <c r="S809" s="378"/>
      <c r="T809" s="378"/>
      <c r="U809" s="378"/>
      <c r="V809" s="378"/>
      <c r="W809" s="378"/>
      <c r="X809" s="378"/>
      <c r="Y809" s="378"/>
      <c r="Z809" s="378"/>
      <c r="AA809" s="378"/>
      <c r="AB809" s="378"/>
      <c r="AC809" s="378"/>
      <c r="AD809" s="378"/>
      <c r="AE809" s="378"/>
      <c r="AF809" s="378"/>
    </row>
    <row r="810" spans="2:32">
      <c r="B810" s="378"/>
      <c r="C810" s="378"/>
      <c r="D810" s="378"/>
      <c r="F810" s="378"/>
      <c r="G810" s="378"/>
      <c r="H810" s="378"/>
      <c r="I810" s="378"/>
      <c r="J810" s="378"/>
      <c r="K810" s="378"/>
      <c r="L810" s="378"/>
      <c r="M810" s="378"/>
      <c r="N810" s="378"/>
      <c r="O810" s="378"/>
      <c r="P810" s="378"/>
      <c r="Q810" s="378"/>
      <c r="R810" s="378"/>
      <c r="S810" s="378"/>
      <c r="T810" s="378"/>
      <c r="U810" s="378"/>
      <c r="V810" s="378"/>
      <c r="W810" s="378"/>
      <c r="X810" s="378"/>
      <c r="Y810" s="378"/>
      <c r="Z810" s="378"/>
      <c r="AA810" s="378"/>
      <c r="AB810" s="378"/>
      <c r="AC810" s="378"/>
      <c r="AD810" s="378"/>
      <c r="AE810" s="378"/>
      <c r="AF810" s="378"/>
    </row>
    <row r="811" spans="2:32">
      <c r="B811" s="378"/>
      <c r="C811" s="378"/>
      <c r="D811" s="378"/>
      <c r="F811" s="378"/>
      <c r="G811" s="378"/>
      <c r="H811" s="378"/>
      <c r="I811" s="378"/>
      <c r="J811" s="378"/>
      <c r="K811" s="378"/>
      <c r="L811" s="378"/>
      <c r="M811" s="378"/>
      <c r="N811" s="378"/>
      <c r="O811" s="378"/>
      <c r="P811" s="378"/>
      <c r="Q811" s="378"/>
      <c r="R811" s="378"/>
      <c r="S811" s="378"/>
      <c r="T811" s="378"/>
      <c r="U811" s="378"/>
      <c r="V811" s="378"/>
      <c r="W811" s="378"/>
      <c r="X811" s="378"/>
      <c r="Y811" s="378"/>
      <c r="Z811" s="378"/>
      <c r="AA811" s="378"/>
      <c r="AB811" s="378"/>
      <c r="AC811" s="378"/>
      <c r="AD811" s="378"/>
      <c r="AE811" s="378"/>
      <c r="AF811" s="378"/>
    </row>
    <row r="812" spans="2:32">
      <c r="B812" s="378"/>
      <c r="C812" s="378"/>
      <c r="D812" s="378"/>
      <c r="F812" s="378"/>
      <c r="G812" s="378"/>
      <c r="H812" s="378"/>
      <c r="I812" s="378"/>
      <c r="J812" s="378"/>
      <c r="K812" s="378"/>
      <c r="L812" s="378"/>
      <c r="M812" s="378"/>
      <c r="N812" s="378"/>
      <c r="O812" s="378"/>
      <c r="P812" s="378"/>
      <c r="Q812" s="378"/>
      <c r="R812" s="378"/>
      <c r="S812" s="378"/>
      <c r="T812" s="378"/>
      <c r="U812" s="378"/>
      <c r="V812" s="378"/>
      <c r="W812" s="378"/>
      <c r="X812" s="378"/>
      <c r="Y812" s="378"/>
      <c r="Z812" s="378"/>
      <c r="AA812" s="378"/>
      <c r="AB812" s="378"/>
      <c r="AC812" s="378"/>
      <c r="AD812" s="378"/>
      <c r="AE812" s="378"/>
      <c r="AF812" s="378"/>
    </row>
    <row r="813" spans="2:32">
      <c r="B813" s="378"/>
      <c r="C813" s="378"/>
      <c r="D813" s="378"/>
      <c r="F813" s="378"/>
      <c r="G813" s="378"/>
      <c r="H813" s="378"/>
      <c r="I813" s="378"/>
      <c r="J813" s="378"/>
      <c r="K813" s="378"/>
      <c r="L813" s="378"/>
      <c r="M813" s="378"/>
      <c r="N813" s="378"/>
      <c r="O813" s="378"/>
      <c r="P813" s="378"/>
      <c r="Q813" s="378"/>
      <c r="R813" s="378"/>
      <c r="S813" s="378"/>
      <c r="T813" s="378"/>
      <c r="U813" s="378"/>
      <c r="V813" s="378"/>
      <c r="W813" s="378"/>
      <c r="X813" s="378"/>
      <c r="Y813" s="378"/>
      <c r="Z813" s="378"/>
      <c r="AA813" s="378"/>
      <c r="AB813" s="378"/>
      <c r="AC813" s="378"/>
      <c r="AD813" s="378"/>
      <c r="AE813" s="378"/>
      <c r="AF813" s="378"/>
    </row>
    <row r="814" spans="2:32">
      <c r="B814" s="378"/>
      <c r="C814" s="378"/>
      <c r="D814" s="378"/>
      <c r="F814" s="378"/>
      <c r="G814" s="378"/>
      <c r="H814" s="378"/>
      <c r="I814" s="378"/>
      <c r="J814" s="378"/>
      <c r="K814" s="378"/>
      <c r="L814" s="378"/>
      <c r="M814" s="378"/>
      <c r="N814" s="378"/>
      <c r="O814" s="378"/>
      <c r="P814" s="378"/>
      <c r="Q814" s="378"/>
      <c r="R814" s="378"/>
      <c r="S814" s="378"/>
      <c r="T814" s="378"/>
      <c r="U814" s="378"/>
      <c r="V814" s="378"/>
      <c r="W814" s="378"/>
      <c r="X814" s="378"/>
      <c r="Y814" s="378"/>
      <c r="Z814" s="378"/>
      <c r="AA814" s="378"/>
      <c r="AB814" s="378"/>
      <c r="AC814" s="378"/>
      <c r="AD814" s="378"/>
      <c r="AE814" s="378"/>
      <c r="AF814" s="378"/>
    </row>
    <row r="815" spans="2:32">
      <c r="B815" s="378"/>
      <c r="C815" s="378"/>
      <c r="D815" s="378"/>
      <c r="F815" s="378"/>
      <c r="G815" s="378"/>
      <c r="H815" s="378"/>
      <c r="I815" s="378"/>
      <c r="J815" s="378"/>
      <c r="K815" s="378"/>
      <c r="L815" s="378"/>
      <c r="M815" s="378"/>
      <c r="N815" s="378"/>
      <c r="O815" s="378"/>
      <c r="P815" s="378"/>
      <c r="Q815" s="378"/>
      <c r="R815" s="378"/>
      <c r="S815" s="378"/>
      <c r="T815" s="378"/>
      <c r="U815" s="378"/>
      <c r="V815" s="378"/>
      <c r="W815" s="378"/>
      <c r="X815" s="378"/>
      <c r="Y815" s="378"/>
      <c r="Z815" s="378"/>
      <c r="AA815" s="378"/>
      <c r="AB815" s="378"/>
      <c r="AC815" s="378"/>
      <c r="AD815" s="378"/>
      <c r="AE815" s="378"/>
      <c r="AF815" s="378"/>
    </row>
    <row r="816" spans="2:32">
      <c r="B816" s="378"/>
      <c r="C816" s="378"/>
      <c r="D816" s="378"/>
      <c r="F816" s="378"/>
      <c r="G816" s="378"/>
      <c r="H816" s="378"/>
      <c r="I816" s="378"/>
      <c r="J816" s="378"/>
      <c r="K816" s="378"/>
      <c r="L816" s="378"/>
      <c r="M816" s="378"/>
      <c r="N816" s="378"/>
      <c r="O816" s="378"/>
      <c r="P816" s="378"/>
      <c r="Q816" s="378"/>
      <c r="R816" s="378"/>
      <c r="S816" s="378"/>
      <c r="T816" s="378"/>
      <c r="U816" s="378"/>
      <c r="V816" s="378"/>
      <c r="W816" s="378"/>
      <c r="X816" s="378"/>
      <c r="Y816" s="378"/>
      <c r="Z816" s="378"/>
      <c r="AA816" s="378"/>
      <c r="AB816" s="378"/>
      <c r="AC816" s="378"/>
      <c r="AD816" s="378"/>
      <c r="AE816" s="378"/>
      <c r="AF816" s="378"/>
    </row>
    <row r="817" spans="2:32">
      <c r="B817" s="378"/>
      <c r="C817" s="378"/>
      <c r="D817" s="378"/>
      <c r="F817" s="378"/>
      <c r="G817" s="378"/>
      <c r="H817" s="378"/>
      <c r="I817" s="378"/>
      <c r="J817" s="378"/>
      <c r="K817" s="378"/>
      <c r="L817" s="378"/>
      <c r="M817" s="378"/>
      <c r="N817" s="378"/>
      <c r="O817" s="378"/>
      <c r="P817" s="378"/>
      <c r="Q817" s="378"/>
      <c r="R817" s="378"/>
      <c r="S817" s="378"/>
      <c r="T817" s="378"/>
      <c r="U817" s="378"/>
      <c r="V817" s="378"/>
      <c r="W817" s="378"/>
      <c r="X817" s="378"/>
      <c r="Y817" s="378"/>
      <c r="Z817" s="378"/>
      <c r="AA817" s="378"/>
      <c r="AB817" s="378"/>
      <c r="AC817" s="378"/>
      <c r="AD817" s="378"/>
      <c r="AE817" s="378"/>
      <c r="AF817" s="378"/>
    </row>
    <row r="818" spans="2:32">
      <c r="B818" s="378"/>
      <c r="C818" s="378"/>
      <c r="D818" s="378"/>
      <c r="F818" s="378"/>
      <c r="G818" s="378"/>
      <c r="H818" s="378"/>
      <c r="I818" s="378"/>
      <c r="J818" s="378"/>
      <c r="K818" s="378"/>
      <c r="L818" s="378"/>
      <c r="M818" s="378"/>
      <c r="N818" s="378"/>
      <c r="O818" s="378"/>
      <c r="P818" s="378"/>
      <c r="Q818" s="378"/>
      <c r="R818" s="378"/>
      <c r="S818" s="378"/>
      <c r="T818" s="378"/>
      <c r="U818" s="378"/>
      <c r="V818" s="378"/>
      <c r="W818" s="378"/>
      <c r="X818" s="378"/>
      <c r="Y818" s="378"/>
      <c r="Z818" s="378"/>
      <c r="AA818" s="378"/>
      <c r="AB818" s="378"/>
      <c r="AC818" s="378"/>
      <c r="AD818" s="378"/>
      <c r="AE818" s="378"/>
      <c r="AF818" s="378"/>
    </row>
    <row r="819" spans="2:32">
      <c r="B819" s="378"/>
      <c r="C819" s="378"/>
      <c r="D819" s="378"/>
      <c r="F819" s="378"/>
      <c r="G819" s="378"/>
      <c r="H819" s="378"/>
      <c r="I819" s="378"/>
      <c r="J819" s="378"/>
      <c r="K819" s="378"/>
      <c r="L819" s="378"/>
      <c r="M819" s="378"/>
      <c r="N819" s="378"/>
      <c r="O819" s="378"/>
      <c r="P819" s="378"/>
      <c r="Q819" s="378"/>
      <c r="R819" s="378"/>
      <c r="S819" s="378"/>
      <c r="T819" s="378"/>
      <c r="U819" s="378"/>
      <c r="V819" s="378"/>
      <c r="W819" s="378"/>
      <c r="X819" s="378"/>
      <c r="Y819" s="378"/>
      <c r="Z819" s="378"/>
      <c r="AA819" s="378"/>
      <c r="AB819" s="378"/>
      <c r="AC819" s="378"/>
      <c r="AD819" s="378"/>
      <c r="AE819" s="378"/>
      <c r="AF819" s="378"/>
    </row>
    <row r="820" spans="2:32">
      <c r="B820" s="378"/>
      <c r="C820" s="378"/>
      <c r="D820" s="378"/>
      <c r="F820" s="378"/>
      <c r="G820" s="378"/>
      <c r="H820" s="378"/>
      <c r="I820" s="378"/>
      <c r="J820" s="378"/>
      <c r="K820" s="378"/>
      <c r="L820" s="378"/>
      <c r="M820" s="378"/>
      <c r="N820" s="378"/>
      <c r="O820" s="378"/>
      <c r="P820" s="378"/>
      <c r="Q820" s="378"/>
      <c r="R820" s="378"/>
      <c r="S820" s="378"/>
      <c r="T820" s="378"/>
      <c r="U820" s="378"/>
      <c r="V820" s="378"/>
      <c r="W820" s="378"/>
      <c r="X820" s="378"/>
      <c r="Y820" s="378"/>
      <c r="Z820" s="378"/>
      <c r="AA820" s="378"/>
      <c r="AB820" s="378"/>
      <c r="AC820" s="378"/>
      <c r="AD820" s="378"/>
      <c r="AE820" s="378"/>
      <c r="AF820" s="378"/>
    </row>
    <row r="821" spans="2:32">
      <c r="B821" s="378"/>
      <c r="C821" s="378"/>
      <c r="D821" s="378"/>
      <c r="F821" s="378"/>
      <c r="G821" s="378"/>
      <c r="H821" s="378"/>
      <c r="I821" s="378"/>
      <c r="J821" s="378"/>
      <c r="K821" s="378"/>
      <c r="L821" s="378"/>
      <c r="M821" s="378"/>
      <c r="N821" s="378"/>
      <c r="O821" s="378"/>
      <c r="P821" s="378"/>
      <c r="Q821" s="378"/>
      <c r="R821" s="378"/>
      <c r="S821" s="378"/>
      <c r="T821" s="378"/>
      <c r="U821" s="378"/>
      <c r="V821" s="378"/>
      <c r="W821" s="378"/>
      <c r="X821" s="378"/>
      <c r="Y821" s="378"/>
      <c r="Z821" s="378"/>
      <c r="AA821" s="378"/>
      <c r="AB821" s="378"/>
      <c r="AC821" s="378"/>
      <c r="AD821" s="378"/>
      <c r="AE821" s="378"/>
      <c r="AF821" s="378"/>
    </row>
    <row r="822" spans="2:32">
      <c r="B822" s="378"/>
      <c r="C822" s="378"/>
      <c r="D822" s="378"/>
      <c r="F822" s="378"/>
      <c r="G822" s="378"/>
      <c r="H822" s="378"/>
      <c r="I822" s="378"/>
      <c r="J822" s="378"/>
      <c r="K822" s="378"/>
      <c r="L822" s="378"/>
      <c r="M822" s="378"/>
      <c r="N822" s="378"/>
      <c r="O822" s="378"/>
      <c r="P822" s="378"/>
      <c r="Q822" s="378"/>
      <c r="R822" s="378"/>
      <c r="S822" s="378"/>
      <c r="T822" s="378"/>
      <c r="U822" s="378"/>
      <c r="V822" s="378"/>
      <c r="W822" s="378"/>
      <c r="X822" s="378"/>
      <c r="Y822" s="378"/>
      <c r="Z822" s="378"/>
      <c r="AA822" s="378"/>
      <c r="AB822" s="378"/>
      <c r="AC822" s="378"/>
      <c r="AD822" s="378"/>
      <c r="AE822" s="378"/>
      <c r="AF822" s="378"/>
    </row>
    <row r="823" spans="2:32">
      <c r="B823" s="378"/>
      <c r="C823" s="378"/>
      <c r="D823" s="378"/>
      <c r="F823" s="378"/>
      <c r="G823" s="378"/>
      <c r="H823" s="378"/>
      <c r="I823" s="378"/>
      <c r="J823" s="378"/>
      <c r="K823" s="378"/>
      <c r="L823" s="378"/>
      <c r="M823" s="378"/>
      <c r="N823" s="378"/>
      <c r="O823" s="378"/>
      <c r="P823" s="378"/>
      <c r="Q823" s="378"/>
      <c r="R823" s="378"/>
      <c r="S823" s="378"/>
      <c r="T823" s="378"/>
      <c r="U823" s="378"/>
      <c r="V823" s="378"/>
      <c r="W823" s="378"/>
      <c r="X823" s="378"/>
      <c r="Y823" s="378"/>
      <c r="Z823" s="378"/>
      <c r="AA823" s="378"/>
      <c r="AB823" s="378"/>
      <c r="AC823" s="378"/>
      <c r="AD823" s="378"/>
      <c r="AE823" s="378"/>
      <c r="AF823" s="378"/>
    </row>
    <row r="824" spans="2:32">
      <c r="B824" s="378"/>
      <c r="C824" s="378"/>
      <c r="D824" s="378"/>
      <c r="F824" s="378"/>
      <c r="G824" s="378"/>
      <c r="H824" s="378"/>
      <c r="I824" s="378"/>
      <c r="J824" s="378"/>
      <c r="K824" s="378"/>
      <c r="L824" s="378"/>
      <c r="M824" s="378"/>
      <c r="N824" s="378"/>
      <c r="O824" s="378"/>
      <c r="P824" s="378"/>
      <c r="Q824" s="378"/>
      <c r="R824" s="378"/>
      <c r="S824" s="378"/>
      <c r="T824" s="378"/>
      <c r="U824" s="378"/>
      <c r="V824" s="378"/>
      <c r="W824" s="378"/>
      <c r="X824" s="378"/>
      <c r="Y824" s="378"/>
      <c r="Z824" s="378"/>
      <c r="AA824" s="378"/>
      <c r="AB824" s="378"/>
      <c r="AC824" s="378"/>
      <c r="AD824" s="378"/>
      <c r="AE824" s="378"/>
      <c r="AF824" s="378"/>
    </row>
    <row r="825" spans="2:32">
      <c r="B825" s="378"/>
      <c r="C825" s="378"/>
      <c r="D825" s="378"/>
      <c r="F825" s="378"/>
      <c r="G825" s="378"/>
      <c r="H825" s="378"/>
      <c r="I825" s="378"/>
      <c r="J825" s="378"/>
      <c r="K825" s="378"/>
      <c r="L825" s="378"/>
      <c r="M825" s="378"/>
      <c r="N825" s="378"/>
      <c r="O825" s="378"/>
      <c r="P825" s="378"/>
      <c r="Q825" s="378"/>
      <c r="R825" s="378"/>
      <c r="S825" s="378"/>
      <c r="T825" s="378"/>
      <c r="U825" s="378"/>
      <c r="V825" s="378"/>
      <c r="W825" s="378"/>
      <c r="X825" s="378"/>
      <c r="Y825" s="378"/>
      <c r="Z825" s="378"/>
      <c r="AA825" s="378"/>
      <c r="AB825" s="378"/>
      <c r="AC825" s="378"/>
      <c r="AD825" s="378"/>
      <c r="AE825" s="378"/>
      <c r="AF825" s="378"/>
    </row>
    <row r="826" spans="2:32">
      <c r="B826" s="378"/>
      <c r="C826" s="378"/>
      <c r="D826" s="378"/>
      <c r="F826" s="378"/>
      <c r="G826" s="378"/>
      <c r="H826" s="378"/>
      <c r="I826" s="378"/>
      <c r="J826" s="378"/>
      <c r="K826" s="378"/>
      <c r="L826" s="378"/>
      <c r="M826" s="378"/>
      <c r="N826" s="378"/>
      <c r="O826" s="378"/>
      <c r="P826" s="378"/>
      <c r="Q826" s="378"/>
      <c r="R826" s="378"/>
      <c r="S826" s="378"/>
      <c r="T826" s="378"/>
      <c r="U826" s="378"/>
      <c r="V826" s="378"/>
      <c r="W826" s="378"/>
      <c r="X826" s="378"/>
      <c r="Y826" s="378"/>
      <c r="Z826" s="378"/>
      <c r="AA826" s="378"/>
      <c r="AB826" s="378"/>
      <c r="AC826" s="378"/>
      <c r="AD826" s="378"/>
      <c r="AE826" s="378"/>
      <c r="AF826" s="378"/>
    </row>
    <row r="827" spans="2:32">
      <c r="B827" s="378"/>
      <c r="C827" s="378"/>
      <c r="D827" s="378"/>
      <c r="F827" s="378"/>
      <c r="G827" s="378"/>
      <c r="H827" s="378"/>
      <c r="I827" s="378"/>
      <c r="J827" s="378"/>
      <c r="K827" s="378"/>
      <c r="L827" s="378"/>
      <c r="M827" s="378"/>
      <c r="N827" s="378"/>
      <c r="O827" s="378"/>
      <c r="P827" s="378"/>
      <c r="Q827" s="378"/>
      <c r="R827" s="378"/>
      <c r="S827" s="378"/>
      <c r="T827" s="378"/>
      <c r="U827" s="378"/>
      <c r="V827" s="378"/>
      <c r="W827" s="378"/>
      <c r="X827" s="378"/>
      <c r="Y827" s="378"/>
      <c r="Z827" s="378"/>
      <c r="AA827" s="378"/>
      <c r="AB827" s="378"/>
      <c r="AC827" s="378"/>
      <c r="AD827" s="378"/>
      <c r="AE827" s="378"/>
      <c r="AF827" s="378"/>
    </row>
    <row r="828" spans="2:32">
      <c r="B828" s="378"/>
      <c r="C828" s="378"/>
      <c r="D828" s="378"/>
      <c r="F828" s="378"/>
      <c r="G828" s="378"/>
      <c r="H828" s="378"/>
      <c r="I828" s="378"/>
      <c r="J828" s="378"/>
      <c r="K828" s="378"/>
      <c r="L828" s="378"/>
      <c r="M828" s="378"/>
      <c r="N828" s="378"/>
      <c r="O828" s="378"/>
      <c r="P828" s="378"/>
      <c r="Q828" s="378"/>
      <c r="R828" s="378"/>
      <c r="S828" s="378"/>
      <c r="T828" s="378"/>
      <c r="U828" s="378"/>
      <c r="V828" s="378"/>
      <c r="W828" s="378"/>
      <c r="X828" s="378"/>
      <c r="Y828" s="378"/>
      <c r="Z828" s="378"/>
      <c r="AA828" s="378"/>
      <c r="AB828" s="378"/>
      <c r="AC828" s="378"/>
      <c r="AD828" s="378"/>
      <c r="AE828" s="378"/>
      <c r="AF828" s="378"/>
    </row>
    <row r="829" spans="2:32">
      <c r="B829" s="378"/>
      <c r="C829" s="378"/>
      <c r="D829" s="378"/>
      <c r="F829" s="378"/>
      <c r="G829" s="378"/>
      <c r="H829" s="378"/>
      <c r="I829" s="378"/>
      <c r="J829" s="378"/>
      <c r="K829" s="378"/>
      <c r="L829" s="378"/>
      <c r="M829" s="378"/>
      <c r="N829" s="378"/>
      <c r="O829" s="378"/>
      <c r="P829" s="378"/>
      <c r="Q829" s="378"/>
      <c r="R829" s="378"/>
      <c r="S829" s="378"/>
      <c r="T829" s="378"/>
      <c r="U829" s="378"/>
      <c r="V829" s="378"/>
      <c r="W829" s="378"/>
      <c r="X829" s="378"/>
      <c r="Y829" s="378"/>
      <c r="Z829" s="378"/>
      <c r="AA829" s="378"/>
      <c r="AB829" s="378"/>
      <c r="AC829" s="378"/>
      <c r="AD829" s="378"/>
      <c r="AE829" s="378"/>
      <c r="AF829" s="378"/>
    </row>
    <row r="830" spans="2:32">
      <c r="B830" s="378"/>
      <c r="C830" s="378"/>
      <c r="D830" s="378"/>
      <c r="F830" s="378"/>
      <c r="G830" s="378"/>
      <c r="H830" s="378"/>
      <c r="I830" s="378"/>
      <c r="J830" s="378"/>
      <c r="K830" s="378"/>
      <c r="L830" s="378"/>
      <c r="M830" s="378"/>
      <c r="N830" s="378"/>
      <c r="O830" s="378"/>
      <c r="P830" s="378"/>
      <c r="Q830" s="378"/>
      <c r="R830" s="378"/>
      <c r="S830" s="378"/>
      <c r="T830" s="378"/>
      <c r="U830" s="378"/>
      <c r="V830" s="378"/>
      <c r="W830" s="378"/>
      <c r="X830" s="378"/>
      <c r="Y830" s="378"/>
      <c r="Z830" s="378"/>
      <c r="AA830" s="378"/>
      <c r="AB830" s="378"/>
      <c r="AC830" s="378"/>
      <c r="AD830" s="378"/>
      <c r="AE830" s="378"/>
      <c r="AF830" s="378"/>
    </row>
    <row r="831" spans="2:32">
      <c r="B831" s="378"/>
      <c r="C831" s="378"/>
      <c r="D831" s="378"/>
      <c r="F831" s="378"/>
      <c r="G831" s="378"/>
      <c r="H831" s="378"/>
      <c r="I831" s="378"/>
      <c r="J831" s="378"/>
      <c r="K831" s="378"/>
      <c r="L831" s="378"/>
      <c r="M831" s="378"/>
      <c r="N831" s="378"/>
      <c r="O831" s="378"/>
      <c r="P831" s="378"/>
      <c r="Q831" s="378"/>
      <c r="R831" s="378"/>
      <c r="S831" s="378"/>
      <c r="T831" s="378"/>
      <c r="U831" s="378"/>
      <c r="V831" s="378"/>
      <c r="W831" s="378"/>
      <c r="X831" s="378"/>
      <c r="Y831" s="378"/>
      <c r="Z831" s="378"/>
      <c r="AA831" s="378"/>
      <c r="AB831" s="378"/>
      <c r="AC831" s="378"/>
      <c r="AD831" s="378"/>
      <c r="AE831" s="378"/>
      <c r="AF831" s="378"/>
    </row>
    <row r="832" spans="2:32">
      <c r="B832" s="378"/>
      <c r="C832" s="378"/>
      <c r="D832" s="378"/>
      <c r="F832" s="378"/>
      <c r="G832" s="378"/>
      <c r="H832" s="378"/>
      <c r="I832" s="378"/>
      <c r="J832" s="378"/>
      <c r="K832" s="378"/>
      <c r="L832" s="378"/>
      <c r="M832" s="378"/>
      <c r="N832" s="378"/>
      <c r="O832" s="378"/>
      <c r="P832" s="378"/>
      <c r="Q832" s="378"/>
      <c r="R832" s="378"/>
      <c r="S832" s="378"/>
      <c r="T832" s="378"/>
      <c r="U832" s="378"/>
      <c r="V832" s="378"/>
      <c r="W832" s="378"/>
      <c r="X832" s="378"/>
      <c r="Y832" s="378"/>
      <c r="Z832" s="378"/>
      <c r="AA832" s="378"/>
      <c r="AB832" s="378"/>
      <c r="AC832" s="378"/>
      <c r="AD832" s="378"/>
      <c r="AE832" s="378"/>
      <c r="AF832" s="378"/>
    </row>
    <row r="833" spans="2:32">
      <c r="B833" s="378"/>
      <c r="C833" s="378"/>
      <c r="D833" s="378"/>
      <c r="F833" s="378"/>
      <c r="G833" s="378"/>
      <c r="H833" s="378"/>
      <c r="I833" s="378"/>
      <c r="J833" s="378"/>
      <c r="K833" s="378"/>
      <c r="L833" s="378"/>
      <c r="M833" s="378"/>
      <c r="N833" s="378"/>
      <c r="O833" s="378"/>
      <c r="P833" s="378"/>
      <c r="Q833" s="378"/>
      <c r="R833" s="378"/>
      <c r="S833" s="378"/>
      <c r="T833" s="378"/>
      <c r="U833" s="378"/>
      <c r="V833" s="378"/>
      <c r="W833" s="378"/>
      <c r="X833" s="378"/>
      <c r="Y833" s="378"/>
      <c r="Z833" s="378"/>
      <c r="AA833" s="378"/>
      <c r="AB833" s="378"/>
      <c r="AC833" s="378"/>
      <c r="AD833" s="378"/>
      <c r="AE833" s="378"/>
      <c r="AF833" s="378"/>
    </row>
    <row r="834" spans="2:32">
      <c r="B834" s="378"/>
      <c r="C834" s="378"/>
      <c r="D834" s="378"/>
      <c r="F834" s="378"/>
      <c r="G834" s="378"/>
      <c r="H834" s="378"/>
      <c r="I834" s="378"/>
      <c r="J834" s="378"/>
      <c r="K834" s="378"/>
      <c r="L834" s="378"/>
      <c r="M834" s="378"/>
      <c r="N834" s="378"/>
      <c r="O834" s="378"/>
      <c r="P834" s="378"/>
      <c r="Q834" s="378"/>
      <c r="R834" s="378"/>
      <c r="S834" s="378"/>
      <c r="T834" s="378"/>
      <c r="U834" s="378"/>
      <c r="V834" s="378"/>
      <c r="W834" s="378"/>
      <c r="X834" s="378"/>
      <c r="Y834" s="378"/>
      <c r="Z834" s="378"/>
      <c r="AA834" s="378"/>
      <c r="AB834" s="378"/>
      <c r="AC834" s="378"/>
      <c r="AD834" s="378"/>
      <c r="AE834" s="378"/>
      <c r="AF834" s="378"/>
    </row>
    <row r="835" spans="2:32">
      <c r="B835" s="378"/>
      <c r="C835" s="378"/>
      <c r="D835" s="378"/>
      <c r="F835" s="378"/>
      <c r="G835" s="378"/>
      <c r="H835" s="378"/>
      <c r="I835" s="378"/>
      <c r="J835" s="378"/>
      <c r="K835" s="378"/>
      <c r="L835" s="378"/>
      <c r="M835" s="378"/>
      <c r="N835" s="378"/>
      <c r="O835" s="378"/>
      <c r="P835" s="378"/>
      <c r="Q835" s="378"/>
      <c r="R835" s="378"/>
      <c r="S835" s="378"/>
      <c r="T835" s="378"/>
      <c r="U835" s="378"/>
      <c r="V835" s="378"/>
      <c r="W835" s="378"/>
      <c r="X835" s="378"/>
      <c r="Y835" s="378"/>
      <c r="Z835" s="378"/>
      <c r="AA835" s="378"/>
      <c r="AB835" s="378"/>
      <c r="AC835" s="378"/>
      <c r="AD835" s="378"/>
      <c r="AE835" s="378"/>
      <c r="AF835" s="378"/>
    </row>
    <row r="836" spans="2:32">
      <c r="B836" s="378"/>
      <c r="C836" s="378"/>
      <c r="D836" s="378"/>
      <c r="F836" s="378"/>
      <c r="G836" s="378"/>
      <c r="H836" s="378"/>
      <c r="I836" s="378"/>
      <c r="J836" s="378"/>
      <c r="K836" s="378"/>
      <c r="L836" s="378"/>
      <c r="M836" s="378"/>
      <c r="N836" s="378"/>
      <c r="O836" s="378"/>
      <c r="P836" s="378"/>
      <c r="Q836" s="378"/>
      <c r="R836" s="378"/>
      <c r="S836" s="378"/>
      <c r="T836" s="378"/>
      <c r="U836" s="378"/>
      <c r="V836" s="378"/>
      <c r="W836" s="378"/>
      <c r="X836" s="378"/>
      <c r="Y836" s="378"/>
      <c r="Z836" s="378"/>
      <c r="AA836" s="378"/>
      <c r="AB836" s="378"/>
      <c r="AC836" s="378"/>
      <c r="AD836" s="378"/>
      <c r="AE836" s="378"/>
      <c r="AF836" s="378"/>
    </row>
    <row r="837" spans="2:32">
      <c r="B837" s="378"/>
      <c r="C837" s="378"/>
      <c r="D837" s="378"/>
      <c r="F837" s="378"/>
      <c r="G837" s="378"/>
      <c r="H837" s="378"/>
      <c r="I837" s="378"/>
      <c r="J837" s="378"/>
      <c r="K837" s="378"/>
      <c r="L837" s="378"/>
      <c r="M837" s="378"/>
      <c r="N837" s="378"/>
      <c r="O837" s="378"/>
      <c r="P837" s="378"/>
      <c r="Q837" s="378"/>
      <c r="R837" s="378"/>
      <c r="S837" s="378"/>
      <c r="T837" s="378"/>
      <c r="U837" s="378"/>
      <c r="V837" s="378"/>
      <c r="W837" s="378"/>
      <c r="X837" s="378"/>
      <c r="Y837" s="378"/>
      <c r="Z837" s="378"/>
      <c r="AA837" s="378"/>
      <c r="AB837" s="378"/>
      <c r="AC837" s="378"/>
      <c r="AD837" s="378"/>
      <c r="AE837" s="378"/>
      <c r="AF837" s="378"/>
    </row>
    <row r="838" spans="2:32">
      <c r="B838" s="378"/>
      <c r="C838" s="378"/>
      <c r="D838" s="378"/>
      <c r="F838" s="378"/>
      <c r="G838" s="378"/>
      <c r="H838" s="378"/>
      <c r="I838" s="378"/>
      <c r="J838" s="378"/>
      <c r="K838" s="378"/>
      <c r="L838" s="378"/>
      <c r="M838" s="378"/>
      <c r="N838" s="378"/>
      <c r="O838" s="378"/>
      <c r="P838" s="378"/>
      <c r="Q838" s="378"/>
      <c r="R838" s="378"/>
      <c r="S838" s="378"/>
      <c r="T838" s="378"/>
      <c r="U838" s="378"/>
      <c r="V838" s="378"/>
      <c r="W838" s="378"/>
      <c r="X838" s="378"/>
      <c r="Y838" s="378"/>
      <c r="Z838" s="378"/>
      <c r="AA838" s="378"/>
      <c r="AB838" s="378"/>
      <c r="AC838" s="378"/>
      <c r="AD838" s="378"/>
      <c r="AE838" s="378"/>
      <c r="AF838" s="378"/>
    </row>
    <row r="839" spans="2:32">
      <c r="B839" s="378"/>
      <c r="C839" s="378"/>
      <c r="D839" s="378"/>
      <c r="F839" s="378"/>
      <c r="G839" s="378"/>
      <c r="H839" s="378"/>
      <c r="I839" s="378"/>
      <c r="J839" s="378"/>
      <c r="K839" s="378"/>
      <c r="L839" s="378"/>
      <c r="M839" s="378"/>
      <c r="N839" s="378"/>
      <c r="O839" s="378"/>
      <c r="P839" s="378"/>
      <c r="Q839" s="378"/>
      <c r="R839" s="378"/>
      <c r="S839" s="378"/>
      <c r="T839" s="378"/>
      <c r="U839" s="378"/>
      <c r="V839" s="378"/>
      <c r="W839" s="378"/>
      <c r="X839" s="378"/>
      <c r="Y839" s="378"/>
      <c r="Z839" s="378"/>
      <c r="AA839" s="378"/>
      <c r="AB839" s="378"/>
      <c r="AC839" s="378"/>
      <c r="AD839" s="378"/>
      <c r="AE839" s="378"/>
      <c r="AF839" s="378"/>
    </row>
    <row r="840" spans="2:32">
      <c r="B840" s="378"/>
      <c r="C840" s="378"/>
      <c r="D840" s="378"/>
      <c r="F840" s="378"/>
      <c r="G840" s="378"/>
      <c r="H840" s="378"/>
      <c r="I840" s="378"/>
      <c r="J840" s="378"/>
      <c r="K840" s="378"/>
      <c r="L840" s="378"/>
      <c r="M840" s="378"/>
      <c r="N840" s="378"/>
      <c r="O840" s="378"/>
      <c r="P840" s="378"/>
      <c r="Q840" s="378"/>
      <c r="R840" s="378"/>
      <c r="S840" s="378"/>
      <c r="T840" s="378"/>
      <c r="U840" s="378"/>
      <c r="V840" s="378"/>
      <c r="W840" s="378"/>
      <c r="X840" s="378"/>
      <c r="Y840" s="378"/>
      <c r="Z840" s="378"/>
      <c r="AA840" s="378"/>
      <c r="AB840" s="378"/>
      <c r="AC840" s="378"/>
      <c r="AD840" s="378"/>
      <c r="AE840" s="378"/>
      <c r="AF840" s="378"/>
    </row>
    <row r="841" spans="2:32">
      <c r="B841" s="378"/>
      <c r="C841" s="378"/>
      <c r="D841" s="378"/>
      <c r="F841" s="378"/>
      <c r="G841" s="378"/>
      <c r="H841" s="378"/>
      <c r="I841" s="378"/>
      <c r="J841" s="378"/>
      <c r="K841" s="378"/>
      <c r="L841" s="378"/>
      <c r="M841" s="378"/>
      <c r="N841" s="378"/>
      <c r="O841" s="378"/>
      <c r="P841" s="378"/>
      <c r="Q841" s="378"/>
      <c r="R841" s="378"/>
      <c r="S841" s="378"/>
      <c r="T841" s="378"/>
      <c r="U841" s="378"/>
      <c r="V841" s="378"/>
      <c r="W841" s="378"/>
      <c r="X841" s="378"/>
      <c r="Y841" s="378"/>
      <c r="Z841" s="378"/>
      <c r="AA841" s="378"/>
      <c r="AB841" s="378"/>
      <c r="AC841" s="378"/>
      <c r="AD841" s="378"/>
      <c r="AE841" s="378"/>
      <c r="AF841" s="378"/>
    </row>
    <row r="842" spans="2:32">
      <c r="B842" s="378"/>
      <c r="C842" s="378"/>
      <c r="D842" s="378"/>
      <c r="F842" s="378"/>
      <c r="G842" s="378"/>
      <c r="H842" s="378"/>
      <c r="I842" s="378"/>
      <c r="J842" s="378"/>
      <c r="K842" s="378"/>
      <c r="L842" s="378"/>
      <c r="M842" s="378"/>
      <c r="N842" s="378"/>
      <c r="O842" s="378"/>
      <c r="P842" s="378"/>
      <c r="Q842" s="378"/>
      <c r="R842" s="378"/>
      <c r="S842" s="378"/>
      <c r="T842" s="378"/>
      <c r="U842" s="378"/>
      <c r="V842" s="378"/>
      <c r="W842" s="378"/>
      <c r="X842" s="378"/>
      <c r="Y842" s="378"/>
      <c r="Z842" s="378"/>
      <c r="AA842" s="378"/>
      <c r="AB842" s="378"/>
      <c r="AC842" s="378"/>
      <c r="AD842" s="378"/>
      <c r="AE842" s="378"/>
      <c r="AF842" s="378"/>
    </row>
    <row r="843" spans="2:32">
      <c r="B843" s="378"/>
      <c r="C843" s="378"/>
      <c r="D843" s="378"/>
      <c r="F843" s="378"/>
      <c r="G843" s="378"/>
      <c r="H843" s="378"/>
      <c r="I843" s="378"/>
      <c r="J843" s="378"/>
      <c r="K843" s="378"/>
      <c r="L843" s="378"/>
      <c r="M843" s="378"/>
      <c r="N843" s="378"/>
      <c r="O843" s="378"/>
      <c r="P843" s="378"/>
      <c r="Q843" s="378"/>
      <c r="R843" s="378"/>
      <c r="S843" s="378"/>
      <c r="T843" s="378"/>
      <c r="U843" s="378"/>
      <c r="V843" s="378"/>
      <c r="W843" s="378"/>
      <c r="X843" s="378"/>
      <c r="Y843" s="378"/>
      <c r="Z843" s="378"/>
      <c r="AA843" s="378"/>
      <c r="AB843" s="378"/>
      <c r="AC843" s="378"/>
      <c r="AD843" s="378"/>
      <c r="AE843" s="378"/>
      <c r="AF843" s="378"/>
    </row>
    <row r="844" spans="2:32">
      <c r="B844" s="378"/>
      <c r="C844" s="378"/>
      <c r="D844" s="378"/>
      <c r="F844" s="378"/>
      <c r="G844" s="378"/>
      <c r="H844" s="378"/>
      <c r="I844" s="378"/>
      <c r="J844" s="378"/>
      <c r="K844" s="378"/>
      <c r="L844" s="378"/>
      <c r="M844" s="378"/>
      <c r="N844" s="378"/>
      <c r="O844" s="378"/>
      <c r="P844" s="378"/>
      <c r="Q844" s="378"/>
      <c r="R844" s="378"/>
      <c r="S844" s="378"/>
      <c r="T844" s="378"/>
      <c r="U844" s="378"/>
      <c r="V844" s="378"/>
      <c r="W844" s="378"/>
      <c r="X844" s="378"/>
      <c r="Y844" s="378"/>
      <c r="Z844" s="378"/>
      <c r="AA844" s="378"/>
      <c r="AB844" s="378"/>
      <c r="AC844" s="378"/>
      <c r="AD844" s="378"/>
      <c r="AE844" s="378"/>
      <c r="AF844" s="378"/>
    </row>
    <row r="845" spans="2:32">
      <c r="B845" s="378"/>
      <c r="C845" s="378"/>
      <c r="D845" s="378"/>
      <c r="F845" s="378"/>
      <c r="G845" s="378"/>
      <c r="H845" s="378"/>
      <c r="I845" s="378"/>
      <c r="J845" s="378"/>
      <c r="K845" s="378"/>
      <c r="L845" s="378"/>
      <c r="M845" s="378"/>
      <c r="N845" s="378"/>
      <c r="O845" s="378"/>
      <c r="P845" s="378"/>
      <c r="Q845" s="378"/>
      <c r="R845" s="378"/>
      <c r="S845" s="378"/>
      <c r="T845" s="378"/>
      <c r="U845" s="378"/>
      <c r="V845" s="378"/>
      <c r="W845" s="378"/>
      <c r="X845" s="378"/>
      <c r="Y845" s="378"/>
      <c r="Z845" s="378"/>
      <c r="AA845" s="378"/>
      <c r="AB845" s="378"/>
      <c r="AC845" s="378"/>
      <c r="AD845" s="378"/>
      <c r="AE845" s="378"/>
      <c r="AF845" s="378"/>
    </row>
    <row r="846" spans="2:32">
      <c r="B846" s="378"/>
      <c r="C846" s="378"/>
      <c r="D846" s="378"/>
      <c r="F846" s="378"/>
      <c r="G846" s="378"/>
      <c r="H846" s="378"/>
      <c r="I846" s="378"/>
      <c r="J846" s="378"/>
      <c r="K846" s="378"/>
      <c r="L846" s="378"/>
      <c r="M846" s="378"/>
      <c r="N846" s="378"/>
      <c r="O846" s="378"/>
      <c r="P846" s="378"/>
      <c r="Q846" s="378"/>
      <c r="R846" s="378"/>
      <c r="S846" s="378"/>
      <c r="T846" s="378"/>
      <c r="U846" s="378"/>
      <c r="V846" s="378"/>
      <c r="W846" s="378"/>
      <c r="X846" s="378"/>
      <c r="Y846" s="378"/>
      <c r="Z846" s="378"/>
      <c r="AA846" s="378"/>
      <c r="AB846" s="378"/>
      <c r="AC846" s="378"/>
      <c r="AD846" s="378"/>
      <c r="AE846" s="378"/>
      <c r="AF846" s="378"/>
    </row>
    <row r="847" spans="2:32">
      <c r="B847" s="378"/>
      <c r="C847" s="378"/>
      <c r="D847" s="378"/>
      <c r="F847" s="378"/>
      <c r="G847" s="378"/>
      <c r="H847" s="378"/>
      <c r="I847" s="378"/>
      <c r="J847" s="378"/>
      <c r="K847" s="378"/>
      <c r="L847" s="378"/>
      <c r="M847" s="378"/>
      <c r="N847" s="378"/>
      <c r="O847" s="378"/>
      <c r="P847" s="378"/>
      <c r="Q847" s="378"/>
      <c r="R847" s="378"/>
      <c r="S847" s="378"/>
      <c r="T847" s="378"/>
      <c r="U847" s="378"/>
      <c r="V847" s="378"/>
      <c r="W847" s="378"/>
      <c r="X847" s="378"/>
      <c r="Y847" s="378"/>
      <c r="Z847" s="378"/>
      <c r="AA847" s="378"/>
      <c r="AB847" s="378"/>
      <c r="AC847" s="378"/>
      <c r="AD847" s="378"/>
      <c r="AE847" s="378"/>
      <c r="AF847" s="378"/>
    </row>
    <row r="848" spans="2:32">
      <c r="B848" s="378"/>
      <c r="C848" s="378"/>
      <c r="D848" s="378"/>
      <c r="F848" s="378"/>
      <c r="G848" s="378"/>
      <c r="H848" s="378"/>
      <c r="I848" s="378"/>
      <c r="J848" s="378"/>
      <c r="K848" s="378"/>
      <c r="L848" s="378"/>
      <c r="M848" s="378"/>
      <c r="N848" s="378"/>
      <c r="O848" s="378"/>
      <c r="P848" s="378"/>
      <c r="Q848" s="378"/>
      <c r="R848" s="378"/>
      <c r="S848" s="378"/>
      <c r="T848" s="378"/>
      <c r="U848" s="378"/>
      <c r="V848" s="378"/>
      <c r="W848" s="378"/>
      <c r="X848" s="378"/>
      <c r="Y848" s="378"/>
      <c r="Z848" s="378"/>
      <c r="AA848" s="378"/>
      <c r="AB848" s="378"/>
      <c r="AC848" s="378"/>
      <c r="AD848" s="378"/>
      <c r="AE848" s="378"/>
      <c r="AF848" s="378"/>
    </row>
    <row r="849" spans="2:32">
      <c r="B849" s="378"/>
      <c r="C849" s="378"/>
      <c r="D849" s="378"/>
      <c r="F849" s="378"/>
      <c r="G849" s="378"/>
      <c r="H849" s="378"/>
      <c r="I849" s="378"/>
      <c r="J849" s="378"/>
      <c r="K849" s="378"/>
      <c r="L849" s="378"/>
      <c r="M849" s="378"/>
      <c r="N849" s="378"/>
      <c r="O849" s="378"/>
      <c r="P849" s="378"/>
      <c r="Q849" s="378"/>
      <c r="R849" s="378"/>
      <c r="S849" s="378"/>
      <c r="T849" s="378"/>
      <c r="U849" s="378"/>
      <c r="V849" s="378"/>
      <c r="W849" s="378"/>
      <c r="X849" s="378"/>
      <c r="Y849" s="378"/>
      <c r="Z849" s="378"/>
      <c r="AA849" s="378"/>
      <c r="AB849" s="378"/>
      <c r="AC849" s="378"/>
      <c r="AD849" s="378"/>
      <c r="AE849" s="378"/>
      <c r="AF849" s="378"/>
    </row>
    <row r="850" spans="2:32">
      <c r="B850" s="378"/>
      <c r="C850" s="378"/>
      <c r="D850" s="378"/>
      <c r="F850" s="378"/>
      <c r="G850" s="378"/>
      <c r="H850" s="378"/>
      <c r="I850" s="378"/>
      <c r="J850" s="378"/>
      <c r="K850" s="378"/>
      <c r="L850" s="378"/>
      <c r="M850" s="378"/>
      <c r="N850" s="378"/>
      <c r="O850" s="378"/>
      <c r="P850" s="378"/>
      <c r="Q850" s="378"/>
      <c r="R850" s="378"/>
      <c r="S850" s="378"/>
      <c r="T850" s="378"/>
      <c r="U850" s="378"/>
      <c r="V850" s="378"/>
      <c r="W850" s="378"/>
      <c r="X850" s="378"/>
      <c r="Y850" s="378"/>
      <c r="Z850" s="378"/>
      <c r="AA850" s="378"/>
      <c r="AB850" s="378"/>
      <c r="AC850" s="378"/>
      <c r="AD850" s="378"/>
      <c r="AE850" s="378"/>
      <c r="AF850" s="378"/>
    </row>
    <row r="851" spans="2:32">
      <c r="B851" s="378"/>
      <c r="C851" s="378"/>
      <c r="D851" s="378"/>
      <c r="F851" s="378"/>
      <c r="G851" s="378"/>
      <c r="H851" s="378"/>
      <c r="I851" s="378"/>
      <c r="J851" s="378"/>
      <c r="K851" s="378"/>
      <c r="L851" s="378"/>
      <c r="M851" s="378"/>
      <c r="N851" s="378"/>
      <c r="O851" s="378"/>
      <c r="P851" s="378"/>
      <c r="Q851" s="378"/>
      <c r="R851" s="378"/>
      <c r="S851" s="378"/>
      <c r="T851" s="378"/>
      <c r="U851" s="378"/>
      <c r="V851" s="378"/>
      <c r="W851" s="378"/>
      <c r="X851" s="378"/>
      <c r="Y851" s="378"/>
      <c r="Z851" s="378"/>
      <c r="AA851" s="378"/>
      <c r="AB851" s="378"/>
      <c r="AC851" s="378"/>
      <c r="AD851" s="378"/>
      <c r="AE851" s="378"/>
      <c r="AF851" s="378"/>
    </row>
    <row r="852" spans="2:32">
      <c r="B852" s="378"/>
      <c r="C852" s="378"/>
      <c r="D852" s="378"/>
      <c r="F852" s="378"/>
      <c r="G852" s="378"/>
      <c r="H852" s="378"/>
      <c r="I852" s="378"/>
      <c r="J852" s="378"/>
      <c r="K852" s="378"/>
      <c r="L852" s="378"/>
      <c r="M852" s="378"/>
      <c r="N852" s="378"/>
      <c r="O852" s="378"/>
      <c r="P852" s="378"/>
      <c r="Q852" s="378"/>
      <c r="R852" s="378"/>
      <c r="S852" s="378"/>
      <c r="T852" s="378"/>
      <c r="U852" s="378"/>
      <c r="V852" s="378"/>
      <c r="W852" s="378"/>
      <c r="X852" s="378"/>
      <c r="Y852" s="378"/>
      <c r="Z852" s="378"/>
      <c r="AA852" s="378"/>
      <c r="AB852" s="378"/>
      <c r="AC852" s="378"/>
      <c r="AD852" s="378"/>
      <c r="AE852" s="378"/>
      <c r="AF852" s="378"/>
    </row>
    <row r="853" spans="2:32">
      <c r="B853" s="378"/>
      <c r="C853" s="378"/>
      <c r="D853" s="378"/>
      <c r="F853" s="378"/>
      <c r="G853" s="378"/>
      <c r="H853" s="378"/>
      <c r="I853" s="378"/>
      <c r="J853" s="378"/>
      <c r="K853" s="378"/>
      <c r="L853" s="378"/>
      <c r="M853" s="378"/>
      <c r="N853" s="378"/>
      <c r="O853" s="378"/>
      <c r="P853" s="378"/>
      <c r="Q853" s="378"/>
      <c r="R853" s="378"/>
      <c r="S853" s="378"/>
      <c r="T853" s="378"/>
      <c r="U853" s="378"/>
      <c r="V853" s="378"/>
      <c r="W853" s="378"/>
      <c r="X853" s="378"/>
      <c r="Y853" s="378"/>
      <c r="Z853" s="378"/>
      <c r="AA853" s="378"/>
      <c r="AB853" s="378"/>
      <c r="AC853" s="378"/>
      <c r="AD853" s="378"/>
      <c r="AE853" s="378"/>
      <c r="AF853" s="378"/>
    </row>
    <row r="854" spans="2:32">
      <c r="B854" s="378"/>
      <c r="C854" s="378"/>
      <c r="D854" s="378"/>
      <c r="F854" s="378"/>
      <c r="G854" s="378"/>
      <c r="H854" s="378"/>
      <c r="I854" s="378"/>
      <c r="J854" s="378"/>
      <c r="K854" s="378"/>
      <c r="L854" s="378"/>
      <c r="M854" s="378"/>
      <c r="N854" s="378"/>
      <c r="O854" s="378"/>
      <c r="P854" s="378"/>
      <c r="Q854" s="378"/>
      <c r="R854" s="378"/>
      <c r="S854" s="378"/>
      <c r="T854" s="378"/>
      <c r="U854" s="378"/>
      <c r="V854" s="378"/>
      <c r="W854" s="378"/>
      <c r="X854" s="378"/>
      <c r="Y854" s="378"/>
      <c r="Z854" s="378"/>
      <c r="AA854" s="378"/>
      <c r="AB854" s="378"/>
      <c r="AC854" s="378"/>
      <c r="AD854" s="378"/>
      <c r="AE854" s="378"/>
      <c r="AF854" s="378"/>
    </row>
    <row r="855" spans="2:32">
      <c r="B855" s="378"/>
      <c r="C855" s="378"/>
      <c r="D855" s="378"/>
      <c r="F855" s="378"/>
      <c r="G855" s="378"/>
      <c r="H855" s="378"/>
      <c r="I855" s="378"/>
      <c r="J855" s="378"/>
      <c r="K855" s="378"/>
      <c r="L855" s="378"/>
      <c r="M855" s="378"/>
      <c r="N855" s="378"/>
      <c r="O855" s="378"/>
      <c r="P855" s="378"/>
      <c r="Q855" s="378"/>
      <c r="R855" s="378"/>
      <c r="S855" s="378"/>
      <c r="T855" s="378"/>
      <c r="U855" s="378"/>
      <c r="V855" s="378"/>
      <c r="W855" s="378"/>
      <c r="X855" s="378"/>
      <c r="Y855" s="378"/>
      <c r="Z855" s="378"/>
      <c r="AA855" s="378"/>
      <c r="AB855" s="378"/>
      <c r="AC855" s="378"/>
      <c r="AD855" s="378"/>
      <c r="AE855" s="378"/>
      <c r="AF855" s="378"/>
    </row>
    <row r="856" spans="2:32">
      <c r="B856" s="378"/>
      <c r="C856" s="378"/>
      <c r="D856" s="378"/>
      <c r="F856" s="378"/>
      <c r="G856" s="378"/>
      <c r="H856" s="378"/>
      <c r="I856" s="378"/>
      <c r="J856" s="378"/>
      <c r="K856" s="378"/>
      <c r="L856" s="378"/>
      <c r="M856" s="378"/>
      <c r="N856" s="378"/>
      <c r="O856" s="378"/>
      <c r="P856" s="378"/>
      <c r="Q856" s="378"/>
      <c r="R856" s="378"/>
      <c r="S856" s="378"/>
      <c r="T856" s="378"/>
      <c r="U856" s="378"/>
      <c r="V856" s="378"/>
      <c r="W856" s="378"/>
      <c r="X856" s="378"/>
      <c r="Y856" s="378"/>
      <c r="Z856" s="378"/>
      <c r="AA856" s="378"/>
      <c r="AB856" s="378"/>
      <c r="AC856" s="378"/>
      <c r="AD856" s="378"/>
      <c r="AE856" s="378"/>
      <c r="AF856" s="378"/>
    </row>
    <row r="857" spans="2:32">
      <c r="B857" s="378"/>
      <c r="C857" s="378"/>
      <c r="D857" s="378"/>
      <c r="F857" s="378"/>
      <c r="G857" s="378"/>
      <c r="H857" s="378"/>
      <c r="I857" s="378"/>
      <c r="J857" s="378"/>
      <c r="K857" s="378"/>
      <c r="L857" s="378"/>
      <c r="M857" s="378"/>
      <c r="N857" s="378"/>
      <c r="O857" s="378"/>
      <c r="P857" s="378"/>
      <c r="Q857" s="378"/>
      <c r="R857" s="378"/>
      <c r="S857" s="378"/>
      <c r="T857" s="378"/>
      <c r="U857" s="378"/>
      <c r="V857" s="378"/>
      <c r="W857" s="378"/>
      <c r="X857" s="378"/>
      <c r="Y857" s="378"/>
      <c r="Z857" s="378"/>
      <c r="AA857" s="378"/>
      <c r="AB857" s="378"/>
      <c r="AC857" s="378"/>
      <c r="AD857" s="378"/>
      <c r="AE857" s="378"/>
      <c r="AF857" s="378"/>
    </row>
    <row r="858" spans="2:32">
      <c r="B858" s="378"/>
      <c r="C858" s="378"/>
      <c r="D858" s="378"/>
      <c r="F858" s="378"/>
      <c r="G858" s="378"/>
      <c r="H858" s="378"/>
      <c r="I858" s="378"/>
      <c r="J858" s="378"/>
      <c r="K858" s="378"/>
      <c r="L858" s="378"/>
      <c r="M858" s="378"/>
      <c r="N858" s="378"/>
      <c r="O858" s="378"/>
      <c r="P858" s="378"/>
      <c r="Q858" s="378"/>
      <c r="R858" s="378"/>
      <c r="S858" s="378"/>
      <c r="T858" s="378"/>
      <c r="U858" s="378"/>
      <c r="V858" s="378"/>
      <c r="W858" s="378"/>
      <c r="X858" s="378"/>
      <c r="Y858" s="378"/>
      <c r="Z858" s="378"/>
      <c r="AA858" s="378"/>
      <c r="AB858" s="378"/>
      <c r="AC858" s="378"/>
      <c r="AD858" s="378"/>
      <c r="AE858" s="378"/>
      <c r="AF858" s="378"/>
    </row>
    <row r="859" spans="2:32">
      <c r="B859" s="378"/>
      <c r="C859" s="378"/>
      <c r="D859" s="378"/>
      <c r="F859" s="378"/>
      <c r="G859" s="378"/>
      <c r="H859" s="378"/>
      <c r="I859" s="378"/>
      <c r="J859" s="378"/>
      <c r="K859" s="378"/>
      <c r="L859" s="378"/>
      <c r="M859" s="378"/>
      <c r="N859" s="378"/>
      <c r="O859" s="378"/>
      <c r="P859" s="378"/>
      <c r="Q859" s="378"/>
      <c r="R859" s="378"/>
      <c r="S859" s="378"/>
      <c r="T859" s="378"/>
      <c r="U859" s="378"/>
      <c r="V859" s="378"/>
      <c r="W859" s="378"/>
      <c r="X859" s="378"/>
      <c r="Y859" s="378"/>
      <c r="Z859" s="378"/>
      <c r="AA859" s="378"/>
      <c r="AB859" s="378"/>
      <c r="AC859" s="378"/>
      <c r="AD859" s="378"/>
      <c r="AE859" s="378"/>
      <c r="AF859" s="378"/>
    </row>
    <row r="860" spans="2:32">
      <c r="B860" s="378"/>
      <c r="C860" s="378"/>
      <c r="D860" s="378"/>
      <c r="F860" s="378"/>
      <c r="G860" s="378"/>
      <c r="H860" s="378"/>
      <c r="I860" s="378"/>
      <c r="J860" s="378"/>
      <c r="K860" s="378"/>
      <c r="L860" s="378"/>
      <c r="M860" s="378"/>
      <c r="N860" s="378"/>
      <c r="O860" s="378"/>
      <c r="P860" s="378"/>
      <c r="Q860" s="378"/>
      <c r="R860" s="378"/>
      <c r="S860" s="378"/>
      <c r="T860" s="378"/>
      <c r="U860" s="378"/>
      <c r="V860" s="378"/>
      <c r="W860" s="378"/>
      <c r="X860" s="378"/>
      <c r="Y860" s="378"/>
      <c r="Z860" s="378"/>
      <c r="AA860" s="378"/>
      <c r="AB860" s="378"/>
      <c r="AC860" s="378"/>
      <c r="AD860" s="378"/>
      <c r="AE860" s="378"/>
      <c r="AF860" s="378"/>
    </row>
    <row r="861" spans="2:32">
      <c r="B861" s="378"/>
      <c r="C861" s="378"/>
      <c r="D861" s="378"/>
      <c r="F861" s="378"/>
      <c r="G861" s="378"/>
      <c r="H861" s="378"/>
      <c r="I861" s="378"/>
      <c r="J861" s="378"/>
      <c r="K861" s="378"/>
      <c r="L861" s="378"/>
      <c r="M861" s="378"/>
      <c r="N861" s="378"/>
      <c r="O861" s="378"/>
      <c r="P861" s="378"/>
      <c r="Q861" s="378"/>
      <c r="R861" s="378"/>
      <c r="S861" s="378"/>
      <c r="T861" s="378"/>
      <c r="U861" s="378"/>
      <c r="V861" s="378"/>
      <c r="W861" s="378"/>
      <c r="X861" s="378"/>
      <c r="Y861" s="378"/>
      <c r="Z861" s="378"/>
      <c r="AA861" s="378"/>
      <c r="AB861" s="378"/>
      <c r="AC861" s="378"/>
      <c r="AD861" s="378"/>
      <c r="AE861" s="378"/>
      <c r="AF861" s="378"/>
    </row>
    <row r="862" spans="2:32">
      <c r="B862" s="378"/>
      <c r="C862" s="378"/>
      <c r="D862" s="378"/>
      <c r="F862" s="378"/>
      <c r="G862" s="378"/>
      <c r="H862" s="378"/>
      <c r="I862" s="378"/>
      <c r="J862" s="378"/>
      <c r="K862" s="378"/>
      <c r="L862" s="378"/>
      <c r="M862" s="378"/>
      <c r="N862" s="378"/>
      <c r="O862" s="378"/>
      <c r="P862" s="378"/>
      <c r="Q862" s="378"/>
      <c r="R862" s="378"/>
      <c r="S862" s="378"/>
      <c r="T862" s="378"/>
      <c r="U862" s="378"/>
      <c r="V862" s="378"/>
      <c r="W862" s="378"/>
      <c r="X862" s="378"/>
      <c r="Y862" s="378"/>
      <c r="Z862" s="378"/>
      <c r="AA862" s="378"/>
      <c r="AB862" s="378"/>
      <c r="AC862" s="378"/>
      <c r="AD862" s="378"/>
      <c r="AE862" s="378"/>
      <c r="AF862" s="378"/>
    </row>
    <row r="863" spans="2:32">
      <c r="B863" s="378"/>
      <c r="C863" s="378"/>
      <c r="D863" s="378"/>
      <c r="F863" s="378"/>
      <c r="G863" s="378"/>
      <c r="H863" s="378"/>
      <c r="I863" s="378"/>
      <c r="J863" s="378"/>
      <c r="K863" s="378"/>
      <c r="L863" s="378"/>
      <c r="M863" s="378"/>
      <c r="N863" s="378"/>
      <c r="O863" s="378"/>
      <c r="P863" s="378"/>
      <c r="Q863" s="378"/>
      <c r="R863" s="378"/>
      <c r="S863" s="378"/>
      <c r="T863" s="378"/>
      <c r="U863" s="378"/>
      <c r="V863" s="378"/>
      <c r="W863" s="378"/>
      <c r="X863" s="378"/>
      <c r="Y863" s="378"/>
      <c r="Z863" s="378"/>
      <c r="AA863" s="378"/>
      <c r="AB863" s="378"/>
      <c r="AC863" s="378"/>
      <c r="AD863" s="378"/>
      <c r="AE863" s="378"/>
      <c r="AF863" s="378"/>
    </row>
    <row r="864" spans="2:32">
      <c r="B864" s="378"/>
      <c r="C864" s="378"/>
      <c r="D864" s="378"/>
      <c r="F864" s="378"/>
      <c r="G864" s="378"/>
      <c r="H864" s="378"/>
      <c r="I864" s="378"/>
      <c r="J864" s="378"/>
      <c r="K864" s="378"/>
      <c r="L864" s="378"/>
      <c r="M864" s="378"/>
      <c r="N864" s="378"/>
      <c r="O864" s="378"/>
      <c r="P864" s="378"/>
      <c r="Q864" s="378"/>
      <c r="R864" s="378"/>
      <c r="S864" s="378"/>
      <c r="T864" s="378"/>
      <c r="U864" s="378"/>
      <c r="V864" s="378"/>
      <c r="W864" s="378"/>
      <c r="X864" s="378"/>
      <c r="Y864" s="378"/>
      <c r="Z864" s="378"/>
      <c r="AA864" s="378"/>
      <c r="AB864" s="378"/>
      <c r="AC864" s="378"/>
      <c r="AD864" s="378"/>
      <c r="AE864" s="378"/>
      <c r="AF864" s="378"/>
    </row>
    <row r="865" spans="2:32">
      <c r="B865" s="378"/>
      <c r="C865" s="378"/>
      <c r="D865" s="378"/>
      <c r="F865" s="378"/>
      <c r="G865" s="378"/>
      <c r="H865" s="378"/>
      <c r="I865" s="378"/>
      <c r="J865" s="378"/>
      <c r="K865" s="378"/>
      <c r="L865" s="378"/>
      <c r="M865" s="378"/>
      <c r="N865" s="378"/>
      <c r="O865" s="378"/>
      <c r="P865" s="378"/>
      <c r="Q865" s="378"/>
      <c r="R865" s="378"/>
      <c r="S865" s="378"/>
      <c r="T865" s="378"/>
      <c r="U865" s="378"/>
      <c r="V865" s="378"/>
      <c r="W865" s="378"/>
      <c r="X865" s="378"/>
      <c r="Y865" s="378"/>
      <c r="Z865" s="378"/>
      <c r="AA865" s="378"/>
      <c r="AB865" s="378"/>
      <c r="AC865" s="378"/>
      <c r="AD865" s="378"/>
      <c r="AE865" s="378"/>
      <c r="AF865" s="378"/>
    </row>
    <row r="866" spans="2:32">
      <c r="B866" s="378"/>
      <c r="C866" s="378"/>
      <c r="D866" s="378"/>
      <c r="F866" s="378"/>
      <c r="G866" s="378"/>
      <c r="H866" s="378"/>
      <c r="I866" s="378"/>
      <c r="J866" s="378"/>
      <c r="K866" s="378"/>
      <c r="L866" s="378"/>
      <c r="M866" s="378"/>
      <c r="N866" s="378"/>
      <c r="O866" s="378"/>
      <c r="P866" s="378"/>
      <c r="Q866" s="378"/>
      <c r="R866" s="378"/>
      <c r="S866" s="378"/>
      <c r="T866" s="378"/>
      <c r="U866" s="378"/>
      <c r="V866" s="378"/>
      <c r="W866" s="378"/>
      <c r="X866" s="378"/>
      <c r="Y866" s="378"/>
      <c r="Z866" s="378"/>
      <c r="AA866" s="378"/>
      <c r="AB866" s="378"/>
      <c r="AC866" s="378"/>
      <c r="AD866" s="378"/>
      <c r="AE866" s="378"/>
      <c r="AF866" s="378"/>
    </row>
    <row r="867" spans="2:32">
      <c r="B867" s="378"/>
      <c r="C867" s="378"/>
      <c r="D867" s="378"/>
      <c r="F867" s="378"/>
      <c r="G867" s="378"/>
      <c r="H867" s="378"/>
      <c r="I867" s="378"/>
      <c r="J867" s="378"/>
      <c r="K867" s="378"/>
      <c r="L867" s="378"/>
      <c r="M867" s="378"/>
      <c r="N867" s="378"/>
      <c r="O867" s="378"/>
      <c r="P867" s="378"/>
      <c r="Q867" s="378"/>
      <c r="R867" s="378"/>
      <c r="S867" s="378"/>
      <c r="T867" s="378"/>
      <c r="U867" s="378"/>
      <c r="V867" s="378"/>
      <c r="W867" s="378"/>
      <c r="X867" s="378"/>
      <c r="Y867" s="378"/>
      <c r="Z867" s="378"/>
      <c r="AA867" s="378"/>
      <c r="AB867" s="378"/>
      <c r="AC867" s="378"/>
      <c r="AD867" s="378"/>
      <c r="AE867" s="378"/>
      <c r="AF867" s="378"/>
    </row>
    <row r="868" spans="2:32">
      <c r="B868" s="378"/>
      <c r="C868" s="378"/>
      <c r="D868" s="378"/>
      <c r="F868" s="378"/>
      <c r="G868" s="378"/>
      <c r="H868" s="378"/>
      <c r="I868" s="378"/>
      <c r="J868" s="378"/>
      <c r="K868" s="378"/>
      <c r="L868" s="378"/>
      <c r="M868" s="378"/>
      <c r="N868" s="378"/>
      <c r="O868" s="378"/>
      <c r="P868" s="378"/>
      <c r="Q868" s="378"/>
      <c r="R868" s="378"/>
      <c r="S868" s="378"/>
      <c r="T868" s="378"/>
      <c r="U868" s="378"/>
      <c r="V868" s="378"/>
      <c r="W868" s="378"/>
      <c r="X868" s="378"/>
      <c r="Y868" s="378"/>
      <c r="Z868" s="378"/>
      <c r="AA868" s="378"/>
      <c r="AB868" s="378"/>
      <c r="AC868" s="378"/>
      <c r="AD868" s="378"/>
      <c r="AE868" s="378"/>
      <c r="AF868" s="378"/>
    </row>
    <row r="869" spans="2:32">
      <c r="B869" s="378"/>
      <c r="C869" s="378"/>
      <c r="D869" s="378"/>
      <c r="F869" s="378"/>
      <c r="G869" s="378"/>
      <c r="H869" s="378"/>
      <c r="I869" s="378"/>
      <c r="J869" s="378"/>
      <c r="K869" s="378"/>
      <c r="L869" s="378"/>
      <c r="M869" s="378"/>
      <c r="N869" s="378"/>
      <c r="O869" s="378"/>
      <c r="P869" s="378"/>
      <c r="Q869" s="378"/>
      <c r="R869" s="378"/>
      <c r="S869" s="378"/>
      <c r="T869" s="378"/>
      <c r="U869" s="378"/>
      <c r="V869" s="378"/>
      <c r="W869" s="378"/>
      <c r="X869" s="378"/>
      <c r="Y869" s="378"/>
      <c r="Z869" s="378"/>
      <c r="AA869" s="378"/>
      <c r="AB869" s="378"/>
      <c r="AC869" s="378"/>
      <c r="AD869" s="378"/>
      <c r="AE869" s="378"/>
      <c r="AF869" s="378"/>
    </row>
    <row r="870" spans="2:32">
      <c r="B870" s="378"/>
      <c r="C870" s="378"/>
      <c r="D870" s="378"/>
      <c r="F870" s="378"/>
      <c r="G870" s="378"/>
      <c r="H870" s="378"/>
      <c r="I870" s="378"/>
      <c r="J870" s="378"/>
      <c r="K870" s="378"/>
      <c r="L870" s="378"/>
      <c r="M870" s="378"/>
      <c r="N870" s="378"/>
      <c r="O870" s="378"/>
      <c r="P870" s="378"/>
      <c r="Q870" s="378"/>
      <c r="R870" s="378"/>
      <c r="S870" s="378"/>
      <c r="T870" s="378"/>
      <c r="U870" s="378"/>
      <c r="V870" s="378"/>
      <c r="W870" s="378"/>
      <c r="X870" s="378"/>
      <c r="Y870" s="378"/>
      <c r="Z870" s="378"/>
      <c r="AA870" s="378"/>
      <c r="AB870" s="378"/>
      <c r="AC870" s="378"/>
      <c r="AD870" s="378"/>
      <c r="AE870" s="378"/>
      <c r="AF870" s="378"/>
    </row>
    <row r="871" spans="2:32">
      <c r="B871" s="378"/>
      <c r="C871" s="378"/>
      <c r="D871" s="378"/>
      <c r="F871" s="378"/>
      <c r="G871" s="378"/>
      <c r="H871" s="378"/>
      <c r="I871" s="378"/>
      <c r="J871" s="378"/>
      <c r="K871" s="378"/>
      <c r="L871" s="378"/>
      <c r="M871" s="378"/>
      <c r="N871" s="378"/>
      <c r="O871" s="378"/>
      <c r="P871" s="378"/>
      <c r="Q871" s="378"/>
      <c r="R871" s="378"/>
      <c r="S871" s="378"/>
      <c r="T871" s="378"/>
      <c r="U871" s="378"/>
      <c r="V871" s="378"/>
      <c r="W871" s="378"/>
      <c r="X871" s="378"/>
      <c r="Y871" s="378"/>
      <c r="Z871" s="378"/>
      <c r="AA871" s="378"/>
      <c r="AB871" s="378"/>
      <c r="AC871" s="378"/>
      <c r="AD871" s="378"/>
      <c r="AE871" s="378"/>
      <c r="AF871" s="378"/>
    </row>
    <row r="872" spans="2:32">
      <c r="B872" s="378"/>
      <c r="C872" s="378"/>
      <c r="D872" s="378"/>
      <c r="F872" s="378"/>
      <c r="G872" s="378"/>
      <c r="H872" s="378"/>
      <c r="I872" s="378"/>
      <c r="J872" s="378"/>
      <c r="K872" s="378"/>
      <c r="L872" s="378"/>
      <c r="M872" s="378"/>
      <c r="N872" s="378"/>
      <c r="O872" s="378"/>
      <c r="P872" s="378"/>
      <c r="Q872" s="378"/>
      <c r="R872" s="378"/>
      <c r="S872" s="378"/>
      <c r="T872" s="378"/>
      <c r="U872" s="378"/>
      <c r="V872" s="378"/>
      <c r="W872" s="378"/>
      <c r="X872" s="378"/>
      <c r="Y872" s="378"/>
      <c r="Z872" s="378"/>
      <c r="AA872" s="378"/>
      <c r="AB872" s="378"/>
      <c r="AC872" s="378"/>
      <c r="AD872" s="378"/>
      <c r="AE872" s="378"/>
      <c r="AF872" s="378"/>
    </row>
    <row r="873" spans="2:32">
      <c r="B873" s="378"/>
      <c r="C873" s="378"/>
      <c r="D873" s="378"/>
      <c r="F873" s="378"/>
      <c r="G873" s="378"/>
      <c r="H873" s="378"/>
      <c r="I873" s="378"/>
      <c r="J873" s="378"/>
      <c r="K873" s="378"/>
      <c r="L873" s="378"/>
      <c r="M873" s="378"/>
      <c r="N873" s="378"/>
      <c r="O873" s="378"/>
      <c r="P873" s="378"/>
      <c r="Q873" s="378"/>
      <c r="R873" s="378"/>
      <c r="S873" s="378"/>
      <c r="T873" s="378"/>
      <c r="U873" s="378"/>
      <c r="V873" s="378"/>
      <c r="W873" s="378"/>
      <c r="X873" s="378"/>
      <c r="Y873" s="378"/>
      <c r="Z873" s="378"/>
      <c r="AA873" s="378"/>
      <c r="AB873" s="378"/>
      <c r="AC873" s="378"/>
      <c r="AD873" s="378"/>
      <c r="AE873" s="378"/>
      <c r="AF873" s="378"/>
    </row>
    <row r="874" spans="2:32">
      <c r="B874" s="378"/>
      <c r="C874" s="378"/>
      <c r="D874" s="378"/>
      <c r="F874" s="378"/>
      <c r="G874" s="378"/>
      <c r="H874" s="378"/>
      <c r="I874" s="378"/>
      <c r="J874" s="378"/>
      <c r="K874" s="378"/>
      <c r="L874" s="378"/>
      <c r="M874" s="378"/>
      <c r="N874" s="378"/>
      <c r="O874" s="378"/>
      <c r="P874" s="378"/>
      <c r="Q874" s="378"/>
      <c r="R874" s="378"/>
      <c r="S874" s="378"/>
      <c r="T874" s="378"/>
      <c r="U874" s="378"/>
      <c r="V874" s="378"/>
      <c r="W874" s="378"/>
      <c r="X874" s="378"/>
      <c r="Y874" s="378"/>
      <c r="Z874" s="378"/>
      <c r="AA874" s="378"/>
      <c r="AB874" s="378"/>
      <c r="AC874" s="378"/>
      <c r="AD874" s="378"/>
      <c r="AE874" s="378"/>
      <c r="AF874" s="378"/>
    </row>
    <row r="875" spans="2:32">
      <c r="B875" s="378"/>
      <c r="C875" s="378"/>
      <c r="D875" s="378"/>
      <c r="F875" s="378"/>
      <c r="G875" s="378"/>
      <c r="H875" s="378"/>
      <c r="I875" s="378"/>
      <c r="J875" s="378"/>
      <c r="K875" s="378"/>
      <c r="L875" s="378"/>
      <c r="M875" s="378"/>
      <c r="N875" s="378"/>
      <c r="O875" s="378"/>
      <c r="P875" s="378"/>
      <c r="Q875" s="378"/>
      <c r="R875" s="378"/>
      <c r="S875" s="378"/>
      <c r="T875" s="378"/>
      <c r="U875" s="378"/>
      <c r="V875" s="378"/>
      <c r="W875" s="378"/>
      <c r="X875" s="378"/>
      <c r="Y875" s="378"/>
      <c r="Z875" s="378"/>
      <c r="AA875" s="378"/>
      <c r="AB875" s="378"/>
      <c r="AC875" s="378"/>
      <c r="AD875" s="378"/>
      <c r="AE875" s="378"/>
      <c r="AF875" s="378"/>
    </row>
    <row r="876" spans="2:32">
      <c r="B876" s="378"/>
      <c r="C876" s="378"/>
      <c r="D876" s="378"/>
      <c r="F876" s="378"/>
      <c r="G876" s="378"/>
      <c r="H876" s="378"/>
      <c r="I876" s="378"/>
      <c r="J876" s="378"/>
      <c r="K876" s="378"/>
      <c r="L876" s="378"/>
      <c r="M876" s="378"/>
      <c r="N876" s="378"/>
      <c r="O876" s="378"/>
      <c r="P876" s="378"/>
      <c r="Q876" s="378"/>
      <c r="R876" s="378"/>
      <c r="S876" s="378"/>
      <c r="T876" s="378"/>
      <c r="U876" s="378"/>
      <c r="V876" s="378"/>
      <c r="W876" s="378"/>
      <c r="X876" s="378"/>
      <c r="Y876" s="378"/>
      <c r="Z876" s="378"/>
      <c r="AA876" s="378"/>
      <c r="AB876" s="378"/>
      <c r="AC876" s="378"/>
      <c r="AD876" s="378"/>
      <c r="AE876" s="378"/>
      <c r="AF876" s="378"/>
    </row>
    <row r="877" spans="2:32">
      <c r="B877" s="378"/>
      <c r="C877" s="378"/>
      <c r="D877" s="378"/>
      <c r="F877" s="378"/>
      <c r="G877" s="378"/>
      <c r="H877" s="378"/>
      <c r="I877" s="378"/>
      <c r="J877" s="378"/>
      <c r="K877" s="378"/>
      <c r="L877" s="378"/>
      <c r="M877" s="378"/>
      <c r="N877" s="378"/>
      <c r="O877" s="378"/>
      <c r="P877" s="378"/>
      <c r="Q877" s="378"/>
      <c r="R877" s="378"/>
      <c r="S877" s="378"/>
      <c r="T877" s="378"/>
      <c r="U877" s="378"/>
      <c r="V877" s="378"/>
      <c r="W877" s="378"/>
      <c r="X877" s="378"/>
      <c r="Y877" s="378"/>
      <c r="Z877" s="378"/>
      <c r="AA877" s="378"/>
      <c r="AB877" s="378"/>
      <c r="AC877" s="378"/>
      <c r="AD877" s="378"/>
      <c r="AE877" s="378"/>
      <c r="AF877" s="378"/>
    </row>
    <row r="878" spans="2:32">
      <c r="B878" s="378"/>
      <c r="C878" s="378"/>
      <c r="D878" s="378"/>
      <c r="F878" s="378"/>
      <c r="G878" s="378"/>
      <c r="H878" s="378"/>
      <c r="I878" s="378"/>
      <c r="J878" s="378"/>
      <c r="K878" s="378"/>
      <c r="L878" s="378"/>
      <c r="M878" s="378"/>
      <c r="N878" s="378"/>
      <c r="O878" s="378"/>
      <c r="P878" s="378"/>
      <c r="Q878" s="378"/>
      <c r="R878" s="378"/>
      <c r="S878" s="378"/>
      <c r="T878" s="378"/>
      <c r="U878" s="378"/>
      <c r="V878" s="378"/>
      <c r="W878" s="378"/>
      <c r="X878" s="378"/>
      <c r="Y878" s="378"/>
      <c r="Z878" s="378"/>
      <c r="AA878" s="378"/>
      <c r="AB878" s="378"/>
      <c r="AC878" s="378"/>
      <c r="AD878" s="378"/>
      <c r="AE878" s="378"/>
      <c r="AF878" s="378"/>
    </row>
    <row r="879" spans="2:32">
      <c r="B879" s="378"/>
      <c r="C879" s="378"/>
      <c r="D879" s="378"/>
      <c r="F879" s="378"/>
      <c r="G879" s="378"/>
      <c r="H879" s="378"/>
      <c r="I879" s="378"/>
      <c r="J879" s="378"/>
      <c r="K879" s="378"/>
      <c r="L879" s="378"/>
      <c r="M879" s="378"/>
      <c r="N879" s="378"/>
      <c r="O879" s="378"/>
      <c r="P879" s="378"/>
      <c r="Q879" s="378"/>
      <c r="R879" s="378"/>
      <c r="S879" s="378"/>
      <c r="T879" s="378"/>
      <c r="U879" s="378"/>
      <c r="V879" s="378"/>
      <c r="W879" s="378"/>
      <c r="X879" s="378"/>
      <c r="Y879" s="378"/>
      <c r="Z879" s="378"/>
      <c r="AA879" s="378"/>
      <c r="AB879" s="378"/>
      <c r="AC879" s="378"/>
      <c r="AD879" s="378"/>
      <c r="AE879" s="378"/>
      <c r="AF879" s="378"/>
    </row>
    <row r="880" spans="2:32">
      <c r="B880" s="378"/>
      <c r="C880" s="378"/>
      <c r="D880" s="378"/>
      <c r="F880" s="378"/>
      <c r="G880" s="378"/>
      <c r="H880" s="378"/>
      <c r="I880" s="378"/>
      <c r="J880" s="378"/>
      <c r="K880" s="378"/>
      <c r="L880" s="378"/>
      <c r="M880" s="378"/>
      <c r="N880" s="378"/>
      <c r="O880" s="378"/>
      <c r="P880" s="378"/>
      <c r="Q880" s="378"/>
      <c r="R880" s="378"/>
      <c r="S880" s="378"/>
      <c r="T880" s="378"/>
      <c r="U880" s="378"/>
      <c r="V880" s="378"/>
      <c r="W880" s="378"/>
      <c r="X880" s="378"/>
      <c r="Y880" s="378"/>
      <c r="Z880" s="378"/>
      <c r="AA880" s="378"/>
      <c r="AB880" s="378"/>
      <c r="AC880" s="378"/>
      <c r="AD880" s="378"/>
      <c r="AE880" s="378"/>
      <c r="AF880" s="378"/>
    </row>
    <row r="881" spans="2:32">
      <c r="B881" s="378"/>
      <c r="C881" s="378"/>
      <c r="D881" s="378"/>
      <c r="F881" s="378"/>
      <c r="G881" s="378"/>
      <c r="H881" s="378"/>
      <c r="I881" s="378"/>
      <c r="J881" s="378"/>
      <c r="K881" s="378"/>
      <c r="L881" s="378"/>
      <c r="M881" s="378"/>
      <c r="N881" s="378"/>
      <c r="O881" s="378"/>
      <c r="P881" s="378"/>
      <c r="Q881" s="378"/>
      <c r="R881" s="378"/>
      <c r="S881" s="378"/>
      <c r="T881" s="378"/>
      <c r="U881" s="378"/>
      <c r="V881" s="378"/>
      <c r="W881" s="378"/>
      <c r="X881" s="378"/>
      <c r="Y881" s="378"/>
      <c r="Z881" s="378"/>
      <c r="AA881" s="378"/>
      <c r="AB881" s="378"/>
      <c r="AC881" s="378"/>
      <c r="AD881" s="378"/>
      <c r="AE881" s="378"/>
      <c r="AF881" s="378"/>
    </row>
    <row r="882" spans="2:32">
      <c r="B882" s="378"/>
      <c r="C882" s="378"/>
      <c r="D882" s="378"/>
      <c r="F882" s="378"/>
      <c r="G882" s="378"/>
      <c r="H882" s="378"/>
      <c r="I882" s="378"/>
      <c r="J882" s="378"/>
      <c r="K882" s="378"/>
      <c r="L882" s="378"/>
      <c r="M882" s="378"/>
      <c r="N882" s="378"/>
      <c r="O882" s="378"/>
      <c r="P882" s="378"/>
      <c r="Q882" s="378"/>
      <c r="R882" s="378"/>
      <c r="S882" s="378"/>
      <c r="T882" s="378"/>
      <c r="U882" s="378"/>
      <c r="V882" s="378"/>
      <c r="W882" s="378"/>
      <c r="X882" s="378"/>
      <c r="Y882" s="378"/>
      <c r="Z882" s="378"/>
      <c r="AA882" s="378"/>
      <c r="AB882" s="378"/>
      <c r="AC882" s="378"/>
      <c r="AD882" s="378"/>
      <c r="AE882" s="378"/>
      <c r="AF882" s="378"/>
    </row>
    <row r="883" spans="2:32">
      <c r="B883" s="378"/>
      <c r="C883" s="378"/>
      <c r="D883" s="378"/>
      <c r="F883" s="378"/>
      <c r="G883" s="378"/>
      <c r="H883" s="378"/>
      <c r="I883" s="378"/>
      <c r="J883" s="378"/>
      <c r="K883" s="378"/>
      <c r="L883" s="378"/>
      <c r="M883" s="378"/>
      <c r="N883" s="378"/>
      <c r="O883" s="378"/>
      <c r="P883" s="378"/>
      <c r="Q883" s="378"/>
      <c r="R883" s="378"/>
      <c r="S883" s="378"/>
      <c r="T883" s="378"/>
      <c r="U883" s="378"/>
      <c r="V883" s="378"/>
      <c r="W883" s="378"/>
      <c r="X883" s="378"/>
      <c r="Y883" s="378"/>
      <c r="Z883" s="378"/>
      <c r="AA883" s="378"/>
      <c r="AB883" s="378"/>
      <c r="AC883" s="378"/>
      <c r="AD883" s="378"/>
      <c r="AE883" s="378"/>
      <c r="AF883" s="378"/>
    </row>
    <row r="884" spans="2:32">
      <c r="B884" s="378"/>
      <c r="C884" s="378"/>
      <c r="D884" s="378"/>
      <c r="F884" s="378"/>
      <c r="G884" s="378"/>
      <c r="H884" s="378"/>
      <c r="I884" s="378"/>
      <c r="J884" s="378"/>
      <c r="K884" s="378"/>
      <c r="L884" s="378"/>
      <c r="M884" s="378"/>
      <c r="N884" s="378"/>
      <c r="O884" s="378"/>
      <c r="P884" s="378"/>
      <c r="Q884" s="378"/>
      <c r="R884" s="378"/>
      <c r="S884" s="378"/>
      <c r="T884" s="378"/>
      <c r="U884" s="378"/>
      <c r="V884" s="378"/>
      <c r="W884" s="378"/>
      <c r="X884" s="378"/>
      <c r="Y884" s="378"/>
      <c r="Z884" s="378"/>
      <c r="AA884" s="378"/>
      <c r="AB884" s="378"/>
      <c r="AC884" s="378"/>
      <c r="AD884" s="378"/>
      <c r="AE884" s="378"/>
      <c r="AF884" s="378"/>
    </row>
    <row r="885" spans="2:32">
      <c r="B885" s="378"/>
      <c r="C885" s="378"/>
      <c r="D885" s="378"/>
      <c r="F885" s="378"/>
      <c r="G885" s="378"/>
      <c r="H885" s="378"/>
      <c r="I885" s="378"/>
      <c r="J885" s="378"/>
      <c r="K885" s="378"/>
      <c r="L885" s="378"/>
      <c r="M885" s="378"/>
      <c r="N885" s="378"/>
      <c r="O885" s="378"/>
      <c r="P885" s="378"/>
      <c r="Q885" s="378"/>
      <c r="R885" s="378"/>
      <c r="S885" s="378"/>
      <c r="T885" s="378"/>
      <c r="U885" s="378"/>
      <c r="V885" s="378"/>
      <c r="W885" s="378"/>
      <c r="X885" s="378"/>
      <c r="Y885" s="378"/>
      <c r="Z885" s="378"/>
      <c r="AA885" s="378"/>
      <c r="AB885" s="378"/>
      <c r="AC885" s="378"/>
      <c r="AD885" s="378"/>
      <c r="AE885" s="378"/>
      <c r="AF885" s="378"/>
    </row>
    <row r="886" spans="2:32">
      <c r="B886" s="378"/>
      <c r="C886" s="378"/>
      <c r="D886" s="378"/>
      <c r="F886" s="378"/>
      <c r="G886" s="378"/>
      <c r="H886" s="378"/>
      <c r="I886" s="378"/>
      <c r="J886" s="378"/>
      <c r="K886" s="378"/>
      <c r="L886" s="378"/>
      <c r="M886" s="378"/>
      <c r="N886" s="378"/>
      <c r="O886" s="378"/>
      <c r="P886" s="378"/>
      <c r="Q886" s="378"/>
      <c r="R886" s="378"/>
      <c r="S886" s="378"/>
      <c r="T886" s="378"/>
      <c r="U886" s="378"/>
      <c r="V886" s="378"/>
      <c r="W886" s="378"/>
      <c r="X886" s="378"/>
      <c r="Y886" s="378"/>
      <c r="Z886" s="378"/>
      <c r="AA886" s="378"/>
      <c r="AB886" s="378"/>
      <c r="AC886" s="378"/>
      <c r="AD886" s="378"/>
      <c r="AE886" s="378"/>
      <c r="AF886" s="378"/>
    </row>
    <row r="887" spans="2:32">
      <c r="B887" s="378"/>
      <c r="C887" s="378"/>
      <c r="D887" s="378"/>
      <c r="F887" s="378"/>
      <c r="G887" s="378"/>
      <c r="H887" s="378"/>
      <c r="I887" s="378"/>
      <c r="J887" s="378"/>
      <c r="K887" s="378"/>
      <c r="L887" s="378"/>
      <c r="M887" s="378"/>
      <c r="N887" s="378"/>
      <c r="O887" s="378"/>
      <c r="P887" s="378"/>
      <c r="Q887" s="378"/>
      <c r="R887" s="378"/>
      <c r="S887" s="378"/>
      <c r="T887" s="378"/>
      <c r="U887" s="378"/>
      <c r="V887" s="378"/>
      <c r="W887" s="378"/>
      <c r="X887" s="378"/>
      <c r="Y887" s="378"/>
      <c r="Z887" s="378"/>
      <c r="AA887" s="378"/>
      <c r="AB887" s="378"/>
      <c r="AC887" s="378"/>
      <c r="AD887" s="378"/>
      <c r="AE887" s="378"/>
      <c r="AF887" s="378"/>
    </row>
    <row r="888" spans="2:32">
      <c r="B888" s="378"/>
      <c r="C888" s="378"/>
      <c r="D888" s="378"/>
      <c r="F888" s="378"/>
      <c r="G888" s="378"/>
      <c r="H888" s="378"/>
      <c r="I888" s="378"/>
      <c r="J888" s="378"/>
      <c r="K888" s="378"/>
      <c r="L888" s="378"/>
      <c r="M888" s="378"/>
      <c r="N888" s="378"/>
      <c r="O888" s="378"/>
      <c r="P888" s="378"/>
      <c r="Q888" s="378"/>
      <c r="R888" s="378"/>
      <c r="S888" s="378"/>
      <c r="T888" s="378"/>
      <c r="U888" s="378"/>
      <c r="V888" s="378"/>
      <c r="W888" s="378"/>
      <c r="X888" s="378"/>
      <c r="Y888" s="378"/>
      <c r="Z888" s="378"/>
      <c r="AA888" s="378"/>
      <c r="AB888" s="378"/>
      <c r="AC888" s="378"/>
      <c r="AD888" s="378"/>
      <c r="AE888" s="378"/>
      <c r="AF888" s="378"/>
    </row>
    <row r="889" spans="2:32">
      <c r="B889" s="378"/>
      <c r="C889" s="378"/>
      <c r="D889" s="378"/>
      <c r="F889" s="378"/>
      <c r="G889" s="378"/>
      <c r="H889" s="378"/>
      <c r="I889" s="378"/>
      <c r="J889" s="378"/>
      <c r="K889" s="378"/>
      <c r="L889" s="378"/>
      <c r="M889" s="378"/>
      <c r="N889" s="378"/>
      <c r="O889" s="378"/>
      <c r="P889" s="378"/>
      <c r="Q889" s="378"/>
      <c r="R889" s="378"/>
      <c r="S889" s="378"/>
      <c r="T889" s="378"/>
      <c r="U889" s="378"/>
      <c r="V889" s="378"/>
      <c r="W889" s="378"/>
      <c r="X889" s="378"/>
      <c r="Y889" s="378"/>
      <c r="Z889" s="378"/>
      <c r="AA889" s="378"/>
      <c r="AB889" s="378"/>
      <c r="AC889" s="378"/>
      <c r="AD889" s="378"/>
      <c r="AE889" s="378"/>
      <c r="AF889" s="378"/>
    </row>
    <row r="890" spans="2:32">
      <c r="B890" s="378"/>
      <c r="C890" s="378"/>
      <c r="D890" s="378"/>
      <c r="F890" s="378"/>
      <c r="G890" s="378"/>
      <c r="H890" s="378"/>
      <c r="I890" s="378"/>
      <c r="J890" s="378"/>
      <c r="K890" s="378"/>
      <c r="L890" s="378"/>
      <c r="M890" s="378"/>
      <c r="N890" s="378"/>
      <c r="O890" s="378"/>
      <c r="P890" s="378"/>
      <c r="Q890" s="378"/>
      <c r="R890" s="378"/>
      <c r="S890" s="378"/>
      <c r="T890" s="378"/>
      <c r="U890" s="378"/>
      <c r="V890" s="378"/>
      <c r="W890" s="378"/>
      <c r="X890" s="378"/>
      <c r="Y890" s="378"/>
      <c r="Z890" s="378"/>
      <c r="AA890" s="378"/>
      <c r="AB890" s="378"/>
      <c r="AC890" s="378"/>
      <c r="AD890" s="378"/>
      <c r="AE890" s="378"/>
      <c r="AF890" s="378"/>
    </row>
    <row r="891" spans="2:32">
      <c r="B891" s="378"/>
      <c r="C891" s="378"/>
      <c r="D891" s="378"/>
      <c r="F891" s="378"/>
      <c r="G891" s="378"/>
      <c r="H891" s="378"/>
      <c r="I891" s="378"/>
      <c r="J891" s="378"/>
      <c r="K891" s="378"/>
      <c r="L891" s="378"/>
      <c r="M891" s="378"/>
      <c r="N891" s="378"/>
      <c r="O891" s="378"/>
      <c r="P891" s="378"/>
      <c r="Q891" s="378"/>
      <c r="R891" s="378"/>
      <c r="S891" s="378"/>
      <c r="T891" s="378"/>
      <c r="U891" s="378"/>
      <c r="V891" s="378"/>
      <c r="W891" s="378"/>
      <c r="X891" s="378"/>
      <c r="Y891" s="378"/>
      <c r="Z891" s="378"/>
      <c r="AA891" s="378"/>
      <c r="AB891" s="378"/>
      <c r="AC891" s="378"/>
      <c r="AD891" s="378"/>
      <c r="AE891" s="378"/>
      <c r="AF891" s="378"/>
    </row>
    <row r="892" spans="2:32">
      <c r="B892" s="378"/>
      <c r="C892" s="378"/>
      <c r="D892" s="378"/>
      <c r="F892" s="378"/>
      <c r="G892" s="378"/>
      <c r="H892" s="378"/>
      <c r="I892" s="378"/>
      <c r="J892" s="378"/>
      <c r="K892" s="378"/>
      <c r="L892" s="378"/>
      <c r="M892" s="378"/>
      <c r="N892" s="378"/>
      <c r="O892" s="378"/>
      <c r="P892" s="378"/>
      <c r="Q892" s="378"/>
      <c r="R892" s="378"/>
      <c r="S892" s="378"/>
      <c r="T892" s="378"/>
      <c r="U892" s="378"/>
      <c r="V892" s="378"/>
      <c r="W892" s="378"/>
      <c r="X892" s="378"/>
      <c r="Y892" s="378"/>
      <c r="Z892" s="378"/>
      <c r="AA892" s="378"/>
      <c r="AB892" s="378"/>
      <c r="AC892" s="378"/>
      <c r="AD892" s="378"/>
      <c r="AE892" s="378"/>
      <c r="AF892" s="378"/>
    </row>
    <row r="893" spans="2:32">
      <c r="B893" s="378"/>
      <c r="C893" s="378"/>
      <c r="D893" s="378"/>
      <c r="F893" s="378"/>
      <c r="G893" s="378"/>
      <c r="H893" s="378"/>
      <c r="I893" s="378"/>
      <c r="J893" s="378"/>
      <c r="K893" s="378"/>
      <c r="L893" s="378"/>
      <c r="M893" s="378"/>
      <c r="N893" s="378"/>
      <c r="O893" s="378"/>
      <c r="P893" s="378"/>
      <c r="Q893" s="378"/>
      <c r="R893" s="378"/>
      <c r="S893" s="378"/>
      <c r="T893" s="378"/>
      <c r="U893" s="378"/>
      <c r="V893" s="378"/>
      <c r="W893" s="378"/>
      <c r="X893" s="378"/>
      <c r="Y893" s="378"/>
      <c r="Z893" s="378"/>
      <c r="AA893" s="378"/>
      <c r="AB893" s="378"/>
      <c r="AC893" s="378"/>
      <c r="AD893" s="378"/>
      <c r="AE893" s="378"/>
      <c r="AF893" s="378"/>
    </row>
    <row r="894" spans="2:32">
      <c r="B894" s="378"/>
      <c r="C894" s="378"/>
      <c r="D894" s="378"/>
      <c r="F894" s="378"/>
      <c r="G894" s="378"/>
      <c r="H894" s="378"/>
      <c r="I894" s="378"/>
      <c r="J894" s="378"/>
      <c r="K894" s="378"/>
      <c r="L894" s="378"/>
      <c r="M894" s="378"/>
      <c r="N894" s="378"/>
      <c r="O894" s="378"/>
      <c r="P894" s="378"/>
      <c r="Q894" s="378"/>
      <c r="R894" s="378"/>
      <c r="S894" s="378"/>
      <c r="T894" s="378"/>
      <c r="U894" s="378"/>
      <c r="V894" s="378"/>
      <c r="W894" s="378"/>
      <c r="X894" s="378"/>
      <c r="Y894" s="378"/>
      <c r="Z894" s="378"/>
      <c r="AA894" s="378"/>
      <c r="AB894" s="378"/>
      <c r="AC894" s="378"/>
      <c r="AD894" s="378"/>
      <c r="AE894" s="378"/>
      <c r="AF894" s="378"/>
    </row>
    <row r="895" spans="2:32">
      <c r="B895" s="378"/>
      <c r="C895" s="378"/>
      <c r="D895" s="378"/>
      <c r="F895" s="378"/>
      <c r="G895" s="378"/>
      <c r="H895" s="378"/>
      <c r="I895" s="378"/>
      <c r="J895" s="378"/>
      <c r="K895" s="378"/>
      <c r="L895" s="378"/>
      <c r="M895" s="378"/>
      <c r="N895" s="378"/>
      <c r="O895" s="378"/>
      <c r="P895" s="378"/>
      <c r="Q895" s="378"/>
      <c r="R895" s="378"/>
      <c r="S895" s="378"/>
      <c r="T895" s="378"/>
      <c r="U895" s="378"/>
      <c r="V895" s="378"/>
      <c r="W895" s="378"/>
      <c r="X895" s="378"/>
      <c r="Y895" s="378"/>
      <c r="Z895" s="378"/>
      <c r="AA895" s="378"/>
      <c r="AB895" s="378"/>
      <c r="AC895" s="378"/>
      <c r="AD895" s="378"/>
      <c r="AE895" s="378"/>
      <c r="AF895" s="378"/>
    </row>
    <row r="896" spans="2:32">
      <c r="B896" s="378"/>
      <c r="C896" s="378"/>
      <c r="D896" s="378"/>
      <c r="F896" s="378"/>
      <c r="G896" s="378"/>
      <c r="H896" s="378"/>
      <c r="I896" s="378"/>
      <c r="J896" s="378"/>
      <c r="K896" s="378"/>
      <c r="L896" s="378"/>
      <c r="M896" s="378"/>
      <c r="N896" s="378"/>
      <c r="O896" s="378"/>
      <c r="P896" s="378"/>
      <c r="Q896" s="378"/>
      <c r="R896" s="378"/>
      <c r="S896" s="378"/>
      <c r="T896" s="378"/>
      <c r="U896" s="378"/>
      <c r="V896" s="378"/>
      <c r="W896" s="378"/>
      <c r="X896" s="378"/>
      <c r="Y896" s="378"/>
      <c r="Z896" s="378"/>
      <c r="AA896" s="378"/>
      <c r="AB896" s="378"/>
      <c r="AC896" s="378"/>
      <c r="AD896" s="378"/>
      <c r="AE896" s="378"/>
      <c r="AF896" s="378"/>
    </row>
    <row r="897" spans="2:32">
      <c r="B897" s="378"/>
      <c r="C897" s="378"/>
      <c r="D897" s="378"/>
      <c r="F897" s="378"/>
      <c r="G897" s="378"/>
      <c r="H897" s="378"/>
      <c r="I897" s="378"/>
      <c r="J897" s="378"/>
      <c r="K897" s="378"/>
      <c r="L897" s="378"/>
      <c r="M897" s="378"/>
      <c r="N897" s="378"/>
      <c r="O897" s="378"/>
      <c r="P897" s="378"/>
      <c r="Q897" s="378"/>
      <c r="R897" s="378"/>
      <c r="S897" s="378"/>
      <c r="T897" s="378"/>
      <c r="U897" s="378"/>
      <c r="V897" s="378"/>
      <c r="W897" s="378"/>
      <c r="X897" s="378"/>
      <c r="Y897" s="378"/>
      <c r="Z897" s="378"/>
      <c r="AA897" s="378"/>
      <c r="AB897" s="378"/>
      <c r="AC897" s="378"/>
      <c r="AD897" s="378"/>
      <c r="AE897" s="378"/>
      <c r="AF897" s="378"/>
    </row>
    <row r="898" spans="2:32">
      <c r="B898" s="378"/>
      <c r="C898" s="378"/>
      <c r="D898" s="378"/>
      <c r="F898" s="378"/>
      <c r="G898" s="378"/>
      <c r="H898" s="378"/>
      <c r="I898" s="378"/>
      <c r="J898" s="378"/>
      <c r="K898" s="378"/>
      <c r="L898" s="378"/>
      <c r="M898" s="378"/>
      <c r="N898" s="378"/>
      <c r="O898" s="378"/>
      <c r="P898" s="378"/>
      <c r="Q898" s="378"/>
      <c r="R898" s="378"/>
      <c r="S898" s="378"/>
      <c r="T898" s="378"/>
      <c r="U898" s="378"/>
      <c r="V898" s="378"/>
      <c r="W898" s="378"/>
      <c r="X898" s="378"/>
      <c r="Y898" s="378"/>
      <c r="Z898" s="378"/>
      <c r="AA898" s="378"/>
      <c r="AB898" s="378"/>
      <c r="AC898" s="378"/>
      <c r="AD898" s="378"/>
      <c r="AE898" s="378"/>
      <c r="AF898" s="378"/>
    </row>
    <row r="899" spans="2:32">
      <c r="B899" s="378"/>
      <c r="C899" s="378"/>
      <c r="D899" s="378"/>
      <c r="F899" s="378"/>
      <c r="G899" s="378"/>
      <c r="H899" s="378"/>
      <c r="I899" s="378"/>
      <c r="J899" s="378"/>
      <c r="K899" s="378"/>
      <c r="L899" s="378"/>
      <c r="M899" s="378"/>
      <c r="N899" s="378"/>
      <c r="O899" s="378"/>
      <c r="P899" s="378"/>
      <c r="Q899" s="378"/>
      <c r="R899" s="378"/>
      <c r="S899" s="378"/>
      <c r="T899" s="378"/>
      <c r="U899" s="378"/>
      <c r="V899" s="378"/>
      <c r="W899" s="378"/>
      <c r="X899" s="378"/>
      <c r="Y899" s="378"/>
      <c r="Z899" s="378"/>
      <c r="AA899" s="378"/>
      <c r="AB899" s="378"/>
      <c r="AC899" s="378"/>
      <c r="AD899" s="378"/>
      <c r="AE899" s="378"/>
      <c r="AF899" s="378"/>
    </row>
    <row r="900" spans="2:32">
      <c r="B900" s="378"/>
      <c r="C900" s="378"/>
      <c r="D900" s="378"/>
      <c r="F900" s="378"/>
      <c r="G900" s="378"/>
      <c r="H900" s="378"/>
      <c r="I900" s="378"/>
      <c r="J900" s="378"/>
      <c r="K900" s="378"/>
      <c r="L900" s="378"/>
      <c r="M900" s="378"/>
      <c r="N900" s="378"/>
      <c r="O900" s="378"/>
      <c r="P900" s="378"/>
      <c r="Q900" s="378"/>
      <c r="R900" s="378"/>
      <c r="S900" s="378"/>
      <c r="T900" s="378"/>
      <c r="U900" s="378"/>
      <c r="V900" s="378"/>
      <c r="W900" s="378"/>
      <c r="X900" s="378"/>
      <c r="Y900" s="378"/>
      <c r="Z900" s="378"/>
      <c r="AA900" s="378"/>
      <c r="AB900" s="378"/>
      <c r="AC900" s="378"/>
      <c r="AD900" s="378"/>
      <c r="AE900" s="378"/>
      <c r="AF900" s="378"/>
    </row>
    <row r="901" spans="2:32">
      <c r="B901" s="378"/>
      <c r="C901" s="378"/>
      <c r="D901" s="378"/>
      <c r="F901" s="378"/>
      <c r="G901" s="378"/>
      <c r="H901" s="378"/>
      <c r="I901" s="378"/>
      <c r="J901" s="378"/>
      <c r="K901" s="378"/>
      <c r="L901" s="378"/>
      <c r="M901" s="378"/>
      <c r="N901" s="378"/>
      <c r="O901" s="378"/>
      <c r="P901" s="378"/>
      <c r="Q901" s="378"/>
      <c r="R901" s="378"/>
      <c r="S901" s="378"/>
      <c r="T901" s="378"/>
      <c r="U901" s="378"/>
      <c r="V901" s="378"/>
      <c r="W901" s="378"/>
      <c r="X901" s="378"/>
      <c r="Y901" s="378"/>
      <c r="Z901" s="378"/>
      <c r="AA901" s="378"/>
      <c r="AB901" s="378"/>
      <c r="AC901" s="378"/>
      <c r="AD901" s="378"/>
      <c r="AE901" s="378"/>
      <c r="AF901" s="378"/>
    </row>
    <row r="902" spans="2:32">
      <c r="B902" s="378"/>
      <c r="C902" s="378"/>
      <c r="D902" s="378"/>
      <c r="F902" s="378"/>
      <c r="G902" s="378"/>
      <c r="H902" s="378"/>
      <c r="I902" s="378"/>
      <c r="J902" s="378"/>
      <c r="K902" s="378"/>
      <c r="L902" s="378"/>
      <c r="M902" s="378"/>
      <c r="N902" s="378"/>
      <c r="O902" s="378"/>
      <c r="P902" s="378"/>
      <c r="Q902" s="378"/>
      <c r="R902" s="378"/>
      <c r="S902" s="378"/>
      <c r="T902" s="378"/>
      <c r="U902" s="378"/>
      <c r="V902" s="378"/>
      <c r="W902" s="378"/>
      <c r="X902" s="378"/>
      <c r="Y902" s="378"/>
      <c r="Z902" s="378"/>
      <c r="AA902" s="378"/>
      <c r="AB902" s="378"/>
      <c r="AC902" s="378"/>
      <c r="AD902" s="378"/>
      <c r="AE902" s="378"/>
      <c r="AF902" s="378"/>
    </row>
    <row r="903" spans="2:32">
      <c r="B903" s="378"/>
      <c r="C903" s="378"/>
      <c r="D903" s="378"/>
      <c r="F903" s="378"/>
      <c r="G903" s="378"/>
      <c r="H903" s="378"/>
      <c r="I903" s="378"/>
      <c r="J903" s="378"/>
      <c r="K903" s="378"/>
      <c r="L903" s="378"/>
      <c r="M903" s="378"/>
      <c r="N903" s="378"/>
      <c r="O903" s="378"/>
      <c r="P903" s="378"/>
      <c r="Q903" s="378"/>
      <c r="R903" s="378"/>
      <c r="S903" s="378"/>
      <c r="T903" s="378"/>
      <c r="U903" s="378"/>
      <c r="V903" s="378"/>
      <c r="W903" s="378"/>
      <c r="X903" s="378"/>
      <c r="Y903" s="378"/>
      <c r="Z903" s="378"/>
      <c r="AA903" s="378"/>
      <c r="AB903" s="378"/>
      <c r="AC903" s="378"/>
      <c r="AD903" s="378"/>
      <c r="AE903" s="378"/>
      <c r="AF903" s="378"/>
    </row>
    <row r="904" spans="2:32">
      <c r="B904" s="378"/>
      <c r="C904" s="378"/>
      <c r="D904" s="378"/>
      <c r="F904" s="378"/>
      <c r="G904" s="378"/>
      <c r="H904" s="378"/>
      <c r="I904" s="378"/>
      <c r="J904" s="378"/>
      <c r="K904" s="378"/>
      <c r="L904" s="378"/>
      <c r="M904" s="378"/>
      <c r="N904" s="378"/>
      <c r="O904" s="378"/>
      <c r="P904" s="378"/>
      <c r="Q904" s="378"/>
      <c r="R904" s="378"/>
      <c r="S904" s="378"/>
      <c r="T904" s="378"/>
      <c r="U904" s="378"/>
      <c r="V904" s="378"/>
      <c r="W904" s="378"/>
      <c r="X904" s="378"/>
      <c r="Y904" s="378"/>
      <c r="Z904" s="378"/>
      <c r="AA904" s="378"/>
      <c r="AB904" s="378"/>
      <c r="AC904" s="378"/>
      <c r="AD904" s="378"/>
      <c r="AE904" s="378"/>
      <c r="AF904" s="378"/>
    </row>
    <row r="905" spans="2:32">
      <c r="B905" s="378"/>
      <c r="C905" s="378"/>
      <c r="D905" s="378"/>
      <c r="F905" s="378"/>
      <c r="G905" s="378"/>
      <c r="H905" s="378"/>
      <c r="I905" s="378"/>
      <c r="J905" s="378"/>
      <c r="K905" s="378"/>
      <c r="L905" s="378"/>
      <c r="M905" s="378"/>
      <c r="N905" s="378"/>
      <c r="O905" s="378"/>
      <c r="P905" s="378"/>
      <c r="Q905" s="378"/>
      <c r="R905" s="378"/>
      <c r="S905" s="378"/>
      <c r="T905" s="378"/>
      <c r="U905" s="378"/>
      <c r="V905" s="378"/>
      <c r="W905" s="378"/>
      <c r="X905" s="378"/>
      <c r="Y905" s="378"/>
      <c r="Z905" s="378"/>
      <c r="AA905" s="378"/>
      <c r="AB905" s="378"/>
      <c r="AC905" s="378"/>
      <c r="AD905" s="378"/>
      <c r="AE905" s="378"/>
      <c r="AF905" s="378"/>
    </row>
    <row r="906" spans="2:32">
      <c r="B906" s="378"/>
      <c r="C906" s="378"/>
      <c r="D906" s="378"/>
      <c r="F906" s="378"/>
      <c r="G906" s="378"/>
      <c r="H906" s="378"/>
      <c r="I906" s="378"/>
      <c r="J906" s="378"/>
      <c r="K906" s="378"/>
      <c r="L906" s="378"/>
      <c r="M906" s="378"/>
      <c r="N906" s="378"/>
      <c r="O906" s="378"/>
      <c r="P906" s="378"/>
      <c r="Q906" s="378"/>
      <c r="R906" s="378"/>
      <c r="S906" s="378"/>
      <c r="T906" s="378"/>
      <c r="U906" s="378"/>
      <c r="V906" s="378"/>
      <c r="W906" s="378"/>
      <c r="X906" s="378"/>
      <c r="Y906" s="378"/>
      <c r="Z906" s="378"/>
      <c r="AA906" s="378"/>
      <c r="AB906" s="378"/>
      <c r="AC906" s="378"/>
      <c r="AD906" s="378"/>
      <c r="AE906" s="378"/>
      <c r="AF906" s="378"/>
    </row>
    <row r="907" spans="2:32">
      <c r="B907" s="378"/>
      <c r="C907" s="378"/>
      <c r="D907" s="378"/>
      <c r="F907" s="378"/>
      <c r="G907" s="378"/>
      <c r="H907" s="378"/>
      <c r="I907" s="378"/>
      <c r="J907" s="378"/>
      <c r="K907" s="378"/>
      <c r="L907" s="378"/>
      <c r="M907" s="378"/>
      <c r="N907" s="378"/>
      <c r="O907" s="378"/>
      <c r="P907" s="378"/>
      <c r="Q907" s="378"/>
      <c r="R907" s="378"/>
      <c r="S907" s="378"/>
      <c r="T907" s="378"/>
      <c r="U907" s="378"/>
      <c r="V907" s="378"/>
      <c r="W907" s="378"/>
      <c r="X907" s="378"/>
      <c r="Y907" s="378"/>
      <c r="Z907" s="378"/>
      <c r="AA907" s="378"/>
      <c r="AB907" s="378"/>
      <c r="AC907" s="378"/>
      <c r="AD907" s="378"/>
      <c r="AE907" s="378"/>
      <c r="AF907" s="378"/>
    </row>
    <row r="908" spans="2:32">
      <c r="B908" s="378"/>
      <c r="C908" s="378"/>
      <c r="D908" s="378"/>
      <c r="F908" s="378"/>
      <c r="G908" s="378"/>
      <c r="H908" s="378"/>
      <c r="I908" s="378"/>
      <c r="J908" s="378"/>
      <c r="K908" s="378"/>
      <c r="L908" s="378"/>
      <c r="M908" s="378"/>
      <c r="N908" s="378"/>
      <c r="O908" s="378"/>
      <c r="P908" s="378"/>
      <c r="Q908" s="378"/>
      <c r="R908" s="378"/>
      <c r="S908" s="378"/>
      <c r="T908" s="378"/>
      <c r="U908" s="378"/>
      <c r="V908" s="378"/>
      <c r="W908" s="378"/>
      <c r="X908" s="378"/>
      <c r="Y908" s="378"/>
      <c r="Z908" s="378"/>
      <c r="AA908" s="378"/>
      <c r="AB908" s="378"/>
      <c r="AC908" s="378"/>
      <c r="AD908" s="378"/>
      <c r="AE908" s="378"/>
      <c r="AF908" s="378"/>
    </row>
    <row r="909" spans="2:32">
      <c r="B909" s="378"/>
      <c r="C909" s="378"/>
      <c r="D909" s="378"/>
      <c r="F909" s="378"/>
      <c r="G909" s="378"/>
      <c r="H909" s="378"/>
      <c r="I909" s="378"/>
      <c r="J909" s="378"/>
      <c r="K909" s="378"/>
      <c r="L909" s="378"/>
      <c r="M909" s="378"/>
      <c r="N909" s="378"/>
      <c r="O909" s="378"/>
      <c r="P909" s="378"/>
      <c r="Q909" s="378"/>
      <c r="R909" s="378"/>
      <c r="S909" s="378"/>
      <c r="T909" s="378"/>
      <c r="U909" s="378"/>
      <c r="V909" s="378"/>
      <c r="W909" s="378"/>
      <c r="X909" s="378"/>
      <c r="Y909" s="378"/>
      <c r="Z909" s="378"/>
      <c r="AA909" s="378"/>
      <c r="AB909" s="378"/>
      <c r="AC909" s="378"/>
      <c r="AD909" s="378"/>
      <c r="AE909" s="378"/>
      <c r="AF909" s="378"/>
    </row>
    <row r="910" spans="2:32">
      <c r="B910" s="378"/>
      <c r="C910" s="378"/>
      <c r="D910" s="378"/>
      <c r="F910" s="378"/>
      <c r="G910" s="378"/>
      <c r="H910" s="378"/>
      <c r="I910" s="378"/>
      <c r="J910" s="378"/>
      <c r="K910" s="378"/>
      <c r="L910" s="378"/>
      <c r="M910" s="378"/>
      <c r="N910" s="378"/>
      <c r="O910" s="378"/>
      <c r="P910" s="378"/>
      <c r="Q910" s="378"/>
      <c r="R910" s="378"/>
      <c r="S910" s="378"/>
      <c r="T910" s="378"/>
      <c r="U910" s="378"/>
      <c r="V910" s="378"/>
      <c r="W910" s="378"/>
      <c r="X910" s="378"/>
      <c r="Y910" s="378"/>
      <c r="Z910" s="378"/>
      <c r="AA910" s="378"/>
      <c r="AB910" s="378"/>
      <c r="AC910" s="378"/>
      <c r="AD910" s="378"/>
      <c r="AE910" s="378"/>
      <c r="AF910" s="378"/>
    </row>
    <row r="911" spans="2:32">
      <c r="B911" s="378"/>
      <c r="C911" s="378"/>
      <c r="D911" s="378"/>
      <c r="F911" s="378"/>
      <c r="G911" s="378"/>
      <c r="H911" s="378"/>
      <c r="I911" s="378"/>
      <c r="J911" s="378"/>
      <c r="K911" s="378"/>
      <c r="L911" s="378"/>
      <c r="M911" s="378"/>
      <c r="N911" s="378"/>
      <c r="O911" s="378"/>
      <c r="P911" s="378"/>
      <c r="Q911" s="378"/>
      <c r="R911" s="378"/>
      <c r="S911" s="378"/>
      <c r="T911" s="378"/>
      <c r="U911" s="378"/>
      <c r="V911" s="378"/>
      <c r="W911" s="378"/>
      <c r="X911" s="378"/>
      <c r="Y911" s="378"/>
      <c r="Z911" s="378"/>
      <c r="AA911" s="378"/>
      <c r="AB911" s="378"/>
      <c r="AC911" s="378"/>
      <c r="AD911" s="378"/>
      <c r="AE911" s="378"/>
      <c r="AF911" s="378"/>
    </row>
    <row r="912" spans="2:32">
      <c r="B912" s="378"/>
      <c r="C912" s="378"/>
      <c r="D912" s="378"/>
      <c r="F912" s="378"/>
      <c r="G912" s="378"/>
      <c r="H912" s="378"/>
      <c r="I912" s="378"/>
      <c r="J912" s="378"/>
      <c r="K912" s="378"/>
      <c r="L912" s="378"/>
      <c r="M912" s="378"/>
      <c r="N912" s="378"/>
      <c r="O912" s="378"/>
      <c r="P912" s="378"/>
      <c r="Q912" s="378"/>
      <c r="R912" s="378"/>
      <c r="S912" s="378"/>
      <c r="T912" s="378"/>
      <c r="U912" s="378"/>
      <c r="V912" s="378"/>
      <c r="W912" s="378"/>
      <c r="X912" s="378"/>
      <c r="Y912" s="378"/>
      <c r="Z912" s="378"/>
      <c r="AA912" s="378"/>
      <c r="AB912" s="378"/>
      <c r="AC912" s="378"/>
      <c r="AD912" s="378"/>
      <c r="AE912" s="378"/>
      <c r="AF912" s="378"/>
    </row>
    <row r="913" spans="2:32">
      <c r="B913" s="378"/>
      <c r="C913" s="378"/>
      <c r="D913" s="378"/>
      <c r="F913" s="378"/>
      <c r="G913" s="378"/>
      <c r="H913" s="378"/>
      <c r="I913" s="378"/>
      <c r="J913" s="378"/>
      <c r="K913" s="378"/>
      <c r="L913" s="378"/>
      <c r="M913" s="378"/>
      <c r="N913" s="378"/>
      <c r="O913" s="378"/>
      <c r="P913" s="378"/>
      <c r="Q913" s="378"/>
      <c r="R913" s="378"/>
      <c r="S913" s="378"/>
      <c r="T913" s="378"/>
      <c r="U913" s="378"/>
      <c r="V913" s="378"/>
      <c r="W913" s="378"/>
      <c r="X913" s="378"/>
      <c r="Y913" s="378"/>
      <c r="Z913" s="378"/>
      <c r="AA913" s="378"/>
      <c r="AB913" s="378"/>
      <c r="AC913" s="378"/>
      <c r="AD913" s="378"/>
      <c r="AE913" s="378"/>
      <c r="AF913" s="378"/>
    </row>
    <row r="914" spans="2:32">
      <c r="B914" s="378"/>
      <c r="C914" s="378"/>
      <c r="D914" s="378"/>
      <c r="F914" s="378"/>
      <c r="G914" s="378"/>
      <c r="H914" s="378"/>
      <c r="I914" s="378"/>
      <c r="J914" s="378"/>
      <c r="K914" s="378"/>
      <c r="L914" s="378"/>
      <c r="M914" s="378"/>
      <c r="N914" s="378"/>
      <c r="O914" s="378"/>
      <c r="P914" s="378"/>
      <c r="Q914" s="378"/>
      <c r="R914" s="378"/>
      <c r="S914" s="378"/>
      <c r="T914" s="378"/>
      <c r="U914" s="378"/>
      <c r="V914" s="378"/>
      <c r="W914" s="378"/>
      <c r="X914" s="378"/>
      <c r="Y914" s="378"/>
      <c r="Z914" s="378"/>
      <c r="AA914" s="378"/>
      <c r="AB914" s="378"/>
      <c r="AC914" s="378"/>
      <c r="AD914" s="378"/>
      <c r="AE914" s="378"/>
      <c r="AF914" s="378"/>
    </row>
    <row r="915" spans="2:32">
      <c r="B915" s="378"/>
      <c r="C915" s="378"/>
      <c r="D915" s="378"/>
      <c r="F915" s="378"/>
      <c r="G915" s="378"/>
      <c r="H915" s="378"/>
      <c r="I915" s="378"/>
      <c r="J915" s="378"/>
      <c r="K915" s="378"/>
      <c r="L915" s="378"/>
      <c r="M915" s="378"/>
      <c r="N915" s="378"/>
      <c r="O915" s="378"/>
      <c r="P915" s="378"/>
      <c r="Q915" s="378"/>
      <c r="R915" s="378"/>
      <c r="S915" s="378"/>
      <c r="T915" s="378"/>
      <c r="U915" s="378"/>
      <c r="V915" s="378"/>
      <c r="W915" s="378"/>
      <c r="X915" s="378"/>
      <c r="Y915" s="378"/>
      <c r="Z915" s="378"/>
      <c r="AA915" s="378"/>
      <c r="AB915" s="378"/>
      <c r="AC915" s="378"/>
      <c r="AD915" s="378"/>
      <c r="AE915" s="378"/>
      <c r="AF915" s="378"/>
    </row>
    <row r="916" spans="2:32">
      <c r="B916" s="378"/>
      <c r="C916" s="378"/>
      <c r="D916" s="378"/>
      <c r="F916" s="378"/>
      <c r="G916" s="378"/>
      <c r="H916" s="378"/>
      <c r="I916" s="378"/>
      <c r="J916" s="378"/>
      <c r="K916" s="378"/>
      <c r="L916" s="378"/>
      <c r="M916" s="378"/>
      <c r="N916" s="378"/>
      <c r="O916" s="378"/>
      <c r="P916" s="378"/>
      <c r="Q916" s="378"/>
      <c r="R916" s="378"/>
      <c r="S916" s="378"/>
      <c r="T916" s="378"/>
      <c r="U916" s="378"/>
      <c r="V916" s="378"/>
      <c r="W916" s="378"/>
      <c r="X916" s="378"/>
      <c r="Y916" s="378"/>
      <c r="Z916" s="378"/>
      <c r="AA916" s="378"/>
      <c r="AB916" s="378"/>
      <c r="AC916" s="378"/>
      <c r="AD916" s="378"/>
      <c r="AE916" s="378"/>
      <c r="AF916" s="378"/>
    </row>
    <row r="917" spans="2:32">
      <c r="B917" s="378"/>
      <c r="C917" s="378"/>
      <c r="D917" s="378"/>
      <c r="F917" s="378"/>
      <c r="G917" s="378"/>
      <c r="H917" s="378"/>
      <c r="I917" s="378"/>
      <c r="J917" s="378"/>
      <c r="K917" s="378"/>
      <c r="L917" s="378"/>
      <c r="M917" s="378"/>
      <c r="N917" s="378"/>
      <c r="O917" s="378"/>
      <c r="P917" s="378"/>
      <c r="Q917" s="378"/>
      <c r="R917" s="378"/>
      <c r="S917" s="378"/>
      <c r="T917" s="378"/>
      <c r="U917" s="378"/>
      <c r="V917" s="378"/>
      <c r="W917" s="378"/>
      <c r="X917" s="378"/>
      <c r="Y917" s="378"/>
      <c r="Z917" s="378"/>
      <c r="AA917" s="378"/>
      <c r="AB917" s="378"/>
      <c r="AC917" s="378"/>
      <c r="AD917" s="378"/>
      <c r="AE917" s="378"/>
      <c r="AF917" s="378"/>
    </row>
    <row r="918" spans="2:32">
      <c r="B918" s="378"/>
      <c r="C918" s="378"/>
      <c r="D918" s="378"/>
      <c r="F918" s="378"/>
      <c r="G918" s="378"/>
      <c r="H918" s="378"/>
      <c r="I918" s="378"/>
      <c r="J918" s="378"/>
      <c r="K918" s="378"/>
      <c r="L918" s="378"/>
      <c r="M918" s="378"/>
      <c r="N918" s="378"/>
      <c r="O918" s="378"/>
      <c r="P918" s="378"/>
      <c r="Q918" s="378"/>
      <c r="R918" s="378"/>
      <c r="S918" s="378"/>
      <c r="T918" s="378"/>
      <c r="U918" s="378"/>
      <c r="V918" s="378"/>
      <c r="W918" s="378"/>
      <c r="X918" s="378"/>
      <c r="Y918" s="378"/>
      <c r="Z918" s="378"/>
      <c r="AA918" s="378"/>
      <c r="AB918" s="378"/>
      <c r="AC918" s="378"/>
      <c r="AD918" s="378"/>
      <c r="AE918" s="378"/>
      <c r="AF918" s="378"/>
    </row>
    <row r="919" spans="2:32">
      <c r="B919" s="378"/>
      <c r="C919" s="378"/>
      <c r="D919" s="378"/>
      <c r="F919" s="378"/>
      <c r="G919" s="378"/>
      <c r="H919" s="378"/>
      <c r="I919" s="378"/>
      <c r="J919" s="378"/>
      <c r="K919" s="378"/>
      <c r="L919" s="378"/>
      <c r="M919" s="378"/>
      <c r="N919" s="378"/>
      <c r="O919" s="378"/>
      <c r="P919" s="378"/>
      <c r="Q919" s="378"/>
      <c r="R919" s="378"/>
      <c r="S919" s="378"/>
      <c r="T919" s="378"/>
      <c r="U919" s="378"/>
      <c r="V919" s="378"/>
      <c r="W919" s="378"/>
      <c r="X919" s="378"/>
      <c r="Y919" s="378"/>
      <c r="Z919" s="378"/>
      <c r="AA919" s="378"/>
      <c r="AB919" s="378"/>
      <c r="AC919" s="378"/>
      <c r="AD919" s="378"/>
      <c r="AE919" s="378"/>
      <c r="AF919" s="378"/>
    </row>
    <row r="920" spans="2:32">
      <c r="B920" s="378"/>
      <c r="C920" s="378"/>
      <c r="D920" s="378"/>
      <c r="F920" s="378"/>
      <c r="G920" s="378"/>
      <c r="H920" s="378"/>
      <c r="I920" s="378"/>
      <c r="J920" s="378"/>
      <c r="K920" s="378"/>
      <c r="L920" s="378"/>
      <c r="M920" s="378"/>
      <c r="N920" s="378"/>
      <c r="O920" s="378"/>
      <c r="P920" s="378"/>
      <c r="Q920" s="378"/>
      <c r="R920" s="378"/>
      <c r="S920" s="378"/>
      <c r="T920" s="378"/>
      <c r="U920" s="378"/>
      <c r="V920" s="378"/>
      <c r="W920" s="378"/>
      <c r="X920" s="378"/>
      <c r="Y920" s="378"/>
      <c r="Z920" s="378"/>
      <c r="AA920" s="378"/>
      <c r="AB920" s="378"/>
      <c r="AC920" s="378"/>
      <c r="AD920" s="378"/>
      <c r="AE920" s="378"/>
      <c r="AF920" s="378"/>
    </row>
    <row r="921" spans="2:32">
      <c r="B921" s="378"/>
      <c r="C921" s="378"/>
      <c r="D921" s="378"/>
      <c r="F921" s="378"/>
      <c r="G921" s="378"/>
      <c r="H921" s="378"/>
      <c r="I921" s="378"/>
      <c r="J921" s="378"/>
      <c r="K921" s="378"/>
      <c r="L921" s="378"/>
      <c r="M921" s="378"/>
      <c r="N921" s="378"/>
      <c r="O921" s="378"/>
      <c r="P921" s="378"/>
      <c r="Q921" s="378"/>
      <c r="R921" s="378"/>
      <c r="S921" s="378"/>
      <c r="T921" s="378"/>
      <c r="U921" s="378"/>
      <c r="V921" s="378"/>
      <c r="W921" s="378"/>
      <c r="X921" s="378"/>
      <c r="Y921" s="378"/>
      <c r="Z921" s="378"/>
      <c r="AA921" s="378"/>
      <c r="AB921" s="378"/>
      <c r="AC921" s="378"/>
      <c r="AD921" s="378"/>
      <c r="AE921" s="378"/>
      <c r="AF921" s="378"/>
    </row>
    <row r="922" spans="2:32">
      <c r="B922" s="378"/>
      <c r="C922" s="378"/>
      <c r="D922" s="378"/>
      <c r="F922" s="378"/>
      <c r="G922" s="378"/>
      <c r="H922" s="378"/>
      <c r="I922" s="378"/>
      <c r="J922" s="378"/>
      <c r="K922" s="378"/>
      <c r="L922" s="378"/>
      <c r="M922" s="378"/>
      <c r="N922" s="378"/>
      <c r="O922" s="378"/>
      <c r="P922" s="378"/>
      <c r="Q922" s="378"/>
      <c r="R922" s="378"/>
      <c r="S922" s="378"/>
      <c r="T922" s="378"/>
      <c r="U922" s="378"/>
      <c r="V922" s="378"/>
      <c r="W922" s="378"/>
      <c r="X922" s="378"/>
      <c r="Y922" s="378"/>
      <c r="Z922" s="378"/>
      <c r="AA922" s="378"/>
      <c r="AB922" s="378"/>
      <c r="AC922" s="378"/>
      <c r="AD922" s="378"/>
      <c r="AE922" s="378"/>
      <c r="AF922" s="378"/>
    </row>
    <row r="923" spans="2:32">
      <c r="B923" s="378"/>
      <c r="C923" s="378"/>
      <c r="D923" s="378"/>
      <c r="F923" s="378"/>
      <c r="G923" s="378"/>
      <c r="H923" s="378"/>
      <c r="I923" s="378"/>
      <c r="J923" s="378"/>
      <c r="K923" s="378"/>
      <c r="L923" s="378"/>
      <c r="M923" s="378"/>
      <c r="N923" s="378"/>
      <c r="O923" s="378"/>
      <c r="P923" s="378"/>
      <c r="Q923" s="378"/>
      <c r="R923" s="378"/>
      <c r="S923" s="378"/>
      <c r="T923" s="378"/>
      <c r="U923" s="378"/>
      <c r="V923" s="378"/>
      <c r="W923" s="378"/>
      <c r="X923" s="378"/>
      <c r="Y923" s="378"/>
      <c r="Z923" s="378"/>
      <c r="AA923" s="378"/>
      <c r="AB923" s="378"/>
      <c r="AC923" s="378"/>
      <c r="AD923" s="378"/>
      <c r="AE923" s="378"/>
      <c r="AF923" s="378"/>
    </row>
    <row r="924" spans="2:32">
      <c r="B924" s="378"/>
      <c r="C924" s="378"/>
      <c r="D924" s="378"/>
      <c r="F924" s="378"/>
      <c r="G924" s="378"/>
      <c r="H924" s="378"/>
      <c r="I924" s="378"/>
      <c r="J924" s="378"/>
      <c r="K924" s="378"/>
      <c r="L924" s="378"/>
      <c r="M924" s="378"/>
      <c r="N924" s="378"/>
      <c r="O924" s="378"/>
      <c r="P924" s="378"/>
      <c r="Q924" s="378"/>
      <c r="R924" s="378"/>
      <c r="S924" s="378"/>
      <c r="T924" s="378"/>
      <c r="U924" s="378"/>
      <c r="V924" s="378"/>
      <c r="W924" s="378"/>
      <c r="X924" s="378"/>
      <c r="Y924" s="378"/>
      <c r="Z924" s="378"/>
      <c r="AA924" s="378"/>
      <c r="AB924" s="378"/>
      <c r="AC924" s="378"/>
      <c r="AD924" s="378"/>
      <c r="AE924" s="378"/>
      <c r="AF924" s="378"/>
    </row>
    <row r="925" spans="2:32">
      <c r="B925" s="378"/>
      <c r="C925" s="378"/>
      <c r="D925" s="378"/>
      <c r="F925" s="378"/>
      <c r="G925" s="378"/>
      <c r="H925" s="378"/>
      <c r="I925" s="378"/>
      <c r="J925" s="378"/>
      <c r="K925" s="378"/>
      <c r="L925" s="378"/>
      <c r="M925" s="378"/>
      <c r="N925" s="378"/>
      <c r="O925" s="378"/>
      <c r="P925" s="378"/>
      <c r="Q925" s="378"/>
      <c r="R925" s="378"/>
      <c r="S925" s="378"/>
      <c r="T925" s="378"/>
      <c r="U925" s="378"/>
      <c r="V925" s="378"/>
      <c r="W925" s="378"/>
      <c r="X925" s="378"/>
      <c r="Y925" s="378"/>
      <c r="Z925" s="378"/>
      <c r="AA925" s="378"/>
      <c r="AB925" s="378"/>
      <c r="AC925" s="378"/>
      <c r="AD925" s="378"/>
      <c r="AE925" s="378"/>
      <c r="AF925" s="378"/>
    </row>
    <row r="926" spans="2:32">
      <c r="B926" s="378"/>
      <c r="C926" s="378"/>
      <c r="D926" s="378"/>
      <c r="F926" s="378"/>
      <c r="G926" s="378"/>
      <c r="H926" s="378"/>
      <c r="I926" s="378"/>
      <c r="J926" s="378"/>
      <c r="K926" s="378"/>
      <c r="L926" s="378"/>
      <c r="M926" s="378"/>
      <c r="N926" s="378"/>
      <c r="O926" s="378"/>
      <c r="P926" s="378"/>
      <c r="Q926" s="378"/>
      <c r="R926" s="378"/>
      <c r="S926" s="378"/>
      <c r="T926" s="378"/>
      <c r="U926" s="378"/>
      <c r="V926" s="378"/>
      <c r="W926" s="378"/>
      <c r="X926" s="378"/>
      <c r="Y926" s="378"/>
      <c r="Z926" s="378"/>
      <c r="AA926" s="378"/>
      <c r="AB926" s="378"/>
      <c r="AC926" s="378"/>
      <c r="AD926" s="378"/>
      <c r="AE926" s="378"/>
      <c r="AF926" s="378"/>
    </row>
    <row r="927" spans="2:32">
      <c r="B927" s="378"/>
      <c r="C927" s="378"/>
      <c r="D927" s="378"/>
      <c r="F927" s="378"/>
      <c r="G927" s="378"/>
      <c r="H927" s="378"/>
      <c r="I927" s="378"/>
      <c r="J927" s="378"/>
      <c r="K927" s="378"/>
      <c r="L927" s="378"/>
      <c r="M927" s="378"/>
      <c r="N927" s="378"/>
      <c r="O927" s="378"/>
      <c r="P927" s="378"/>
      <c r="Q927" s="378"/>
      <c r="R927" s="378"/>
      <c r="S927" s="378"/>
      <c r="T927" s="378"/>
      <c r="U927" s="378"/>
      <c r="V927" s="378"/>
      <c r="W927" s="378"/>
      <c r="X927" s="378"/>
      <c r="Y927" s="378"/>
      <c r="Z927" s="378"/>
      <c r="AA927" s="378"/>
      <c r="AB927" s="378"/>
      <c r="AC927" s="378"/>
      <c r="AD927" s="378"/>
      <c r="AE927" s="378"/>
      <c r="AF927" s="378"/>
    </row>
    <row r="928" spans="2:32">
      <c r="B928" s="378"/>
      <c r="C928" s="378"/>
      <c r="D928" s="378"/>
      <c r="F928" s="378"/>
      <c r="G928" s="378"/>
      <c r="H928" s="378"/>
      <c r="I928" s="378"/>
      <c r="J928" s="378"/>
      <c r="K928" s="378"/>
      <c r="L928" s="378"/>
      <c r="M928" s="378"/>
      <c r="N928" s="378"/>
      <c r="O928" s="378"/>
      <c r="P928" s="378"/>
      <c r="Q928" s="378"/>
      <c r="R928" s="378"/>
      <c r="S928" s="378"/>
      <c r="T928" s="378"/>
      <c r="U928" s="378"/>
      <c r="V928" s="378"/>
      <c r="W928" s="378"/>
      <c r="X928" s="378"/>
      <c r="Y928" s="378"/>
      <c r="Z928" s="378"/>
      <c r="AA928" s="378"/>
      <c r="AB928" s="378"/>
      <c r="AC928" s="378"/>
      <c r="AD928" s="378"/>
      <c r="AE928" s="378"/>
      <c r="AF928" s="378"/>
    </row>
    <row r="929" spans="2:32">
      <c r="B929" s="378"/>
      <c r="C929" s="378"/>
      <c r="D929" s="378"/>
      <c r="F929" s="378"/>
      <c r="G929" s="378"/>
      <c r="H929" s="378"/>
      <c r="I929" s="378"/>
      <c r="J929" s="378"/>
      <c r="K929" s="378"/>
      <c r="L929" s="378"/>
      <c r="M929" s="378"/>
      <c r="N929" s="378"/>
      <c r="O929" s="378"/>
      <c r="P929" s="378"/>
      <c r="Q929" s="378"/>
      <c r="R929" s="378"/>
      <c r="S929" s="378"/>
      <c r="T929" s="378"/>
      <c r="U929" s="378"/>
      <c r="V929" s="378"/>
      <c r="W929" s="378"/>
      <c r="X929" s="378"/>
      <c r="Y929" s="378"/>
      <c r="Z929" s="378"/>
      <c r="AA929" s="378"/>
      <c r="AB929" s="378"/>
      <c r="AC929" s="378"/>
      <c r="AD929" s="378"/>
      <c r="AE929" s="378"/>
      <c r="AF929" s="378"/>
    </row>
    <row r="930" spans="2:32">
      <c r="B930" s="378"/>
      <c r="C930" s="378"/>
      <c r="D930" s="378"/>
      <c r="F930" s="378"/>
      <c r="G930" s="378"/>
      <c r="H930" s="378"/>
      <c r="I930" s="378"/>
      <c r="J930" s="378"/>
      <c r="K930" s="378"/>
      <c r="L930" s="378"/>
      <c r="M930" s="378"/>
      <c r="N930" s="378"/>
      <c r="O930" s="378"/>
      <c r="P930" s="378"/>
      <c r="Q930" s="378"/>
      <c r="R930" s="378"/>
      <c r="S930" s="378"/>
      <c r="T930" s="378"/>
      <c r="U930" s="378"/>
      <c r="V930" s="378"/>
      <c r="W930" s="378"/>
      <c r="X930" s="378"/>
      <c r="Y930" s="378"/>
      <c r="Z930" s="378"/>
      <c r="AA930" s="378"/>
      <c r="AB930" s="378"/>
      <c r="AC930" s="378"/>
      <c r="AD930" s="378"/>
      <c r="AE930" s="378"/>
      <c r="AF930" s="378"/>
    </row>
    <row r="931" spans="2:32">
      <c r="B931" s="378"/>
      <c r="C931" s="378"/>
      <c r="D931" s="378"/>
      <c r="F931" s="378"/>
      <c r="G931" s="378"/>
      <c r="H931" s="378"/>
      <c r="I931" s="378"/>
      <c r="J931" s="378"/>
      <c r="K931" s="378"/>
      <c r="L931" s="378"/>
      <c r="M931" s="378"/>
      <c r="N931" s="378"/>
      <c r="O931" s="378"/>
      <c r="P931" s="378"/>
      <c r="Q931" s="378"/>
      <c r="R931" s="378"/>
      <c r="S931" s="378"/>
      <c r="T931" s="378"/>
      <c r="U931" s="378"/>
      <c r="V931" s="378"/>
      <c r="W931" s="378"/>
      <c r="X931" s="378"/>
      <c r="Y931" s="378"/>
      <c r="Z931" s="378"/>
      <c r="AA931" s="378"/>
      <c r="AB931" s="378"/>
      <c r="AC931" s="378"/>
      <c r="AD931" s="378"/>
      <c r="AE931" s="378"/>
      <c r="AF931" s="378"/>
    </row>
    <row r="932" spans="2:32">
      <c r="B932" s="378"/>
      <c r="C932" s="378"/>
      <c r="D932" s="378"/>
      <c r="F932" s="378"/>
      <c r="G932" s="378"/>
      <c r="H932" s="378"/>
      <c r="I932" s="378"/>
      <c r="J932" s="378"/>
      <c r="K932" s="378"/>
      <c r="L932" s="378"/>
      <c r="M932" s="378"/>
      <c r="N932" s="378"/>
      <c r="O932" s="378"/>
      <c r="P932" s="378"/>
      <c r="Q932" s="378"/>
      <c r="R932" s="378"/>
      <c r="S932" s="378"/>
      <c r="T932" s="378"/>
      <c r="U932" s="378"/>
      <c r="V932" s="378"/>
      <c r="W932" s="378"/>
      <c r="X932" s="378"/>
      <c r="Y932" s="378"/>
      <c r="Z932" s="378"/>
      <c r="AA932" s="378"/>
      <c r="AB932" s="378"/>
      <c r="AC932" s="378"/>
      <c r="AD932" s="378"/>
      <c r="AE932" s="378"/>
      <c r="AF932" s="378"/>
    </row>
    <row r="933" spans="2:32">
      <c r="B933" s="378"/>
      <c r="C933" s="378"/>
      <c r="D933" s="378"/>
      <c r="F933" s="378"/>
      <c r="G933" s="378"/>
      <c r="H933" s="378"/>
      <c r="I933" s="378"/>
      <c r="J933" s="378"/>
      <c r="K933" s="378"/>
      <c r="L933" s="378"/>
      <c r="M933" s="378"/>
      <c r="N933" s="378"/>
      <c r="O933" s="378"/>
      <c r="P933" s="378"/>
      <c r="Q933" s="378"/>
      <c r="R933" s="378"/>
      <c r="S933" s="378"/>
      <c r="T933" s="378"/>
      <c r="U933" s="378"/>
      <c r="V933" s="378"/>
      <c r="W933" s="378"/>
      <c r="X933" s="378"/>
      <c r="Y933" s="378"/>
      <c r="Z933" s="378"/>
      <c r="AA933" s="378"/>
      <c r="AB933" s="378"/>
      <c r="AC933" s="378"/>
      <c r="AD933" s="378"/>
      <c r="AE933" s="378"/>
      <c r="AF933" s="378"/>
    </row>
    <row r="934" spans="2:32">
      <c r="B934" s="378"/>
      <c r="C934" s="378"/>
      <c r="D934" s="378"/>
      <c r="F934" s="378"/>
      <c r="G934" s="378"/>
      <c r="H934" s="378"/>
      <c r="I934" s="378"/>
      <c r="J934" s="378"/>
      <c r="K934" s="378"/>
      <c r="L934" s="378"/>
      <c r="M934" s="378"/>
      <c r="N934" s="378"/>
      <c r="O934" s="378"/>
      <c r="P934" s="378"/>
      <c r="Q934" s="378"/>
      <c r="R934" s="378"/>
      <c r="S934" s="378"/>
      <c r="T934" s="378"/>
      <c r="U934" s="378"/>
      <c r="V934" s="378"/>
      <c r="W934" s="378"/>
      <c r="X934" s="378"/>
      <c r="Y934" s="378"/>
      <c r="Z934" s="378"/>
      <c r="AA934" s="378"/>
      <c r="AB934" s="378"/>
      <c r="AC934" s="378"/>
      <c r="AD934" s="378"/>
      <c r="AE934" s="378"/>
      <c r="AF934" s="378"/>
    </row>
    <row r="935" spans="2:32">
      <c r="B935" s="378"/>
      <c r="C935" s="378"/>
      <c r="D935" s="378"/>
      <c r="F935" s="378"/>
      <c r="G935" s="378"/>
      <c r="H935" s="378"/>
      <c r="I935" s="378"/>
      <c r="J935" s="378"/>
      <c r="K935" s="378"/>
      <c r="L935" s="378"/>
      <c r="M935" s="378"/>
      <c r="N935" s="378"/>
      <c r="O935" s="378"/>
      <c r="P935" s="378"/>
      <c r="Q935" s="378"/>
      <c r="R935" s="378"/>
      <c r="S935" s="378"/>
      <c r="T935" s="378"/>
      <c r="U935" s="378"/>
      <c r="V935" s="378"/>
      <c r="W935" s="378"/>
      <c r="X935" s="378"/>
      <c r="Y935" s="378"/>
      <c r="Z935" s="378"/>
      <c r="AA935" s="378"/>
      <c r="AB935" s="378"/>
      <c r="AC935" s="378"/>
      <c r="AD935" s="378"/>
      <c r="AE935" s="378"/>
      <c r="AF935" s="378"/>
    </row>
    <row r="936" spans="2:32">
      <c r="B936" s="378"/>
      <c r="C936" s="378"/>
      <c r="D936" s="378"/>
      <c r="F936" s="378"/>
      <c r="G936" s="378"/>
      <c r="H936" s="378"/>
      <c r="I936" s="378"/>
      <c r="J936" s="378"/>
      <c r="K936" s="378"/>
      <c r="L936" s="378"/>
      <c r="M936" s="378"/>
      <c r="N936" s="378"/>
      <c r="O936" s="378"/>
      <c r="P936" s="378"/>
      <c r="Q936" s="378"/>
      <c r="R936" s="378"/>
      <c r="S936" s="378"/>
      <c r="T936" s="378"/>
      <c r="U936" s="378"/>
      <c r="V936" s="378"/>
      <c r="W936" s="378"/>
      <c r="X936" s="378"/>
      <c r="Y936" s="378"/>
      <c r="Z936" s="378"/>
      <c r="AA936" s="378"/>
      <c r="AB936" s="378"/>
      <c r="AC936" s="378"/>
      <c r="AD936" s="378"/>
      <c r="AE936" s="378"/>
      <c r="AF936" s="378"/>
    </row>
    <row r="937" spans="2:32">
      <c r="B937" s="378"/>
      <c r="C937" s="378"/>
      <c r="D937" s="378"/>
      <c r="F937" s="378"/>
      <c r="G937" s="378"/>
      <c r="H937" s="378"/>
      <c r="I937" s="378"/>
      <c r="J937" s="378"/>
      <c r="K937" s="378"/>
      <c r="L937" s="378"/>
      <c r="M937" s="378"/>
      <c r="N937" s="378"/>
      <c r="O937" s="378"/>
      <c r="P937" s="378"/>
      <c r="Q937" s="378"/>
      <c r="R937" s="378"/>
      <c r="S937" s="378"/>
      <c r="T937" s="378"/>
      <c r="U937" s="378"/>
      <c r="V937" s="378"/>
      <c r="W937" s="378"/>
      <c r="X937" s="378"/>
      <c r="Y937" s="378"/>
      <c r="Z937" s="378"/>
      <c r="AA937" s="378"/>
      <c r="AB937" s="378"/>
      <c r="AC937" s="378"/>
      <c r="AD937" s="378"/>
      <c r="AE937" s="378"/>
      <c r="AF937" s="378"/>
    </row>
    <row r="938" spans="2:32">
      <c r="B938" s="378"/>
      <c r="C938" s="378"/>
      <c r="D938" s="378"/>
      <c r="F938" s="378"/>
      <c r="G938" s="378"/>
      <c r="H938" s="378"/>
      <c r="I938" s="378"/>
      <c r="J938" s="378"/>
      <c r="K938" s="378"/>
      <c r="L938" s="378"/>
      <c r="M938" s="378"/>
      <c r="N938" s="378"/>
      <c r="O938" s="378"/>
      <c r="P938" s="378"/>
      <c r="Q938" s="378"/>
      <c r="R938" s="378"/>
      <c r="S938" s="378"/>
      <c r="T938" s="378"/>
      <c r="U938" s="378"/>
      <c r="V938" s="378"/>
      <c r="W938" s="378"/>
      <c r="X938" s="378"/>
      <c r="Y938" s="378"/>
      <c r="Z938" s="378"/>
      <c r="AA938" s="378"/>
      <c r="AB938" s="378"/>
      <c r="AC938" s="378"/>
      <c r="AD938" s="378"/>
      <c r="AE938" s="378"/>
      <c r="AF938" s="378"/>
    </row>
    <row r="939" spans="2:32">
      <c r="B939" s="378"/>
      <c r="C939" s="378"/>
      <c r="D939" s="378"/>
      <c r="F939" s="378"/>
      <c r="G939" s="378"/>
      <c r="H939" s="378"/>
      <c r="I939" s="378"/>
      <c r="J939" s="378"/>
      <c r="K939" s="378"/>
      <c r="L939" s="378"/>
      <c r="M939" s="378"/>
      <c r="N939" s="378"/>
      <c r="O939" s="378"/>
      <c r="P939" s="378"/>
      <c r="Q939" s="378"/>
      <c r="R939" s="378"/>
      <c r="S939" s="378"/>
      <c r="T939" s="378"/>
      <c r="U939" s="378"/>
      <c r="V939" s="378"/>
      <c r="W939" s="378"/>
      <c r="X939" s="378"/>
      <c r="Y939" s="378"/>
      <c r="Z939" s="378"/>
      <c r="AA939" s="378"/>
      <c r="AB939" s="378"/>
      <c r="AC939" s="378"/>
      <c r="AD939" s="378"/>
      <c r="AE939" s="378"/>
      <c r="AF939" s="378"/>
    </row>
    <row r="940" spans="2:32">
      <c r="B940" s="378"/>
      <c r="C940" s="378"/>
      <c r="D940" s="378"/>
      <c r="F940" s="378"/>
      <c r="G940" s="378"/>
      <c r="H940" s="378"/>
      <c r="I940" s="378"/>
      <c r="J940" s="378"/>
      <c r="K940" s="378"/>
      <c r="L940" s="378"/>
      <c r="M940" s="378"/>
      <c r="N940" s="378"/>
      <c r="O940" s="378"/>
      <c r="P940" s="378"/>
      <c r="Q940" s="378"/>
      <c r="R940" s="378"/>
      <c r="S940" s="378"/>
      <c r="T940" s="378"/>
      <c r="U940" s="378"/>
      <c r="V940" s="378"/>
      <c r="W940" s="378"/>
      <c r="X940" s="378"/>
      <c r="Y940" s="378"/>
      <c r="Z940" s="378"/>
      <c r="AA940" s="378"/>
      <c r="AB940" s="378"/>
      <c r="AC940" s="378"/>
      <c r="AD940" s="378"/>
      <c r="AE940" s="378"/>
      <c r="AF940" s="378"/>
    </row>
    <row r="941" spans="2:32">
      <c r="B941" s="378"/>
      <c r="C941" s="378"/>
      <c r="D941" s="378"/>
      <c r="F941" s="378"/>
      <c r="G941" s="378"/>
      <c r="H941" s="378"/>
      <c r="I941" s="378"/>
      <c r="J941" s="378"/>
      <c r="K941" s="378"/>
      <c r="L941" s="378"/>
      <c r="M941" s="378"/>
      <c r="N941" s="378"/>
      <c r="O941" s="378"/>
      <c r="P941" s="378"/>
      <c r="Q941" s="378"/>
      <c r="R941" s="378"/>
      <c r="S941" s="378"/>
      <c r="T941" s="378"/>
      <c r="U941" s="378"/>
      <c r="V941" s="378"/>
      <c r="W941" s="378"/>
      <c r="X941" s="378"/>
      <c r="Y941" s="378"/>
      <c r="Z941" s="378"/>
      <c r="AA941" s="378"/>
      <c r="AB941" s="378"/>
      <c r="AC941" s="378"/>
      <c r="AD941" s="378"/>
      <c r="AE941" s="378"/>
      <c r="AF941" s="378"/>
    </row>
    <row r="942" spans="2:32">
      <c r="B942" s="378"/>
      <c r="C942" s="378"/>
      <c r="D942" s="378"/>
      <c r="F942" s="378"/>
      <c r="G942" s="378"/>
      <c r="H942" s="378"/>
      <c r="I942" s="378"/>
      <c r="J942" s="378"/>
      <c r="K942" s="378"/>
      <c r="L942" s="378"/>
      <c r="M942" s="378"/>
      <c r="N942" s="378"/>
      <c r="O942" s="378"/>
      <c r="P942" s="378"/>
      <c r="Q942" s="378"/>
      <c r="R942" s="378"/>
      <c r="S942" s="378"/>
      <c r="T942" s="378"/>
      <c r="U942" s="378"/>
      <c r="V942" s="378"/>
      <c r="W942" s="378"/>
      <c r="X942" s="378"/>
      <c r="Y942" s="378"/>
      <c r="Z942" s="378"/>
      <c r="AA942" s="378"/>
      <c r="AB942" s="378"/>
      <c r="AC942" s="378"/>
      <c r="AD942" s="378"/>
      <c r="AE942" s="378"/>
      <c r="AF942" s="378"/>
    </row>
    <row r="943" spans="2:32">
      <c r="B943" s="378"/>
      <c r="C943" s="378"/>
      <c r="D943" s="378"/>
      <c r="F943" s="378"/>
      <c r="G943" s="378"/>
      <c r="H943" s="378"/>
      <c r="I943" s="378"/>
      <c r="J943" s="378"/>
      <c r="K943" s="378"/>
      <c r="L943" s="378"/>
      <c r="M943" s="378"/>
      <c r="N943" s="378"/>
      <c r="O943" s="378"/>
      <c r="P943" s="378"/>
      <c r="Q943" s="378"/>
      <c r="R943" s="378"/>
      <c r="S943" s="378"/>
      <c r="T943" s="378"/>
      <c r="U943" s="378"/>
      <c r="V943" s="378"/>
      <c r="W943" s="378"/>
      <c r="X943" s="378"/>
      <c r="Y943" s="378"/>
      <c r="Z943" s="378"/>
      <c r="AA943" s="378"/>
      <c r="AB943" s="378"/>
      <c r="AC943" s="378"/>
      <c r="AD943" s="378"/>
      <c r="AE943" s="378"/>
      <c r="AF943" s="378"/>
    </row>
    <row r="944" spans="2:32">
      <c r="B944" s="378"/>
      <c r="C944" s="378"/>
      <c r="D944" s="378"/>
      <c r="F944" s="378"/>
      <c r="G944" s="378"/>
      <c r="H944" s="378"/>
      <c r="I944" s="378"/>
      <c r="J944" s="378"/>
      <c r="K944" s="378"/>
      <c r="L944" s="378"/>
      <c r="M944" s="378"/>
      <c r="N944" s="378"/>
      <c r="O944" s="378"/>
      <c r="P944" s="378"/>
      <c r="Q944" s="378"/>
      <c r="R944" s="378"/>
      <c r="S944" s="378"/>
      <c r="T944" s="378"/>
      <c r="U944" s="378"/>
      <c r="V944" s="378"/>
      <c r="W944" s="378"/>
      <c r="X944" s="378"/>
      <c r="Y944" s="378"/>
      <c r="Z944" s="378"/>
      <c r="AA944" s="378"/>
      <c r="AB944" s="378"/>
      <c r="AC944" s="378"/>
      <c r="AD944" s="378"/>
      <c r="AE944" s="378"/>
      <c r="AF944" s="378"/>
    </row>
    <row r="945" spans="2:32">
      <c r="B945" s="378"/>
      <c r="C945" s="378"/>
      <c r="D945" s="378"/>
      <c r="F945" s="378"/>
      <c r="G945" s="378"/>
      <c r="H945" s="378"/>
      <c r="I945" s="378"/>
      <c r="J945" s="378"/>
      <c r="K945" s="378"/>
      <c r="L945" s="378"/>
      <c r="M945" s="378"/>
      <c r="N945" s="378"/>
      <c r="O945" s="378"/>
      <c r="P945" s="378"/>
      <c r="Q945" s="378"/>
      <c r="R945" s="378"/>
      <c r="S945" s="378"/>
      <c r="T945" s="378"/>
      <c r="U945" s="378"/>
      <c r="V945" s="378"/>
      <c r="W945" s="378"/>
      <c r="X945" s="378"/>
      <c r="Y945" s="378"/>
      <c r="Z945" s="378"/>
      <c r="AA945" s="378"/>
      <c r="AB945" s="378"/>
      <c r="AC945" s="378"/>
      <c r="AD945" s="378"/>
      <c r="AE945" s="378"/>
      <c r="AF945" s="378"/>
    </row>
    <row r="946" spans="2:32">
      <c r="B946" s="378"/>
      <c r="C946" s="378"/>
      <c r="D946" s="378"/>
      <c r="F946" s="378"/>
      <c r="G946" s="378"/>
      <c r="H946" s="378"/>
      <c r="I946" s="378"/>
      <c r="J946" s="378"/>
      <c r="K946" s="378"/>
      <c r="L946" s="378"/>
      <c r="M946" s="378"/>
      <c r="N946" s="378"/>
      <c r="O946" s="378"/>
      <c r="P946" s="378"/>
      <c r="Q946" s="378"/>
      <c r="R946" s="378"/>
      <c r="S946" s="378"/>
      <c r="T946" s="378"/>
      <c r="U946" s="378"/>
      <c r="V946" s="378"/>
      <c r="W946" s="378"/>
      <c r="X946" s="378"/>
      <c r="Y946" s="378"/>
      <c r="Z946" s="378"/>
      <c r="AA946" s="378"/>
      <c r="AB946" s="378"/>
      <c r="AC946" s="378"/>
      <c r="AD946" s="378"/>
      <c r="AE946" s="378"/>
      <c r="AF946" s="378"/>
    </row>
    <row r="947" spans="2:32">
      <c r="B947" s="378"/>
      <c r="C947" s="378"/>
      <c r="D947" s="378"/>
      <c r="F947" s="378"/>
      <c r="G947" s="378"/>
      <c r="H947" s="378"/>
      <c r="I947" s="378"/>
      <c r="J947" s="378"/>
      <c r="K947" s="378"/>
      <c r="L947" s="378"/>
      <c r="M947" s="378"/>
      <c r="N947" s="378"/>
      <c r="O947" s="378"/>
      <c r="P947" s="378"/>
      <c r="Q947" s="378"/>
      <c r="R947" s="378"/>
      <c r="S947" s="378"/>
      <c r="T947" s="378"/>
      <c r="U947" s="378"/>
      <c r="V947" s="378"/>
      <c r="W947" s="378"/>
      <c r="X947" s="378"/>
      <c r="Y947" s="378"/>
      <c r="Z947" s="378"/>
      <c r="AA947" s="378"/>
      <c r="AB947" s="378"/>
      <c r="AC947" s="378"/>
      <c r="AD947" s="378"/>
      <c r="AE947" s="378"/>
      <c r="AF947" s="378"/>
    </row>
    <row r="948" spans="2:32">
      <c r="B948" s="378"/>
      <c r="C948" s="378"/>
      <c r="D948" s="378"/>
      <c r="F948" s="378"/>
      <c r="G948" s="378"/>
      <c r="H948" s="378"/>
      <c r="I948" s="378"/>
      <c r="J948" s="378"/>
      <c r="K948" s="378"/>
      <c r="L948" s="378"/>
      <c r="M948" s="378"/>
      <c r="N948" s="378"/>
      <c r="O948" s="378"/>
      <c r="P948" s="378"/>
      <c r="Q948" s="378"/>
      <c r="R948" s="378"/>
      <c r="S948" s="378"/>
      <c r="T948" s="378"/>
      <c r="U948" s="378"/>
      <c r="V948" s="378"/>
      <c r="W948" s="378"/>
      <c r="X948" s="378"/>
      <c r="Y948" s="378"/>
      <c r="Z948" s="378"/>
      <c r="AA948" s="378"/>
      <c r="AB948" s="378"/>
      <c r="AC948" s="378"/>
      <c r="AD948" s="378"/>
      <c r="AE948" s="378"/>
      <c r="AF948" s="378"/>
    </row>
    <row r="949" spans="2:32">
      <c r="B949" s="378"/>
      <c r="C949" s="378"/>
      <c r="D949" s="378"/>
      <c r="F949" s="378"/>
      <c r="G949" s="378"/>
      <c r="H949" s="378"/>
      <c r="I949" s="378"/>
      <c r="J949" s="378"/>
      <c r="K949" s="378"/>
      <c r="L949" s="378"/>
      <c r="M949" s="378"/>
      <c r="N949" s="378"/>
      <c r="O949" s="378"/>
      <c r="P949" s="378"/>
      <c r="Q949" s="378"/>
      <c r="R949" s="378"/>
      <c r="S949" s="378"/>
      <c r="T949" s="378"/>
      <c r="U949" s="378"/>
      <c r="V949" s="378"/>
      <c r="W949" s="378"/>
      <c r="X949" s="378"/>
      <c r="Y949" s="378"/>
      <c r="Z949" s="378"/>
      <c r="AA949" s="378"/>
      <c r="AB949" s="378"/>
      <c r="AC949" s="378"/>
      <c r="AD949" s="378"/>
      <c r="AE949" s="378"/>
      <c r="AF949" s="378"/>
    </row>
    <row r="950" spans="2:32">
      <c r="B950" s="378"/>
      <c r="C950" s="378"/>
      <c r="D950" s="378"/>
      <c r="F950" s="378"/>
      <c r="G950" s="378"/>
      <c r="H950" s="378"/>
      <c r="I950" s="378"/>
      <c r="J950" s="378"/>
      <c r="K950" s="378"/>
      <c r="L950" s="378"/>
      <c r="M950" s="378"/>
      <c r="N950" s="378"/>
      <c r="O950" s="378"/>
      <c r="P950" s="378"/>
      <c r="Q950" s="378"/>
      <c r="R950" s="378"/>
      <c r="S950" s="378"/>
      <c r="T950" s="378"/>
      <c r="U950" s="378"/>
      <c r="V950" s="378"/>
      <c r="W950" s="378"/>
      <c r="X950" s="378"/>
      <c r="Y950" s="378"/>
      <c r="Z950" s="378"/>
      <c r="AA950" s="378"/>
      <c r="AB950" s="378"/>
      <c r="AC950" s="378"/>
      <c r="AD950" s="378"/>
      <c r="AE950" s="378"/>
      <c r="AF950" s="378"/>
    </row>
    <row r="951" spans="2:32">
      <c r="B951" s="378"/>
      <c r="C951" s="378"/>
      <c r="D951" s="378"/>
      <c r="F951" s="378"/>
      <c r="G951" s="378"/>
      <c r="H951" s="378"/>
      <c r="I951" s="378"/>
      <c r="J951" s="378"/>
      <c r="K951" s="378"/>
      <c r="L951" s="378"/>
      <c r="M951" s="378"/>
      <c r="N951" s="378"/>
      <c r="O951" s="378"/>
      <c r="P951" s="378"/>
      <c r="Q951" s="378"/>
      <c r="R951" s="378"/>
      <c r="S951" s="378"/>
      <c r="T951" s="378"/>
      <c r="U951" s="378"/>
      <c r="V951" s="378"/>
      <c r="W951" s="378"/>
      <c r="X951" s="378"/>
      <c r="Y951" s="378"/>
      <c r="Z951" s="378"/>
      <c r="AA951" s="378"/>
      <c r="AB951" s="378"/>
      <c r="AC951" s="378"/>
      <c r="AD951" s="378"/>
      <c r="AE951" s="378"/>
      <c r="AF951" s="378"/>
    </row>
    <row r="952" spans="2:32">
      <c r="B952" s="378"/>
      <c r="C952" s="378"/>
      <c r="D952" s="378"/>
      <c r="F952" s="378"/>
      <c r="G952" s="378"/>
      <c r="H952" s="378"/>
      <c r="I952" s="378"/>
      <c r="J952" s="378"/>
      <c r="K952" s="378"/>
      <c r="L952" s="378"/>
      <c r="M952" s="378"/>
      <c r="N952" s="378"/>
      <c r="O952" s="378"/>
      <c r="P952" s="378"/>
      <c r="Q952" s="378"/>
      <c r="R952" s="378"/>
      <c r="S952" s="378"/>
      <c r="T952" s="378"/>
      <c r="U952" s="378"/>
      <c r="V952" s="378"/>
      <c r="W952" s="378"/>
      <c r="X952" s="378"/>
      <c r="Y952" s="378"/>
      <c r="Z952" s="378"/>
      <c r="AA952" s="378"/>
      <c r="AB952" s="378"/>
      <c r="AC952" s="378"/>
      <c r="AD952" s="378"/>
      <c r="AE952" s="378"/>
      <c r="AF952" s="378"/>
    </row>
    <row r="953" spans="2:32">
      <c r="B953" s="378"/>
      <c r="C953" s="378"/>
      <c r="D953" s="378"/>
      <c r="F953" s="378"/>
      <c r="G953" s="378"/>
      <c r="H953" s="378"/>
      <c r="I953" s="378"/>
      <c r="J953" s="378"/>
      <c r="K953" s="378"/>
      <c r="L953" s="378"/>
      <c r="M953" s="378"/>
      <c r="N953" s="378"/>
      <c r="O953" s="378"/>
      <c r="P953" s="378"/>
      <c r="Q953" s="378"/>
      <c r="R953" s="378"/>
      <c r="S953" s="378"/>
      <c r="T953" s="378"/>
      <c r="U953" s="378"/>
      <c r="V953" s="378"/>
      <c r="W953" s="378"/>
      <c r="X953" s="378"/>
      <c r="Y953" s="378"/>
      <c r="Z953" s="378"/>
      <c r="AA953" s="378"/>
      <c r="AB953" s="378"/>
      <c r="AC953" s="378"/>
      <c r="AD953" s="378"/>
      <c r="AE953" s="378"/>
      <c r="AF953" s="378"/>
    </row>
    <row r="954" spans="2:32">
      <c r="B954" s="378"/>
      <c r="C954" s="378"/>
      <c r="D954" s="378"/>
      <c r="F954" s="378"/>
      <c r="G954" s="378"/>
      <c r="H954" s="378"/>
      <c r="I954" s="378"/>
      <c r="J954" s="378"/>
      <c r="K954" s="378"/>
      <c r="L954" s="378"/>
      <c r="M954" s="378"/>
      <c r="N954" s="378"/>
      <c r="O954" s="378"/>
      <c r="P954" s="378"/>
      <c r="Q954" s="378"/>
      <c r="R954" s="378"/>
      <c r="S954" s="378"/>
      <c r="T954" s="378"/>
      <c r="U954" s="378"/>
      <c r="V954" s="378"/>
      <c r="W954" s="378"/>
      <c r="X954" s="378"/>
      <c r="Y954" s="378"/>
      <c r="Z954" s="378"/>
      <c r="AA954" s="378"/>
      <c r="AB954" s="378"/>
      <c r="AC954" s="378"/>
      <c r="AD954" s="378"/>
      <c r="AE954" s="378"/>
      <c r="AF954" s="378"/>
    </row>
    <row r="955" spans="2:32">
      <c r="B955" s="378"/>
      <c r="C955" s="378"/>
      <c r="D955" s="378"/>
      <c r="F955" s="378"/>
      <c r="G955" s="378"/>
      <c r="H955" s="378"/>
      <c r="I955" s="378"/>
      <c r="J955" s="378"/>
      <c r="K955" s="378"/>
      <c r="L955" s="378"/>
      <c r="M955" s="378"/>
      <c r="N955" s="378"/>
      <c r="O955" s="378"/>
      <c r="P955" s="378"/>
      <c r="Q955" s="378"/>
      <c r="R955" s="378"/>
      <c r="S955" s="378"/>
      <c r="T955" s="378"/>
      <c r="U955" s="378"/>
      <c r="V955" s="378"/>
      <c r="W955" s="378"/>
      <c r="X955" s="378"/>
      <c r="Y955" s="378"/>
      <c r="Z955" s="378"/>
      <c r="AA955" s="378"/>
      <c r="AB955" s="378"/>
      <c r="AC955" s="378"/>
      <c r="AD955" s="378"/>
      <c r="AE955" s="378"/>
      <c r="AF955" s="378"/>
    </row>
    <row r="956" spans="2:32">
      <c r="B956" s="378"/>
      <c r="C956" s="378"/>
      <c r="D956" s="378"/>
      <c r="F956" s="378"/>
      <c r="G956" s="378"/>
      <c r="H956" s="378"/>
      <c r="I956" s="378"/>
      <c r="J956" s="378"/>
      <c r="K956" s="378"/>
      <c r="L956" s="378"/>
      <c r="M956" s="378"/>
      <c r="N956" s="378"/>
      <c r="O956" s="378"/>
      <c r="P956" s="378"/>
      <c r="Q956" s="378"/>
      <c r="R956" s="378"/>
      <c r="S956" s="378"/>
      <c r="T956" s="378"/>
      <c r="U956" s="378"/>
      <c r="V956" s="378"/>
      <c r="W956" s="378"/>
      <c r="X956" s="378"/>
      <c r="Y956" s="378"/>
      <c r="Z956" s="378"/>
      <c r="AA956" s="378"/>
      <c r="AB956" s="378"/>
      <c r="AC956" s="378"/>
      <c r="AD956" s="378"/>
      <c r="AE956" s="378"/>
      <c r="AF956" s="378"/>
    </row>
    <row r="957" spans="2:32">
      <c r="B957" s="378"/>
      <c r="C957" s="378"/>
      <c r="D957" s="378"/>
      <c r="F957" s="378"/>
      <c r="G957" s="378"/>
      <c r="H957" s="378"/>
      <c r="I957" s="378"/>
      <c r="J957" s="378"/>
      <c r="K957" s="378"/>
      <c r="L957" s="378"/>
      <c r="M957" s="378"/>
      <c r="N957" s="378"/>
      <c r="O957" s="378"/>
      <c r="P957" s="378"/>
      <c r="Q957" s="378"/>
      <c r="R957" s="378"/>
      <c r="S957" s="378"/>
      <c r="T957" s="378"/>
      <c r="U957" s="378"/>
      <c r="V957" s="378"/>
      <c r="W957" s="378"/>
      <c r="X957" s="378"/>
      <c r="Y957" s="378"/>
      <c r="Z957" s="378"/>
      <c r="AA957" s="378"/>
      <c r="AB957" s="378"/>
      <c r="AC957" s="378"/>
      <c r="AD957" s="378"/>
      <c r="AE957" s="378"/>
      <c r="AF957" s="378"/>
    </row>
    <row r="958" spans="2:32">
      <c r="B958" s="378"/>
      <c r="C958" s="378"/>
      <c r="D958" s="378"/>
      <c r="F958" s="378"/>
      <c r="G958" s="378"/>
      <c r="H958" s="378"/>
      <c r="I958" s="378"/>
      <c r="J958" s="378"/>
      <c r="K958" s="378"/>
      <c r="L958" s="378"/>
      <c r="M958" s="378"/>
      <c r="N958" s="378"/>
      <c r="O958" s="378"/>
      <c r="P958" s="378"/>
      <c r="Q958" s="378"/>
      <c r="R958" s="378"/>
      <c r="S958" s="378"/>
      <c r="T958" s="378"/>
      <c r="U958" s="378"/>
      <c r="V958" s="378"/>
      <c r="W958" s="378"/>
      <c r="X958" s="378"/>
      <c r="Y958" s="378"/>
      <c r="Z958" s="378"/>
      <c r="AA958" s="378"/>
      <c r="AB958" s="378"/>
      <c r="AC958" s="378"/>
      <c r="AD958" s="378"/>
      <c r="AE958" s="378"/>
      <c r="AF958" s="378"/>
    </row>
    <row r="959" spans="2:32">
      <c r="B959" s="378"/>
      <c r="C959" s="378"/>
      <c r="D959" s="378"/>
      <c r="F959" s="378"/>
      <c r="G959" s="378"/>
      <c r="H959" s="378"/>
      <c r="I959" s="378"/>
      <c r="J959" s="378"/>
      <c r="K959" s="378"/>
      <c r="L959" s="378"/>
      <c r="M959" s="378"/>
      <c r="N959" s="378"/>
      <c r="O959" s="378"/>
      <c r="P959" s="378"/>
      <c r="Q959" s="378"/>
      <c r="R959" s="378"/>
      <c r="S959" s="378"/>
      <c r="T959" s="378"/>
      <c r="U959" s="378"/>
      <c r="V959" s="378"/>
      <c r="W959" s="378"/>
      <c r="X959" s="378"/>
      <c r="Y959" s="378"/>
      <c r="Z959" s="378"/>
      <c r="AA959" s="378"/>
      <c r="AB959" s="378"/>
      <c r="AC959" s="378"/>
      <c r="AD959" s="378"/>
      <c r="AE959" s="378"/>
      <c r="AF959" s="378"/>
    </row>
    <row r="960" spans="2:32">
      <c r="B960" s="378"/>
      <c r="C960" s="378"/>
      <c r="D960" s="378"/>
      <c r="F960" s="378"/>
      <c r="G960" s="378"/>
      <c r="H960" s="378"/>
      <c r="I960" s="378"/>
      <c r="J960" s="378"/>
      <c r="K960" s="378"/>
      <c r="L960" s="378"/>
      <c r="M960" s="378"/>
      <c r="N960" s="378"/>
      <c r="O960" s="378"/>
      <c r="P960" s="378"/>
      <c r="Q960" s="378"/>
      <c r="R960" s="378"/>
      <c r="S960" s="378"/>
      <c r="T960" s="378"/>
      <c r="U960" s="378"/>
      <c r="V960" s="378"/>
      <c r="W960" s="378"/>
      <c r="X960" s="378"/>
      <c r="Y960" s="378"/>
      <c r="Z960" s="378"/>
      <c r="AA960" s="378"/>
      <c r="AB960" s="378"/>
      <c r="AC960" s="378"/>
      <c r="AD960" s="378"/>
      <c r="AE960" s="378"/>
      <c r="AF960" s="378"/>
    </row>
    <row r="961" spans="2:32">
      <c r="B961" s="378"/>
      <c r="C961" s="378"/>
      <c r="D961" s="378"/>
      <c r="F961" s="378"/>
      <c r="G961" s="378"/>
      <c r="H961" s="378"/>
      <c r="I961" s="378"/>
      <c r="J961" s="378"/>
      <c r="K961" s="378"/>
      <c r="L961" s="378"/>
      <c r="M961" s="378"/>
      <c r="N961" s="378"/>
      <c r="O961" s="378"/>
      <c r="P961" s="378"/>
      <c r="Q961" s="378"/>
      <c r="R961" s="378"/>
      <c r="S961" s="378"/>
      <c r="T961" s="378"/>
      <c r="U961" s="378"/>
      <c r="V961" s="378"/>
      <c r="W961" s="378"/>
      <c r="X961" s="378"/>
      <c r="Y961" s="378"/>
      <c r="Z961" s="378"/>
      <c r="AA961" s="378"/>
      <c r="AB961" s="378"/>
      <c r="AC961" s="378"/>
      <c r="AD961" s="378"/>
      <c r="AE961" s="378"/>
      <c r="AF961" s="378"/>
    </row>
    <row r="962" spans="2:32">
      <c r="B962" s="378"/>
      <c r="C962" s="378"/>
      <c r="D962" s="378"/>
      <c r="F962" s="378"/>
      <c r="G962" s="378"/>
      <c r="H962" s="378"/>
      <c r="I962" s="378"/>
      <c r="J962" s="378"/>
      <c r="K962" s="378"/>
      <c r="L962" s="378"/>
      <c r="M962" s="378"/>
      <c r="N962" s="378"/>
      <c r="O962" s="378"/>
      <c r="P962" s="378"/>
      <c r="Q962" s="378"/>
      <c r="R962" s="378"/>
      <c r="S962" s="378"/>
      <c r="T962" s="378"/>
      <c r="U962" s="378"/>
      <c r="V962" s="378"/>
      <c r="W962" s="378"/>
      <c r="X962" s="378"/>
      <c r="Y962" s="378"/>
      <c r="Z962" s="378"/>
      <c r="AA962" s="378"/>
      <c r="AB962" s="378"/>
      <c r="AC962" s="378"/>
      <c r="AD962" s="378"/>
      <c r="AE962" s="378"/>
      <c r="AF962" s="378"/>
    </row>
    <row r="963" spans="2:32">
      <c r="B963" s="378"/>
      <c r="C963" s="378"/>
      <c r="D963" s="378"/>
      <c r="F963" s="378"/>
      <c r="G963" s="378"/>
      <c r="H963" s="378"/>
      <c r="I963" s="378"/>
      <c r="J963" s="378"/>
      <c r="K963" s="378"/>
      <c r="L963" s="378"/>
      <c r="M963" s="378"/>
      <c r="N963" s="378"/>
      <c r="O963" s="378"/>
      <c r="P963" s="378"/>
      <c r="Q963" s="378"/>
      <c r="R963" s="378"/>
      <c r="S963" s="378"/>
      <c r="T963" s="378"/>
      <c r="U963" s="378"/>
      <c r="V963" s="378"/>
      <c r="W963" s="378"/>
      <c r="X963" s="378"/>
      <c r="Y963" s="378"/>
      <c r="Z963" s="378"/>
      <c r="AA963" s="378"/>
      <c r="AB963" s="378"/>
      <c r="AC963" s="378"/>
      <c r="AD963" s="378"/>
      <c r="AE963" s="378"/>
      <c r="AF963" s="378"/>
    </row>
    <row r="964" spans="2:32">
      <c r="B964" s="378"/>
      <c r="C964" s="378"/>
      <c r="D964" s="378"/>
      <c r="F964" s="378"/>
      <c r="G964" s="378"/>
      <c r="H964" s="378"/>
      <c r="I964" s="378"/>
      <c r="J964" s="378"/>
      <c r="K964" s="378"/>
      <c r="L964" s="378"/>
      <c r="M964" s="378"/>
      <c r="N964" s="378"/>
      <c r="O964" s="378"/>
      <c r="P964" s="378"/>
      <c r="Q964" s="378"/>
      <c r="R964" s="378"/>
      <c r="S964" s="378"/>
      <c r="T964" s="378"/>
      <c r="U964" s="378"/>
      <c r="V964" s="378"/>
      <c r="W964" s="378"/>
      <c r="X964" s="378"/>
      <c r="Y964" s="378"/>
      <c r="Z964" s="378"/>
      <c r="AA964" s="378"/>
      <c r="AB964" s="378"/>
      <c r="AC964" s="378"/>
      <c r="AD964" s="378"/>
      <c r="AE964" s="378"/>
      <c r="AF964" s="378"/>
    </row>
    <row r="965" spans="2:32">
      <c r="B965" s="378"/>
      <c r="C965" s="378"/>
      <c r="D965" s="378"/>
      <c r="F965" s="378"/>
      <c r="G965" s="378"/>
      <c r="H965" s="378"/>
      <c r="I965" s="378"/>
      <c r="J965" s="378"/>
      <c r="K965" s="378"/>
      <c r="L965" s="378"/>
      <c r="M965" s="378"/>
      <c r="N965" s="378"/>
      <c r="O965" s="378"/>
      <c r="P965" s="378"/>
      <c r="Q965" s="378"/>
      <c r="R965" s="378"/>
      <c r="S965" s="378"/>
      <c r="T965" s="378"/>
      <c r="U965" s="378"/>
      <c r="V965" s="378"/>
      <c r="W965" s="378"/>
      <c r="X965" s="378"/>
      <c r="Y965" s="378"/>
      <c r="Z965" s="378"/>
      <c r="AA965" s="378"/>
      <c r="AB965" s="378"/>
      <c r="AC965" s="378"/>
      <c r="AD965" s="378"/>
      <c r="AE965" s="378"/>
      <c r="AF965" s="378"/>
    </row>
    <row r="966" spans="2:32">
      <c r="B966" s="378"/>
      <c r="C966" s="378"/>
      <c r="D966" s="378"/>
      <c r="F966" s="378"/>
      <c r="G966" s="378"/>
      <c r="H966" s="378"/>
      <c r="I966" s="378"/>
      <c r="J966" s="378"/>
      <c r="K966" s="378"/>
      <c r="L966" s="378"/>
      <c r="M966" s="378"/>
      <c r="N966" s="378"/>
      <c r="O966" s="378"/>
      <c r="P966" s="378"/>
      <c r="Q966" s="378"/>
      <c r="R966" s="378"/>
      <c r="S966" s="378"/>
      <c r="T966" s="378"/>
      <c r="U966" s="378"/>
      <c r="V966" s="378"/>
      <c r="W966" s="378"/>
      <c r="X966" s="378"/>
      <c r="Y966" s="378"/>
      <c r="Z966" s="378"/>
      <c r="AA966" s="378"/>
      <c r="AB966" s="378"/>
      <c r="AC966" s="378"/>
      <c r="AD966" s="378"/>
      <c r="AE966" s="378"/>
      <c r="AF966" s="378"/>
    </row>
    <row r="967" spans="2:32">
      <c r="B967" s="378"/>
      <c r="C967" s="378"/>
      <c r="D967" s="378"/>
      <c r="F967" s="378"/>
      <c r="G967" s="378"/>
      <c r="H967" s="378"/>
      <c r="I967" s="378"/>
      <c r="J967" s="378"/>
      <c r="K967" s="378"/>
      <c r="L967" s="378"/>
      <c r="M967" s="378"/>
      <c r="N967" s="378"/>
      <c r="O967" s="378"/>
      <c r="P967" s="378"/>
      <c r="Q967" s="378"/>
      <c r="R967" s="378"/>
      <c r="S967" s="378"/>
      <c r="T967" s="378"/>
      <c r="U967" s="378"/>
      <c r="V967" s="378"/>
      <c r="W967" s="378"/>
      <c r="X967" s="378"/>
      <c r="Y967" s="378"/>
      <c r="Z967" s="378"/>
      <c r="AA967" s="378"/>
      <c r="AB967" s="378"/>
      <c r="AC967" s="378"/>
      <c r="AD967" s="378"/>
      <c r="AE967" s="378"/>
      <c r="AF967" s="378"/>
    </row>
    <row r="968" spans="2:32">
      <c r="B968" s="378"/>
      <c r="C968" s="378"/>
      <c r="D968" s="378"/>
      <c r="F968" s="378"/>
      <c r="G968" s="378"/>
      <c r="H968" s="378"/>
      <c r="I968" s="378"/>
      <c r="J968" s="378"/>
      <c r="K968" s="378"/>
      <c r="L968" s="378"/>
      <c r="M968" s="378"/>
      <c r="N968" s="378"/>
      <c r="O968" s="378"/>
      <c r="P968" s="378"/>
      <c r="Q968" s="378"/>
      <c r="R968" s="378"/>
      <c r="S968" s="378"/>
      <c r="T968" s="378"/>
      <c r="U968" s="378"/>
      <c r="V968" s="378"/>
      <c r="W968" s="378"/>
      <c r="X968" s="378"/>
      <c r="Y968" s="378"/>
      <c r="Z968" s="378"/>
      <c r="AA968" s="378"/>
      <c r="AB968" s="378"/>
      <c r="AC968" s="378"/>
      <c r="AD968" s="378"/>
      <c r="AE968" s="378"/>
      <c r="AF968" s="378"/>
    </row>
    <row r="969" spans="2:32">
      <c r="B969" s="378"/>
      <c r="C969" s="378"/>
      <c r="D969" s="378"/>
      <c r="F969" s="378"/>
      <c r="G969" s="378"/>
      <c r="H969" s="378"/>
      <c r="I969" s="378"/>
      <c r="J969" s="378"/>
      <c r="K969" s="378"/>
      <c r="L969" s="378"/>
      <c r="M969" s="378"/>
      <c r="N969" s="378"/>
      <c r="O969" s="378"/>
      <c r="P969" s="378"/>
      <c r="Q969" s="378"/>
      <c r="R969" s="378"/>
      <c r="S969" s="378"/>
      <c r="T969" s="378"/>
      <c r="U969" s="378"/>
      <c r="V969" s="378"/>
      <c r="W969" s="378"/>
      <c r="X969" s="378"/>
      <c r="Y969" s="378"/>
      <c r="Z969" s="378"/>
      <c r="AA969" s="378"/>
      <c r="AB969" s="378"/>
      <c r="AC969" s="378"/>
      <c r="AD969" s="378"/>
      <c r="AE969" s="378"/>
      <c r="AF969" s="378"/>
    </row>
    <row r="970" spans="2:32">
      <c r="B970" s="378"/>
      <c r="C970" s="378"/>
      <c r="D970" s="378"/>
      <c r="F970" s="378"/>
      <c r="G970" s="378"/>
      <c r="H970" s="378"/>
      <c r="I970" s="378"/>
      <c r="J970" s="378"/>
      <c r="K970" s="378"/>
      <c r="L970" s="378"/>
      <c r="M970" s="378"/>
      <c r="N970" s="378"/>
      <c r="O970" s="378"/>
      <c r="P970" s="378"/>
      <c r="Q970" s="378"/>
      <c r="R970" s="378"/>
      <c r="S970" s="378"/>
      <c r="T970" s="378"/>
      <c r="U970" s="378"/>
      <c r="V970" s="378"/>
      <c r="W970" s="378"/>
      <c r="X970" s="378"/>
      <c r="Y970" s="378"/>
      <c r="Z970" s="378"/>
      <c r="AA970" s="378"/>
      <c r="AB970" s="378"/>
      <c r="AC970" s="378"/>
      <c r="AD970" s="378"/>
      <c r="AE970" s="378"/>
      <c r="AF970" s="378"/>
    </row>
    <row r="971" spans="2:32">
      <c r="B971" s="378"/>
      <c r="C971" s="378"/>
      <c r="D971" s="378"/>
      <c r="F971" s="378"/>
      <c r="G971" s="378"/>
      <c r="H971" s="378"/>
      <c r="I971" s="378"/>
      <c r="J971" s="378"/>
      <c r="K971" s="378"/>
      <c r="L971" s="378"/>
      <c r="M971" s="378"/>
      <c r="N971" s="378"/>
      <c r="O971" s="378"/>
      <c r="P971" s="378"/>
      <c r="Q971" s="378"/>
      <c r="R971" s="378"/>
      <c r="S971" s="378"/>
      <c r="T971" s="378"/>
      <c r="U971" s="378"/>
      <c r="V971" s="378"/>
      <c r="W971" s="378"/>
      <c r="X971" s="378"/>
      <c r="Y971" s="378"/>
      <c r="Z971" s="378"/>
      <c r="AA971" s="378"/>
      <c r="AB971" s="378"/>
      <c r="AC971" s="378"/>
      <c r="AD971" s="378"/>
      <c r="AE971" s="378"/>
      <c r="AF971" s="378"/>
    </row>
    <row r="972" spans="2:32">
      <c r="B972" s="378"/>
      <c r="C972" s="378"/>
      <c r="D972" s="378"/>
      <c r="F972" s="378"/>
      <c r="G972" s="378"/>
      <c r="H972" s="378"/>
      <c r="I972" s="378"/>
      <c r="J972" s="378"/>
      <c r="K972" s="378"/>
      <c r="L972" s="378"/>
      <c r="M972" s="378"/>
      <c r="N972" s="378"/>
      <c r="O972" s="378"/>
      <c r="P972" s="378"/>
      <c r="Q972" s="378"/>
      <c r="R972" s="378"/>
      <c r="S972" s="378"/>
      <c r="T972" s="378"/>
      <c r="U972" s="378"/>
      <c r="V972" s="378"/>
      <c r="W972" s="378"/>
      <c r="X972" s="378"/>
      <c r="Y972" s="378"/>
      <c r="Z972" s="378"/>
      <c r="AA972" s="378"/>
      <c r="AB972" s="378"/>
      <c r="AC972" s="378"/>
      <c r="AD972" s="378"/>
      <c r="AE972" s="378"/>
      <c r="AF972" s="378"/>
    </row>
    <row r="973" spans="2:32">
      <c r="B973" s="378"/>
      <c r="C973" s="378"/>
      <c r="D973" s="378"/>
      <c r="F973" s="378"/>
      <c r="G973" s="378"/>
      <c r="H973" s="378"/>
      <c r="I973" s="378"/>
      <c r="J973" s="378"/>
      <c r="K973" s="378"/>
      <c r="L973" s="378"/>
      <c r="M973" s="378"/>
      <c r="N973" s="378"/>
      <c r="O973" s="378"/>
      <c r="P973" s="378"/>
      <c r="Q973" s="378"/>
      <c r="R973" s="378"/>
      <c r="S973" s="378"/>
      <c r="T973" s="378"/>
      <c r="U973" s="378"/>
      <c r="V973" s="378"/>
      <c r="W973" s="378"/>
      <c r="X973" s="378"/>
      <c r="Y973" s="378"/>
      <c r="Z973" s="378"/>
      <c r="AA973" s="378"/>
      <c r="AB973" s="378"/>
      <c r="AC973" s="378"/>
      <c r="AD973" s="378"/>
      <c r="AE973" s="378"/>
      <c r="AF973" s="378"/>
    </row>
    <row r="974" spans="2:32">
      <c r="B974" s="378"/>
      <c r="C974" s="378"/>
      <c r="D974" s="378"/>
      <c r="F974" s="378"/>
      <c r="G974" s="378"/>
      <c r="H974" s="378"/>
      <c r="I974" s="378"/>
      <c r="J974" s="378"/>
      <c r="K974" s="378"/>
      <c r="L974" s="378"/>
      <c r="M974" s="378"/>
      <c r="N974" s="378"/>
      <c r="O974" s="378"/>
      <c r="P974" s="378"/>
      <c r="Q974" s="378"/>
      <c r="R974" s="378"/>
      <c r="S974" s="378"/>
      <c r="T974" s="378"/>
      <c r="U974" s="378"/>
      <c r="V974" s="378"/>
      <c r="W974" s="378"/>
      <c r="X974" s="378"/>
      <c r="Y974" s="378"/>
      <c r="Z974" s="378"/>
      <c r="AA974" s="378"/>
      <c r="AB974" s="378"/>
      <c r="AC974" s="378"/>
      <c r="AD974" s="378"/>
      <c r="AE974" s="378"/>
      <c r="AF974" s="378"/>
    </row>
    <row r="975" spans="2:32">
      <c r="B975" s="378"/>
      <c r="C975" s="378"/>
      <c r="D975" s="378"/>
      <c r="F975" s="378"/>
      <c r="G975" s="378"/>
      <c r="H975" s="378"/>
      <c r="I975" s="378"/>
      <c r="J975" s="378"/>
      <c r="K975" s="378"/>
      <c r="L975" s="378"/>
      <c r="M975" s="378"/>
      <c r="N975" s="378"/>
      <c r="O975" s="378"/>
      <c r="P975" s="378"/>
      <c r="Q975" s="378"/>
      <c r="R975" s="378"/>
      <c r="S975" s="378"/>
      <c r="T975" s="378"/>
      <c r="U975" s="378"/>
      <c r="V975" s="378"/>
      <c r="W975" s="378"/>
      <c r="X975" s="378"/>
      <c r="Y975" s="378"/>
      <c r="Z975" s="378"/>
      <c r="AA975" s="378"/>
      <c r="AB975" s="378"/>
      <c r="AC975" s="378"/>
      <c r="AD975" s="378"/>
      <c r="AE975" s="378"/>
      <c r="AF975" s="378"/>
    </row>
    <row r="976" spans="2:32">
      <c r="B976" s="378"/>
      <c r="C976" s="378"/>
      <c r="D976" s="378"/>
      <c r="F976" s="378"/>
      <c r="G976" s="378"/>
      <c r="H976" s="378"/>
      <c r="I976" s="378"/>
      <c r="J976" s="378"/>
      <c r="K976" s="378"/>
      <c r="L976" s="378"/>
      <c r="M976" s="378"/>
      <c r="N976" s="378"/>
      <c r="O976" s="378"/>
      <c r="P976" s="378"/>
      <c r="Q976" s="378"/>
      <c r="R976" s="378"/>
      <c r="S976" s="378"/>
      <c r="T976" s="378"/>
      <c r="U976" s="378"/>
      <c r="V976" s="378"/>
      <c r="W976" s="378"/>
      <c r="X976" s="378"/>
      <c r="Y976" s="378"/>
      <c r="Z976" s="378"/>
      <c r="AA976" s="378"/>
      <c r="AB976" s="378"/>
      <c r="AC976" s="378"/>
      <c r="AD976" s="378"/>
      <c r="AE976" s="378"/>
      <c r="AF976" s="378"/>
    </row>
    <row r="977" spans="2:32">
      <c r="B977" s="378"/>
      <c r="C977" s="378"/>
      <c r="D977" s="378"/>
      <c r="F977" s="378"/>
      <c r="G977" s="378"/>
      <c r="H977" s="378"/>
      <c r="I977" s="378"/>
      <c r="J977" s="378"/>
      <c r="K977" s="378"/>
      <c r="L977" s="378"/>
      <c r="M977" s="378"/>
      <c r="N977" s="378"/>
      <c r="O977" s="378"/>
      <c r="P977" s="378"/>
      <c r="Q977" s="378"/>
      <c r="R977" s="378"/>
      <c r="S977" s="378"/>
      <c r="T977" s="378"/>
      <c r="U977" s="378"/>
      <c r="V977" s="378"/>
      <c r="W977" s="378"/>
      <c r="X977" s="378"/>
      <c r="Y977" s="378"/>
      <c r="Z977" s="378"/>
      <c r="AA977" s="378"/>
      <c r="AB977" s="378"/>
      <c r="AC977" s="378"/>
      <c r="AD977" s="378"/>
      <c r="AE977" s="378"/>
      <c r="AF977" s="378"/>
    </row>
    <row r="978" spans="2:32">
      <c r="B978" s="378"/>
      <c r="C978" s="378"/>
      <c r="D978" s="378"/>
      <c r="F978" s="378"/>
      <c r="G978" s="378"/>
      <c r="H978" s="378"/>
      <c r="I978" s="378"/>
      <c r="J978" s="378"/>
      <c r="K978" s="378"/>
      <c r="L978" s="378"/>
      <c r="M978" s="378"/>
      <c r="N978" s="378"/>
      <c r="O978" s="378"/>
      <c r="P978" s="378"/>
      <c r="Q978" s="378"/>
      <c r="R978" s="378"/>
      <c r="S978" s="378"/>
      <c r="T978" s="378"/>
      <c r="U978" s="378"/>
      <c r="V978" s="378"/>
      <c r="W978" s="378"/>
      <c r="X978" s="378"/>
      <c r="Y978" s="378"/>
      <c r="Z978" s="378"/>
      <c r="AA978" s="378"/>
      <c r="AB978" s="378"/>
      <c r="AC978" s="378"/>
      <c r="AD978" s="378"/>
      <c r="AE978" s="378"/>
      <c r="AF978" s="378"/>
    </row>
    <row r="979" spans="2:32">
      <c r="B979" s="378"/>
      <c r="C979" s="378"/>
      <c r="D979" s="378"/>
      <c r="F979" s="378"/>
      <c r="G979" s="378"/>
      <c r="H979" s="378"/>
      <c r="I979" s="378"/>
      <c r="J979" s="378"/>
      <c r="K979" s="378"/>
      <c r="L979" s="378"/>
      <c r="M979" s="378"/>
      <c r="N979" s="378"/>
      <c r="O979" s="378"/>
      <c r="P979" s="378"/>
      <c r="Q979" s="378"/>
      <c r="R979" s="378"/>
      <c r="S979" s="378"/>
      <c r="T979" s="378"/>
      <c r="U979" s="378"/>
      <c r="V979" s="378"/>
      <c r="W979" s="378"/>
      <c r="X979" s="378"/>
      <c r="Y979" s="378"/>
      <c r="Z979" s="378"/>
      <c r="AA979" s="378"/>
      <c r="AB979" s="378"/>
      <c r="AC979" s="378"/>
      <c r="AD979" s="378"/>
      <c r="AE979" s="378"/>
      <c r="AF979" s="378"/>
    </row>
    <row r="980" spans="2:32">
      <c r="B980" s="378"/>
      <c r="C980" s="378"/>
      <c r="D980" s="378"/>
      <c r="F980" s="378"/>
      <c r="G980" s="378"/>
      <c r="H980" s="378"/>
      <c r="I980" s="378"/>
      <c r="J980" s="378"/>
      <c r="K980" s="378"/>
      <c r="L980" s="378"/>
      <c r="M980" s="378"/>
      <c r="N980" s="378"/>
      <c r="O980" s="378"/>
      <c r="P980" s="378"/>
      <c r="Q980" s="378"/>
      <c r="R980" s="378"/>
      <c r="S980" s="378"/>
      <c r="T980" s="378"/>
      <c r="U980" s="378"/>
      <c r="V980" s="378"/>
      <c r="W980" s="378"/>
      <c r="X980" s="378"/>
      <c r="Y980" s="378"/>
      <c r="Z980" s="378"/>
      <c r="AA980" s="378"/>
      <c r="AB980" s="378"/>
      <c r="AC980" s="378"/>
      <c r="AD980" s="378"/>
      <c r="AE980" s="378"/>
      <c r="AF980" s="378"/>
    </row>
    <row r="981" spans="2:32">
      <c r="B981" s="378"/>
      <c r="C981" s="378"/>
      <c r="D981" s="378"/>
      <c r="F981" s="378"/>
      <c r="G981" s="378"/>
      <c r="H981" s="378"/>
      <c r="I981" s="378"/>
      <c r="J981" s="378"/>
      <c r="K981" s="378"/>
      <c r="L981" s="378"/>
      <c r="M981" s="378"/>
      <c r="N981" s="378"/>
      <c r="O981" s="378"/>
      <c r="P981" s="378"/>
      <c r="Q981" s="378"/>
      <c r="R981" s="378"/>
      <c r="S981" s="378"/>
      <c r="T981" s="378"/>
      <c r="U981" s="378"/>
      <c r="V981" s="378"/>
      <c r="W981" s="378"/>
      <c r="X981" s="378"/>
      <c r="Y981" s="378"/>
      <c r="Z981" s="378"/>
      <c r="AA981" s="378"/>
      <c r="AB981" s="378"/>
      <c r="AC981" s="378"/>
      <c r="AD981" s="378"/>
      <c r="AE981" s="378"/>
      <c r="AF981" s="378"/>
    </row>
    <row r="982" spans="2:32">
      <c r="B982" s="378"/>
      <c r="C982" s="378"/>
      <c r="D982" s="378"/>
      <c r="F982" s="378"/>
      <c r="G982" s="378"/>
      <c r="H982" s="378"/>
      <c r="I982" s="378"/>
      <c r="J982" s="378"/>
      <c r="K982" s="378"/>
      <c r="L982" s="378"/>
      <c r="M982" s="378"/>
      <c r="N982" s="378"/>
      <c r="O982" s="378"/>
      <c r="P982" s="378"/>
      <c r="Q982" s="378"/>
      <c r="R982" s="378"/>
      <c r="S982" s="378"/>
      <c r="T982" s="378"/>
      <c r="U982" s="378"/>
      <c r="V982" s="378"/>
      <c r="W982" s="378"/>
      <c r="X982" s="378"/>
      <c r="Y982" s="378"/>
      <c r="Z982" s="378"/>
      <c r="AA982" s="378"/>
      <c r="AB982" s="378"/>
      <c r="AC982" s="378"/>
      <c r="AD982" s="378"/>
      <c r="AE982" s="378"/>
      <c r="AF982" s="378"/>
    </row>
    <row r="983" spans="2:32">
      <c r="B983" s="378"/>
      <c r="C983" s="378"/>
      <c r="D983" s="378"/>
      <c r="F983" s="378"/>
      <c r="G983" s="378"/>
      <c r="H983" s="378"/>
      <c r="I983" s="378"/>
      <c r="J983" s="378"/>
      <c r="K983" s="378"/>
      <c r="L983" s="378"/>
      <c r="M983" s="378"/>
      <c r="N983" s="378"/>
      <c r="O983" s="378"/>
      <c r="P983" s="378"/>
      <c r="Q983" s="378"/>
      <c r="R983" s="378"/>
      <c r="S983" s="378"/>
      <c r="T983" s="378"/>
      <c r="U983" s="378"/>
      <c r="V983" s="378"/>
      <c r="W983" s="378"/>
      <c r="X983" s="378"/>
      <c r="Y983" s="378"/>
      <c r="Z983" s="378"/>
      <c r="AA983" s="378"/>
      <c r="AB983" s="378"/>
      <c r="AC983" s="378"/>
      <c r="AD983" s="378"/>
      <c r="AE983" s="378"/>
      <c r="AF983" s="378"/>
    </row>
    <row r="984" spans="2:32">
      <c r="B984" s="378"/>
      <c r="C984" s="378"/>
      <c r="D984" s="378"/>
      <c r="F984" s="378"/>
      <c r="G984" s="378"/>
      <c r="H984" s="378"/>
      <c r="I984" s="378"/>
      <c r="J984" s="378"/>
      <c r="K984" s="378"/>
      <c r="L984" s="378"/>
      <c r="M984" s="378"/>
      <c r="N984" s="378"/>
      <c r="O984" s="378"/>
      <c r="P984" s="378"/>
      <c r="Q984" s="378"/>
      <c r="R984" s="378"/>
      <c r="S984" s="378"/>
      <c r="T984" s="378"/>
      <c r="U984" s="378"/>
      <c r="V984" s="378"/>
      <c r="W984" s="378"/>
      <c r="X984" s="378"/>
      <c r="Y984" s="378"/>
      <c r="Z984" s="378"/>
      <c r="AA984" s="378"/>
      <c r="AB984" s="378"/>
      <c r="AC984" s="378"/>
      <c r="AD984" s="378"/>
      <c r="AE984" s="378"/>
      <c r="AF984" s="378"/>
    </row>
    <row r="985" spans="2:32">
      <c r="B985" s="378"/>
      <c r="C985" s="378"/>
      <c r="D985" s="378"/>
      <c r="F985" s="378"/>
      <c r="G985" s="378"/>
      <c r="H985" s="378"/>
      <c r="I985" s="378"/>
      <c r="J985" s="378"/>
      <c r="K985" s="378"/>
      <c r="L985" s="378"/>
      <c r="M985" s="378"/>
      <c r="N985" s="378"/>
      <c r="O985" s="378"/>
      <c r="P985" s="378"/>
      <c r="Q985" s="378"/>
      <c r="R985" s="378"/>
      <c r="S985" s="378"/>
      <c r="T985" s="378"/>
      <c r="U985" s="378"/>
      <c r="V985" s="378"/>
      <c r="W985" s="378"/>
      <c r="X985" s="378"/>
      <c r="Y985" s="378"/>
      <c r="Z985" s="378"/>
      <c r="AA985" s="378"/>
      <c r="AB985" s="378"/>
      <c r="AC985" s="378"/>
      <c r="AD985" s="378"/>
      <c r="AE985" s="378"/>
      <c r="AF985" s="37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ورقة15"/>
  <dimension ref="A1:BQ100"/>
  <sheetViews>
    <sheetView rightToLeft="1" topLeftCell="G1" zoomScale="114" workbookViewId="0">
      <selection activeCell="K101" sqref="K101"/>
    </sheetView>
  </sheetViews>
  <sheetFormatPr defaultRowHeight="15.5"/>
  <cols>
    <col min="1" max="1" width="6.61328125" bestFit="1" customWidth="1"/>
    <col min="2" max="2" width="10.61328125" bestFit="1" customWidth="1"/>
    <col min="3" max="3" width="9.07421875" bestFit="1" customWidth="1"/>
    <col min="4" max="4" width="14.53515625" bestFit="1" customWidth="1"/>
    <col min="5" max="5" width="21.84375" bestFit="1" customWidth="1"/>
    <col min="6" max="6" width="13" customWidth="1"/>
    <col min="7" max="7" width="12.15234375" customWidth="1"/>
    <col min="8" max="8" width="12.3046875" customWidth="1"/>
    <col min="9" max="9" width="11.84375" bestFit="1" customWidth="1"/>
    <col min="10" max="10" width="11.53515625" customWidth="1"/>
    <col min="11" max="11" width="11.921875" customWidth="1"/>
    <col min="12" max="12" width="10.3046875" customWidth="1"/>
    <col min="13" max="13" width="11.84375" customWidth="1"/>
    <col min="14" max="14" width="14.69140625" customWidth="1"/>
    <col min="15" max="15" width="15" customWidth="1"/>
    <col min="16" max="16" width="8.84375" customWidth="1"/>
    <col min="17" max="17" width="15.765625" customWidth="1"/>
    <col min="18" max="18" width="9.07421875" customWidth="1"/>
    <col min="19" max="19" width="13.3046875" customWidth="1"/>
    <col min="20" max="20" width="14.15234375" customWidth="1"/>
    <col min="21" max="21" width="18.765625" bestFit="1" customWidth="1"/>
    <col min="22" max="22" width="8.61328125" bestFit="1" customWidth="1"/>
    <col min="23" max="23" width="7.84375" bestFit="1" customWidth="1"/>
    <col min="24" max="24" width="8.23046875" bestFit="1" customWidth="1"/>
    <col min="25" max="25" width="8.921875" bestFit="1" customWidth="1"/>
    <col min="26" max="26" width="12.921875" bestFit="1" customWidth="1"/>
    <col min="27" max="27" width="9.53515625" bestFit="1" customWidth="1"/>
    <col min="28" max="28" width="11.3046875" bestFit="1" customWidth="1"/>
    <col min="29" max="29" width="11" bestFit="1" customWidth="1"/>
    <col min="30" max="30" width="11.53515625" bestFit="1" customWidth="1"/>
    <col min="31" max="31" width="11.15234375" bestFit="1" customWidth="1"/>
    <col min="32" max="32" width="12.69140625" bestFit="1" customWidth="1"/>
    <col min="33" max="33" width="12.3828125" bestFit="1" customWidth="1"/>
    <col min="34" max="34" width="12.07421875" bestFit="1" customWidth="1"/>
    <col min="35" max="35" width="15.07421875" bestFit="1" customWidth="1"/>
    <col min="36" max="36" width="8.07421875" bestFit="1" customWidth="1"/>
    <col min="37" max="37" width="8.69140625" bestFit="1" customWidth="1"/>
    <col min="38" max="38" width="7.61328125" bestFit="1" customWidth="1"/>
    <col min="39" max="39" width="8.23046875" bestFit="1" customWidth="1"/>
    <col min="40" max="40" width="7.921875" bestFit="1" customWidth="1"/>
    <col min="41" max="41" width="8.07421875" bestFit="1" customWidth="1"/>
    <col min="42" max="42" width="13.15234375" bestFit="1" customWidth="1"/>
    <col min="43" max="43" width="8.69140625" bestFit="1" customWidth="1"/>
    <col min="44" max="44" width="8.3046875" bestFit="1" customWidth="1"/>
    <col min="45" max="45" width="9.4609375" bestFit="1" customWidth="1"/>
    <col min="46" max="46" width="8.3828125" bestFit="1" customWidth="1"/>
    <col min="47" max="47" width="8" bestFit="1" customWidth="1"/>
    <col min="48" max="48" width="8.53515625" bestFit="1" customWidth="1"/>
    <col min="49" max="49" width="9.3046875" bestFit="1" customWidth="1"/>
    <col min="50" max="50" width="9.69140625" bestFit="1" customWidth="1"/>
    <col min="51" max="51" width="7.84375" bestFit="1" customWidth="1"/>
    <col min="52" max="52" width="14.3046875" bestFit="1" customWidth="1"/>
    <col min="53" max="53" width="12.53515625" bestFit="1" customWidth="1"/>
    <col min="54" max="54" width="9" bestFit="1" customWidth="1"/>
    <col min="55" max="55" width="9.07421875" bestFit="1" customWidth="1"/>
    <col min="56" max="56" width="9.4609375" bestFit="1" customWidth="1"/>
    <col min="57" max="57" width="8.921875" bestFit="1" customWidth="1"/>
    <col min="58" max="58" width="10.23046875" bestFit="1" customWidth="1"/>
    <col min="59" max="59" width="7" bestFit="1" customWidth="1"/>
    <col min="60" max="60" width="8.23046875" bestFit="1" customWidth="1"/>
    <col min="61" max="61" width="15.4609375" bestFit="1" customWidth="1"/>
    <col min="62" max="62" width="8.53515625" bestFit="1" customWidth="1"/>
    <col min="63" max="63" width="17.69140625" bestFit="1" customWidth="1"/>
    <col min="64" max="64" width="8.921875" bestFit="1" customWidth="1"/>
    <col min="65" max="65" width="13.3828125" bestFit="1" customWidth="1"/>
    <col min="66" max="66" width="14.69140625" bestFit="1" customWidth="1"/>
    <col min="67" max="67" width="10.69140625" bestFit="1" customWidth="1"/>
    <col min="68" max="68" width="13.4609375" bestFit="1" customWidth="1"/>
    <col min="69" max="69" width="13.921875" bestFit="1" customWidth="1"/>
  </cols>
  <sheetData>
    <row r="1" spans="1:69">
      <c r="R1" s="737" t="s">
        <v>202</v>
      </c>
      <c r="S1" s="737"/>
      <c r="T1" s="737" t="s">
        <v>203</v>
      </c>
      <c r="U1" s="737"/>
      <c r="BF1" s="1"/>
      <c r="BG1" s="1"/>
    </row>
    <row r="2" spans="1:69" ht="20">
      <c r="A2" s="1" t="b">
        <v>0</v>
      </c>
      <c r="B2" s="461" t="b">
        <v>0</v>
      </c>
      <c r="C2" s="462" t="b">
        <v>0</v>
      </c>
      <c r="D2" s="462" t="b">
        <v>0</v>
      </c>
      <c r="E2" s="462" t="b">
        <v>0</v>
      </c>
      <c r="F2" s="462" t="b">
        <v>0</v>
      </c>
      <c r="G2" s="463" t="b">
        <v>0</v>
      </c>
      <c r="H2" s="1" t="b">
        <v>0</v>
      </c>
      <c r="Q2" s="1" t="s">
        <v>27</v>
      </c>
      <c r="R2" s="1" t="s">
        <v>916</v>
      </c>
      <c r="S2" s="1" t="s">
        <v>917</v>
      </c>
      <c r="T2" s="1" t="s">
        <v>916</v>
      </c>
      <c r="U2" s="1" t="s">
        <v>917</v>
      </c>
      <c r="BF2" s="1"/>
      <c r="BG2" s="1"/>
    </row>
    <row r="3" spans="1:69" ht="20">
      <c r="B3" s="464"/>
      <c r="C3" s="465"/>
      <c r="D3" s="465"/>
      <c r="E3" s="465"/>
      <c r="F3" s="465"/>
      <c r="G3" s="466"/>
      <c r="Q3" s="1" t="s">
        <v>896</v>
      </c>
      <c r="R3" s="1" t="s">
        <v>28</v>
      </c>
      <c r="S3" s="1" t="s">
        <v>36</v>
      </c>
      <c r="T3" s="1" t="s">
        <v>37</v>
      </c>
      <c r="U3" s="1" t="s">
        <v>40</v>
      </c>
      <c r="BF3" s="1"/>
      <c r="BG3" s="1"/>
    </row>
    <row r="4" spans="1:69" ht="20.5" thickBot="1">
      <c r="B4" s="467"/>
      <c r="C4" s="468"/>
      <c r="D4" s="468"/>
      <c r="E4" s="468"/>
      <c r="F4" s="468"/>
      <c r="G4" s="469"/>
      <c r="Q4" s="1" t="s">
        <v>897</v>
      </c>
      <c r="R4" s="1" t="s">
        <v>65</v>
      </c>
      <c r="S4" s="1" t="s">
        <v>920</v>
      </c>
      <c r="T4" s="1" t="s">
        <v>918</v>
      </c>
      <c r="U4" s="1" t="s">
        <v>919</v>
      </c>
      <c r="BF4" s="1"/>
      <c r="BG4" s="1"/>
    </row>
    <row r="5" spans="1:69" ht="16.5" thickTop="1" thickBot="1">
      <c r="E5" s="737" t="s">
        <v>11</v>
      </c>
      <c r="F5" s="737"/>
      <c r="G5" s="737"/>
      <c r="H5" s="737"/>
      <c r="I5" s="737" t="s">
        <v>19</v>
      </c>
      <c r="J5" s="737"/>
      <c r="K5" s="737"/>
      <c r="L5" s="737"/>
      <c r="M5" s="737"/>
      <c r="N5" s="737"/>
      <c r="O5" s="737"/>
      <c r="P5" s="737" t="s">
        <v>20</v>
      </c>
      <c r="Q5" s="737"/>
      <c r="R5" s="737"/>
      <c r="S5" s="737"/>
      <c r="T5" s="737"/>
      <c r="U5" s="737"/>
      <c r="V5" s="738" t="s">
        <v>61</v>
      </c>
      <c r="W5" s="739"/>
      <c r="X5" s="267" t="str">
        <f ca="1">SUM(V7:V605)&amp;" ريال"</f>
        <v>45527 ريال</v>
      </c>
      <c r="BF5" s="1"/>
      <c r="BG5" s="1"/>
    </row>
    <row r="6" spans="1:69" ht="16" thickTop="1">
      <c r="A6" s="874" t="s">
        <v>5</v>
      </c>
      <c r="B6" s="875" t="s">
        <v>6</v>
      </c>
      <c r="C6" s="875" t="s">
        <v>27</v>
      </c>
      <c r="D6" s="876" t="s">
        <v>132</v>
      </c>
      <c r="E6" s="877" t="s">
        <v>8</v>
      </c>
      <c r="F6" s="877" t="s">
        <v>7</v>
      </c>
      <c r="G6" s="877" t="s">
        <v>9</v>
      </c>
      <c r="H6" s="877" t="s">
        <v>10</v>
      </c>
      <c r="I6" s="877" t="s">
        <v>12</v>
      </c>
      <c r="J6" s="877" t="s">
        <v>13</v>
      </c>
      <c r="K6" s="877" t="s">
        <v>14</v>
      </c>
      <c r="L6" s="877" t="s">
        <v>15</v>
      </c>
      <c r="M6" s="878" t="s">
        <v>16</v>
      </c>
      <c r="N6" s="877" t="s">
        <v>17</v>
      </c>
      <c r="O6" s="878" t="s">
        <v>18</v>
      </c>
      <c r="P6" s="877" t="s">
        <v>21</v>
      </c>
      <c r="Q6" s="877" t="s">
        <v>22</v>
      </c>
      <c r="R6" s="877" t="s">
        <v>23</v>
      </c>
      <c r="S6" s="878" t="s">
        <v>24</v>
      </c>
      <c r="T6" s="878" t="s">
        <v>26</v>
      </c>
      <c r="U6" s="878" t="s">
        <v>25</v>
      </c>
      <c r="V6" s="878" t="s">
        <v>64</v>
      </c>
      <c r="W6" s="878" t="s">
        <v>62</v>
      </c>
      <c r="X6" s="878" t="s">
        <v>63</v>
      </c>
      <c r="Y6" s="878" t="s">
        <v>282</v>
      </c>
      <c r="Z6" s="878" t="s">
        <v>430</v>
      </c>
      <c r="AA6" s="878" t="s">
        <v>431</v>
      </c>
      <c r="AB6" s="878" t="s">
        <v>500</v>
      </c>
      <c r="AC6" s="878" t="s">
        <v>673</v>
      </c>
      <c r="AD6" s="878" t="s">
        <v>663</v>
      </c>
      <c r="AE6" s="878" t="s">
        <v>297</v>
      </c>
      <c r="AF6" s="878" t="s">
        <v>677</v>
      </c>
      <c r="AG6" s="878" t="s">
        <v>678</v>
      </c>
      <c r="AH6" s="878" t="s">
        <v>679</v>
      </c>
      <c r="AI6" s="878" t="s">
        <v>680</v>
      </c>
      <c r="AJ6" s="878" t="s">
        <v>136</v>
      </c>
      <c r="AK6" s="878" t="s">
        <v>148</v>
      </c>
      <c r="AL6" s="878" t="s">
        <v>696</v>
      </c>
      <c r="AM6" s="878" t="s">
        <v>684</v>
      </c>
      <c r="AN6" s="878" t="s">
        <v>692</v>
      </c>
      <c r="AO6" s="878" t="s">
        <v>693</v>
      </c>
      <c r="AP6" s="878" t="s">
        <v>700</v>
      </c>
      <c r="AQ6" s="878" t="s">
        <v>695</v>
      </c>
      <c r="AR6" s="878" t="s">
        <v>694</v>
      </c>
      <c r="AS6" s="878" t="s">
        <v>698</v>
      </c>
      <c r="AT6" s="878" t="s">
        <v>697</v>
      </c>
      <c r="AU6" s="878" t="s">
        <v>681</v>
      </c>
      <c r="AV6" s="878" t="s">
        <v>682</v>
      </c>
      <c r="AW6" s="878" t="s">
        <v>739</v>
      </c>
      <c r="AX6" s="878" t="s">
        <v>685</v>
      </c>
      <c r="AY6" s="878" t="s">
        <v>686</v>
      </c>
      <c r="AZ6" s="878" t="s">
        <v>687</v>
      </c>
      <c r="BA6" s="878" t="s">
        <v>699</v>
      </c>
      <c r="BB6" s="878" t="s">
        <v>688</v>
      </c>
      <c r="BC6" s="878" t="s">
        <v>689</v>
      </c>
      <c r="BD6" s="878" t="s">
        <v>690</v>
      </c>
      <c r="BE6" s="878" t="s">
        <v>691</v>
      </c>
      <c r="BF6" s="878" t="s">
        <v>740</v>
      </c>
      <c r="BG6" s="878" t="s">
        <v>683</v>
      </c>
      <c r="BH6" s="878" t="s">
        <v>735</v>
      </c>
      <c r="BI6" s="878" t="s">
        <v>701</v>
      </c>
      <c r="BJ6" s="878" t="s">
        <v>702</v>
      </c>
      <c r="BK6" s="878" t="s">
        <v>886</v>
      </c>
      <c r="BL6" s="878" t="s">
        <v>887</v>
      </c>
      <c r="BM6" s="878" t="s">
        <v>908</v>
      </c>
      <c r="BN6" s="878" t="s">
        <v>909</v>
      </c>
      <c r="BO6" s="878" t="s">
        <v>798</v>
      </c>
      <c r="BP6" s="878" t="s">
        <v>904</v>
      </c>
      <c r="BQ6" s="878" t="s">
        <v>905</v>
      </c>
    </row>
    <row r="7" spans="1:69" hidden="1">
      <c r="A7" s="855">
        <v>1</v>
      </c>
      <c r="B7" s="855" t="s">
        <v>896</v>
      </c>
      <c r="C7" s="855" t="s">
        <v>896</v>
      </c>
      <c r="D7" s="856">
        <f ca="1">الجدول4[[#This Row],[تاريخ نهاية العقد]]-'Payments and Repayments'!B$1</f>
        <v>1768</v>
      </c>
      <c r="E7" s="857" t="s">
        <v>898</v>
      </c>
      <c r="F7" s="857">
        <v>1092194156</v>
      </c>
      <c r="G7" s="857">
        <v>541666787</v>
      </c>
      <c r="H7" s="858">
        <v>33839</v>
      </c>
      <c r="I7" s="857">
        <v>10509420651</v>
      </c>
      <c r="J7" s="857">
        <v>1</v>
      </c>
      <c r="K7" s="857">
        <v>700000</v>
      </c>
      <c r="L7" s="857">
        <v>62</v>
      </c>
      <c r="M7" s="859">
        <f t="shared" ref="M7:M38" si="0">K7/L7</f>
        <v>11290.322580645161</v>
      </c>
      <c r="N7" s="858">
        <v>46204</v>
      </c>
      <c r="O7" s="860">
        <f t="shared" ref="O7:O38" si="1">EDATE(N7,L7)-1</f>
        <v>48091</v>
      </c>
      <c r="P7" s="857">
        <v>0</v>
      </c>
      <c r="Q7" s="857"/>
      <c r="R7" s="857"/>
      <c r="S7"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70000</v>
      </c>
      <c r="T7"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7" s="859">
        <f>الجدول4[[#This Row],[مبلغ الايجار]]-الجدول4[[#This Row],[المبلغ المدفوع]]</f>
        <v>630000</v>
      </c>
      <c r="V7" s="859">
        <f ca="1">SUMIFS(الجدول3[مبلغ الدفعة], الجدول3[حساب الدفع], "مرفوعة في ناجز", الجدول3[رقم العقد], الجدول4[[#This Row],[رقم العقد]], الجدول3[اسم المستاجر], الجدول4[[#This Row],[اسم المستاجر]])</f>
        <v>0</v>
      </c>
      <c r="W7" s="859"/>
      <c r="X7" s="859"/>
      <c r="Y7" s="859" t="s">
        <v>295</v>
      </c>
      <c r="Z7" s="859"/>
      <c r="AA7" s="859" t="s">
        <v>434</v>
      </c>
      <c r="AB7" s="859"/>
      <c r="AC7" s="859"/>
      <c r="AD7" s="859"/>
      <c r="AE7" s="859"/>
      <c r="AF7" s="859"/>
      <c r="AG7" s="859"/>
      <c r="AH7" s="859"/>
      <c r="AI7" s="859"/>
      <c r="AJ7" s="859"/>
      <c r="AK7" s="859"/>
      <c r="AL7" s="859"/>
      <c r="AM7" s="859"/>
      <c r="AN7" s="859"/>
      <c r="AO7" s="859"/>
      <c r="AP7" s="859"/>
      <c r="AQ7" s="859"/>
      <c r="AR7" s="859"/>
      <c r="AS7" s="859"/>
      <c r="AT7" s="859"/>
      <c r="AU7" s="859"/>
      <c r="AV7" s="859"/>
      <c r="AW7" s="859"/>
      <c r="AX7" s="859"/>
      <c r="AY7" s="859"/>
      <c r="AZ7" s="859"/>
      <c r="BA7" s="859"/>
      <c r="BB7" s="859"/>
      <c r="BC7" s="859"/>
      <c r="BD7" s="859"/>
      <c r="BE7" s="859"/>
      <c r="BF7" s="859"/>
      <c r="BG7" s="859"/>
      <c r="BH7" s="859"/>
      <c r="BI7" s="859"/>
      <c r="BJ7" s="859"/>
      <c r="BK7" s="860"/>
      <c r="BL7" s="859"/>
      <c r="BM7" s="859" t="s">
        <v>914</v>
      </c>
      <c r="BN7" s="859" t="s">
        <v>914</v>
      </c>
      <c r="BO7" s="859" t="s">
        <v>910</v>
      </c>
      <c r="BP7" s="859"/>
      <c r="BQ7" s="859"/>
    </row>
    <row r="8" spans="1:69" hidden="1">
      <c r="A8" s="855">
        <v>2</v>
      </c>
      <c r="B8" s="855" t="s">
        <v>897</v>
      </c>
      <c r="C8" s="855" t="s">
        <v>897</v>
      </c>
      <c r="D8" s="856">
        <f ca="1">الجدول4[[#This Row],[تاريخ نهاية العقد]]-'Payments and Repayments'!B$1</f>
        <v>1770</v>
      </c>
      <c r="E8" s="857" t="s">
        <v>899</v>
      </c>
      <c r="F8" s="857">
        <v>1092194156</v>
      </c>
      <c r="G8" s="857">
        <v>541666787</v>
      </c>
      <c r="H8" s="858">
        <v>33839</v>
      </c>
      <c r="I8" s="857">
        <v>10855099232</v>
      </c>
      <c r="J8" s="857">
        <v>1</v>
      </c>
      <c r="K8" s="857">
        <v>800002</v>
      </c>
      <c r="L8" s="857">
        <v>62</v>
      </c>
      <c r="M8" s="859">
        <f t="shared" si="0"/>
        <v>12903.258064516129</v>
      </c>
      <c r="N8" s="858">
        <v>46206</v>
      </c>
      <c r="O8" s="860">
        <f t="shared" si="1"/>
        <v>48093</v>
      </c>
      <c r="P8" s="857"/>
      <c r="Q8" s="857"/>
      <c r="R8" s="857"/>
      <c r="S8"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80000</v>
      </c>
      <c r="T8"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8" s="859">
        <f>الجدول4[[#This Row],[مبلغ الايجار]]-الجدول4[[#This Row],[المبلغ المدفوع]]</f>
        <v>720002</v>
      </c>
      <c r="V8" s="859">
        <f ca="1">SUMIFS(الجدول3[مبلغ الدفعة], الجدول3[حساب الدفع], "مرفوعة في ناجز", الجدول3[رقم العقد], الجدول4[[#This Row],[رقم العقد]], الجدول3[اسم المستاجر], الجدول4[[#This Row],[اسم المستاجر]])</f>
        <v>0</v>
      </c>
      <c r="W8" s="859"/>
      <c r="X8" s="859"/>
      <c r="Y8" s="859"/>
      <c r="Z8" s="859"/>
      <c r="AA8" s="859"/>
      <c r="AB8" s="859"/>
      <c r="AC8" s="859"/>
      <c r="AD8" s="859"/>
      <c r="AE8" s="859"/>
      <c r="AF8" s="859"/>
      <c r="AG8" s="859"/>
      <c r="AH8" s="859"/>
      <c r="AI8" s="859"/>
      <c r="AJ8" s="859"/>
      <c r="AK8" s="859"/>
      <c r="AL8" s="859"/>
      <c r="AM8" s="859"/>
      <c r="AN8" s="859"/>
      <c r="AO8" s="859"/>
      <c r="AP8" s="859"/>
      <c r="AQ8" s="859"/>
      <c r="AR8" s="859"/>
      <c r="AS8" s="859"/>
      <c r="AT8" s="859"/>
      <c r="AU8" s="859"/>
      <c r="AV8" s="859"/>
      <c r="AW8" s="859"/>
      <c r="AX8" s="859"/>
      <c r="AY8" s="859"/>
      <c r="AZ8" s="859"/>
      <c r="BA8" s="859"/>
      <c r="BB8" s="859"/>
      <c r="BC8" s="859"/>
      <c r="BD8" s="859"/>
      <c r="BE8" s="859"/>
      <c r="BF8" s="859"/>
      <c r="BG8" s="859"/>
      <c r="BH8" s="859"/>
      <c r="BI8" s="859"/>
      <c r="BJ8" s="859"/>
      <c r="BK8" s="860"/>
      <c r="BL8" s="859"/>
      <c r="BM8" s="859" t="s">
        <v>914</v>
      </c>
      <c r="BN8" s="859" t="s">
        <v>914</v>
      </c>
      <c r="BO8" s="859" t="s">
        <v>910</v>
      </c>
      <c r="BP8" s="859"/>
      <c r="BQ8" s="859"/>
    </row>
    <row r="9" spans="1:69" hidden="1">
      <c r="A9" s="855">
        <v>3</v>
      </c>
      <c r="B9" s="855" t="s">
        <v>31</v>
      </c>
      <c r="C9" s="855" t="s">
        <v>896</v>
      </c>
      <c r="D9" s="856">
        <f ca="1">الجدول4[[#This Row],[تاريخ نهاية العقد]]-'Payments and Repayments'!B$1</f>
        <v>290</v>
      </c>
      <c r="E9" s="857" t="s">
        <v>900</v>
      </c>
      <c r="F9" s="857">
        <v>1108515238</v>
      </c>
      <c r="G9" s="857">
        <v>537378323</v>
      </c>
      <c r="H9" s="857"/>
      <c r="I9" s="857">
        <v>10727655349</v>
      </c>
      <c r="J9" s="857">
        <v>1</v>
      </c>
      <c r="K9" s="857">
        <v>24000</v>
      </c>
      <c r="L9" s="857">
        <v>12</v>
      </c>
      <c r="M9" s="859">
        <f t="shared" si="0"/>
        <v>2000</v>
      </c>
      <c r="N9" s="858">
        <v>46249</v>
      </c>
      <c r="O9" s="860">
        <f t="shared" si="1"/>
        <v>46613</v>
      </c>
      <c r="P9" s="857"/>
      <c r="Q9" s="857"/>
      <c r="R9" s="857">
        <v>500</v>
      </c>
      <c r="S9"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6000</v>
      </c>
      <c r="T9"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9" s="859">
        <f>الجدول4[[#This Row],[مبلغ الايجار]]-الجدول4[[#This Row],[المبلغ المدفوع]]</f>
        <v>18000</v>
      </c>
      <c r="V9" s="859">
        <f ca="1">SUMIFS(الجدول3[مبلغ الدفعة], الجدول3[حساب الدفع], "مرفوعة في ناجز", الجدول3[رقم العقد], الجدول4[[#This Row],[رقم العقد]], الجدول3[اسم المستاجر], الجدول4[[#This Row],[اسم المستاجر]])</f>
        <v>0</v>
      </c>
      <c r="W9" s="859"/>
      <c r="X9" s="859"/>
      <c r="Y9" s="859"/>
      <c r="Z9" s="859"/>
      <c r="AA9" s="859"/>
      <c r="AB9" s="859"/>
      <c r="AC9" s="859"/>
      <c r="AD9" s="859"/>
      <c r="AE9" s="859"/>
      <c r="AF9" s="859"/>
      <c r="AG9" s="859"/>
      <c r="AH9" s="859"/>
      <c r="AI9" s="859"/>
      <c r="AJ9" s="859"/>
      <c r="AK9" s="859"/>
      <c r="AL9" s="859"/>
      <c r="AM9" s="859"/>
      <c r="AN9" s="859"/>
      <c r="AO9" s="859"/>
      <c r="AP9" s="859"/>
      <c r="AQ9" s="859"/>
      <c r="AR9" s="859"/>
      <c r="AS9" s="859"/>
      <c r="AT9" s="859"/>
      <c r="AU9" s="859"/>
      <c r="AV9" s="859"/>
      <c r="AW9" s="859"/>
      <c r="AX9" s="859"/>
      <c r="AY9" s="859"/>
      <c r="AZ9" s="859"/>
      <c r="BA9" s="859"/>
      <c r="BB9" s="859"/>
      <c r="BC9" s="859"/>
      <c r="BD9" s="859"/>
      <c r="BE9" s="859"/>
      <c r="BF9" s="859"/>
      <c r="BG9" s="859"/>
      <c r="BH9" s="859"/>
      <c r="BI9" s="859"/>
      <c r="BJ9" s="859"/>
      <c r="BK9" s="859"/>
      <c r="BL9" s="859"/>
      <c r="BM9" s="859" t="s">
        <v>914</v>
      </c>
      <c r="BN9" s="859" t="s">
        <v>914</v>
      </c>
      <c r="BO9" s="859" t="s">
        <v>910</v>
      </c>
      <c r="BP9" s="859"/>
      <c r="BQ9" s="859"/>
    </row>
    <row r="10" spans="1:69" hidden="1">
      <c r="A10" s="855">
        <v>4</v>
      </c>
      <c r="B10" s="855" t="s">
        <v>34</v>
      </c>
      <c r="C10" s="855" t="s">
        <v>896</v>
      </c>
      <c r="D10" s="856" t="s">
        <v>1740</v>
      </c>
      <c r="E10" s="862" t="s">
        <v>907</v>
      </c>
      <c r="F10" s="863">
        <v>2488814464</v>
      </c>
      <c r="G10" s="857">
        <v>554703379</v>
      </c>
      <c r="H10" s="857"/>
      <c r="I10" s="857">
        <v>10250862101</v>
      </c>
      <c r="J10" s="857">
        <v>1</v>
      </c>
      <c r="K10" s="857">
        <v>24000</v>
      </c>
      <c r="L10" s="857">
        <v>12</v>
      </c>
      <c r="M10" s="859">
        <f t="shared" si="0"/>
        <v>2000</v>
      </c>
      <c r="N10" s="858">
        <v>46253</v>
      </c>
      <c r="O10" s="860">
        <f t="shared" si="1"/>
        <v>46617</v>
      </c>
      <c r="P10" s="857"/>
      <c r="Q10" s="857"/>
      <c r="R10" s="857"/>
      <c r="S10"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2000</v>
      </c>
      <c r="T10"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10" s="859">
        <f>الجدول4[[#This Row],[مبلغ الايجار]]-الجدول4[[#This Row],[المبلغ المدفوع]]</f>
        <v>22000</v>
      </c>
      <c r="V10" s="859">
        <f>SUMIFS(الجدول3[مبلغ الدفعة], الجدول3[حساب الدفع], "مرفوعة في ناجز", الجدول3[رقم العقد], الجدول4[[#This Row],[رقم العقد]], الجدول3[اسم المستاجر], الجدول4[[#This Row],[اسم المستاجر]])</f>
        <v>0</v>
      </c>
      <c r="W10" s="859"/>
      <c r="X10" s="859"/>
      <c r="Y10" s="859"/>
      <c r="Z10" s="859"/>
      <c r="AA10" s="859"/>
      <c r="AB10" s="859"/>
      <c r="AC10" s="859"/>
      <c r="AD10" s="859"/>
      <c r="AE10" s="859"/>
      <c r="AF10" s="859"/>
      <c r="AG10" s="859"/>
      <c r="AH10" s="859"/>
      <c r="AI10" s="859"/>
      <c r="AJ10" s="859"/>
      <c r="AK10" s="859"/>
      <c r="AL10" s="859"/>
      <c r="AM10" s="859"/>
      <c r="AN10" s="859"/>
      <c r="AO10" s="859"/>
      <c r="AP10" s="859"/>
      <c r="AQ10" s="859"/>
      <c r="AR10" s="859"/>
      <c r="AS10" s="859"/>
      <c r="AT10" s="859"/>
      <c r="AU10" s="859"/>
      <c r="AV10" s="859"/>
      <c r="AW10" s="859"/>
      <c r="AX10" s="859"/>
      <c r="AY10" s="859"/>
      <c r="AZ10" s="859"/>
      <c r="BA10" s="859"/>
      <c r="BB10" s="859"/>
      <c r="BC10" s="859"/>
      <c r="BD10" s="859"/>
      <c r="BE10" s="859"/>
      <c r="BF10" s="859"/>
      <c r="BG10" s="859"/>
      <c r="BH10" s="859"/>
      <c r="BI10" s="859"/>
      <c r="BJ10" s="859"/>
      <c r="BK10" s="859"/>
      <c r="BL10" s="859"/>
      <c r="BM10" s="859" t="s">
        <v>914</v>
      </c>
      <c r="BN10" s="859" t="s">
        <v>914</v>
      </c>
      <c r="BO10" s="859" t="s">
        <v>910</v>
      </c>
      <c r="BP10" s="859"/>
      <c r="BQ10" s="859"/>
    </row>
    <row r="11" spans="1:69" hidden="1">
      <c r="A11" s="855">
        <v>5</v>
      </c>
      <c r="B11" s="855" t="s">
        <v>33</v>
      </c>
      <c r="C11" s="855" t="s">
        <v>896</v>
      </c>
      <c r="D11" s="856">
        <f ca="1">الجدول4[[#This Row],[تاريخ نهاية العقد]]-'Payments and Repayments'!B$1</f>
        <v>295</v>
      </c>
      <c r="E11" s="857" t="s">
        <v>915</v>
      </c>
      <c r="F11" s="857">
        <v>1032457200</v>
      </c>
      <c r="G11" s="857">
        <v>550444512</v>
      </c>
      <c r="H11" s="857"/>
      <c r="I11" s="857">
        <v>10998552503</v>
      </c>
      <c r="J11" s="857">
        <v>1</v>
      </c>
      <c r="K11" s="857">
        <v>24000</v>
      </c>
      <c r="L11" s="857">
        <v>12</v>
      </c>
      <c r="M11" s="859">
        <f t="shared" si="0"/>
        <v>2000</v>
      </c>
      <c r="N11" s="858">
        <v>46254</v>
      </c>
      <c r="O11" s="860">
        <f t="shared" si="1"/>
        <v>46618</v>
      </c>
      <c r="P11" s="857"/>
      <c r="Q11" s="857"/>
      <c r="R11" s="857">
        <v>500</v>
      </c>
      <c r="S11"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1000</v>
      </c>
      <c r="T11"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5000</v>
      </c>
      <c r="U11" s="859">
        <f>الجدول4[[#This Row],[مبلغ الايجار]]-الجدول4[[#This Row],[المبلغ المدفوع]]</f>
        <v>23000</v>
      </c>
      <c r="V11" s="859">
        <f ca="1">SUMIFS(الجدول3[مبلغ الدفعة], الجدول3[حساب الدفع], "مرفوعة في ناجز", الجدول3[رقم العقد], الجدول4[[#This Row],[رقم العقد]], الجدول3[اسم المستاجر], الجدول4[[#This Row],[اسم المستاجر]])</f>
        <v>0</v>
      </c>
      <c r="W11" s="859"/>
      <c r="X11" s="859"/>
      <c r="Y11" s="859"/>
      <c r="Z11" s="859"/>
      <c r="AA11" s="859"/>
      <c r="AB11" s="859"/>
      <c r="AC11" s="859"/>
      <c r="AD11" s="859"/>
      <c r="AE11" s="859"/>
      <c r="AF11" s="859"/>
      <c r="AG11" s="859"/>
      <c r="AH11" s="859"/>
      <c r="AI11" s="859"/>
      <c r="AJ11" s="859"/>
      <c r="AK11" s="859"/>
      <c r="AL11" s="859"/>
      <c r="AM11" s="859"/>
      <c r="AN11" s="859"/>
      <c r="AO11" s="859"/>
      <c r="AP11" s="859"/>
      <c r="AQ11" s="859"/>
      <c r="AR11" s="859"/>
      <c r="AS11" s="859"/>
      <c r="AT11" s="859"/>
      <c r="AU11" s="859"/>
      <c r="AV11" s="859"/>
      <c r="AW11" s="859"/>
      <c r="AX11" s="859"/>
      <c r="AY11" s="859"/>
      <c r="AZ11" s="859"/>
      <c r="BA11" s="859"/>
      <c r="BB11" s="859"/>
      <c r="BC11" s="859"/>
      <c r="BD11" s="859"/>
      <c r="BE11" s="859"/>
      <c r="BF11" s="859"/>
      <c r="BG11" s="859"/>
      <c r="BH11" s="859"/>
      <c r="BI11" s="859"/>
      <c r="BJ11" s="859"/>
      <c r="BK11" s="859"/>
      <c r="BL11" s="859"/>
      <c r="BM11" s="859" t="s">
        <v>914</v>
      </c>
      <c r="BN11" s="859" t="s">
        <v>914</v>
      </c>
      <c r="BO11" s="859" t="s">
        <v>910</v>
      </c>
      <c r="BP11" s="859"/>
      <c r="BQ11" s="859"/>
    </row>
    <row r="12" spans="1:69" hidden="1">
      <c r="A12" s="855">
        <v>6</v>
      </c>
      <c r="B12" s="855" t="s">
        <v>30</v>
      </c>
      <c r="C12" s="855" t="s">
        <v>896</v>
      </c>
      <c r="D12" s="856" t="s">
        <v>1740</v>
      </c>
      <c r="E12" s="857" t="s">
        <v>921</v>
      </c>
      <c r="F12" s="857">
        <v>1117566776</v>
      </c>
      <c r="G12" s="857">
        <v>507207991</v>
      </c>
      <c r="H12" s="857"/>
      <c r="I12" s="857">
        <v>10843479317</v>
      </c>
      <c r="J12" s="857">
        <v>1</v>
      </c>
      <c r="K12" s="857">
        <v>2000</v>
      </c>
      <c r="L12" s="857">
        <v>1</v>
      </c>
      <c r="M12" s="859">
        <f t="shared" si="0"/>
        <v>2000</v>
      </c>
      <c r="N12" s="858">
        <v>46255</v>
      </c>
      <c r="O12" s="860">
        <f t="shared" si="1"/>
        <v>46285</v>
      </c>
      <c r="P12" s="857"/>
      <c r="Q12" s="857"/>
      <c r="R12" s="857">
        <v>500</v>
      </c>
      <c r="S12"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2000</v>
      </c>
      <c r="T12"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12" s="859">
        <f>الجدول4[[#This Row],[مبلغ الايجار]]-الجدول4[[#This Row],[المبلغ المدفوع]]</f>
        <v>0</v>
      </c>
      <c r="V12" s="859">
        <f>SUMIFS(الجدول3[مبلغ الدفعة], الجدول3[حساب الدفع], "مرفوعة في ناجز", الجدول3[رقم العقد], الجدول4[[#This Row],[رقم العقد]], الجدول3[اسم المستاجر], الجدول4[[#This Row],[اسم المستاجر]])</f>
        <v>0</v>
      </c>
      <c r="W12" s="859"/>
      <c r="X12" s="859"/>
      <c r="Y12" s="859"/>
      <c r="Z12" s="859"/>
      <c r="AA12" s="859"/>
      <c r="AB12" s="859"/>
      <c r="AC12" s="859"/>
      <c r="AD12" s="859"/>
      <c r="AE12" s="859"/>
      <c r="AF12" s="859"/>
      <c r="AG12" s="859"/>
      <c r="AH12" s="859"/>
      <c r="AI12" s="859"/>
      <c r="AJ12" s="859"/>
      <c r="AK12" s="859"/>
      <c r="AL12" s="859"/>
      <c r="AM12" s="859"/>
      <c r="AN12" s="859"/>
      <c r="AO12" s="859"/>
      <c r="AP12" s="859"/>
      <c r="AQ12" s="859"/>
      <c r="AR12" s="859"/>
      <c r="AS12" s="859"/>
      <c r="AT12" s="859"/>
      <c r="AU12" s="859"/>
      <c r="AV12" s="859"/>
      <c r="AW12" s="859"/>
      <c r="AX12" s="859"/>
      <c r="AY12" s="859"/>
      <c r="AZ12" s="859"/>
      <c r="BA12" s="859"/>
      <c r="BB12" s="859"/>
      <c r="BC12" s="859"/>
      <c r="BD12" s="859"/>
      <c r="BE12" s="859"/>
      <c r="BF12" s="859"/>
      <c r="BG12" s="859"/>
      <c r="BH12" s="859"/>
      <c r="BI12" s="859"/>
      <c r="BJ12" s="859"/>
      <c r="BK12" s="859"/>
      <c r="BL12" s="859"/>
      <c r="BM12" s="859" t="s">
        <v>914</v>
      </c>
      <c r="BN12" s="859" t="s">
        <v>914</v>
      </c>
      <c r="BO12" s="859" t="s">
        <v>910</v>
      </c>
      <c r="BP12" s="859"/>
      <c r="BQ12" s="859"/>
    </row>
    <row r="13" spans="1:69" hidden="1">
      <c r="A13" s="855">
        <v>7</v>
      </c>
      <c r="B13" s="855" t="s">
        <v>38</v>
      </c>
      <c r="C13" s="855" t="s">
        <v>896</v>
      </c>
      <c r="D13" s="856">
        <f ca="1">الجدول4[[#This Row],[تاريخ نهاية العقد]]-'Payments and Repayments'!B$1</f>
        <v>298</v>
      </c>
      <c r="E13" s="864" t="s">
        <v>988</v>
      </c>
      <c r="F13" s="857">
        <v>1071402612</v>
      </c>
      <c r="G13" s="857">
        <v>545095935</v>
      </c>
      <c r="H13" s="858"/>
      <c r="I13" s="857">
        <v>10248740301</v>
      </c>
      <c r="J13" s="857">
        <v>1</v>
      </c>
      <c r="K13" s="857">
        <v>33600</v>
      </c>
      <c r="L13" s="857">
        <v>12</v>
      </c>
      <c r="M13" s="859">
        <f t="shared" si="0"/>
        <v>2800</v>
      </c>
      <c r="N13" s="858">
        <v>46257</v>
      </c>
      <c r="O13" s="860">
        <f t="shared" si="1"/>
        <v>46621</v>
      </c>
      <c r="P13" s="857"/>
      <c r="Q13" s="857"/>
      <c r="R13" s="857">
        <v>500</v>
      </c>
      <c r="S13"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5600</v>
      </c>
      <c r="T13"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2800</v>
      </c>
      <c r="U13" s="859">
        <f>الجدول4[[#This Row],[مبلغ الايجار]]-الجدول4[[#This Row],[المبلغ المدفوع]]</f>
        <v>28000</v>
      </c>
      <c r="V13" s="859">
        <f ca="1">SUMIFS(الجدول3[مبلغ الدفعة], الجدول3[حساب الدفع], "مرفوعة في ناجز", الجدول3[رقم العقد], الجدول4[[#This Row],[رقم العقد]], الجدول3[اسم المستاجر], الجدول4[[#This Row],[اسم المستاجر]])</f>
        <v>0</v>
      </c>
      <c r="W13" s="859"/>
      <c r="X13" s="859"/>
      <c r="Y13" s="859"/>
      <c r="Z13" s="859"/>
      <c r="AA13" s="859"/>
      <c r="AB13" s="859"/>
      <c r="AC13" s="859"/>
      <c r="AD13" s="859"/>
      <c r="AE13" s="859"/>
      <c r="AF13" s="859"/>
      <c r="AG13" s="859"/>
      <c r="AH13" s="859"/>
      <c r="AI13" s="859"/>
      <c r="AJ13" s="859"/>
      <c r="AK13" s="859"/>
      <c r="AL13" s="859"/>
      <c r="AM13" s="859"/>
      <c r="AN13" s="859"/>
      <c r="AO13" s="859"/>
      <c r="AP13" s="859"/>
      <c r="AQ13" s="859"/>
      <c r="AR13" s="859"/>
      <c r="AS13" s="859"/>
      <c r="AT13" s="859"/>
      <c r="AU13" s="859"/>
      <c r="AV13" s="859"/>
      <c r="AW13" s="859"/>
      <c r="AX13" s="859"/>
      <c r="AY13" s="859"/>
      <c r="AZ13" s="859"/>
      <c r="BA13" s="859"/>
      <c r="BB13" s="859"/>
      <c r="BC13" s="859"/>
      <c r="BD13" s="859"/>
      <c r="BE13" s="859"/>
      <c r="BF13" s="859"/>
      <c r="BG13" s="859"/>
      <c r="BH13" s="859"/>
      <c r="BI13" s="859"/>
      <c r="BJ13" s="859"/>
      <c r="BK13" s="860"/>
      <c r="BL13" s="859"/>
      <c r="BM13" s="859" t="s">
        <v>914</v>
      </c>
      <c r="BN13" s="859" t="s">
        <v>914</v>
      </c>
      <c r="BO13" s="859" t="s">
        <v>910</v>
      </c>
      <c r="BP13" s="859"/>
      <c r="BQ13" s="859"/>
    </row>
    <row r="14" spans="1:69" hidden="1">
      <c r="A14" s="855">
        <v>8</v>
      </c>
      <c r="B14" s="855" t="s">
        <v>37</v>
      </c>
      <c r="C14" s="855" t="s">
        <v>896</v>
      </c>
      <c r="D14" s="856">
        <f ca="1">الجدول4[[#This Row],[تاريخ نهاية العقد]]-'Payments and Repayments'!B$1</f>
        <v>298</v>
      </c>
      <c r="E14" s="857" t="s">
        <v>901</v>
      </c>
      <c r="F14" s="857">
        <v>1134108271</v>
      </c>
      <c r="G14" s="857">
        <v>534643998</v>
      </c>
      <c r="H14" s="857"/>
      <c r="I14" s="857">
        <v>10230635933</v>
      </c>
      <c r="J14" s="857">
        <v>1</v>
      </c>
      <c r="K14" s="857">
        <v>30000</v>
      </c>
      <c r="L14" s="857">
        <v>12</v>
      </c>
      <c r="M14" s="859">
        <f t="shared" si="0"/>
        <v>2500</v>
      </c>
      <c r="N14" s="858">
        <v>46257</v>
      </c>
      <c r="O14" s="860">
        <f t="shared" si="1"/>
        <v>46621</v>
      </c>
      <c r="P14" s="857"/>
      <c r="Q14" s="857"/>
      <c r="R14" s="857">
        <v>500</v>
      </c>
      <c r="S14"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5000</v>
      </c>
      <c r="T14"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2500</v>
      </c>
      <c r="U14" s="859">
        <f>الجدول4[[#This Row],[مبلغ الايجار]]-الجدول4[[#This Row],[المبلغ المدفوع]]</f>
        <v>25000</v>
      </c>
      <c r="V14" s="859">
        <f ca="1">SUMIFS(الجدول3[مبلغ الدفعة], الجدول3[حساب الدفع], "مرفوعة في ناجز", الجدول3[رقم العقد], الجدول4[[#This Row],[رقم العقد]], الجدول3[اسم المستاجر], الجدول4[[#This Row],[اسم المستاجر]])</f>
        <v>0</v>
      </c>
      <c r="W14" s="859"/>
      <c r="X14" s="859"/>
      <c r="Y14" s="859"/>
      <c r="Z14" s="859"/>
      <c r="AA14" s="859"/>
      <c r="AB14" s="859"/>
      <c r="AC14" s="859"/>
      <c r="AD14" s="859"/>
      <c r="AE14" s="859"/>
      <c r="AF14" s="859"/>
      <c r="AG14" s="859"/>
      <c r="AH14" s="859"/>
      <c r="AI14" s="859"/>
      <c r="AJ14" s="859"/>
      <c r="AK14" s="859"/>
      <c r="AL14" s="859"/>
      <c r="AM14" s="859"/>
      <c r="AN14" s="859"/>
      <c r="AO14" s="859"/>
      <c r="AP14" s="859"/>
      <c r="AQ14" s="859"/>
      <c r="AR14" s="859"/>
      <c r="AS14" s="859"/>
      <c r="AT14" s="859"/>
      <c r="AU14" s="859"/>
      <c r="AV14" s="859"/>
      <c r="AW14" s="859"/>
      <c r="AX14" s="859"/>
      <c r="AY14" s="859"/>
      <c r="AZ14" s="859"/>
      <c r="BA14" s="859"/>
      <c r="BB14" s="859"/>
      <c r="BC14" s="859"/>
      <c r="BD14" s="859"/>
      <c r="BE14" s="859"/>
      <c r="BF14" s="859"/>
      <c r="BG14" s="859"/>
      <c r="BH14" s="859"/>
      <c r="BI14" s="859"/>
      <c r="BJ14" s="859"/>
      <c r="BK14" s="859"/>
      <c r="BL14" s="859"/>
      <c r="BM14" s="859" t="s">
        <v>914</v>
      </c>
      <c r="BN14" s="859" t="s">
        <v>914</v>
      </c>
      <c r="BO14" s="859" t="s">
        <v>910</v>
      </c>
      <c r="BP14" s="859"/>
      <c r="BQ14" s="859"/>
    </row>
    <row r="15" spans="1:69" hidden="1">
      <c r="A15" s="855">
        <v>9</v>
      </c>
      <c r="B15" s="855" t="s">
        <v>35</v>
      </c>
      <c r="C15" s="855" t="s">
        <v>896</v>
      </c>
      <c r="D15" s="856" t="s">
        <v>1740</v>
      </c>
      <c r="E15" s="857" t="s">
        <v>903</v>
      </c>
      <c r="F15" s="857">
        <v>1141024644</v>
      </c>
      <c r="G15" s="857">
        <v>502928825</v>
      </c>
      <c r="H15" s="857"/>
      <c r="I15" s="857">
        <v>10831589570</v>
      </c>
      <c r="J15" s="857">
        <v>1</v>
      </c>
      <c r="K15" s="857">
        <v>5700</v>
      </c>
      <c r="L15" s="857">
        <v>3</v>
      </c>
      <c r="M15" s="859">
        <f t="shared" si="0"/>
        <v>1900</v>
      </c>
      <c r="N15" s="858">
        <v>46257</v>
      </c>
      <c r="O15" s="860">
        <f t="shared" si="1"/>
        <v>46348</v>
      </c>
      <c r="P15" s="857"/>
      <c r="Q15" s="857"/>
      <c r="R15" s="857">
        <v>200</v>
      </c>
      <c r="S15"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1900</v>
      </c>
      <c r="T15"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3800</v>
      </c>
      <c r="U15" s="859">
        <f>الجدول4[[#This Row],[مبلغ الايجار]]-الجدول4[[#This Row],[المبلغ المدفوع]]</f>
        <v>3800</v>
      </c>
      <c r="V15" s="859">
        <f>SUMIFS(الجدول3[مبلغ الدفعة], الجدول3[حساب الدفع], "مرفوعة في ناجز", الجدول3[رقم العقد], الجدول4[[#This Row],[رقم العقد]], الجدول3[اسم المستاجر], الجدول4[[#This Row],[اسم المستاجر]])</f>
        <v>0</v>
      </c>
      <c r="W15" s="859"/>
      <c r="X15" s="859"/>
      <c r="Y15" s="859"/>
      <c r="Z15" s="859"/>
      <c r="AA15" s="859"/>
      <c r="AB15" s="859"/>
      <c r="AC15" s="859"/>
      <c r="AD15" s="859"/>
      <c r="AE15" s="859"/>
      <c r="AF15" s="859"/>
      <c r="AG15" s="859"/>
      <c r="AH15" s="859"/>
      <c r="AI15" s="859"/>
      <c r="AJ15" s="859"/>
      <c r="AK15" s="859"/>
      <c r="AL15" s="859"/>
      <c r="AM15" s="859"/>
      <c r="AN15" s="859"/>
      <c r="AO15" s="859"/>
      <c r="AP15" s="859"/>
      <c r="AQ15" s="859"/>
      <c r="AR15" s="859"/>
      <c r="AS15" s="859"/>
      <c r="AT15" s="859"/>
      <c r="AU15" s="859"/>
      <c r="AV15" s="859"/>
      <c r="AW15" s="859"/>
      <c r="AX15" s="859"/>
      <c r="AY15" s="859"/>
      <c r="AZ15" s="859"/>
      <c r="BA15" s="859"/>
      <c r="BB15" s="859"/>
      <c r="BC15" s="859"/>
      <c r="BD15" s="859"/>
      <c r="BE15" s="859"/>
      <c r="BF15" s="859"/>
      <c r="BG15" s="859"/>
      <c r="BH15" s="859"/>
      <c r="BI15" s="859"/>
      <c r="BJ15" s="859"/>
      <c r="BK15" s="859"/>
      <c r="BL15" s="859"/>
      <c r="BM15" s="859" t="s">
        <v>914</v>
      </c>
      <c r="BN15" s="859" t="s">
        <v>914</v>
      </c>
      <c r="BO15" s="859" t="s">
        <v>910</v>
      </c>
      <c r="BP15" s="859"/>
      <c r="BQ15" s="859"/>
    </row>
    <row r="16" spans="1:69" hidden="1">
      <c r="A16" s="855">
        <v>10</v>
      </c>
      <c r="B16" s="855" t="s">
        <v>39</v>
      </c>
      <c r="C16" s="855" t="s">
        <v>896</v>
      </c>
      <c r="D16" s="856">
        <f ca="1">الجدول4[[#This Row],[تاريخ نهاية العقد]]-'Payments and Repayments'!B$1</f>
        <v>298</v>
      </c>
      <c r="E16" s="857" t="s">
        <v>906</v>
      </c>
      <c r="F16" s="857">
        <v>1143162764</v>
      </c>
      <c r="G16" s="857">
        <v>533990014</v>
      </c>
      <c r="H16" s="857"/>
      <c r="I16" s="857">
        <v>10825954136</v>
      </c>
      <c r="J16" s="857">
        <v>1</v>
      </c>
      <c r="K16" s="857">
        <f>2800*12</f>
        <v>33600</v>
      </c>
      <c r="L16" s="857">
        <v>12</v>
      </c>
      <c r="M16" s="859">
        <f t="shared" si="0"/>
        <v>2800</v>
      </c>
      <c r="N16" s="858">
        <v>46257</v>
      </c>
      <c r="O16" s="860">
        <f t="shared" si="1"/>
        <v>46621</v>
      </c>
      <c r="P16" s="857"/>
      <c r="Q16" s="857"/>
      <c r="R16" s="857">
        <v>500</v>
      </c>
      <c r="S16"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2800</v>
      </c>
      <c r="T16"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5600</v>
      </c>
      <c r="U16" s="859">
        <f>الجدول4[[#This Row],[مبلغ الايجار]]-الجدول4[[#This Row],[المبلغ المدفوع]]</f>
        <v>30800</v>
      </c>
      <c r="V16" s="859">
        <f ca="1">SUMIFS(الجدول3[مبلغ الدفعة], الجدول3[حساب الدفع], "مرفوعة في ناجز", الجدول3[رقم العقد], الجدول4[[#This Row],[رقم العقد]], الجدول3[اسم المستاجر], الجدول4[[#This Row],[اسم المستاجر]])</f>
        <v>0</v>
      </c>
      <c r="W16" s="859"/>
      <c r="X16" s="859"/>
      <c r="Y16" s="859"/>
      <c r="Z16" s="859"/>
      <c r="AA16" s="859"/>
      <c r="AB16" s="859"/>
      <c r="AC16" s="859"/>
      <c r="AD16" s="859"/>
      <c r="AE16" s="859"/>
      <c r="AF16" s="859"/>
      <c r="AG16" s="859"/>
      <c r="AH16" s="859"/>
      <c r="AI16" s="859"/>
      <c r="AJ16" s="859"/>
      <c r="AK16" s="859"/>
      <c r="AL16" s="859"/>
      <c r="AM16" s="859"/>
      <c r="AN16" s="859"/>
      <c r="AO16" s="859"/>
      <c r="AP16" s="859"/>
      <c r="AQ16" s="859"/>
      <c r="AR16" s="859"/>
      <c r="AS16" s="859"/>
      <c r="AT16" s="859"/>
      <c r="AU16" s="859"/>
      <c r="AV16" s="859"/>
      <c r="AW16" s="859"/>
      <c r="AX16" s="859"/>
      <c r="AY16" s="859"/>
      <c r="AZ16" s="859"/>
      <c r="BA16" s="859"/>
      <c r="BB16" s="859"/>
      <c r="BC16" s="859"/>
      <c r="BD16" s="859"/>
      <c r="BE16" s="859"/>
      <c r="BF16" s="859"/>
      <c r="BG16" s="859"/>
      <c r="BH16" s="859"/>
      <c r="BI16" s="859"/>
      <c r="BJ16" s="859"/>
      <c r="BK16" s="859"/>
      <c r="BL16" s="859"/>
      <c r="BM16" s="859" t="s">
        <v>914</v>
      </c>
      <c r="BN16" s="859" t="s">
        <v>914</v>
      </c>
      <c r="BO16" s="859" t="s">
        <v>910</v>
      </c>
      <c r="BP16" s="859"/>
      <c r="BQ16" s="859"/>
    </row>
    <row r="17" spans="1:69" hidden="1">
      <c r="A17" s="855">
        <v>11</v>
      </c>
      <c r="B17" s="855" t="s">
        <v>36</v>
      </c>
      <c r="C17" s="855" t="s">
        <v>896</v>
      </c>
      <c r="D17" s="856">
        <f ca="1">الجدول4[[#This Row],[تاريخ نهاية العقد]]-'Payments and Repayments'!B$1</f>
        <v>300</v>
      </c>
      <c r="E17" s="857" t="s">
        <v>922</v>
      </c>
      <c r="F17" s="857">
        <v>1106176959</v>
      </c>
      <c r="G17" s="857">
        <v>575980095</v>
      </c>
      <c r="H17" s="858">
        <v>35461</v>
      </c>
      <c r="I17" s="857">
        <v>10879253534</v>
      </c>
      <c r="J17" s="857">
        <v>1</v>
      </c>
      <c r="K17" s="857">
        <v>21600</v>
      </c>
      <c r="L17" s="857">
        <v>12</v>
      </c>
      <c r="M17" s="859">
        <f t="shared" si="0"/>
        <v>1800</v>
      </c>
      <c r="N17" s="858">
        <v>46259</v>
      </c>
      <c r="O17" s="860">
        <f t="shared" si="1"/>
        <v>46623</v>
      </c>
      <c r="P17" s="857"/>
      <c r="Q17" s="857"/>
      <c r="R17" s="857"/>
      <c r="S17"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3600</v>
      </c>
      <c r="T17"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1800</v>
      </c>
      <c r="U17" s="859">
        <f>الجدول4[[#This Row],[مبلغ الايجار]]-الجدول4[[#This Row],[المبلغ المدفوع]]</f>
        <v>18000</v>
      </c>
      <c r="V17" s="859">
        <f ca="1">SUMIFS(الجدول3[مبلغ الدفعة], الجدول3[حساب الدفع], "مرفوعة في ناجز", الجدول3[رقم العقد], الجدول4[[#This Row],[رقم العقد]], الجدول3[اسم المستاجر], الجدول4[[#This Row],[اسم المستاجر]])</f>
        <v>0</v>
      </c>
      <c r="W17" s="859"/>
      <c r="X17" s="859"/>
      <c r="Y17" s="859"/>
      <c r="Z17" s="859"/>
      <c r="AA17" s="859"/>
      <c r="AB17" s="859"/>
      <c r="AC17" s="859"/>
      <c r="AD17" s="859"/>
      <c r="AE17" s="859"/>
      <c r="AF17" s="859"/>
      <c r="AG17" s="859"/>
      <c r="AH17" s="859"/>
      <c r="AI17" s="859"/>
      <c r="AJ17" s="859"/>
      <c r="AK17" s="859"/>
      <c r="AL17" s="859"/>
      <c r="AM17" s="859"/>
      <c r="AN17" s="859"/>
      <c r="AO17" s="859"/>
      <c r="AP17" s="859"/>
      <c r="AQ17" s="859"/>
      <c r="AR17" s="859"/>
      <c r="AS17" s="859"/>
      <c r="AT17" s="859"/>
      <c r="AU17" s="859"/>
      <c r="AV17" s="859"/>
      <c r="AW17" s="859"/>
      <c r="AX17" s="859"/>
      <c r="AY17" s="859"/>
      <c r="AZ17" s="859"/>
      <c r="BA17" s="859"/>
      <c r="BB17" s="859"/>
      <c r="BC17" s="859"/>
      <c r="BD17" s="859"/>
      <c r="BE17" s="859"/>
      <c r="BF17" s="859"/>
      <c r="BG17" s="859"/>
      <c r="BH17" s="859"/>
      <c r="BI17" s="859"/>
      <c r="BJ17" s="859"/>
      <c r="BK17" s="859"/>
      <c r="BL17" s="859"/>
      <c r="BM17" s="859" t="s">
        <v>914</v>
      </c>
      <c r="BN17" s="859" t="s">
        <v>914</v>
      </c>
      <c r="BO17" s="859" t="s">
        <v>910</v>
      </c>
      <c r="BP17" s="859"/>
      <c r="BQ17" s="859"/>
    </row>
    <row r="18" spans="1:69" hidden="1">
      <c r="A18" s="855">
        <v>12</v>
      </c>
      <c r="B18" s="855" t="s">
        <v>37</v>
      </c>
      <c r="C18" s="855">
        <v>102</v>
      </c>
      <c r="D18" s="856">
        <f ca="1">الجدول4[[#This Row],[تاريخ نهاية العقد]]-'Payments and Repayments'!B$1</f>
        <v>303</v>
      </c>
      <c r="E18" s="857" t="s">
        <v>994</v>
      </c>
      <c r="F18" s="865">
        <v>1120162464</v>
      </c>
      <c r="G18" s="857">
        <v>538356214</v>
      </c>
      <c r="H18" s="857"/>
      <c r="I18" s="857">
        <v>10843187723</v>
      </c>
      <c r="J18" s="857">
        <v>1</v>
      </c>
      <c r="K18" s="857">
        <v>48000</v>
      </c>
      <c r="L18" s="857">
        <v>12</v>
      </c>
      <c r="M18" s="859">
        <f t="shared" si="0"/>
        <v>4000</v>
      </c>
      <c r="N18" s="866">
        <v>46262</v>
      </c>
      <c r="O18" s="867">
        <f t="shared" si="1"/>
        <v>46626</v>
      </c>
      <c r="P18" s="857"/>
      <c r="Q18" s="857"/>
      <c r="R18" s="857"/>
      <c r="S18"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0</v>
      </c>
      <c r="T18"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4000</v>
      </c>
      <c r="U18" s="859">
        <f>الجدول4[[#This Row],[مبلغ الايجار]]-الجدول4[[#This Row],[المبلغ المدفوع]]</f>
        <v>48000</v>
      </c>
      <c r="V18" s="859">
        <f ca="1">SUMIFS(الجدول3[مبلغ الدفعة], الجدول3[حساب الدفع], "مرفوعة في ناجز", الجدول3[رقم العقد], الجدول4[[#This Row],[رقم العقد]], الجدول3[اسم المستاجر], الجدول4[[#This Row],[اسم المستاجر]])</f>
        <v>0</v>
      </c>
      <c r="W18" s="859"/>
      <c r="X18" s="859"/>
      <c r="Y18" s="859"/>
      <c r="Z18" s="859"/>
      <c r="AA18" s="859"/>
      <c r="AB18" s="859"/>
      <c r="AC18" s="859"/>
      <c r="AD18" s="859"/>
      <c r="AE18" s="859"/>
      <c r="AF18" s="859"/>
      <c r="AG18" s="859"/>
      <c r="AH18" s="859"/>
      <c r="AI18" s="859"/>
      <c r="AJ18" s="859"/>
      <c r="AK18" s="859"/>
      <c r="AL18" s="859"/>
      <c r="AM18" s="859"/>
      <c r="AN18" s="859"/>
      <c r="AO18" s="859"/>
      <c r="AP18" s="859"/>
      <c r="AQ18" s="859"/>
      <c r="AR18" s="859"/>
      <c r="AS18" s="859"/>
      <c r="AT18" s="859"/>
      <c r="AU18" s="859"/>
      <c r="AV18" s="859"/>
      <c r="AW18" s="859"/>
      <c r="AX18" s="859"/>
      <c r="AY18" s="859"/>
      <c r="AZ18" s="859"/>
      <c r="BA18" s="859"/>
      <c r="BB18" s="859"/>
      <c r="BC18" s="859"/>
      <c r="BD18" s="859"/>
      <c r="BE18" s="859"/>
      <c r="BF18" s="859"/>
      <c r="BG18" s="859"/>
      <c r="BH18" s="859"/>
      <c r="BI18" s="859"/>
      <c r="BJ18" s="859"/>
      <c r="BK18" s="859"/>
      <c r="BL18" s="859"/>
      <c r="BM18" s="859"/>
      <c r="BN18" s="859"/>
      <c r="BO18" s="859"/>
      <c r="BP18" s="859"/>
      <c r="BQ18" s="859"/>
    </row>
    <row r="19" spans="1:69" hidden="1">
      <c r="A19" s="855">
        <v>13</v>
      </c>
      <c r="B19" s="855" t="s">
        <v>28</v>
      </c>
      <c r="C19" s="855" t="s">
        <v>896</v>
      </c>
      <c r="D19" s="856">
        <f ca="1">الجدول4[[#This Row],[تاريخ نهاية العقد]]-'Payments and Repayments'!B$1</f>
        <v>305</v>
      </c>
      <c r="E19" s="857" t="s">
        <v>924</v>
      </c>
      <c r="F19" s="857">
        <v>1134035078</v>
      </c>
      <c r="G19" s="857">
        <v>500260680</v>
      </c>
      <c r="H19" s="858"/>
      <c r="I19" s="857">
        <v>10229579861</v>
      </c>
      <c r="J19" s="857">
        <v>1</v>
      </c>
      <c r="K19" s="857">
        <v>24000</v>
      </c>
      <c r="L19" s="857">
        <v>12</v>
      </c>
      <c r="M19" s="859">
        <f t="shared" si="0"/>
        <v>2000</v>
      </c>
      <c r="N19" s="858">
        <v>46264</v>
      </c>
      <c r="O19" s="860">
        <f t="shared" si="1"/>
        <v>46628</v>
      </c>
      <c r="P19" s="857"/>
      <c r="Q19" s="857"/>
      <c r="R19" s="857">
        <v>500</v>
      </c>
      <c r="S19"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4000</v>
      </c>
      <c r="T19"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19" s="859">
        <f>الجدول4[[#This Row],[مبلغ الايجار]]-الجدول4[[#This Row],[المبلغ المدفوع]]</f>
        <v>20000</v>
      </c>
      <c r="V19" s="859">
        <f ca="1">SUMIFS(الجدول3[مبلغ الدفعة], الجدول3[حساب الدفع], "مرفوعة في ناجز", الجدول3[رقم العقد], الجدول4[[#This Row],[رقم العقد]], الجدول3[اسم المستاجر], الجدول4[[#This Row],[اسم المستاجر]])</f>
        <v>0</v>
      </c>
      <c r="W19" s="859"/>
      <c r="X19" s="859"/>
      <c r="Y19" s="859"/>
      <c r="Z19" s="859"/>
      <c r="AA19" s="859"/>
      <c r="AB19" s="859"/>
      <c r="AC19" s="859"/>
      <c r="AD19" s="859"/>
      <c r="AE19" s="859"/>
      <c r="AF19" s="859"/>
      <c r="AG19" s="859"/>
      <c r="AH19" s="859"/>
      <c r="AI19" s="859"/>
      <c r="AJ19" s="859"/>
      <c r="AK19" s="859"/>
      <c r="AL19" s="859"/>
      <c r="AM19" s="859"/>
      <c r="AN19" s="859"/>
      <c r="AO19" s="859"/>
      <c r="AP19" s="859"/>
      <c r="AQ19" s="859"/>
      <c r="AR19" s="859"/>
      <c r="AS19" s="859"/>
      <c r="AT19" s="859"/>
      <c r="AU19" s="859"/>
      <c r="AV19" s="859"/>
      <c r="AW19" s="859"/>
      <c r="AX19" s="859"/>
      <c r="AY19" s="859"/>
      <c r="AZ19" s="859"/>
      <c r="BA19" s="859"/>
      <c r="BB19" s="859"/>
      <c r="BC19" s="859"/>
      <c r="BD19" s="859"/>
      <c r="BE19" s="859"/>
      <c r="BF19" s="859"/>
      <c r="BG19" s="859"/>
      <c r="BH19" s="859"/>
      <c r="BI19" s="859"/>
      <c r="BJ19" s="859"/>
      <c r="BK19" s="859"/>
      <c r="BL19" s="859"/>
      <c r="BM19" s="859" t="s">
        <v>914</v>
      </c>
      <c r="BN19" s="859" t="s">
        <v>914</v>
      </c>
      <c r="BO19" s="859" t="s">
        <v>910</v>
      </c>
      <c r="BP19" s="859"/>
      <c r="BQ19" s="859"/>
    </row>
    <row r="20" spans="1:69" hidden="1">
      <c r="A20" s="855">
        <v>14</v>
      </c>
      <c r="B20" s="855" t="s">
        <v>29</v>
      </c>
      <c r="C20" s="855" t="s">
        <v>896</v>
      </c>
      <c r="D20" s="856" t="s">
        <v>1740</v>
      </c>
      <c r="E20" s="857" t="s">
        <v>923</v>
      </c>
      <c r="F20" s="857">
        <v>1101315644</v>
      </c>
      <c r="G20" s="857">
        <v>538998012</v>
      </c>
      <c r="H20" s="858"/>
      <c r="I20" s="857">
        <v>10293396456</v>
      </c>
      <c r="J20" s="857">
        <v>1</v>
      </c>
      <c r="K20" s="857">
        <v>24000</v>
      </c>
      <c r="L20" s="857">
        <v>12</v>
      </c>
      <c r="M20" s="859">
        <f t="shared" si="0"/>
        <v>2000</v>
      </c>
      <c r="N20" s="858">
        <v>46264</v>
      </c>
      <c r="O20" s="860">
        <f t="shared" si="1"/>
        <v>46628</v>
      </c>
      <c r="P20" s="857"/>
      <c r="Q20" s="857"/>
      <c r="R20" s="857">
        <v>500</v>
      </c>
      <c r="S20"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2000</v>
      </c>
      <c r="T20"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2000</v>
      </c>
      <c r="U20" s="859">
        <f>الجدول4[[#This Row],[مبلغ الايجار]]-الجدول4[[#This Row],[المبلغ المدفوع]]</f>
        <v>22000</v>
      </c>
      <c r="V20" s="859">
        <f ca="1">SUMIFS(الجدول3[مبلغ الدفعة], الجدول3[حساب الدفع], "مرفوعة في ناجز", الجدول3[رقم العقد], الجدول4[[#This Row],[رقم العقد]], الجدول3[اسم المستاجر], الجدول4[[#This Row],[اسم المستاجر]])</f>
        <v>0</v>
      </c>
      <c r="W20" s="859"/>
      <c r="X20" s="859"/>
      <c r="Y20" s="859"/>
      <c r="Z20" s="859"/>
      <c r="AA20" s="859"/>
      <c r="AB20" s="859"/>
      <c r="AC20" s="859"/>
      <c r="AD20" s="859"/>
      <c r="AE20" s="859"/>
      <c r="AF20" s="859"/>
      <c r="AG20" s="859"/>
      <c r="AH20" s="859"/>
      <c r="AI20" s="859"/>
      <c r="AJ20" s="859"/>
      <c r="AK20" s="859"/>
      <c r="AL20" s="859"/>
      <c r="AM20" s="859"/>
      <c r="AN20" s="859"/>
      <c r="AO20" s="859"/>
      <c r="AP20" s="859"/>
      <c r="AQ20" s="859"/>
      <c r="AR20" s="859"/>
      <c r="AS20" s="859"/>
      <c r="AT20" s="859"/>
      <c r="AU20" s="859"/>
      <c r="AV20" s="859"/>
      <c r="AW20" s="859"/>
      <c r="AX20" s="859"/>
      <c r="AY20" s="859"/>
      <c r="AZ20" s="859"/>
      <c r="BA20" s="859"/>
      <c r="BB20" s="859"/>
      <c r="BC20" s="859"/>
      <c r="BD20" s="859"/>
      <c r="BE20" s="859"/>
      <c r="BF20" s="859"/>
      <c r="BG20" s="859"/>
      <c r="BH20" s="859"/>
      <c r="BI20" s="859"/>
      <c r="BJ20" s="859"/>
      <c r="BK20" s="859"/>
      <c r="BL20" s="859"/>
      <c r="BM20" s="859" t="s">
        <v>914</v>
      </c>
      <c r="BN20" s="859" t="s">
        <v>914</v>
      </c>
      <c r="BO20" s="859" t="s">
        <v>910</v>
      </c>
      <c r="BP20" s="859"/>
      <c r="BQ20" s="859"/>
    </row>
    <row r="21" spans="1:69" hidden="1">
      <c r="A21" s="855">
        <v>15</v>
      </c>
      <c r="B21" s="855" t="s">
        <v>32</v>
      </c>
      <c r="C21" s="855" t="s">
        <v>896</v>
      </c>
      <c r="D21" s="856">
        <f ca="1">الجدول4[[#This Row],[تاريخ نهاية العقد]]-'Payments and Repayments'!B$1</f>
        <v>127</v>
      </c>
      <c r="E21" s="857" t="s">
        <v>941</v>
      </c>
      <c r="F21" s="857">
        <v>1045301080</v>
      </c>
      <c r="G21" s="857">
        <v>505188233</v>
      </c>
      <c r="H21" s="858"/>
      <c r="I21" s="857">
        <v>10181957244</v>
      </c>
      <c r="J21" s="857">
        <v>1</v>
      </c>
      <c r="K21" s="857">
        <v>12000</v>
      </c>
      <c r="L21" s="857">
        <v>6</v>
      </c>
      <c r="M21" s="859">
        <f t="shared" si="0"/>
        <v>2000</v>
      </c>
      <c r="N21" s="858">
        <v>46270</v>
      </c>
      <c r="O21" s="860">
        <f t="shared" si="1"/>
        <v>46450</v>
      </c>
      <c r="P21" s="857"/>
      <c r="Q21" s="857"/>
      <c r="R21" s="857">
        <v>500</v>
      </c>
      <c r="S21"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4000</v>
      </c>
      <c r="T21"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21" s="859">
        <f>الجدول4[[#This Row],[مبلغ الايجار]]-الجدول4[[#This Row],[المبلغ المدفوع]]</f>
        <v>8000</v>
      </c>
      <c r="V21" s="859">
        <f ca="1">SUMIFS(الجدول3[مبلغ الدفعة], الجدول3[حساب الدفع], "مرفوعة في ناجز", الجدول3[رقم العقد], الجدول4[[#This Row],[رقم العقد]], الجدول3[اسم المستاجر], الجدول4[[#This Row],[اسم المستاجر]])</f>
        <v>0</v>
      </c>
      <c r="W21" s="859"/>
      <c r="X21" s="859"/>
      <c r="Y21" s="859"/>
      <c r="Z21" s="859"/>
      <c r="AA21" s="859"/>
      <c r="AB21" s="859"/>
      <c r="AC21" s="859"/>
      <c r="AD21" s="859"/>
      <c r="AE21" s="859"/>
      <c r="AF21" s="859"/>
      <c r="AG21" s="859"/>
      <c r="AH21" s="859"/>
      <c r="AI21" s="859"/>
      <c r="AJ21" s="859"/>
      <c r="AK21" s="859"/>
      <c r="AL21" s="859"/>
      <c r="AM21" s="859"/>
      <c r="AN21" s="859"/>
      <c r="AO21" s="859"/>
      <c r="AP21" s="859"/>
      <c r="AQ21" s="859"/>
      <c r="AR21" s="859"/>
      <c r="AS21" s="859"/>
      <c r="AT21" s="859"/>
      <c r="AU21" s="859"/>
      <c r="AV21" s="859"/>
      <c r="AW21" s="859"/>
      <c r="AX21" s="859"/>
      <c r="AY21" s="859"/>
      <c r="AZ21" s="859"/>
      <c r="BA21" s="859"/>
      <c r="BB21" s="859"/>
      <c r="BC21" s="859"/>
      <c r="BD21" s="859"/>
      <c r="BE21" s="859"/>
      <c r="BF21" s="859"/>
      <c r="BG21" s="859"/>
      <c r="BH21" s="859"/>
      <c r="BI21" s="859"/>
      <c r="BJ21" s="859"/>
      <c r="BK21" s="859"/>
      <c r="BL21" s="859"/>
      <c r="BM21" s="859" t="s">
        <v>914</v>
      </c>
      <c r="BN21" s="859" t="s">
        <v>914</v>
      </c>
      <c r="BO21" s="859" t="s">
        <v>910</v>
      </c>
      <c r="BP21" s="859"/>
      <c r="BQ21" s="859"/>
    </row>
    <row r="22" spans="1:69" hidden="1">
      <c r="A22" s="855">
        <v>16</v>
      </c>
      <c r="B22" s="855" t="s">
        <v>34</v>
      </c>
      <c r="C22" s="855" t="s">
        <v>896</v>
      </c>
      <c r="D22" s="856">
        <f ca="1">الجدول4[[#This Row],[تاريخ نهاية العقد]]-'Payments and Repayments'!B$1</f>
        <v>315</v>
      </c>
      <c r="E22" s="857" t="s">
        <v>951</v>
      </c>
      <c r="F22" s="857">
        <v>1105846248</v>
      </c>
      <c r="G22" s="857">
        <v>502100383</v>
      </c>
      <c r="H22" s="857"/>
      <c r="I22" s="857">
        <v>10744903211</v>
      </c>
      <c r="J22" s="857">
        <v>1</v>
      </c>
      <c r="K22" s="857">
        <v>22800</v>
      </c>
      <c r="L22" s="857">
        <v>12</v>
      </c>
      <c r="M22" s="859">
        <f t="shared" si="0"/>
        <v>1900</v>
      </c>
      <c r="N22" s="858">
        <v>46274</v>
      </c>
      <c r="O22" s="860">
        <f t="shared" si="1"/>
        <v>46638</v>
      </c>
      <c r="P22" s="857"/>
      <c r="Q22" s="857"/>
      <c r="R22" s="857">
        <v>500</v>
      </c>
      <c r="S22"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3800</v>
      </c>
      <c r="T22"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22" s="859">
        <f>الجدول4[[#This Row],[مبلغ الايجار]]-الجدول4[[#This Row],[المبلغ المدفوع]]</f>
        <v>19000</v>
      </c>
      <c r="V22" s="859">
        <f ca="1">SUMIFS(الجدول3[مبلغ الدفعة], الجدول3[حساب الدفع], "مرفوعة في ناجز", الجدول3[رقم العقد], الجدول4[[#This Row],[رقم العقد]], الجدول3[اسم المستاجر], الجدول4[[#This Row],[اسم المستاجر]])</f>
        <v>0</v>
      </c>
      <c r="W22" s="859"/>
      <c r="X22" s="859"/>
      <c r="Y22" s="859"/>
      <c r="Z22" s="859"/>
      <c r="AA22" s="859"/>
      <c r="AB22" s="859"/>
      <c r="AC22" s="859"/>
      <c r="AD22" s="859"/>
      <c r="AE22" s="859"/>
      <c r="AF22" s="859"/>
      <c r="AG22" s="859"/>
      <c r="AH22" s="859"/>
      <c r="AI22" s="859"/>
      <c r="AJ22" s="859"/>
      <c r="AK22" s="859"/>
      <c r="AL22" s="859"/>
      <c r="AM22" s="859"/>
      <c r="AN22" s="859"/>
      <c r="AO22" s="859"/>
      <c r="AP22" s="859"/>
      <c r="AQ22" s="859"/>
      <c r="AR22" s="859"/>
      <c r="AS22" s="859"/>
      <c r="AT22" s="859"/>
      <c r="AU22" s="859"/>
      <c r="AV22" s="859"/>
      <c r="AW22" s="859"/>
      <c r="AX22" s="859"/>
      <c r="AY22" s="859"/>
      <c r="AZ22" s="859"/>
      <c r="BA22" s="859"/>
      <c r="BB22" s="859"/>
      <c r="BC22" s="859"/>
      <c r="BD22" s="859"/>
      <c r="BE22" s="859"/>
      <c r="BF22" s="859"/>
      <c r="BG22" s="859"/>
      <c r="BH22" s="859"/>
      <c r="BI22" s="859"/>
      <c r="BJ22" s="859"/>
      <c r="BK22" s="859"/>
      <c r="BL22" s="859"/>
      <c r="BM22" s="859" t="s">
        <v>914</v>
      </c>
      <c r="BN22" s="859" t="s">
        <v>914</v>
      </c>
      <c r="BO22" s="859" t="s">
        <v>910</v>
      </c>
      <c r="BP22" s="859"/>
      <c r="BQ22" s="859"/>
    </row>
    <row r="23" spans="1:69" hidden="1">
      <c r="A23" s="855">
        <v>17</v>
      </c>
      <c r="B23" s="855" t="s">
        <v>944</v>
      </c>
      <c r="C23" s="855" t="s">
        <v>897</v>
      </c>
      <c r="D23" s="856">
        <f ca="1">الجدول4[[#This Row],[تاريخ نهاية العقد]]-'Payments and Repayments'!B$1</f>
        <v>319</v>
      </c>
      <c r="E23" s="857" t="s">
        <v>950</v>
      </c>
      <c r="F23" s="857">
        <v>1111028963</v>
      </c>
      <c r="G23" s="857">
        <v>533638327</v>
      </c>
      <c r="H23" s="858"/>
      <c r="I23" s="857">
        <v>10353217790</v>
      </c>
      <c r="J23" s="857">
        <v>1</v>
      </c>
      <c r="K23" s="857">
        <v>22800</v>
      </c>
      <c r="L23" s="857">
        <v>12</v>
      </c>
      <c r="M23" s="859">
        <f t="shared" si="0"/>
        <v>1900</v>
      </c>
      <c r="N23" s="858">
        <v>46278</v>
      </c>
      <c r="O23" s="860">
        <f t="shared" si="1"/>
        <v>46642</v>
      </c>
      <c r="P23" s="857"/>
      <c r="Q23" s="857"/>
      <c r="R23" s="857">
        <v>500</v>
      </c>
      <c r="S23"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1800</v>
      </c>
      <c r="T23"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1800</v>
      </c>
      <c r="U23" s="859">
        <f>الجدول4[[#This Row],[مبلغ الايجار]]-الجدول4[[#This Row],[المبلغ المدفوع]]</f>
        <v>21000</v>
      </c>
      <c r="V23" s="859">
        <f ca="1">SUMIFS(الجدول3[مبلغ الدفعة], الجدول3[حساب الدفع], "مرفوعة في ناجز", الجدول3[رقم العقد], الجدول4[[#This Row],[رقم العقد]], الجدول3[اسم المستاجر], الجدول4[[#This Row],[اسم المستاجر]])</f>
        <v>0</v>
      </c>
      <c r="W23" s="859"/>
      <c r="X23" s="859"/>
      <c r="Y23" s="859"/>
      <c r="Z23" s="859"/>
      <c r="AA23" s="859"/>
      <c r="AB23" s="859"/>
      <c r="AC23" s="859"/>
      <c r="AD23" s="859"/>
      <c r="AE23" s="859"/>
      <c r="AF23" s="859"/>
      <c r="AG23" s="859"/>
      <c r="AH23" s="859"/>
      <c r="AI23" s="859"/>
      <c r="AJ23" s="859"/>
      <c r="AK23" s="859"/>
      <c r="AL23" s="859"/>
      <c r="AM23" s="859"/>
      <c r="AN23" s="859"/>
      <c r="AO23" s="859"/>
      <c r="AP23" s="859"/>
      <c r="AQ23" s="859"/>
      <c r="AR23" s="859"/>
      <c r="AS23" s="859"/>
      <c r="AT23" s="859"/>
      <c r="AU23" s="859"/>
      <c r="AV23" s="859"/>
      <c r="AW23" s="859"/>
      <c r="AX23" s="859"/>
      <c r="AY23" s="859"/>
      <c r="AZ23" s="859"/>
      <c r="BA23" s="859"/>
      <c r="BB23" s="859"/>
      <c r="BC23" s="859"/>
      <c r="BD23" s="859"/>
      <c r="BE23" s="859"/>
      <c r="BF23" s="859"/>
      <c r="BG23" s="859"/>
      <c r="BH23" s="859"/>
      <c r="BI23" s="859"/>
      <c r="BJ23" s="859"/>
      <c r="BK23" s="859"/>
      <c r="BL23" s="859"/>
      <c r="BM23" s="859" t="s">
        <v>914</v>
      </c>
      <c r="BN23" s="859" t="s">
        <v>914</v>
      </c>
      <c r="BO23" s="859" t="s">
        <v>910</v>
      </c>
      <c r="BP23" s="859"/>
      <c r="BQ23" s="859"/>
    </row>
    <row r="24" spans="1:69" hidden="1">
      <c r="A24" s="855">
        <v>18</v>
      </c>
      <c r="B24" s="855" t="s">
        <v>65</v>
      </c>
      <c r="C24" s="855" t="s">
        <v>897</v>
      </c>
      <c r="D24" s="856">
        <f ca="1">الجدول4[[#This Row],[تاريخ نهاية العقد]]-'Payments and Repayments'!B$1</f>
        <v>322</v>
      </c>
      <c r="E24" s="857" t="s">
        <v>952</v>
      </c>
      <c r="F24" s="857">
        <v>1078119151</v>
      </c>
      <c r="G24" s="857">
        <v>509200032</v>
      </c>
      <c r="H24" s="857"/>
      <c r="I24" s="857">
        <v>10645869084</v>
      </c>
      <c r="J24" s="857">
        <v>1</v>
      </c>
      <c r="K24" s="857">
        <v>24000</v>
      </c>
      <c r="L24" s="857">
        <v>12</v>
      </c>
      <c r="M24" s="859">
        <f t="shared" si="0"/>
        <v>2000</v>
      </c>
      <c r="N24" s="858">
        <v>46281</v>
      </c>
      <c r="O24" s="860">
        <f t="shared" si="1"/>
        <v>46645</v>
      </c>
      <c r="P24" s="857"/>
      <c r="Q24" s="857"/>
      <c r="R24" s="857"/>
      <c r="S24"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4000</v>
      </c>
      <c r="T24"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24" s="859">
        <f>الجدول4[[#This Row],[مبلغ الايجار]]-الجدول4[[#This Row],[المبلغ المدفوع]]</f>
        <v>20000</v>
      </c>
      <c r="V24" s="859">
        <f ca="1">SUMIFS(الجدول3[مبلغ الدفعة], الجدول3[حساب الدفع], "مرفوعة في ناجز", الجدول3[رقم العقد], الجدول4[[#This Row],[رقم العقد]], الجدول3[اسم المستاجر], الجدول4[[#This Row],[اسم المستاجر]])</f>
        <v>0</v>
      </c>
      <c r="W24" s="859"/>
      <c r="X24" s="859"/>
      <c r="Y24" s="859"/>
      <c r="Z24" s="859"/>
      <c r="AA24" s="859"/>
      <c r="AB24" s="859"/>
      <c r="AC24" s="859"/>
      <c r="AD24" s="859"/>
      <c r="AE24" s="859"/>
      <c r="AF24" s="859"/>
      <c r="AG24" s="859"/>
      <c r="AH24" s="859"/>
      <c r="AI24" s="859"/>
      <c r="AJ24" s="859"/>
      <c r="AK24" s="859"/>
      <c r="AL24" s="859"/>
      <c r="AM24" s="859"/>
      <c r="AN24" s="859"/>
      <c r="AO24" s="859"/>
      <c r="AP24" s="859"/>
      <c r="AQ24" s="859"/>
      <c r="AR24" s="859"/>
      <c r="AS24" s="859"/>
      <c r="AT24" s="859"/>
      <c r="AU24" s="859"/>
      <c r="AV24" s="859"/>
      <c r="AW24" s="859"/>
      <c r="AX24" s="859"/>
      <c r="AY24" s="859"/>
      <c r="AZ24" s="859"/>
      <c r="BA24" s="859"/>
      <c r="BB24" s="859"/>
      <c r="BC24" s="859"/>
      <c r="BD24" s="859"/>
      <c r="BE24" s="859"/>
      <c r="BF24" s="859"/>
      <c r="BG24" s="859"/>
      <c r="BH24" s="859"/>
      <c r="BI24" s="859"/>
      <c r="BJ24" s="859"/>
      <c r="BK24" s="859"/>
      <c r="BL24" s="859"/>
      <c r="BM24" s="859" t="s">
        <v>914</v>
      </c>
      <c r="BN24" s="859" t="s">
        <v>914</v>
      </c>
      <c r="BO24" s="859" t="s">
        <v>910</v>
      </c>
      <c r="BP24" s="859"/>
      <c r="BQ24" s="859"/>
    </row>
    <row r="25" spans="1:69" hidden="1">
      <c r="A25" s="855">
        <v>19</v>
      </c>
      <c r="B25" s="855" t="s">
        <v>945</v>
      </c>
      <c r="C25" s="855" t="s">
        <v>897</v>
      </c>
      <c r="D25" s="856">
        <f ca="1">الجدول4[[#This Row],[تاريخ نهاية العقد]]-'Payments and Repayments'!B$1</f>
        <v>334</v>
      </c>
      <c r="E25" s="862" t="s">
        <v>949</v>
      </c>
      <c r="F25" s="863">
        <v>1095436919</v>
      </c>
      <c r="G25" s="857">
        <v>535686549</v>
      </c>
      <c r="H25" s="857"/>
      <c r="I25" s="857">
        <v>10874887163</v>
      </c>
      <c r="J25" s="857">
        <v>1</v>
      </c>
      <c r="K25" s="857">
        <v>22800</v>
      </c>
      <c r="L25" s="857">
        <v>12</v>
      </c>
      <c r="M25" s="859">
        <f t="shared" si="0"/>
        <v>1900</v>
      </c>
      <c r="N25" s="858">
        <v>46293</v>
      </c>
      <c r="O25" s="860">
        <f t="shared" si="1"/>
        <v>46657</v>
      </c>
      <c r="P25" s="857"/>
      <c r="Q25" s="857"/>
      <c r="R25" s="857"/>
      <c r="S25"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1900</v>
      </c>
      <c r="T25"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1900</v>
      </c>
      <c r="U25" s="859">
        <f>الجدول4[[#This Row],[مبلغ الايجار]]-الجدول4[[#This Row],[المبلغ المدفوع]]</f>
        <v>20900</v>
      </c>
      <c r="V25" s="859">
        <f ca="1">SUMIFS(الجدول3[مبلغ الدفعة], الجدول3[حساب الدفع], "مرفوعة في ناجز", الجدول3[رقم العقد], الجدول4[[#This Row],[رقم العقد]], الجدول3[اسم المستاجر], الجدول4[[#This Row],[اسم المستاجر]])</f>
        <v>0</v>
      </c>
      <c r="W25" s="859"/>
      <c r="X25" s="859"/>
      <c r="Y25" s="859"/>
      <c r="Z25" s="859"/>
      <c r="AA25" s="859"/>
      <c r="AB25" s="859"/>
      <c r="AC25" s="859"/>
      <c r="AD25" s="859"/>
      <c r="AE25" s="859"/>
      <c r="AF25" s="859"/>
      <c r="AG25" s="859"/>
      <c r="AH25" s="859"/>
      <c r="AI25" s="859"/>
      <c r="AJ25" s="859"/>
      <c r="AK25" s="859"/>
      <c r="AL25" s="859"/>
      <c r="AM25" s="859"/>
      <c r="AN25" s="859"/>
      <c r="AO25" s="859"/>
      <c r="AP25" s="859"/>
      <c r="AQ25" s="859"/>
      <c r="AR25" s="859"/>
      <c r="AS25" s="859"/>
      <c r="AT25" s="859"/>
      <c r="AU25" s="859"/>
      <c r="AV25" s="859"/>
      <c r="AW25" s="859"/>
      <c r="AX25" s="859"/>
      <c r="AY25" s="859"/>
      <c r="AZ25" s="859"/>
      <c r="BA25" s="859"/>
      <c r="BB25" s="859"/>
      <c r="BC25" s="859"/>
      <c r="BD25" s="859"/>
      <c r="BE25" s="859"/>
      <c r="BF25" s="859"/>
      <c r="BG25" s="859"/>
      <c r="BH25" s="859"/>
      <c r="BI25" s="859"/>
      <c r="BJ25" s="859"/>
      <c r="BK25" s="859"/>
      <c r="BL25" s="859"/>
      <c r="BM25" s="859" t="s">
        <v>914</v>
      </c>
      <c r="BN25" s="859" t="s">
        <v>914</v>
      </c>
      <c r="BO25" s="859" t="s">
        <v>910</v>
      </c>
      <c r="BP25" s="859"/>
      <c r="BQ25" s="859"/>
    </row>
    <row r="26" spans="1:69" hidden="1">
      <c r="A26" s="855">
        <v>20</v>
      </c>
      <c r="B26" s="855" t="s">
        <v>30</v>
      </c>
      <c r="C26" s="855" t="s">
        <v>896</v>
      </c>
      <c r="D26" s="856">
        <f ca="1">الجدول4[[#This Row],[تاريخ نهاية العقد]]-'Payments and Repayments'!B$1</f>
        <v>334</v>
      </c>
      <c r="E26" s="857" t="s">
        <v>950</v>
      </c>
      <c r="F26" s="857">
        <v>1111028963</v>
      </c>
      <c r="G26" s="857">
        <v>533638327</v>
      </c>
      <c r="H26" s="857"/>
      <c r="I26" s="857">
        <v>10677062390</v>
      </c>
      <c r="J26" s="857">
        <v>1</v>
      </c>
      <c r="K26" s="857">
        <v>21600</v>
      </c>
      <c r="L26" s="857">
        <v>12</v>
      </c>
      <c r="M26" s="859">
        <f t="shared" si="0"/>
        <v>1800</v>
      </c>
      <c r="N26" s="858">
        <v>46293</v>
      </c>
      <c r="O26" s="860">
        <f t="shared" si="1"/>
        <v>46657</v>
      </c>
      <c r="P26" s="857"/>
      <c r="Q26" s="857"/>
      <c r="R26" s="857"/>
      <c r="S26"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1800</v>
      </c>
      <c r="T26"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1800</v>
      </c>
      <c r="U26" s="859">
        <f>الجدول4[[#This Row],[مبلغ الايجار]]-الجدول4[[#This Row],[المبلغ المدفوع]]</f>
        <v>19800</v>
      </c>
      <c r="V26" s="859">
        <f ca="1">SUMIFS(الجدول3[مبلغ الدفعة], الجدول3[حساب الدفع], "مرفوعة في ناجز", الجدول3[رقم العقد], الجدول4[[#This Row],[رقم العقد]], الجدول3[اسم المستاجر], الجدول4[[#This Row],[اسم المستاجر]])</f>
        <v>0</v>
      </c>
      <c r="W26" s="859"/>
      <c r="X26" s="859"/>
      <c r="Y26" s="859"/>
      <c r="Z26" s="859"/>
      <c r="AA26" s="859"/>
      <c r="AB26" s="859"/>
      <c r="AC26" s="859"/>
      <c r="AD26" s="859"/>
      <c r="AE26" s="859"/>
      <c r="AF26" s="859"/>
      <c r="AG26" s="859"/>
      <c r="AH26" s="859"/>
      <c r="AI26" s="859"/>
      <c r="AJ26" s="859"/>
      <c r="AK26" s="859"/>
      <c r="AL26" s="859"/>
      <c r="AM26" s="859"/>
      <c r="AN26" s="859"/>
      <c r="AO26" s="859"/>
      <c r="AP26" s="859"/>
      <c r="AQ26" s="859"/>
      <c r="AR26" s="859"/>
      <c r="AS26" s="859"/>
      <c r="AT26" s="859"/>
      <c r="AU26" s="859"/>
      <c r="AV26" s="859"/>
      <c r="AW26" s="859"/>
      <c r="AX26" s="859"/>
      <c r="AY26" s="859"/>
      <c r="AZ26" s="859"/>
      <c r="BA26" s="859"/>
      <c r="BB26" s="859"/>
      <c r="BC26" s="859"/>
      <c r="BD26" s="859"/>
      <c r="BE26" s="859"/>
      <c r="BF26" s="859"/>
      <c r="BG26" s="859"/>
      <c r="BH26" s="859"/>
      <c r="BI26" s="859"/>
      <c r="BJ26" s="859"/>
      <c r="BK26" s="859"/>
      <c r="BL26" s="859"/>
      <c r="BM26" s="859" t="s">
        <v>914</v>
      </c>
      <c r="BN26" s="859" t="s">
        <v>914</v>
      </c>
      <c r="BO26" s="859" t="s">
        <v>910</v>
      </c>
      <c r="BP26" s="859"/>
      <c r="BQ26" s="859"/>
    </row>
    <row r="27" spans="1:69" hidden="1">
      <c r="A27" s="855">
        <v>21</v>
      </c>
      <c r="B27" s="855" t="s">
        <v>919</v>
      </c>
      <c r="C27" s="855" t="s">
        <v>897</v>
      </c>
      <c r="D27" s="856">
        <f ca="1">الجدول4[[#This Row],[تاريخ نهاية العقد]]-'Payments and Repayments'!B$1</f>
        <v>97</v>
      </c>
      <c r="E27" s="857" t="s">
        <v>987</v>
      </c>
      <c r="F27" s="865">
        <v>1068879723</v>
      </c>
      <c r="G27" s="857">
        <v>548344874</v>
      </c>
      <c r="H27" s="857"/>
      <c r="I27" s="857">
        <v>10235672570</v>
      </c>
      <c r="J27" s="857">
        <v>1</v>
      </c>
      <c r="K27" s="857">
        <v>10000</v>
      </c>
      <c r="L27" s="857">
        <v>4</v>
      </c>
      <c r="M27" s="859">
        <f t="shared" si="0"/>
        <v>2500</v>
      </c>
      <c r="N27" s="866">
        <v>46298</v>
      </c>
      <c r="O27" s="867">
        <f t="shared" si="1"/>
        <v>46420</v>
      </c>
      <c r="P27" s="857"/>
      <c r="Q27" s="857"/>
      <c r="R27" s="857"/>
      <c r="S27"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2500</v>
      </c>
      <c r="T27"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27" s="859">
        <f>الجدول4[[#This Row],[مبلغ الايجار]]-الجدول4[[#This Row],[المبلغ المدفوع]]</f>
        <v>7500</v>
      </c>
      <c r="V27" s="859">
        <f ca="1">SUMIFS(الجدول3[مبلغ الدفعة], الجدول3[حساب الدفع], "مرفوعة في ناجز", الجدول3[رقم العقد], الجدول4[[#This Row],[رقم العقد]], الجدول3[اسم المستاجر], الجدول4[[#This Row],[اسم المستاجر]])</f>
        <v>0</v>
      </c>
      <c r="W27" s="859"/>
      <c r="X27" s="859"/>
      <c r="Y27" s="859"/>
      <c r="Z27" s="859"/>
      <c r="AA27" s="859"/>
      <c r="AB27" s="859"/>
      <c r="AC27" s="859"/>
      <c r="AD27" s="859"/>
      <c r="AE27" s="859"/>
      <c r="AF27" s="859"/>
      <c r="AG27" s="859"/>
      <c r="AH27" s="859"/>
      <c r="AI27" s="859"/>
      <c r="AJ27" s="859"/>
      <c r="AK27" s="859"/>
      <c r="AL27" s="859"/>
      <c r="AM27" s="859"/>
      <c r="AN27" s="859"/>
      <c r="AO27" s="859"/>
      <c r="AP27" s="859"/>
      <c r="AQ27" s="859"/>
      <c r="AR27" s="859"/>
      <c r="AS27" s="859"/>
      <c r="AT27" s="859"/>
      <c r="AU27" s="859"/>
      <c r="AV27" s="859"/>
      <c r="AW27" s="859"/>
      <c r="AX27" s="859"/>
      <c r="AY27" s="859"/>
      <c r="AZ27" s="859"/>
      <c r="BA27" s="859"/>
      <c r="BB27" s="859"/>
      <c r="BC27" s="859"/>
      <c r="BD27" s="859"/>
      <c r="BE27" s="859"/>
      <c r="BF27" s="859"/>
      <c r="BG27" s="859"/>
      <c r="BH27" s="859"/>
      <c r="BI27" s="859"/>
      <c r="BJ27" s="859"/>
      <c r="BK27" s="859"/>
      <c r="BL27" s="859"/>
      <c r="BM27" s="859"/>
      <c r="BN27" s="859"/>
      <c r="BO27" s="859"/>
      <c r="BP27" s="859"/>
      <c r="BQ27" s="859"/>
    </row>
    <row r="28" spans="1:69" hidden="1">
      <c r="A28" s="855">
        <v>22</v>
      </c>
      <c r="B28" s="855" t="s">
        <v>980</v>
      </c>
      <c r="C28" s="855" t="s">
        <v>896</v>
      </c>
      <c r="D28" s="856">
        <f ca="1">الجدول4[[#This Row],[تاريخ نهاية العقد]]-'Payments and Repayments'!B$1</f>
        <v>70</v>
      </c>
      <c r="E28" s="857" t="s">
        <v>990</v>
      </c>
      <c r="F28" s="865">
        <v>1144635248</v>
      </c>
      <c r="G28" s="857">
        <v>598727499</v>
      </c>
      <c r="H28" s="857"/>
      <c r="I28" s="857">
        <v>10349815150</v>
      </c>
      <c r="J28" s="857">
        <v>1</v>
      </c>
      <c r="K28" s="857">
        <v>3000</v>
      </c>
      <c r="L28" s="857">
        <v>3</v>
      </c>
      <c r="M28" s="859">
        <f t="shared" si="0"/>
        <v>1000</v>
      </c>
      <c r="N28" s="866">
        <v>46302</v>
      </c>
      <c r="O28" s="867">
        <f t="shared" si="1"/>
        <v>46393</v>
      </c>
      <c r="P28" s="857"/>
      <c r="Q28" s="857"/>
      <c r="R28" s="857"/>
      <c r="S28"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1000</v>
      </c>
      <c r="T28"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28" s="859">
        <f>الجدول4[[#This Row],[مبلغ الايجار]]-الجدول4[[#This Row],[المبلغ المدفوع]]</f>
        <v>2000</v>
      </c>
      <c r="V28" s="859">
        <f ca="1">SUMIFS(الجدول3[مبلغ الدفعة], الجدول3[حساب الدفع], "مرفوعة في ناجز", الجدول3[رقم العقد], الجدول4[[#This Row],[رقم العقد]], الجدول3[اسم المستاجر], الجدول4[[#This Row],[اسم المستاجر]])</f>
        <v>0</v>
      </c>
      <c r="W28" s="859"/>
      <c r="X28" s="859"/>
      <c r="Y28" s="859"/>
      <c r="Z28" s="859"/>
      <c r="AA28" s="859"/>
      <c r="AB28" s="859"/>
      <c r="AC28" s="859"/>
      <c r="AD28" s="859"/>
      <c r="AE28" s="859"/>
      <c r="AF28" s="859"/>
      <c r="AG28" s="859"/>
      <c r="AH28" s="859"/>
      <c r="AI28" s="859"/>
      <c r="AJ28" s="859"/>
      <c r="AK28" s="859"/>
      <c r="AL28" s="859"/>
      <c r="AM28" s="859"/>
      <c r="AN28" s="859"/>
      <c r="AO28" s="859"/>
      <c r="AP28" s="859"/>
      <c r="AQ28" s="859"/>
      <c r="AR28" s="859"/>
      <c r="AS28" s="859"/>
      <c r="AT28" s="859"/>
      <c r="AU28" s="859"/>
      <c r="AV28" s="859"/>
      <c r="AW28" s="859"/>
      <c r="AX28" s="859"/>
      <c r="AY28" s="859"/>
      <c r="AZ28" s="859"/>
      <c r="BA28" s="859"/>
      <c r="BB28" s="859"/>
      <c r="BC28" s="859"/>
      <c r="BD28" s="859"/>
      <c r="BE28" s="859"/>
      <c r="BF28" s="859"/>
      <c r="BG28" s="859"/>
      <c r="BH28" s="859"/>
      <c r="BI28" s="859"/>
      <c r="BJ28" s="859"/>
      <c r="BK28" s="859"/>
      <c r="BL28" s="859"/>
      <c r="BM28" s="859"/>
      <c r="BN28" s="859"/>
      <c r="BO28" s="859"/>
      <c r="BP28" s="859"/>
      <c r="BQ28" s="859"/>
    </row>
    <row r="29" spans="1:69" hidden="1">
      <c r="A29" s="855">
        <v>23</v>
      </c>
      <c r="B29" s="855" t="s">
        <v>975</v>
      </c>
      <c r="C29" s="855" t="s">
        <v>897</v>
      </c>
      <c r="D29" s="856">
        <f ca="1">الجدول4[[#This Row],[تاريخ نهاية العقد]]-'Payments and Repayments'!B$1</f>
        <v>347</v>
      </c>
      <c r="E29" s="857" t="s">
        <v>989</v>
      </c>
      <c r="F29" s="865">
        <v>1110244892</v>
      </c>
      <c r="G29" s="857">
        <v>583447348</v>
      </c>
      <c r="H29" s="857"/>
      <c r="I29" s="857">
        <v>10256514417</v>
      </c>
      <c r="J29" s="857">
        <v>1</v>
      </c>
      <c r="K29" s="857">
        <v>22800</v>
      </c>
      <c r="L29" s="857">
        <v>12</v>
      </c>
      <c r="M29" s="859">
        <f t="shared" si="0"/>
        <v>1900</v>
      </c>
      <c r="N29" s="866">
        <v>46306</v>
      </c>
      <c r="O29" s="867">
        <f t="shared" si="1"/>
        <v>46670</v>
      </c>
      <c r="P29" s="857"/>
      <c r="Q29" s="857"/>
      <c r="R29" s="857"/>
      <c r="S29"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1000</v>
      </c>
      <c r="T29"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900</v>
      </c>
      <c r="U29" s="859">
        <f>الجدول4[[#This Row],[مبلغ الايجار]]-الجدول4[[#This Row],[المبلغ المدفوع]]</f>
        <v>21800</v>
      </c>
      <c r="V29" s="859">
        <f ca="1">SUMIFS(الجدول3[مبلغ الدفعة], الجدول3[حساب الدفع], "مرفوعة في ناجز", الجدول3[رقم العقد], الجدول4[[#This Row],[رقم العقد]], الجدول3[اسم المستاجر], الجدول4[[#This Row],[اسم المستاجر]])</f>
        <v>0</v>
      </c>
      <c r="W29" s="859"/>
      <c r="X29" s="859"/>
      <c r="Y29" s="859"/>
      <c r="Z29" s="859"/>
      <c r="AA29" s="859"/>
      <c r="AB29" s="859"/>
      <c r="AC29" s="859"/>
      <c r="AD29" s="859"/>
      <c r="AE29" s="859"/>
      <c r="AF29" s="859"/>
      <c r="AG29" s="859"/>
      <c r="AH29" s="859"/>
      <c r="AI29" s="859"/>
      <c r="AJ29" s="859"/>
      <c r="AK29" s="859"/>
      <c r="AL29" s="859"/>
      <c r="AM29" s="859"/>
      <c r="AN29" s="859"/>
      <c r="AO29" s="859"/>
      <c r="AP29" s="859"/>
      <c r="AQ29" s="859"/>
      <c r="AR29" s="859"/>
      <c r="AS29" s="859"/>
      <c r="AT29" s="859"/>
      <c r="AU29" s="859"/>
      <c r="AV29" s="859"/>
      <c r="AW29" s="859"/>
      <c r="AX29" s="859"/>
      <c r="AY29" s="859"/>
      <c r="AZ29" s="859"/>
      <c r="BA29" s="859"/>
      <c r="BB29" s="859"/>
      <c r="BC29" s="859"/>
      <c r="BD29" s="859"/>
      <c r="BE29" s="859"/>
      <c r="BF29" s="859"/>
      <c r="BG29" s="859"/>
      <c r="BH29" s="859"/>
      <c r="BI29" s="859"/>
      <c r="BJ29" s="859"/>
      <c r="BK29" s="859"/>
      <c r="BL29" s="859"/>
      <c r="BM29" s="859"/>
      <c r="BN29" s="859"/>
      <c r="BO29" s="859"/>
      <c r="BP29" s="859"/>
      <c r="BQ29" s="859"/>
    </row>
    <row r="30" spans="1:69" hidden="1">
      <c r="A30" s="855">
        <v>24</v>
      </c>
      <c r="B30" s="855" t="s">
        <v>977</v>
      </c>
      <c r="C30" s="855" t="s">
        <v>897</v>
      </c>
      <c r="D30" s="856">
        <f ca="1">الجدول4[[#This Row],[تاريخ نهاية العقد]]-'Payments and Repayments'!B$1</f>
        <v>349</v>
      </c>
      <c r="E30" s="857" t="s">
        <v>986</v>
      </c>
      <c r="F30" s="865">
        <v>1124850429</v>
      </c>
      <c r="G30" s="857">
        <v>508879742</v>
      </c>
      <c r="H30" s="857"/>
      <c r="I30" s="857">
        <v>10023848025</v>
      </c>
      <c r="J30" s="857">
        <v>1</v>
      </c>
      <c r="K30" s="857">
        <v>24000</v>
      </c>
      <c r="L30" s="857">
        <v>12</v>
      </c>
      <c r="M30" s="859">
        <f t="shared" si="0"/>
        <v>2000</v>
      </c>
      <c r="N30" s="866">
        <v>46308</v>
      </c>
      <c r="O30" s="867">
        <f t="shared" si="1"/>
        <v>46672</v>
      </c>
      <c r="P30" s="857"/>
      <c r="Q30" s="857"/>
      <c r="R30" s="857"/>
      <c r="S30"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0</v>
      </c>
      <c r="T30"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2000</v>
      </c>
      <c r="U30" s="859">
        <f>الجدول4[[#This Row],[مبلغ الايجار]]-الجدول4[[#This Row],[المبلغ المدفوع]]</f>
        <v>24000</v>
      </c>
      <c r="V30" s="859">
        <f ca="1">SUMIFS(الجدول3[مبلغ الدفعة], الجدول3[حساب الدفع], "مرفوعة في ناجز", الجدول3[رقم العقد], الجدول4[[#This Row],[رقم العقد]], الجدول3[اسم المستاجر], الجدول4[[#This Row],[اسم المستاجر]])</f>
        <v>0</v>
      </c>
      <c r="W30" s="859"/>
      <c r="X30" s="859"/>
      <c r="Y30" s="859"/>
      <c r="Z30" s="859"/>
      <c r="AA30" s="859"/>
      <c r="AB30" s="859"/>
      <c r="AC30" s="859"/>
      <c r="AD30" s="859"/>
      <c r="AE30" s="859"/>
      <c r="AF30" s="859"/>
      <c r="AG30" s="859"/>
      <c r="AH30" s="859"/>
      <c r="AI30" s="859"/>
      <c r="AJ30" s="859"/>
      <c r="AK30" s="859"/>
      <c r="AL30" s="859"/>
      <c r="AM30" s="859"/>
      <c r="AN30" s="859"/>
      <c r="AO30" s="859"/>
      <c r="AP30" s="859"/>
      <c r="AQ30" s="859"/>
      <c r="AR30" s="859"/>
      <c r="AS30" s="859"/>
      <c r="AT30" s="859"/>
      <c r="AU30" s="859"/>
      <c r="AV30" s="859"/>
      <c r="AW30" s="859"/>
      <c r="AX30" s="859"/>
      <c r="AY30" s="859"/>
      <c r="AZ30" s="859"/>
      <c r="BA30" s="859"/>
      <c r="BB30" s="859"/>
      <c r="BC30" s="859"/>
      <c r="BD30" s="859"/>
      <c r="BE30" s="859"/>
      <c r="BF30" s="859"/>
      <c r="BG30" s="859"/>
      <c r="BH30" s="859"/>
      <c r="BI30" s="859"/>
      <c r="BJ30" s="859"/>
      <c r="BK30" s="859"/>
      <c r="BL30" s="859"/>
      <c r="BM30" s="859"/>
      <c r="BN30" s="859"/>
      <c r="BO30" s="859"/>
      <c r="BP30" s="859"/>
      <c r="BQ30" s="859"/>
    </row>
    <row r="31" spans="1:69" hidden="1">
      <c r="A31" s="855">
        <v>25</v>
      </c>
      <c r="B31" s="855" t="s">
        <v>920</v>
      </c>
      <c r="C31" s="855" t="s">
        <v>897</v>
      </c>
      <c r="D31" s="856">
        <f ca="1">الجدول4[[#This Row],[تاريخ نهاية العقد]]-'Payments and Repayments'!B$1</f>
        <v>351</v>
      </c>
      <c r="E31" s="857" t="s">
        <v>991</v>
      </c>
      <c r="F31" s="865">
        <v>1138198518</v>
      </c>
      <c r="G31" s="857">
        <v>532516054</v>
      </c>
      <c r="H31" s="857"/>
      <c r="I31" s="857">
        <v>10393688367</v>
      </c>
      <c r="J31" s="857">
        <v>1</v>
      </c>
      <c r="K31" s="857">
        <v>21600</v>
      </c>
      <c r="L31" s="857">
        <v>12</v>
      </c>
      <c r="M31" s="859">
        <f t="shared" si="0"/>
        <v>1800</v>
      </c>
      <c r="N31" s="866">
        <v>46310</v>
      </c>
      <c r="O31" s="867">
        <f t="shared" si="1"/>
        <v>46674</v>
      </c>
      <c r="P31" s="857"/>
      <c r="Q31" s="857"/>
      <c r="R31" s="857"/>
      <c r="S31"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0</v>
      </c>
      <c r="T31"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1800</v>
      </c>
      <c r="U31" s="859">
        <f>الجدول4[[#This Row],[مبلغ الايجار]]-الجدول4[[#This Row],[المبلغ المدفوع]]</f>
        <v>21600</v>
      </c>
      <c r="V31" s="859">
        <f ca="1">SUMIFS(الجدول3[مبلغ الدفعة], الجدول3[حساب الدفع], "مرفوعة في ناجز", الجدول3[رقم العقد], الجدول4[[#This Row],[رقم العقد]], الجدول3[اسم المستاجر], الجدول4[[#This Row],[اسم المستاجر]])</f>
        <v>0</v>
      </c>
      <c r="W31" s="859"/>
      <c r="X31" s="859"/>
      <c r="Y31" s="859"/>
      <c r="Z31" s="859"/>
      <c r="AA31" s="859"/>
      <c r="AB31" s="859"/>
      <c r="AC31" s="859"/>
      <c r="AD31" s="859"/>
      <c r="AE31" s="859"/>
      <c r="AF31" s="859"/>
      <c r="AG31" s="859"/>
      <c r="AH31" s="859"/>
      <c r="AI31" s="859"/>
      <c r="AJ31" s="859"/>
      <c r="AK31" s="859"/>
      <c r="AL31" s="859"/>
      <c r="AM31" s="859"/>
      <c r="AN31" s="859"/>
      <c r="AO31" s="859"/>
      <c r="AP31" s="859"/>
      <c r="AQ31" s="859"/>
      <c r="AR31" s="859"/>
      <c r="AS31" s="859"/>
      <c r="AT31" s="859"/>
      <c r="AU31" s="859"/>
      <c r="AV31" s="859"/>
      <c r="AW31" s="859"/>
      <c r="AX31" s="859"/>
      <c r="AY31" s="859"/>
      <c r="AZ31" s="859"/>
      <c r="BA31" s="859"/>
      <c r="BB31" s="859"/>
      <c r="BC31" s="859"/>
      <c r="BD31" s="859"/>
      <c r="BE31" s="859"/>
      <c r="BF31" s="859"/>
      <c r="BG31" s="859"/>
      <c r="BH31" s="859"/>
      <c r="BI31" s="859"/>
      <c r="BJ31" s="859"/>
      <c r="BK31" s="859"/>
      <c r="BL31" s="859"/>
      <c r="BM31" s="859"/>
      <c r="BN31" s="859"/>
      <c r="BO31" s="859"/>
      <c r="BP31" s="859"/>
      <c r="BQ31" s="859"/>
    </row>
    <row r="32" spans="1:69" hidden="1">
      <c r="A32" s="855">
        <v>26</v>
      </c>
      <c r="B32" s="855" t="s">
        <v>918</v>
      </c>
      <c r="C32" s="855" t="s">
        <v>897</v>
      </c>
      <c r="D32" s="856">
        <f ca="1">الجدول4[[#This Row],[تاريخ نهاية العقد]]-'Payments and Repayments'!B$1</f>
        <v>49</v>
      </c>
      <c r="E32" s="857" t="s">
        <v>993</v>
      </c>
      <c r="F32" s="865">
        <v>1055469967</v>
      </c>
      <c r="G32" s="857">
        <v>569440444</v>
      </c>
      <c r="H32" s="857"/>
      <c r="I32" s="857">
        <v>10440619610</v>
      </c>
      <c r="J32" s="857">
        <v>1</v>
      </c>
      <c r="K32" s="857">
        <v>5000</v>
      </c>
      <c r="L32" s="857">
        <v>2</v>
      </c>
      <c r="M32" s="859">
        <f t="shared" si="0"/>
        <v>2500</v>
      </c>
      <c r="N32" s="866">
        <v>46312</v>
      </c>
      <c r="O32" s="867">
        <f t="shared" si="1"/>
        <v>46372</v>
      </c>
      <c r="P32" s="857"/>
      <c r="Q32" s="857"/>
      <c r="R32" s="857"/>
      <c r="S32"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0</v>
      </c>
      <c r="T32" s="880">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2500</v>
      </c>
      <c r="U32" s="859">
        <f>الجدول4[[#This Row],[مبلغ الايجار]]-الجدول4[[#This Row],[المبلغ المدفوع]]</f>
        <v>5000</v>
      </c>
      <c r="V32" s="859">
        <f ca="1">SUMIFS(الجدول3[مبلغ الدفعة], الجدول3[حساب الدفع], "مرفوعة في ناجز", الجدول3[رقم العقد], الجدول4[[#This Row],[رقم العقد]], الجدول3[اسم المستاجر], الجدول4[[#This Row],[اسم المستاجر]])</f>
        <v>0</v>
      </c>
      <c r="W32" s="859"/>
      <c r="X32" s="859"/>
      <c r="Y32" s="859"/>
      <c r="Z32" s="859"/>
      <c r="AA32" s="859"/>
      <c r="AB32" s="859"/>
      <c r="AC32" s="859"/>
      <c r="AD32" s="859"/>
      <c r="AE32" s="859"/>
      <c r="AF32" s="859"/>
      <c r="AG32" s="859"/>
      <c r="AH32" s="859"/>
      <c r="AI32" s="859"/>
      <c r="AJ32" s="859"/>
      <c r="AK32" s="859"/>
      <c r="AL32" s="859"/>
      <c r="AM32" s="859"/>
      <c r="AN32" s="859"/>
      <c r="AO32" s="859"/>
      <c r="AP32" s="859"/>
      <c r="AQ32" s="859"/>
      <c r="AR32" s="859"/>
      <c r="AS32" s="859"/>
      <c r="AT32" s="859"/>
      <c r="AU32" s="859"/>
      <c r="AV32" s="859"/>
      <c r="AW32" s="859"/>
      <c r="AX32" s="859"/>
      <c r="AY32" s="859"/>
      <c r="AZ32" s="859"/>
      <c r="BA32" s="859"/>
      <c r="BB32" s="859"/>
      <c r="BC32" s="859"/>
      <c r="BD32" s="859"/>
      <c r="BE32" s="859"/>
      <c r="BF32" s="859"/>
      <c r="BG32" s="859"/>
      <c r="BH32" s="859"/>
      <c r="BI32" s="859"/>
      <c r="BJ32" s="859"/>
      <c r="BK32" s="859"/>
      <c r="BL32" s="859"/>
      <c r="BM32" s="859"/>
      <c r="BN32" s="859"/>
      <c r="BO32" s="859"/>
      <c r="BP32" s="859"/>
      <c r="BQ32" s="859"/>
    </row>
    <row r="33" spans="1:69" hidden="1">
      <c r="A33" s="855">
        <v>27</v>
      </c>
      <c r="B33" s="855" t="s">
        <v>947</v>
      </c>
      <c r="C33" s="855" t="s">
        <v>897</v>
      </c>
      <c r="D33" s="856">
        <f ca="1">الجدول4[[#This Row],[تاريخ نهاية العقد]]-'Payments and Repayments'!B$1</f>
        <v>73</v>
      </c>
      <c r="E33" s="857" t="s">
        <v>1060</v>
      </c>
      <c r="F33" s="865">
        <v>1099190710</v>
      </c>
      <c r="G33" s="857">
        <v>567600125</v>
      </c>
      <c r="H33" s="857"/>
      <c r="I33" s="907">
        <v>10929387859</v>
      </c>
      <c r="J33" s="857">
        <v>1</v>
      </c>
      <c r="K33" s="857">
        <v>6000</v>
      </c>
      <c r="L33" s="857">
        <v>3</v>
      </c>
      <c r="M33" s="859">
        <f t="shared" si="0"/>
        <v>2000</v>
      </c>
      <c r="N33" s="866">
        <v>46305</v>
      </c>
      <c r="O33" s="867">
        <f t="shared" si="1"/>
        <v>46396</v>
      </c>
      <c r="P33" s="857"/>
      <c r="Q33" s="857"/>
      <c r="R33" s="857"/>
      <c r="S33"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2000</v>
      </c>
      <c r="T33" s="861">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33" s="859">
        <f>الجدول4[[#This Row],[مبلغ الايجار]]-الجدول4[[#This Row],[المبلغ المدفوع]]</f>
        <v>4000</v>
      </c>
      <c r="V33" s="859">
        <f ca="1">SUMIFS(الجدول3[مبلغ الدفعة], الجدول3[حساب الدفع], "مرفوعة في ناجز", الجدول3[رقم العقد], الجدول4[[#This Row],[رقم العقد]], الجدول3[اسم المستاجر], الجدول4[[#This Row],[اسم المستاجر]])</f>
        <v>0</v>
      </c>
      <c r="W33" s="859"/>
      <c r="X33" s="859"/>
      <c r="Y33" s="859"/>
      <c r="Z33" s="859"/>
      <c r="AA33" s="859"/>
      <c r="AB33" s="859"/>
      <c r="AC33" s="859"/>
      <c r="AD33" s="859"/>
      <c r="AE33" s="859"/>
      <c r="AF33" s="859"/>
      <c r="AG33" s="859"/>
      <c r="AH33" s="859"/>
      <c r="AI33" s="859"/>
      <c r="AJ33" s="859"/>
      <c r="AK33" s="859"/>
      <c r="AL33" s="859"/>
      <c r="AM33" s="859"/>
      <c r="AN33" s="859"/>
      <c r="AO33" s="859"/>
      <c r="AP33" s="859"/>
      <c r="AQ33" s="859"/>
      <c r="AR33" s="859"/>
      <c r="AS33" s="859"/>
      <c r="AT33" s="859"/>
      <c r="AU33" s="859"/>
      <c r="AV33" s="859"/>
      <c r="AW33" s="859"/>
      <c r="AX33" s="859"/>
      <c r="AY33" s="859"/>
      <c r="AZ33" s="859"/>
      <c r="BA33" s="859"/>
      <c r="BB33" s="859"/>
      <c r="BC33" s="859"/>
      <c r="BD33" s="859"/>
      <c r="BE33" s="859"/>
      <c r="BF33" s="859"/>
      <c r="BG33" s="859"/>
      <c r="BH33" s="859"/>
      <c r="BI33" s="859"/>
      <c r="BJ33" s="859"/>
      <c r="BK33" s="859"/>
      <c r="BL33" s="859"/>
      <c r="BM33" s="859"/>
      <c r="BN33" s="859"/>
      <c r="BO33" s="859"/>
      <c r="BP33" s="859"/>
      <c r="BQ33" s="859"/>
    </row>
    <row r="34" spans="1:69" hidden="1">
      <c r="A34" s="855">
        <v>28</v>
      </c>
      <c r="B34" s="855" t="s">
        <v>30</v>
      </c>
      <c r="C34" s="855">
        <v>102</v>
      </c>
      <c r="D34" s="856" t="s">
        <v>1061</v>
      </c>
      <c r="E34" s="933" t="s">
        <v>1017</v>
      </c>
      <c r="F34" s="933">
        <v>1126489572</v>
      </c>
      <c r="G34" s="933">
        <v>508797441</v>
      </c>
      <c r="H34" s="857"/>
      <c r="I34" s="933">
        <v>10442690717</v>
      </c>
      <c r="J34" s="933">
        <v>1</v>
      </c>
      <c r="K34" s="933">
        <v>4000</v>
      </c>
      <c r="L34" s="933">
        <v>1</v>
      </c>
      <c r="M34" s="859">
        <f t="shared" si="0"/>
        <v>4000</v>
      </c>
      <c r="N34" s="935">
        <v>45921</v>
      </c>
      <c r="O34" s="867">
        <f t="shared" si="1"/>
        <v>45950</v>
      </c>
      <c r="P34" s="857"/>
      <c r="Q34" s="857"/>
      <c r="R34" s="857"/>
      <c r="S34"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4000</v>
      </c>
      <c r="T34" s="861">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34" s="859">
        <f>الجدول4[[#This Row],[مبلغ الايجار]]-الجدول4[[#This Row],[المبلغ المدفوع]]</f>
        <v>0</v>
      </c>
      <c r="V34" s="859">
        <f>SUMIFS(الجدول3[مبلغ الدفعة], الجدول3[حساب الدفع], "مرفوعة في ناجز", الجدول3[رقم العقد], الجدول4[[#This Row],[رقم العقد]], الجدول3[اسم المستاجر], الجدول4[[#This Row],[اسم المستاجر]])</f>
        <v>0</v>
      </c>
      <c r="W34" s="859"/>
      <c r="X34" s="859"/>
      <c r="Y34" s="859"/>
      <c r="Z34" s="859"/>
      <c r="AA34" s="859"/>
      <c r="AB34" s="859"/>
      <c r="AC34" s="859"/>
      <c r="AD34" s="859"/>
      <c r="AE34" s="859"/>
      <c r="AF34" s="859"/>
      <c r="AG34" s="859"/>
      <c r="AH34" s="859"/>
      <c r="AI34" s="859"/>
      <c r="AJ34" s="859"/>
      <c r="AK34" s="859"/>
      <c r="AL34" s="859"/>
      <c r="AM34" s="859"/>
      <c r="AN34" s="859"/>
      <c r="AO34" s="859"/>
      <c r="AP34" s="859"/>
      <c r="AQ34" s="859"/>
      <c r="AR34" s="859"/>
      <c r="AS34" s="859"/>
      <c r="AT34" s="859"/>
      <c r="AU34" s="859"/>
      <c r="AV34" s="859"/>
      <c r="AW34" s="859"/>
      <c r="AX34" s="859"/>
      <c r="AY34" s="859"/>
      <c r="AZ34" s="859"/>
      <c r="BA34" s="859"/>
      <c r="BB34" s="859"/>
      <c r="BC34" s="859"/>
      <c r="BD34" s="859"/>
      <c r="BE34" s="859"/>
      <c r="BF34" s="859"/>
      <c r="BG34" s="859"/>
      <c r="BH34" s="859"/>
      <c r="BI34" s="859"/>
      <c r="BJ34" s="859"/>
      <c r="BK34" s="859"/>
      <c r="BL34" s="859"/>
      <c r="BM34" s="859"/>
      <c r="BN34" s="859"/>
      <c r="BO34" s="859"/>
      <c r="BP34" s="859"/>
      <c r="BQ34" s="859"/>
    </row>
    <row r="35" spans="1:69" hidden="1">
      <c r="A35" s="855">
        <v>29</v>
      </c>
      <c r="B35" s="921" t="s">
        <v>980</v>
      </c>
      <c r="C35" s="855">
        <v>102</v>
      </c>
      <c r="D35" s="922" t="s">
        <v>1061</v>
      </c>
      <c r="E35" s="933" t="s">
        <v>1064</v>
      </c>
      <c r="F35" s="933"/>
      <c r="G35" s="933"/>
      <c r="H35" s="894"/>
      <c r="I35" s="933">
        <v>1</v>
      </c>
      <c r="J35" s="933">
        <v>1</v>
      </c>
      <c r="K35" s="933">
        <v>0</v>
      </c>
      <c r="L35" s="933">
        <v>24</v>
      </c>
      <c r="M35" s="923">
        <f t="shared" si="0"/>
        <v>0</v>
      </c>
      <c r="N35" s="935">
        <v>45658</v>
      </c>
      <c r="O35" s="924">
        <f t="shared" si="1"/>
        <v>46387</v>
      </c>
      <c r="P35" s="894"/>
      <c r="Q35" s="894"/>
      <c r="R35" s="894"/>
      <c r="S35"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0</v>
      </c>
      <c r="T35" s="925">
        <f>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35" s="923">
        <f>الجدول4[[#This Row],[مبلغ الايجار]]-الجدول4[[#This Row],[المبلغ المدفوع]]</f>
        <v>0</v>
      </c>
      <c r="V35" s="923">
        <f>SUMIFS(الجدول3[مبلغ الدفعة], الجدول3[حساب الدفع], "مرفوعة في ناجز", الجدول3[رقم العقد], الجدول4[[#This Row],[رقم العقد]], الجدول3[اسم المستاجر], الجدول4[[#This Row],[اسم المستاجر]])</f>
        <v>0</v>
      </c>
      <c r="W35" s="923"/>
      <c r="X35" s="923"/>
      <c r="Y35" s="923"/>
      <c r="Z35" s="923"/>
      <c r="AA35" s="923"/>
      <c r="AB35" s="923"/>
      <c r="AC35" s="923"/>
      <c r="AD35" s="923"/>
      <c r="AE35" s="923"/>
      <c r="AF35" s="923"/>
      <c r="AG35" s="923"/>
      <c r="AH35" s="923"/>
      <c r="AI35" s="923"/>
      <c r="AJ35" s="923"/>
      <c r="AK35" s="923"/>
      <c r="AL35" s="923"/>
      <c r="AM35" s="923"/>
      <c r="AN35" s="923"/>
      <c r="AO35" s="923"/>
      <c r="AP35" s="923"/>
      <c r="AQ35" s="923"/>
      <c r="AR35" s="923"/>
      <c r="AS35" s="923"/>
      <c r="AT35" s="923"/>
      <c r="AU35" s="923"/>
      <c r="AV35" s="923"/>
      <c r="AW35" s="923"/>
      <c r="AX35" s="923"/>
      <c r="AY35" s="923"/>
      <c r="AZ35" s="923"/>
      <c r="BA35" s="923"/>
      <c r="BB35" s="923"/>
      <c r="BC35" s="923"/>
      <c r="BD35" s="923"/>
      <c r="BE35" s="923"/>
      <c r="BF35" s="923"/>
      <c r="BG35" s="923"/>
      <c r="BH35" s="923"/>
      <c r="BI35" s="923"/>
      <c r="BJ35" s="923"/>
      <c r="BK35" s="923"/>
      <c r="BL35" s="923"/>
      <c r="BM35" s="923"/>
      <c r="BN35" s="923"/>
      <c r="BO35" s="923"/>
      <c r="BP35" s="923"/>
      <c r="BQ35" s="923"/>
    </row>
    <row r="36" spans="1:69" hidden="1">
      <c r="A36" s="855">
        <v>30</v>
      </c>
      <c r="B36" s="921" t="s">
        <v>28</v>
      </c>
      <c r="C36" s="855">
        <v>102</v>
      </c>
      <c r="D36" s="856">
        <f ca="1">الجدول4[[#This Row],[تاريخ نهاية العقد]]-'Payments and Repayments'!B$1</f>
        <v>163</v>
      </c>
      <c r="E36" s="894" t="s">
        <v>81</v>
      </c>
      <c r="F36" s="894"/>
      <c r="G36" s="894">
        <v>535267655</v>
      </c>
      <c r="H36" s="894"/>
      <c r="I36" s="894">
        <v>10857273361</v>
      </c>
      <c r="J36" s="894">
        <v>1</v>
      </c>
      <c r="K36" s="894">
        <v>84000</v>
      </c>
      <c r="L36" s="894">
        <v>24</v>
      </c>
      <c r="M36" s="923">
        <f t="shared" si="0"/>
        <v>3500</v>
      </c>
      <c r="N36" s="932">
        <v>45757</v>
      </c>
      <c r="O36" s="924">
        <f t="shared" si="1"/>
        <v>46486</v>
      </c>
      <c r="P36" s="894"/>
      <c r="Q36" s="894"/>
      <c r="R36" s="894"/>
      <c r="S36"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63000</v>
      </c>
      <c r="T36"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3500</v>
      </c>
      <c r="U36" s="923">
        <f>الجدول4[[#This Row],[مبلغ الايجار]]-الجدول4[[#This Row],[المبلغ المدفوع]]</f>
        <v>21000</v>
      </c>
      <c r="V36" s="923">
        <f ca="1">SUMIFS(الجدول3[مبلغ الدفعة], الجدول3[حساب الدفع], "مرفوعة في ناجز", الجدول3[رقم العقد], الجدول4[[#This Row],[رقم العقد]], الجدول3[اسم المستاجر], الجدول4[[#This Row],[اسم المستاجر]])</f>
        <v>0</v>
      </c>
      <c r="W36" s="923"/>
      <c r="X36" s="923"/>
      <c r="Y36" s="923"/>
      <c r="Z36" s="923"/>
      <c r="AA36" s="923"/>
      <c r="AB36" s="923"/>
      <c r="AC36" s="923"/>
      <c r="AD36" s="923"/>
      <c r="AE36" s="923"/>
      <c r="AF36" s="923"/>
      <c r="AG36" s="923"/>
      <c r="AH36" s="923"/>
      <c r="AI36" s="923"/>
      <c r="AJ36" s="923"/>
      <c r="AK36" s="923"/>
      <c r="AL36" s="923"/>
      <c r="AM36" s="923"/>
      <c r="AN36" s="923"/>
      <c r="AO36" s="923"/>
      <c r="AP36" s="923"/>
      <c r="AQ36" s="923"/>
      <c r="AR36" s="923"/>
      <c r="AS36" s="923"/>
      <c r="AT36" s="923"/>
      <c r="AU36" s="923"/>
      <c r="AV36" s="923"/>
      <c r="AW36" s="923"/>
      <c r="AX36" s="923"/>
      <c r="AY36" s="923"/>
      <c r="AZ36" s="923"/>
      <c r="BA36" s="923"/>
      <c r="BB36" s="923"/>
      <c r="BC36" s="923"/>
      <c r="BD36" s="923"/>
      <c r="BE36" s="923"/>
      <c r="BF36" s="923"/>
      <c r="BG36" s="923"/>
      <c r="BH36" s="923"/>
      <c r="BI36" s="923"/>
      <c r="BJ36" s="923"/>
      <c r="BK36" s="923"/>
      <c r="BL36" s="923"/>
      <c r="BM36" s="923"/>
      <c r="BN36" s="923"/>
      <c r="BO36" s="923"/>
      <c r="BP36" s="923"/>
      <c r="BQ36" s="923"/>
    </row>
    <row r="37" spans="1:69" hidden="1">
      <c r="A37" s="855">
        <v>31</v>
      </c>
      <c r="B37" s="921" t="s">
        <v>33</v>
      </c>
      <c r="C37" s="855">
        <v>102</v>
      </c>
      <c r="D37" s="922" t="s">
        <v>1061</v>
      </c>
      <c r="E37" s="933" t="s">
        <v>1030</v>
      </c>
      <c r="F37" s="933">
        <v>2622053755</v>
      </c>
      <c r="G37" s="933">
        <v>539060816</v>
      </c>
      <c r="H37" s="894"/>
      <c r="I37" s="933">
        <v>10721829333</v>
      </c>
      <c r="J37" s="933">
        <v>1</v>
      </c>
      <c r="K37" s="933">
        <v>12000</v>
      </c>
      <c r="L37" s="933">
        <v>3</v>
      </c>
      <c r="M37" s="923">
        <f t="shared" si="0"/>
        <v>4000</v>
      </c>
      <c r="N37" s="935">
        <v>46006</v>
      </c>
      <c r="O37" s="924">
        <f t="shared" si="1"/>
        <v>46095</v>
      </c>
      <c r="P37" s="894"/>
      <c r="Q37" s="894"/>
      <c r="R37" s="894"/>
      <c r="S37"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12000</v>
      </c>
      <c r="T37"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37" s="923">
        <f>الجدول4[[#This Row],[مبلغ الايجار]]-الجدول4[[#This Row],[المبلغ المدفوع]]</f>
        <v>0</v>
      </c>
      <c r="V37" s="923">
        <f>SUMIFS(الجدول3[مبلغ الدفعة], الجدول3[حساب الدفع], "مرفوعة في ناجز", الجدول3[رقم العقد], الجدول4[[#This Row],[رقم العقد]], الجدول3[اسم المستاجر], الجدول4[[#This Row],[اسم المستاجر]])</f>
        <v>0</v>
      </c>
      <c r="W37" s="923"/>
      <c r="X37" s="923"/>
      <c r="Y37" s="923"/>
      <c r="Z37" s="923"/>
      <c r="AA37" s="923"/>
      <c r="AB37" s="923"/>
      <c r="AC37" s="923"/>
      <c r="AD37" s="923"/>
      <c r="AE37" s="923"/>
      <c r="AF37" s="923"/>
      <c r="AG37" s="923"/>
      <c r="AH37" s="923"/>
      <c r="AI37" s="923"/>
      <c r="AJ37" s="923"/>
      <c r="AK37" s="923"/>
      <c r="AL37" s="923"/>
      <c r="AM37" s="923"/>
      <c r="AN37" s="923"/>
      <c r="AO37" s="923"/>
      <c r="AP37" s="923"/>
      <c r="AQ37" s="923"/>
      <c r="AR37" s="923"/>
      <c r="AS37" s="923"/>
      <c r="AT37" s="923"/>
      <c r="AU37" s="923"/>
      <c r="AV37" s="923"/>
      <c r="AW37" s="923"/>
      <c r="AX37" s="923"/>
      <c r="AY37" s="923"/>
      <c r="AZ37" s="923"/>
      <c r="BA37" s="923"/>
      <c r="BB37" s="923"/>
      <c r="BC37" s="923"/>
      <c r="BD37" s="923"/>
      <c r="BE37" s="923"/>
      <c r="BF37" s="923"/>
      <c r="BG37" s="923"/>
      <c r="BH37" s="923"/>
      <c r="BI37" s="923"/>
      <c r="BJ37" s="923"/>
      <c r="BK37" s="923"/>
      <c r="BL37" s="923"/>
      <c r="BM37" s="923"/>
      <c r="BN37" s="923"/>
      <c r="BO37" s="923"/>
      <c r="BP37" s="923"/>
      <c r="BQ37" s="923"/>
    </row>
    <row r="38" spans="1:69" hidden="1">
      <c r="A38" s="855">
        <v>32</v>
      </c>
      <c r="B38" s="921" t="s">
        <v>34</v>
      </c>
      <c r="C38" s="855">
        <v>102</v>
      </c>
      <c r="D38" s="922" t="s">
        <v>1061</v>
      </c>
      <c r="E38" s="894" t="s">
        <v>1029</v>
      </c>
      <c r="F38" s="894"/>
      <c r="G38" s="894">
        <v>551540627</v>
      </c>
      <c r="H38" s="894"/>
      <c r="I38" s="894">
        <v>10817313059</v>
      </c>
      <c r="J38" s="894">
        <v>1</v>
      </c>
      <c r="K38" s="894">
        <v>24000</v>
      </c>
      <c r="L38" s="894">
        <v>6</v>
      </c>
      <c r="M38" s="923">
        <f t="shared" si="0"/>
        <v>4000</v>
      </c>
      <c r="N38" s="932">
        <v>45976</v>
      </c>
      <c r="O38" s="924">
        <f t="shared" si="1"/>
        <v>46156</v>
      </c>
      <c r="P38" s="894"/>
      <c r="Q38" s="894"/>
      <c r="R38" s="894"/>
      <c r="S38"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24000</v>
      </c>
      <c r="T38"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38" s="923">
        <f>الجدول4[[#This Row],[مبلغ الايجار]]-الجدول4[[#This Row],[المبلغ المدفوع]]</f>
        <v>0</v>
      </c>
      <c r="V38" s="923">
        <f>SUMIFS(الجدول3[مبلغ الدفعة], الجدول3[حساب الدفع], "مرفوعة في ناجز", الجدول3[رقم العقد], الجدول4[[#This Row],[رقم العقد]], الجدول3[اسم المستاجر], الجدول4[[#This Row],[اسم المستاجر]])</f>
        <v>0</v>
      </c>
      <c r="W38" s="923"/>
      <c r="X38" s="923"/>
      <c r="Y38" s="923"/>
      <c r="Z38" s="923"/>
      <c r="AA38" s="923"/>
      <c r="AB38" s="923"/>
      <c r="AC38" s="923"/>
      <c r="AD38" s="923"/>
      <c r="AE38" s="923"/>
      <c r="AF38" s="923"/>
      <c r="AG38" s="923"/>
      <c r="AH38" s="923"/>
      <c r="AI38" s="923"/>
      <c r="AJ38" s="923"/>
      <c r="AK38" s="923"/>
      <c r="AL38" s="923"/>
      <c r="AM38" s="923"/>
      <c r="AN38" s="923"/>
      <c r="AO38" s="923"/>
      <c r="AP38" s="923"/>
      <c r="AQ38" s="923"/>
      <c r="AR38" s="923"/>
      <c r="AS38" s="923"/>
      <c r="AT38" s="923"/>
      <c r="AU38" s="923"/>
      <c r="AV38" s="923"/>
      <c r="AW38" s="923"/>
      <c r="AX38" s="923"/>
      <c r="AY38" s="923"/>
      <c r="AZ38" s="923"/>
      <c r="BA38" s="923"/>
      <c r="BB38" s="923"/>
      <c r="BC38" s="923"/>
      <c r="BD38" s="923"/>
      <c r="BE38" s="923"/>
      <c r="BF38" s="923"/>
      <c r="BG38" s="923"/>
      <c r="BH38" s="923"/>
      <c r="BI38" s="923"/>
      <c r="BJ38" s="923"/>
      <c r="BK38" s="923"/>
      <c r="BL38" s="923"/>
      <c r="BM38" s="923"/>
      <c r="BN38" s="923"/>
      <c r="BO38" s="923"/>
      <c r="BP38" s="923"/>
      <c r="BQ38" s="923"/>
    </row>
    <row r="39" spans="1:69" ht="16" hidden="1" thickBot="1">
      <c r="A39" s="855">
        <v>33</v>
      </c>
      <c r="B39" s="921" t="s">
        <v>29</v>
      </c>
      <c r="C39" s="855">
        <v>102</v>
      </c>
      <c r="D39" s="922" t="s">
        <v>1061</v>
      </c>
      <c r="E39" s="933" t="s">
        <v>1036</v>
      </c>
      <c r="F39" s="933"/>
      <c r="G39" s="933">
        <v>504411686</v>
      </c>
      <c r="H39" s="894"/>
      <c r="I39" s="927">
        <v>10335348705</v>
      </c>
      <c r="J39" s="933">
        <v>1</v>
      </c>
      <c r="K39" s="933">
        <v>4000</v>
      </c>
      <c r="L39" s="933">
        <v>1</v>
      </c>
      <c r="M39" s="923">
        <f t="shared" ref="M39:M70" si="2">K39/L39</f>
        <v>4000</v>
      </c>
      <c r="N39" s="935">
        <v>45760</v>
      </c>
      <c r="O39" s="924">
        <f t="shared" ref="O39:O70" si="3">EDATE(N39,L39)-1</f>
        <v>45789</v>
      </c>
      <c r="P39" s="894"/>
      <c r="Q39" s="894"/>
      <c r="R39" s="894"/>
      <c r="S39"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4000</v>
      </c>
      <c r="T39"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39" s="923">
        <f>الجدول4[[#This Row],[مبلغ الايجار]]-الجدول4[[#This Row],[المبلغ المدفوع]]</f>
        <v>0</v>
      </c>
      <c r="V39" s="923">
        <f>SUMIFS(الجدول3[مبلغ الدفعة], الجدول3[حساب الدفع], "مرفوعة في ناجز", الجدول3[رقم العقد], الجدول4[[#This Row],[رقم العقد]], الجدول3[اسم المستاجر], الجدول4[[#This Row],[اسم المستاجر]])</f>
        <v>0</v>
      </c>
      <c r="W39" s="923"/>
      <c r="X39" s="923"/>
      <c r="Y39" s="923"/>
      <c r="Z39" s="923"/>
      <c r="AA39" s="923"/>
      <c r="AB39" s="923"/>
      <c r="AC39" s="923"/>
      <c r="AD39" s="923"/>
      <c r="AE39" s="923"/>
      <c r="AF39" s="923"/>
      <c r="AG39" s="923"/>
      <c r="AH39" s="923"/>
      <c r="AI39" s="923"/>
      <c r="AJ39" s="923"/>
      <c r="AK39" s="923"/>
      <c r="AL39" s="923"/>
      <c r="AM39" s="923"/>
      <c r="AN39" s="923"/>
      <c r="AO39" s="923"/>
      <c r="AP39" s="923"/>
      <c r="AQ39" s="923"/>
      <c r="AR39" s="923"/>
      <c r="AS39" s="923"/>
      <c r="AT39" s="923"/>
      <c r="AU39" s="923"/>
      <c r="AV39" s="923"/>
      <c r="AW39" s="923"/>
      <c r="AX39" s="923"/>
      <c r="AY39" s="923"/>
      <c r="AZ39" s="923"/>
      <c r="BA39" s="923"/>
      <c r="BB39" s="923"/>
      <c r="BC39" s="923"/>
      <c r="BD39" s="923"/>
      <c r="BE39" s="923"/>
      <c r="BF39" s="923"/>
      <c r="BG39" s="923"/>
      <c r="BH39" s="923"/>
      <c r="BI39" s="923"/>
      <c r="BJ39" s="923"/>
      <c r="BK39" s="923"/>
      <c r="BL39" s="923"/>
      <c r="BM39" s="923"/>
      <c r="BN39" s="923"/>
      <c r="BO39" s="923"/>
      <c r="BP39" s="923"/>
      <c r="BQ39" s="923"/>
    </row>
    <row r="40" spans="1:69" hidden="1">
      <c r="A40" s="855">
        <v>34</v>
      </c>
      <c r="B40" s="921" t="s">
        <v>29</v>
      </c>
      <c r="C40" s="855">
        <v>102</v>
      </c>
      <c r="D40" s="922" t="s">
        <v>1061</v>
      </c>
      <c r="E40" s="933" t="s">
        <v>1016</v>
      </c>
      <c r="F40" s="933"/>
      <c r="G40" s="933">
        <v>583200717</v>
      </c>
      <c r="H40" s="894"/>
      <c r="I40" s="933">
        <v>10372736628</v>
      </c>
      <c r="J40" s="933">
        <v>1</v>
      </c>
      <c r="K40" s="933">
        <v>36000</v>
      </c>
      <c r="L40" s="933">
        <v>12</v>
      </c>
      <c r="M40" s="923">
        <f t="shared" si="2"/>
        <v>3000</v>
      </c>
      <c r="N40" s="935">
        <v>45920</v>
      </c>
      <c r="O40" s="924">
        <f t="shared" si="3"/>
        <v>46284</v>
      </c>
      <c r="P40" s="894"/>
      <c r="Q40" s="894"/>
      <c r="R40" s="894"/>
      <c r="S40"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9000</v>
      </c>
      <c r="T40"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27000</v>
      </c>
      <c r="U40" s="923">
        <f>الجدول4[[#This Row],[مبلغ الايجار]]-الجدول4[[#This Row],[المبلغ المدفوع]]</f>
        <v>27000</v>
      </c>
      <c r="V40" s="923">
        <f>SUMIFS(الجدول3[مبلغ الدفعة], الجدول3[حساب الدفع], "مرفوعة في ناجز", الجدول3[رقم العقد], الجدول4[[#This Row],[رقم العقد]], الجدول3[اسم المستاجر], الجدول4[[#This Row],[اسم المستاجر]])</f>
        <v>0</v>
      </c>
      <c r="W40" s="923"/>
      <c r="X40" s="923"/>
      <c r="Y40" s="923"/>
      <c r="Z40" s="923"/>
      <c r="AA40" s="923"/>
      <c r="AB40" s="923"/>
      <c r="AC40" s="923"/>
      <c r="AD40" s="923"/>
      <c r="AE40" s="923"/>
      <c r="AF40" s="923"/>
      <c r="AG40" s="923"/>
      <c r="AH40" s="923"/>
      <c r="AI40" s="923"/>
      <c r="AJ40" s="923"/>
      <c r="AK40" s="923"/>
      <c r="AL40" s="923"/>
      <c r="AM40" s="923"/>
      <c r="AN40" s="923"/>
      <c r="AO40" s="923"/>
      <c r="AP40" s="923"/>
      <c r="AQ40" s="923"/>
      <c r="AR40" s="923"/>
      <c r="AS40" s="923"/>
      <c r="AT40" s="923"/>
      <c r="AU40" s="923"/>
      <c r="AV40" s="923"/>
      <c r="AW40" s="923"/>
      <c r="AX40" s="923"/>
      <c r="AY40" s="923"/>
      <c r="AZ40" s="923"/>
      <c r="BA40" s="923"/>
      <c r="BB40" s="923"/>
      <c r="BC40" s="923"/>
      <c r="BD40" s="923"/>
      <c r="BE40" s="923"/>
      <c r="BF40" s="923"/>
      <c r="BG40" s="923"/>
      <c r="BH40" s="923"/>
      <c r="BI40" s="923"/>
      <c r="BJ40" s="923"/>
      <c r="BK40" s="923"/>
      <c r="BL40" s="923"/>
      <c r="BM40" s="923"/>
      <c r="BN40" s="923"/>
      <c r="BO40" s="923"/>
      <c r="BP40" s="923"/>
      <c r="BQ40" s="923"/>
    </row>
    <row r="41" spans="1:69" hidden="1">
      <c r="A41" s="855">
        <v>35</v>
      </c>
      <c r="B41" s="921" t="s">
        <v>31</v>
      </c>
      <c r="C41" s="855">
        <v>102</v>
      </c>
      <c r="D41" s="922" t="s">
        <v>1061</v>
      </c>
      <c r="E41" s="894" t="s">
        <v>1018</v>
      </c>
      <c r="F41" s="894"/>
      <c r="G41" s="894">
        <v>563833047</v>
      </c>
      <c r="H41" s="894"/>
      <c r="I41" s="894">
        <v>10216949908</v>
      </c>
      <c r="J41" s="894">
        <v>1</v>
      </c>
      <c r="K41" s="894">
        <v>42000</v>
      </c>
      <c r="L41" s="894">
        <v>12</v>
      </c>
      <c r="M41" s="923">
        <f t="shared" si="2"/>
        <v>3500</v>
      </c>
      <c r="N41" s="932">
        <v>45785</v>
      </c>
      <c r="O41" s="924">
        <f t="shared" si="3"/>
        <v>46149</v>
      </c>
      <c r="P41" s="894"/>
      <c r="Q41" s="894"/>
      <c r="R41" s="894"/>
      <c r="S41"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42000</v>
      </c>
      <c r="T41"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21000</v>
      </c>
      <c r="U41" s="923">
        <f>الجدول4[[#This Row],[مبلغ الايجار]]-الجدول4[[#This Row],[المبلغ المدفوع]]</f>
        <v>0</v>
      </c>
      <c r="V41" s="923">
        <f ca="1">SUMIFS(الجدول3[مبلغ الدفعة], الجدول3[حساب الدفع], "مرفوعة في ناجز", الجدول3[رقم العقد], الجدول4[[#This Row],[رقم العقد]], الجدول3[اسم المستاجر], الجدول4[[#This Row],[اسم المستاجر]])</f>
        <v>0</v>
      </c>
      <c r="W41" s="923"/>
      <c r="X41" s="923"/>
      <c r="Y41" s="923"/>
      <c r="Z41" s="923"/>
      <c r="AA41" s="923"/>
      <c r="AB41" s="923"/>
      <c r="AC41" s="923"/>
      <c r="AD41" s="923"/>
      <c r="AE41" s="923"/>
      <c r="AF41" s="923"/>
      <c r="AG41" s="923"/>
      <c r="AH41" s="923"/>
      <c r="AI41" s="923"/>
      <c r="AJ41" s="923"/>
      <c r="AK41" s="923"/>
      <c r="AL41" s="923"/>
      <c r="AM41" s="923"/>
      <c r="AN41" s="923"/>
      <c r="AO41" s="923"/>
      <c r="AP41" s="923"/>
      <c r="AQ41" s="923"/>
      <c r="AR41" s="923"/>
      <c r="AS41" s="923"/>
      <c r="AT41" s="923"/>
      <c r="AU41" s="923"/>
      <c r="AV41" s="923"/>
      <c r="AW41" s="923"/>
      <c r="AX41" s="923"/>
      <c r="AY41" s="923"/>
      <c r="AZ41" s="923"/>
      <c r="BA41" s="923"/>
      <c r="BB41" s="923"/>
      <c r="BC41" s="923"/>
      <c r="BD41" s="923"/>
      <c r="BE41" s="923"/>
      <c r="BF41" s="923"/>
      <c r="BG41" s="923"/>
      <c r="BH41" s="923"/>
      <c r="BI41" s="923"/>
      <c r="BJ41" s="923"/>
      <c r="BK41" s="923"/>
      <c r="BL41" s="923"/>
      <c r="BM41" s="923"/>
      <c r="BN41" s="923"/>
      <c r="BO41" s="923"/>
      <c r="BP41" s="923"/>
      <c r="BQ41" s="923"/>
    </row>
    <row r="42" spans="1:69" hidden="1">
      <c r="A42" s="855">
        <v>36</v>
      </c>
      <c r="B42" s="921" t="s">
        <v>32</v>
      </c>
      <c r="C42" s="855">
        <v>102</v>
      </c>
      <c r="D42" s="922" t="s">
        <v>1061</v>
      </c>
      <c r="E42" s="933" t="s">
        <v>1019</v>
      </c>
      <c r="F42" s="933"/>
      <c r="G42" s="933">
        <v>550893893</v>
      </c>
      <c r="H42" s="894"/>
      <c r="I42" s="933">
        <v>10152221282</v>
      </c>
      <c r="J42" s="933">
        <v>1</v>
      </c>
      <c r="K42" s="933">
        <v>12000</v>
      </c>
      <c r="L42" s="933">
        <v>3</v>
      </c>
      <c r="M42" s="923">
        <f t="shared" si="2"/>
        <v>4000</v>
      </c>
      <c r="N42" s="935">
        <v>45935</v>
      </c>
      <c r="O42" s="924">
        <f t="shared" si="3"/>
        <v>46026</v>
      </c>
      <c r="P42" s="894"/>
      <c r="Q42" s="894"/>
      <c r="R42" s="894"/>
      <c r="S42"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12000</v>
      </c>
      <c r="T42"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42" s="923">
        <f>الجدول4[[#This Row],[مبلغ الايجار]]-الجدول4[[#This Row],[المبلغ المدفوع]]</f>
        <v>0</v>
      </c>
      <c r="V42" s="923">
        <f>SUMIFS(الجدول3[مبلغ الدفعة], الجدول3[حساب الدفع], "مرفوعة في ناجز", الجدول3[رقم العقد], الجدول4[[#This Row],[رقم العقد]], الجدول3[اسم المستاجر], الجدول4[[#This Row],[اسم المستاجر]])</f>
        <v>0</v>
      </c>
      <c r="W42" s="923"/>
      <c r="X42" s="923"/>
      <c r="Y42" s="923"/>
      <c r="Z42" s="923"/>
      <c r="AA42" s="923"/>
      <c r="AB42" s="923"/>
      <c r="AC42" s="923"/>
      <c r="AD42" s="923"/>
      <c r="AE42" s="923"/>
      <c r="AF42" s="923"/>
      <c r="AG42" s="923"/>
      <c r="AH42" s="923"/>
      <c r="AI42" s="923"/>
      <c r="AJ42" s="923"/>
      <c r="AK42" s="923"/>
      <c r="AL42" s="923"/>
      <c r="AM42" s="923"/>
      <c r="AN42" s="923"/>
      <c r="AO42" s="923"/>
      <c r="AP42" s="923"/>
      <c r="AQ42" s="923"/>
      <c r="AR42" s="923"/>
      <c r="AS42" s="923"/>
      <c r="AT42" s="923"/>
      <c r="AU42" s="923"/>
      <c r="AV42" s="923"/>
      <c r="AW42" s="923"/>
      <c r="AX42" s="923"/>
      <c r="AY42" s="923"/>
      <c r="AZ42" s="923"/>
      <c r="BA42" s="923"/>
      <c r="BB42" s="923"/>
      <c r="BC42" s="923"/>
      <c r="BD42" s="923"/>
      <c r="BE42" s="923"/>
      <c r="BF42" s="923"/>
      <c r="BG42" s="923"/>
      <c r="BH42" s="923"/>
      <c r="BI42" s="923"/>
      <c r="BJ42" s="923"/>
      <c r="BK42" s="923"/>
      <c r="BL42" s="923"/>
      <c r="BM42" s="923"/>
      <c r="BN42" s="923"/>
      <c r="BO42" s="923"/>
      <c r="BP42" s="923"/>
      <c r="BQ42" s="923"/>
    </row>
    <row r="43" spans="1:69" hidden="1">
      <c r="A43" s="855">
        <v>37</v>
      </c>
      <c r="B43" s="921" t="s">
        <v>37</v>
      </c>
      <c r="C43" s="855">
        <v>102</v>
      </c>
      <c r="D43" s="922" t="s">
        <v>1061</v>
      </c>
      <c r="E43" s="894" t="s">
        <v>1017</v>
      </c>
      <c r="F43" s="894"/>
      <c r="G43" s="894">
        <v>505684942</v>
      </c>
      <c r="H43" s="894"/>
      <c r="I43" s="894">
        <v>10630371426</v>
      </c>
      <c r="J43" s="894">
        <v>1</v>
      </c>
      <c r="K43" s="894">
        <v>48000</v>
      </c>
      <c r="L43" s="894">
        <v>12</v>
      </c>
      <c r="M43" s="923">
        <f t="shared" si="2"/>
        <v>4000</v>
      </c>
      <c r="N43" s="932">
        <v>45758</v>
      </c>
      <c r="O43" s="924">
        <f t="shared" si="3"/>
        <v>46122</v>
      </c>
      <c r="P43" s="894"/>
      <c r="Q43" s="894"/>
      <c r="R43" s="894"/>
      <c r="S43"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48000</v>
      </c>
      <c r="T43"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43" s="923">
        <f>الجدول4[[#This Row],[مبلغ الايجار]]-الجدول4[[#This Row],[المبلغ المدفوع]]</f>
        <v>0</v>
      </c>
      <c r="V43" s="923">
        <f>SUMIFS(الجدول3[مبلغ الدفعة], الجدول3[حساب الدفع], "مرفوعة في ناجز", الجدول3[رقم العقد], الجدول4[[#This Row],[رقم العقد]], الجدول3[اسم المستاجر], الجدول4[[#This Row],[اسم المستاجر]])</f>
        <v>0</v>
      </c>
      <c r="W43" s="923"/>
      <c r="X43" s="923"/>
      <c r="Y43" s="923"/>
      <c r="Z43" s="923"/>
      <c r="AA43" s="923"/>
      <c r="AB43" s="923"/>
      <c r="AC43" s="923"/>
      <c r="AD43" s="923"/>
      <c r="AE43" s="923"/>
      <c r="AF43" s="923"/>
      <c r="AG43" s="923"/>
      <c r="AH43" s="923"/>
      <c r="AI43" s="923"/>
      <c r="AJ43" s="923"/>
      <c r="AK43" s="923"/>
      <c r="AL43" s="923"/>
      <c r="AM43" s="923"/>
      <c r="AN43" s="923"/>
      <c r="AO43" s="923"/>
      <c r="AP43" s="923"/>
      <c r="AQ43" s="923"/>
      <c r="AR43" s="923"/>
      <c r="AS43" s="923"/>
      <c r="AT43" s="923"/>
      <c r="AU43" s="923"/>
      <c r="AV43" s="923"/>
      <c r="AW43" s="923"/>
      <c r="AX43" s="923"/>
      <c r="AY43" s="923"/>
      <c r="AZ43" s="923"/>
      <c r="BA43" s="923"/>
      <c r="BB43" s="923"/>
      <c r="BC43" s="923"/>
      <c r="BD43" s="923"/>
      <c r="BE43" s="923"/>
      <c r="BF43" s="923"/>
      <c r="BG43" s="923"/>
      <c r="BH43" s="923"/>
      <c r="BI43" s="923"/>
      <c r="BJ43" s="923"/>
      <c r="BK43" s="923"/>
      <c r="BL43" s="923"/>
      <c r="BM43" s="923"/>
      <c r="BN43" s="923"/>
      <c r="BO43" s="923"/>
      <c r="BP43" s="923"/>
      <c r="BQ43" s="923"/>
    </row>
    <row r="44" spans="1:69" hidden="1">
      <c r="A44" s="855">
        <v>38</v>
      </c>
      <c r="B44" s="921" t="s">
        <v>1024</v>
      </c>
      <c r="C44" s="855">
        <v>102</v>
      </c>
      <c r="D44" s="922" t="s">
        <v>1061</v>
      </c>
      <c r="E44" s="934" t="s">
        <v>1025</v>
      </c>
      <c r="F44" s="934"/>
      <c r="G44" s="934">
        <v>567779939</v>
      </c>
      <c r="H44" s="894"/>
      <c r="I44" s="934">
        <v>10964815248</v>
      </c>
      <c r="J44" s="934">
        <v>1</v>
      </c>
      <c r="K44" s="934">
        <v>45600</v>
      </c>
      <c r="L44" s="934">
        <v>12</v>
      </c>
      <c r="M44" s="923">
        <f t="shared" si="2"/>
        <v>3800</v>
      </c>
      <c r="N44" s="936">
        <v>45808</v>
      </c>
      <c r="O44" s="924">
        <f t="shared" si="3"/>
        <v>46172</v>
      </c>
      <c r="P44" s="894"/>
      <c r="Q44" s="894"/>
      <c r="R44" s="894"/>
      <c r="S44"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15200</v>
      </c>
      <c r="T44"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30400</v>
      </c>
      <c r="U44" s="923">
        <f>الجدول4[[#This Row],[مبلغ الايجار]]-الجدول4[[#This Row],[المبلغ المدفوع]]</f>
        <v>30400</v>
      </c>
      <c r="V44" s="923">
        <f>SUMIFS(الجدول3[مبلغ الدفعة], الجدول3[حساب الدفع], "مرفوعة في ناجز", الجدول3[رقم العقد], الجدول4[[#This Row],[رقم العقد]], الجدول3[اسم المستاجر], الجدول4[[#This Row],[اسم المستاجر]])</f>
        <v>0</v>
      </c>
      <c r="W44" s="923"/>
      <c r="X44" s="923"/>
      <c r="Y44" s="923"/>
      <c r="Z44" s="923"/>
      <c r="AA44" s="923"/>
      <c r="AB44" s="923"/>
      <c r="AC44" s="923"/>
      <c r="AD44" s="923"/>
      <c r="AE44" s="923"/>
      <c r="AF44" s="923"/>
      <c r="AG44" s="923"/>
      <c r="AH44" s="923"/>
      <c r="AI44" s="923"/>
      <c r="AJ44" s="923"/>
      <c r="AK44" s="923"/>
      <c r="AL44" s="923"/>
      <c r="AM44" s="923"/>
      <c r="AN44" s="923"/>
      <c r="AO44" s="923"/>
      <c r="AP44" s="923"/>
      <c r="AQ44" s="923"/>
      <c r="AR44" s="923"/>
      <c r="AS44" s="923"/>
      <c r="AT44" s="923"/>
      <c r="AU44" s="923"/>
      <c r="AV44" s="923"/>
      <c r="AW44" s="923"/>
      <c r="AX44" s="923"/>
      <c r="AY44" s="923"/>
      <c r="AZ44" s="923"/>
      <c r="BA44" s="923"/>
      <c r="BB44" s="923"/>
      <c r="BC44" s="923"/>
      <c r="BD44" s="923"/>
      <c r="BE44" s="923"/>
      <c r="BF44" s="923"/>
      <c r="BG44" s="923"/>
      <c r="BH44" s="923"/>
      <c r="BI44" s="923"/>
      <c r="BJ44" s="923"/>
      <c r="BK44" s="923"/>
      <c r="BL44" s="923"/>
      <c r="BM44" s="923"/>
      <c r="BN44" s="923"/>
      <c r="BO44" s="923"/>
      <c r="BP44" s="923"/>
      <c r="BQ44" s="923"/>
    </row>
    <row r="45" spans="1:69" hidden="1">
      <c r="A45" s="855">
        <v>39</v>
      </c>
      <c r="B45" s="921" t="s">
        <v>1027</v>
      </c>
      <c r="C45" s="855">
        <v>102</v>
      </c>
      <c r="D45" s="922" t="s">
        <v>1061</v>
      </c>
      <c r="E45" s="934" t="s">
        <v>1026</v>
      </c>
      <c r="F45" s="934">
        <v>2561771912</v>
      </c>
      <c r="G45" s="934">
        <v>537574686</v>
      </c>
      <c r="H45" s="894"/>
      <c r="I45" s="934">
        <v>10664358103</v>
      </c>
      <c r="J45" s="934">
        <v>1</v>
      </c>
      <c r="K45" s="934">
        <v>22800</v>
      </c>
      <c r="L45" s="934">
        <v>6</v>
      </c>
      <c r="M45" s="923">
        <f t="shared" si="2"/>
        <v>3800</v>
      </c>
      <c r="N45" s="936">
        <v>45807</v>
      </c>
      <c r="O45" s="924">
        <f t="shared" si="3"/>
        <v>45990</v>
      </c>
      <c r="P45" s="894"/>
      <c r="Q45" s="894"/>
      <c r="R45" s="894"/>
      <c r="S45"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19000</v>
      </c>
      <c r="T45"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45" s="923">
        <f>الجدول4[[#This Row],[مبلغ الايجار]]-الجدول4[[#This Row],[المبلغ المدفوع]]</f>
        <v>3800</v>
      </c>
      <c r="V45" s="923">
        <f>SUMIFS(الجدول3[مبلغ الدفعة], الجدول3[حساب الدفع], "مرفوعة في ناجز", الجدول3[رقم العقد], الجدول4[[#This Row],[رقم العقد]], الجدول3[اسم المستاجر], الجدول4[[#This Row],[اسم المستاجر]])</f>
        <v>0</v>
      </c>
      <c r="W45" s="923"/>
      <c r="X45" s="923"/>
      <c r="Y45" s="923"/>
      <c r="Z45" s="923"/>
      <c r="AA45" s="923"/>
      <c r="AB45" s="923"/>
      <c r="AC45" s="923"/>
      <c r="AD45" s="923"/>
      <c r="AE45" s="923"/>
      <c r="AF45" s="923"/>
      <c r="AG45" s="923"/>
      <c r="AH45" s="923"/>
      <c r="AI45" s="923"/>
      <c r="AJ45" s="923"/>
      <c r="AK45" s="923"/>
      <c r="AL45" s="923"/>
      <c r="AM45" s="923"/>
      <c r="AN45" s="923"/>
      <c r="AO45" s="923"/>
      <c r="AP45" s="923"/>
      <c r="AQ45" s="923"/>
      <c r="AR45" s="923"/>
      <c r="AS45" s="923"/>
      <c r="AT45" s="923"/>
      <c r="AU45" s="923"/>
      <c r="AV45" s="923"/>
      <c r="AW45" s="923"/>
      <c r="AX45" s="923"/>
      <c r="AY45" s="923"/>
      <c r="AZ45" s="923"/>
      <c r="BA45" s="923"/>
      <c r="BB45" s="923"/>
      <c r="BC45" s="923"/>
      <c r="BD45" s="923"/>
      <c r="BE45" s="923"/>
      <c r="BF45" s="923"/>
      <c r="BG45" s="923"/>
      <c r="BH45" s="923"/>
      <c r="BI45" s="923"/>
      <c r="BJ45" s="923"/>
      <c r="BK45" s="923"/>
      <c r="BL45" s="923"/>
      <c r="BM45" s="923"/>
      <c r="BN45" s="923"/>
      <c r="BO45" s="923"/>
      <c r="BP45" s="923"/>
      <c r="BQ45" s="923"/>
    </row>
    <row r="46" spans="1:69" hidden="1">
      <c r="A46" s="855">
        <v>40</v>
      </c>
      <c r="B46" s="921" t="s">
        <v>38</v>
      </c>
      <c r="C46" s="855">
        <v>102</v>
      </c>
      <c r="D46" s="922" t="s">
        <v>1061</v>
      </c>
      <c r="E46" s="894" t="s">
        <v>1020</v>
      </c>
      <c r="F46" s="894">
        <v>1066916766</v>
      </c>
      <c r="G46" s="894">
        <v>537108005</v>
      </c>
      <c r="H46" s="894"/>
      <c r="I46" s="894">
        <v>10934884916</v>
      </c>
      <c r="J46" s="894">
        <v>1</v>
      </c>
      <c r="K46" s="894">
        <v>36000</v>
      </c>
      <c r="L46" s="894">
        <v>9</v>
      </c>
      <c r="M46" s="923">
        <f t="shared" si="2"/>
        <v>4000</v>
      </c>
      <c r="N46" s="932">
        <v>45774</v>
      </c>
      <c r="O46" s="924">
        <f t="shared" si="3"/>
        <v>46048</v>
      </c>
      <c r="P46" s="894"/>
      <c r="Q46" s="894"/>
      <c r="R46" s="894"/>
      <c r="S46"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19200</v>
      </c>
      <c r="T46"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28800</v>
      </c>
      <c r="U46" s="923">
        <f>الجدول4[[#This Row],[مبلغ الايجار]]-الجدول4[[#This Row],[المبلغ المدفوع]]</f>
        <v>16800</v>
      </c>
      <c r="V46" s="923">
        <f ca="1">SUMIFS(الجدول3[مبلغ الدفعة], الجدول3[حساب الدفع], "مرفوعة في ناجز", الجدول3[رقم العقد], الجدول4[[#This Row],[رقم العقد]], الجدول3[اسم المستاجر], الجدول4[[#This Row],[اسم المستاجر]])</f>
        <v>16800</v>
      </c>
      <c r="W46" s="923"/>
      <c r="X46" s="923"/>
      <c r="Y46" s="923"/>
      <c r="Z46" s="923"/>
      <c r="AA46" s="923"/>
      <c r="AB46" s="923"/>
      <c r="AC46" s="923"/>
      <c r="AD46" s="923"/>
      <c r="AE46" s="923"/>
      <c r="AF46" s="923"/>
      <c r="AG46" s="923"/>
      <c r="AH46" s="923"/>
      <c r="AI46" s="923"/>
      <c r="AJ46" s="923"/>
      <c r="AK46" s="923"/>
      <c r="AL46" s="923"/>
      <c r="AM46" s="923"/>
      <c r="AN46" s="923"/>
      <c r="AO46" s="923"/>
      <c r="AP46" s="923"/>
      <c r="AQ46" s="923"/>
      <c r="AR46" s="923"/>
      <c r="AS46" s="923"/>
      <c r="AT46" s="923"/>
      <c r="AU46" s="923"/>
      <c r="AV46" s="923"/>
      <c r="AW46" s="923"/>
      <c r="AX46" s="923"/>
      <c r="AY46" s="923"/>
      <c r="AZ46" s="923"/>
      <c r="BA46" s="923"/>
      <c r="BB46" s="923"/>
      <c r="BC46" s="923"/>
      <c r="BD46" s="923"/>
      <c r="BE46" s="923"/>
      <c r="BF46" s="923"/>
      <c r="BG46" s="923"/>
      <c r="BH46" s="923"/>
      <c r="BI46" s="923"/>
      <c r="BJ46" s="923"/>
      <c r="BK46" s="923"/>
      <c r="BL46" s="923"/>
      <c r="BM46" s="923"/>
      <c r="BN46" s="923"/>
      <c r="BO46" s="923"/>
      <c r="BP46" s="923"/>
      <c r="BQ46" s="923"/>
    </row>
    <row r="47" spans="1:69" hidden="1">
      <c r="A47" s="855">
        <v>41</v>
      </c>
      <c r="B47" s="921" t="s">
        <v>39</v>
      </c>
      <c r="C47" s="855">
        <v>102</v>
      </c>
      <c r="D47" s="922" t="s">
        <v>1061</v>
      </c>
      <c r="E47" s="894" t="s">
        <v>1021</v>
      </c>
      <c r="F47" s="894">
        <v>1034057271</v>
      </c>
      <c r="G47" s="894">
        <v>553505255</v>
      </c>
      <c r="H47" s="894"/>
      <c r="I47" s="894">
        <v>10754234454</v>
      </c>
      <c r="J47" s="894">
        <v>1</v>
      </c>
      <c r="K47" s="894">
        <v>48000</v>
      </c>
      <c r="L47" s="894">
        <v>12</v>
      </c>
      <c r="M47" s="923">
        <f t="shared" si="2"/>
        <v>4000</v>
      </c>
      <c r="N47" s="932">
        <v>45769</v>
      </c>
      <c r="O47" s="924">
        <f t="shared" si="3"/>
        <v>46133</v>
      </c>
      <c r="P47" s="894"/>
      <c r="Q47" s="894"/>
      <c r="R47" s="894"/>
      <c r="S47"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19273.48</v>
      </c>
      <c r="T47"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28803.52</v>
      </c>
      <c r="U47" s="923">
        <f>الجدول4[[#This Row],[مبلغ الايجار]]-الجدول4[[#This Row],[المبلغ المدفوع]]</f>
        <v>28726.52</v>
      </c>
      <c r="V47" s="923">
        <f>SUMIFS(الجدول3[مبلغ الدفعة], الجدول3[حساب الدفع], "مرفوعة في ناجز", الجدول3[رقم العقد], الجدول4[[#This Row],[رقم العقد]], الجدول3[اسم المستاجر], الجدول4[[#This Row],[اسم المستاجر]])</f>
        <v>28727</v>
      </c>
      <c r="W47" s="923"/>
      <c r="X47" s="923"/>
      <c r="Y47" s="923"/>
      <c r="Z47" s="923"/>
      <c r="AA47" s="923"/>
      <c r="AB47" s="923"/>
      <c r="AC47" s="923"/>
      <c r="AD47" s="923"/>
      <c r="AE47" s="923"/>
      <c r="AF47" s="923"/>
      <c r="AG47" s="923"/>
      <c r="AH47" s="923"/>
      <c r="AI47" s="923"/>
      <c r="AJ47" s="923"/>
      <c r="AK47" s="923"/>
      <c r="AL47" s="923"/>
      <c r="AM47" s="923"/>
      <c r="AN47" s="923"/>
      <c r="AO47" s="923"/>
      <c r="AP47" s="923"/>
      <c r="AQ47" s="923"/>
      <c r="AR47" s="923"/>
      <c r="AS47" s="923"/>
      <c r="AT47" s="923"/>
      <c r="AU47" s="923"/>
      <c r="AV47" s="923"/>
      <c r="AW47" s="923"/>
      <c r="AX47" s="923"/>
      <c r="AY47" s="923"/>
      <c r="AZ47" s="923"/>
      <c r="BA47" s="923"/>
      <c r="BB47" s="923"/>
      <c r="BC47" s="923"/>
      <c r="BD47" s="923"/>
      <c r="BE47" s="923"/>
      <c r="BF47" s="923"/>
      <c r="BG47" s="923"/>
      <c r="BH47" s="923"/>
      <c r="BI47" s="923"/>
      <c r="BJ47" s="923"/>
      <c r="BK47" s="923"/>
      <c r="BL47" s="923"/>
      <c r="BM47" s="923"/>
      <c r="BN47" s="923"/>
      <c r="BO47" s="923"/>
      <c r="BP47" s="923"/>
      <c r="BQ47" s="923"/>
    </row>
    <row r="48" spans="1:69" hidden="1">
      <c r="A48" s="855">
        <v>42</v>
      </c>
      <c r="B48" s="921" t="s">
        <v>40</v>
      </c>
      <c r="C48" s="855">
        <v>102</v>
      </c>
      <c r="D48" s="922" t="s">
        <v>1061</v>
      </c>
      <c r="E48" s="933" t="s">
        <v>1022</v>
      </c>
      <c r="F48" s="933">
        <v>2561457025</v>
      </c>
      <c r="G48" s="933">
        <v>594473931</v>
      </c>
      <c r="H48" s="894"/>
      <c r="I48" s="933">
        <v>10031355624</v>
      </c>
      <c r="J48" s="933">
        <v>1</v>
      </c>
      <c r="K48" s="933">
        <v>22800</v>
      </c>
      <c r="L48" s="933">
        <v>6</v>
      </c>
      <c r="M48" s="923">
        <f t="shared" si="2"/>
        <v>3800</v>
      </c>
      <c r="N48" s="935">
        <v>45807</v>
      </c>
      <c r="O48" s="924">
        <f t="shared" si="3"/>
        <v>45990</v>
      </c>
      <c r="P48" s="894"/>
      <c r="Q48" s="894"/>
      <c r="R48" s="894"/>
      <c r="S48"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22800</v>
      </c>
      <c r="T48"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48" s="923">
        <f>الجدول4[[#This Row],[مبلغ الايجار]]-الجدول4[[#This Row],[المبلغ المدفوع]]</f>
        <v>0</v>
      </c>
      <c r="V48" s="923">
        <f>SUMIFS(الجدول3[مبلغ الدفعة], الجدول3[حساب الدفع], "مرفوعة في ناجز", الجدول3[رقم العقد], الجدول4[[#This Row],[رقم العقد]], الجدول3[اسم المستاجر], الجدول4[[#This Row],[اسم المستاجر]])</f>
        <v>0</v>
      </c>
      <c r="W48" s="923"/>
      <c r="X48" s="923"/>
      <c r="Y48" s="923"/>
      <c r="Z48" s="923"/>
      <c r="AA48" s="923"/>
      <c r="AB48" s="923"/>
      <c r="AC48" s="923"/>
      <c r="AD48" s="923"/>
      <c r="AE48" s="923"/>
      <c r="AF48" s="923"/>
      <c r="AG48" s="923"/>
      <c r="AH48" s="923"/>
      <c r="AI48" s="923"/>
      <c r="AJ48" s="923"/>
      <c r="AK48" s="923"/>
      <c r="AL48" s="923"/>
      <c r="AM48" s="923"/>
      <c r="AN48" s="923"/>
      <c r="AO48" s="923"/>
      <c r="AP48" s="923"/>
      <c r="AQ48" s="923"/>
      <c r="AR48" s="923"/>
      <c r="AS48" s="923"/>
      <c r="AT48" s="923"/>
      <c r="AU48" s="923"/>
      <c r="AV48" s="923"/>
      <c r="AW48" s="923"/>
      <c r="AX48" s="923"/>
      <c r="AY48" s="923"/>
      <c r="AZ48" s="923"/>
      <c r="BA48" s="923"/>
      <c r="BB48" s="923"/>
      <c r="BC48" s="923"/>
      <c r="BD48" s="923"/>
      <c r="BE48" s="923"/>
      <c r="BF48" s="923"/>
      <c r="BG48" s="923"/>
      <c r="BH48" s="923"/>
      <c r="BI48" s="923"/>
      <c r="BJ48" s="923"/>
      <c r="BK48" s="923"/>
      <c r="BL48" s="923"/>
      <c r="BM48" s="923"/>
      <c r="BN48" s="923"/>
      <c r="BO48" s="923"/>
      <c r="BP48" s="923"/>
      <c r="BQ48" s="923"/>
    </row>
    <row r="49" spans="1:69" hidden="1">
      <c r="A49" s="855">
        <v>43</v>
      </c>
      <c r="B49" s="921" t="s">
        <v>40</v>
      </c>
      <c r="C49" s="855">
        <v>102</v>
      </c>
      <c r="D49" s="922" t="s">
        <v>1061</v>
      </c>
      <c r="E49" s="933" t="s">
        <v>1022</v>
      </c>
      <c r="F49" s="933">
        <v>2561457025</v>
      </c>
      <c r="G49" s="933">
        <v>594473931</v>
      </c>
      <c r="H49" s="894"/>
      <c r="I49" s="933">
        <v>10177561284</v>
      </c>
      <c r="J49" s="933">
        <v>1</v>
      </c>
      <c r="K49" s="933">
        <v>11400</v>
      </c>
      <c r="L49" s="933">
        <v>3</v>
      </c>
      <c r="M49" s="923">
        <f t="shared" si="2"/>
        <v>3800</v>
      </c>
      <c r="N49" s="935">
        <v>45991</v>
      </c>
      <c r="O49" s="924">
        <f t="shared" si="3"/>
        <v>46080</v>
      </c>
      <c r="P49" s="894"/>
      <c r="Q49" s="894"/>
      <c r="R49" s="894"/>
      <c r="S49"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11400</v>
      </c>
      <c r="T49"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49" s="923">
        <f>الجدول4[[#This Row],[مبلغ الايجار]]-الجدول4[[#This Row],[المبلغ المدفوع]]</f>
        <v>0</v>
      </c>
      <c r="V49" s="923">
        <f>SUMIFS(الجدول3[مبلغ الدفعة], الجدول3[حساب الدفع], "مرفوعة في ناجز", الجدول3[رقم العقد], الجدول4[[#This Row],[رقم العقد]], الجدول3[اسم المستاجر], الجدول4[[#This Row],[اسم المستاجر]])</f>
        <v>0</v>
      </c>
      <c r="W49" s="923"/>
      <c r="X49" s="923"/>
      <c r="Y49" s="923"/>
      <c r="Z49" s="923"/>
      <c r="AA49" s="923"/>
      <c r="AB49" s="923"/>
      <c r="AC49" s="923"/>
      <c r="AD49" s="923"/>
      <c r="AE49" s="923"/>
      <c r="AF49" s="923"/>
      <c r="AG49" s="923"/>
      <c r="AH49" s="923"/>
      <c r="AI49" s="923"/>
      <c r="AJ49" s="923"/>
      <c r="AK49" s="923"/>
      <c r="AL49" s="923"/>
      <c r="AM49" s="923"/>
      <c r="AN49" s="923"/>
      <c r="AO49" s="923"/>
      <c r="AP49" s="923"/>
      <c r="AQ49" s="923"/>
      <c r="AR49" s="923"/>
      <c r="AS49" s="923"/>
      <c r="AT49" s="923"/>
      <c r="AU49" s="923"/>
      <c r="AV49" s="923"/>
      <c r="AW49" s="923"/>
      <c r="AX49" s="923"/>
      <c r="AY49" s="923"/>
      <c r="AZ49" s="923"/>
      <c r="BA49" s="923"/>
      <c r="BB49" s="923"/>
      <c r="BC49" s="923"/>
      <c r="BD49" s="923"/>
      <c r="BE49" s="923"/>
      <c r="BF49" s="923"/>
      <c r="BG49" s="923"/>
      <c r="BH49" s="923"/>
      <c r="BI49" s="923"/>
      <c r="BJ49" s="923"/>
      <c r="BK49" s="923"/>
      <c r="BL49" s="923"/>
      <c r="BM49" s="923"/>
      <c r="BN49" s="923"/>
      <c r="BO49" s="923"/>
      <c r="BP49" s="923"/>
      <c r="BQ49" s="923"/>
    </row>
    <row r="50" spans="1:69" hidden="1">
      <c r="A50" s="855">
        <v>44</v>
      </c>
      <c r="B50" s="921" t="s">
        <v>1024</v>
      </c>
      <c r="C50" s="855">
        <v>102</v>
      </c>
      <c r="D50" s="922" t="s">
        <v>1061</v>
      </c>
      <c r="E50" s="933" t="s">
        <v>1023</v>
      </c>
      <c r="F50" s="933">
        <v>2540931389</v>
      </c>
      <c r="G50" s="933">
        <v>509595287</v>
      </c>
      <c r="H50" s="894"/>
      <c r="I50" s="933">
        <v>10411247447</v>
      </c>
      <c r="J50" s="933">
        <v>1</v>
      </c>
      <c r="K50" s="933">
        <v>11400</v>
      </c>
      <c r="L50" s="933">
        <v>3</v>
      </c>
      <c r="M50" s="923">
        <f t="shared" si="2"/>
        <v>3800</v>
      </c>
      <c r="N50" s="935">
        <v>45955</v>
      </c>
      <c r="O50" s="924">
        <f t="shared" si="3"/>
        <v>46046</v>
      </c>
      <c r="P50" s="894"/>
      <c r="Q50" s="894"/>
      <c r="R50" s="894"/>
      <c r="S50"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11400</v>
      </c>
      <c r="T50"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50" s="923">
        <f>الجدول4[[#This Row],[مبلغ الايجار]]-الجدول4[[#This Row],[المبلغ المدفوع]]</f>
        <v>0</v>
      </c>
      <c r="V50" s="923">
        <f>SUMIFS(الجدول3[مبلغ الدفعة], الجدول3[حساب الدفع], "مرفوعة في ناجز", الجدول3[رقم العقد], الجدول4[[#This Row],[رقم العقد]], الجدول3[اسم المستاجر], الجدول4[[#This Row],[اسم المستاجر]])</f>
        <v>0</v>
      </c>
      <c r="W50" s="923"/>
      <c r="X50" s="923"/>
      <c r="Y50" s="923"/>
      <c r="Z50" s="923"/>
      <c r="AA50" s="923"/>
      <c r="AB50" s="923"/>
      <c r="AC50" s="923"/>
      <c r="AD50" s="923"/>
      <c r="AE50" s="923"/>
      <c r="AF50" s="923"/>
      <c r="AG50" s="923"/>
      <c r="AH50" s="923"/>
      <c r="AI50" s="923"/>
      <c r="AJ50" s="923"/>
      <c r="AK50" s="923"/>
      <c r="AL50" s="923"/>
      <c r="AM50" s="923"/>
      <c r="AN50" s="923"/>
      <c r="AO50" s="923"/>
      <c r="AP50" s="923"/>
      <c r="AQ50" s="923"/>
      <c r="AR50" s="923"/>
      <c r="AS50" s="923"/>
      <c r="AT50" s="923"/>
      <c r="AU50" s="923"/>
      <c r="AV50" s="923"/>
      <c r="AW50" s="923"/>
      <c r="AX50" s="923"/>
      <c r="AY50" s="923"/>
      <c r="AZ50" s="923"/>
      <c r="BA50" s="923"/>
      <c r="BB50" s="923"/>
      <c r="BC50" s="923"/>
      <c r="BD50" s="923"/>
      <c r="BE50" s="923"/>
      <c r="BF50" s="923"/>
      <c r="BG50" s="923"/>
      <c r="BH50" s="923"/>
      <c r="BI50" s="923"/>
      <c r="BJ50" s="923"/>
      <c r="BK50" s="923"/>
      <c r="BL50" s="923"/>
      <c r="BM50" s="923"/>
      <c r="BN50" s="923"/>
      <c r="BO50" s="923"/>
      <c r="BP50" s="923"/>
      <c r="BQ50" s="923"/>
    </row>
    <row r="51" spans="1:69" hidden="1">
      <c r="A51" s="855">
        <v>45</v>
      </c>
      <c r="B51" s="921" t="s">
        <v>30</v>
      </c>
      <c r="C51" s="855">
        <v>102</v>
      </c>
      <c r="D51" s="922" t="s">
        <v>1061</v>
      </c>
      <c r="E51" s="933" t="s">
        <v>1035</v>
      </c>
      <c r="F51" s="933">
        <v>1083740553</v>
      </c>
      <c r="G51" s="933">
        <v>565090030</v>
      </c>
      <c r="H51" s="894"/>
      <c r="I51" s="933">
        <v>10125141302</v>
      </c>
      <c r="J51" s="933">
        <v>1</v>
      </c>
      <c r="K51" s="933">
        <v>10500</v>
      </c>
      <c r="L51" s="933">
        <v>3</v>
      </c>
      <c r="M51" s="923">
        <f t="shared" si="2"/>
        <v>3500</v>
      </c>
      <c r="N51" s="935">
        <v>45804</v>
      </c>
      <c r="O51" s="924">
        <f t="shared" si="3"/>
        <v>45895</v>
      </c>
      <c r="P51" s="894"/>
      <c r="Q51" s="894"/>
      <c r="R51" s="894"/>
      <c r="S51"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10500</v>
      </c>
      <c r="T51"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51" s="923">
        <f>الجدول4[[#This Row],[مبلغ الايجار]]-الجدول4[[#This Row],[المبلغ المدفوع]]</f>
        <v>0</v>
      </c>
      <c r="V51" s="923">
        <f>SUMIFS(الجدول3[مبلغ الدفعة], الجدول3[حساب الدفع], "مرفوعة في ناجز", الجدول3[رقم العقد], الجدول4[[#This Row],[رقم العقد]], الجدول3[اسم المستاجر], الجدول4[[#This Row],[اسم المستاجر]])</f>
        <v>0</v>
      </c>
      <c r="W51" s="923"/>
      <c r="X51" s="923"/>
      <c r="Y51" s="923"/>
      <c r="Z51" s="923"/>
      <c r="AA51" s="923"/>
      <c r="AB51" s="923"/>
      <c r="AC51" s="923"/>
      <c r="AD51" s="923"/>
      <c r="AE51" s="923"/>
      <c r="AF51" s="923"/>
      <c r="AG51" s="923"/>
      <c r="AH51" s="923"/>
      <c r="AI51" s="923"/>
      <c r="AJ51" s="923"/>
      <c r="AK51" s="923"/>
      <c r="AL51" s="923"/>
      <c r="AM51" s="923"/>
      <c r="AN51" s="923"/>
      <c r="AO51" s="923"/>
      <c r="AP51" s="923"/>
      <c r="AQ51" s="923"/>
      <c r="AR51" s="923"/>
      <c r="AS51" s="923"/>
      <c r="AT51" s="923"/>
      <c r="AU51" s="923"/>
      <c r="AV51" s="923"/>
      <c r="AW51" s="923"/>
      <c r="AX51" s="923"/>
      <c r="AY51" s="923"/>
      <c r="AZ51" s="923"/>
      <c r="BA51" s="923"/>
      <c r="BB51" s="923"/>
      <c r="BC51" s="923"/>
      <c r="BD51" s="923"/>
      <c r="BE51" s="923"/>
      <c r="BF51" s="923"/>
      <c r="BG51" s="923"/>
      <c r="BH51" s="923"/>
      <c r="BI51" s="923"/>
      <c r="BJ51" s="923"/>
      <c r="BK51" s="923"/>
      <c r="BL51" s="923"/>
      <c r="BM51" s="923"/>
      <c r="BN51" s="923"/>
      <c r="BO51" s="923"/>
      <c r="BP51" s="923"/>
      <c r="BQ51" s="923"/>
    </row>
    <row r="52" spans="1:69" hidden="1">
      <c r="A52" s="855">
        <v>46</v>
      </c>
      <c r="B52" s="921" t="s">
        <v>1015</v>
      </c>
      <c r="C52" s="855">
        <v>102</v>
      </c>
      <c r="D52" s="922" t="s">
        <v>1061</v>
      </c>
      <c r="E52" s="894" t="s">
        <v>1014</v>
      </c>
      <c r="F52" s="894"/>
      <c r="G52" s="894">
        <v>504792858</v>
      </c>
      <c r="H52" s="894"/>
      <c r="I52" s="894">
        <v>10961328891</v>
      </c>
      <c r="J52" s="894">
        <v>1</v>
      </c>
      <c r="K52" s="894">
        <v>36000</v>
      </c>
      <c r="L52" s="894">
        <v>9</v>
      </c>
      <c r="M52" s="923">
        <f t="shared" si="2"/>
        <v>4000</v>
      </c>
      <c r="N52" s="932">
        <v>45831</v>
      </c>
      <c r="O52" s="924">
        <f t="shared" si="3"/>
        <v>46103</v>
      </c>
      <c r="P52" s="894"/>
      <c r="Q52" s="894"/>
      <c r="R52" s="894"/>
      <c r="S52"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36000</v>
      </c>
      <c r="T52"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52" s="923">
        <f>الجدول4[[#This Row],[مبلغ الايجار]]-الجدول4[[#This Row],[المبلغ المدفوع]]</f>
        <v>0</v>
      </c>
      <c r="V52" s="923">
        <f>SUMIFS(الجدول3[مبلغ الدفعة], الجدول3[حساب الدفع], "مرفوعة في ناجز", الجدول3[رقم العقد], الجدول4[[#This Row],[رقم العقد]], الجدول3[اسم المستاجر], الجدول4[[#This Row],[اسم المستاجر]])</f>
        <v>0</v>
      </c>
      <c r="W52" s="923"/>
      <c r="X52" s="923"/>
      <c r="Y52" s="923"/>
      <c r="Z52" s="923"/>
      <c r="AA52" s="923"/>
      <c r="AB52" s="923"/>
      <c r="AC52" s="923"/>
      <c r="AD52" s="923"/>
      <c r="AE52" s="923"/>
      <c r="AF52" s="923"/>
      <c r="AG52" s="923"/>
      <c r="AH52" s="923"/>
      <c r="AI52" s="923"/>
      <c r="AJ52" s="923"/>
      <c r="AK52" s="923"/>
      <c r="AL52" s="923"/>
      <c r="AM52" s="923"/>
      <c r="AN52" s="923"/>
      <c r="AO52" s="923"/>
      <c r="AP52" s="923"/>
      <c r="AQ52" s="923"/>
      <c r="AR52" s="923"/>
      <c r="AS52" s="923"/>
      <c r="AT52" s="923"/>
      <c r="AU52" s="923"/>
      <c r="AV52" s="923"/>
      <c r="AW52" s="923"/>
      <c r="AX52" s="923"/>
      <c r="AY52" s="923"/>
      <c r="AZ52" s="923"/>
      <c r="BA52" s="923"/>
      <c r="BB52" s="923"/>
      <c r="BC52" s="923"/>
      <c r="BD52" s="923"/>
      <c r="BE52" s="923"/>
      <c r="BF52" s="923"/>
      <c r="BG52" s="923"/>
      <c r="BH52" s="923"/>
      <c r="BI52" s="923"/>
      <c r="BJ52" s="923"/>
      <c r="BK52" s="923"/>
      <c r="BL52" s="923"/>
      <c r="BM52" s="923"/>
      <c r="BN52" s="923"/>
      <c r="BO52" s="923"/>
      <c r="BP52" s="923"/>
      <c r="BQ52" s="923"/>
    </row>
    <row r="53" spans="1:69" hidden="1">
      <c r="A53" s="855">
        <v>47</v>
      </c>
      <c r="B53" s="921" t="s">
        <v>30</v>
      </c>
      <c r="C53" s="855">
        <v>102</v>
      </c>
      <c r="D53" s="922" t="s">
        <v>1061</v>
      </c>
      <c r="E53" s="933" t="s">
        <v>1017</v>
      </c>
      <c r="F53" s="933">
        <v>1126489572</v>
      </c>
      <c r="G53" s="933">
        <v>508797441</v>
      </c>
      <c r="H53" s="894"/>
      <c r="I53" s="933">
        <v>10292271476</v>
      </c>
      <c r="J53" s="933">
        <v>1</v>
      </c>
      <c r="K53" s="933">
        <v>21000</v>
      </c>
      <c r="L53" s="933">
        <v>6</v>
      </c>
      <c r="M53" s="923">
        <f t="shared" si="2"/>
        <v>3500</v>
      </c>
      <c r="N53" s="935">
        <v>45964</v>
      </c>
      <c r="O53" s="924">
        <f t="shared" si="3"/>
        <v>46144</v>
      </c>
      <c r="P53" s="894"/>
      <c r="Q53" s="894"/>
      <c r="R53" s="894"/>
      <c r="S53"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8750</v>
      </c>
      <c r="T53"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10500</v>
      </c>
      <c r="U53" s="923">
        <f>الجدول4[[#This Row],[مبلغ الايجار]]-الجدول4[[#This Row],[المبلغ المدفوع]]</f>
        <v>12250</v>
      </c>
      <c r="V53" s="923">
        <f>SUMIFS(الجدول3[مبلغ الدفعة], الجدول3[حساب الدفع], "مرفوعة في ناجز", الجدول3[رقم العقد], الجدول4[[#This Row],[رقم العقد]], الجدول3[اسم المستاجر], الجدول4[[#This Row],[اسم المستاجر]])</f>
        <v>0</v>
      </c>
      <c r="W53" s="923"/>
      <c r="X53" s="923"/>
      <c r="Y53" s="923"/>
      <c r="Z53" s="923"/>
      <c r="AA53" s="923"/>
      <c r="AB53" s="923"/>
      <c r="AC53" s="923"/>
      <c r="AD53" s="923"/>
      <c r="AE53" s="923"/>
      <c r="AF53" s="923"/>
      <c r="AG53" s="923"/>
      <c r="AH53" s="923"/>
      <c r="AI53" s="923"/>
      <c r="AJ53" s="923"/>
      <c r="AK53" s="923"/>
      <c r="AL53" s="923"/>
      <c r="AM53" s="923"/>
      <c r="AN53" s="923"/>
      <c r="AO53" s="923"/>
      <c r="AP53" s="923"/>
      <c r="AQ53" s="923"/>
      <c r="AR53" s="923"/>
      <c r="AS53" s="923"/>
      <c r="AT53" s="923"/>
      <c r="AU53" s="923"/>
      <c r="AV53" s="923"/>
      <c r="AW53" s="923"/>
      <c r="AX53" s="923"/>
      <c r="AY53" s="923"/>
      <c r="AZ53" s="923"/>
      <c r="BA53" s="923"/>
      <c r="BB53" s="923"/>
      <c r="BC53" s="923"/>
      <c r="BD53" s="923"/>
      <c r="BE53" s="923"/>
      <c r="BF53" s="923"/>
      <c r="BG53" s="923"/>
      <c r="BH53" s="923"/>
      <c r="BI53" s="923"/>
      <c r="BJ53" s="923"/>
      <c r="BK53" s="923"/>
      <c r="BL53" s="923"/>
      <c r="BM53" s="923"/>
      <c r="BN53" s="923"/>
      <c r="BO53" s="923"/>
      <c r="BP53" s="923"/>
      <c r="BQ53" s="923"/>
    </row>
    <row r="54" spans="1:69" hidden="1">
      <c r="A54" s="855">
        <v>48</v>
      </c>
      <c r="B54" s="921" t="s">
        <v>1027</v>
      </c>
      <c r="C54" s="855">
        <v>102</v>
      </c>
      <c r="D54" s="922" t="s">
        <v>1061</v>
      </c>
      <c r="E54" s="933" t="s">
        <v>1017</v>
      </c>
      <c r="F54" s="933">
        <v>1126489572</v>
      </c>
      <c r="G54" s="933">
        <v>508797441</v>
      </c>
      <c r="H54" s="894"/>
      <c r="I54" s="933">
        <v>10222366037</v>
      </c>
      <c r="J54" s="933">
        <v>1</v>
      </c>
      <c r="K54" s="933">
        <v>7600</v>
      </c>
      <c r="L54" s="933">
        <v>2</v>
      </c>
      <c r="M54" s="923">
        <f t="shared" si="2"/>
        <v>3800</v>
      </c>
      <c r="N54" s="935">
        <v>45971</v>
      </c>
      <c r="O54" s="924">
        <f t="shared" si="3"/>
        <v>46031</v>
      </c>
      <c r="P54" s="894"/>
      <c r="Q54" s="894"/>
      <c r="R54" s="894"/>
      <c r="S54"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3800</v>
      </c>
      <c r="T54"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3800</v>
      </c>
      <c r="U54" s="923">
        <f>الجدول4[[#This Row],[مبلغ الايجار]]-الجدول4[[#This Row],[المبلغ المدفوع]]</f>
        <v>3800</v>
      </c>
      <c r="V54" s="923">
        <f>SUMIFS(الجدول3[مبلغ الدفعة], الجدول3[حساب الدفع], "مرفوعة في ناجز", الجدول3[رقم العقد], الجدول4[[#This Row],[رقم العقد]], الجدول3[اسم المستاجر], الجدول4[[#This Row],[اسم المستاجر]])</f>
        <v>0</v>
      </c>
      <c r="W54" s="923"/>
      <c r="X54" s="923"/>
      <c r="Y54" s="923"/>
      <c r="Z54" s="923"/>
      <c r="AA54" s="923"/>
      <c r="AB54" s="923"/>
      <c r="AC54" s="923"/>
      <c r="AD54" s="923"/>
      <c r="AE54" s="923"/>
      <c r="AF54" s="923"/>
      <c r="AG54" s="923"/>
      <c r="AH54" s="923"/>
      <c r="AI54" s="923"/>
      <c r="AJ54" s="923"/>
      <c r="AK54" s="923"/>
      <c r="AL54" s="923"/>
      <c r="AM54" s="923"/>
      <c r="AN54" s="923"/>
      <c r="AO54" s="923"/>
      <c r="AP54" s="923"/>
      <c r="AQ54" s="923"/>
      <c r="AR54" s="923"/>
      <c r="AS54" s="923"/>
      <c r="AT54" s="923"/>
      <c r="AU54" s="923"/>
      <c r="AV54" s="923"/>
      <c r="AW54" s="923"/>
      <c r="AX54" s="923"/>
      <c r="AY54" s="923"/>
      <c r="AZ54" s="923"/>
      <c r="BA54" s="923"/>
      <c r="BB54" s="923"/>
      <c r="BC54" s="923"/>
      <c r="BD54" s="923"/>
      <c r="BE54" s="923"/>
      <c r="BF54" s="923"/>
      <c r="BG54" s="923"/>
      <c r="BH54" s="923"/>
      <c r="BI54" s="923"/>
      <c r="BJ54" s="923"/>
      <c r="BK54" s="923"/>
      <c r="BL54" s="923"/>
      <c r="BM54" s="923"/>
      <c r="BN54" s="923"/>
      <c r="BO54" s="923"/>
      <c r="BP54" s="923"/>
      <c r="BQ54" s="923"/>
    </row>
    <row r="55" spans="1:69" hidden="1">
      <c r="A55" s="855">
        <v>49</v>
      </c>
      <c r="B55" s="921" t="s">
        <v>29</v>
      </c>
      <c r="C55" s="855">
        <v>102</v>
      </c>
      <c r="D55" s="922" t="s">
        <v>1061</v>
      </c>
      <c r="E55" s="933" t="s">
        <v>1034</v>
      </c>
      <c r="F55" s="933">
        <v>1006154114</v>
      </c>
      <c r="G55" s="933">
        <v>550011113</v>
      </c>
      <c r="H55" s="894"/>
      <c r="I55" s="933">
        <v>10567983820</v>
      </c>
      <c r="J55" s="933">
        <v>1</v>
      </c>
      <c r="K55" s="933">
        <v>4000</v>
      </c>
      <c r="L55" s="933">
        <v>1</v>
      </c>
      <c r="M55" s="923">
        <f t="shared" si="2"/>
        <v>4000</v>
      </c>
      <c r="N55" s="935">
        <v>45800</v>
      </c>
      <c r="O55" s="924">
        <f t="shared" si="3"/>
        <v>45830</v>
      </c>
      <c r="P55" s="894"/>
      <c r="Q55" s="894"/>
      <c r="R55" s="894"/>
      <c r="S55"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4000</v>
      </c>
      <c r="T55"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55" s="923">
        <f>الجدول4[[#This Row],[مبلغ الايجار]]-الجدول4[[#This Row],[المبلغ المدفوع]]</f>
        <v>0</v>
      </c>
      <c r="V55" s="923">
        <f>SUMIFS(الجدول3[مبلغ الدفعة], الجدول3[حساب الدفع], "مرفوعة في ناجز", الجدول3[رقم العقد], الجدول4[[#This Row],[رقم العقد]], الجدول3[اسم المستاجر], الجدول4[[#This Row],[اسم المستاجر]])</f>
        <v>0</v>
      </c>
      <c r="W55" s="923"/>
      <c r="X55" s="923"/>
      <c r="Y55" s="923"/>
      <c r="Z55" s="923"/>
      <c r="AA55" s="923"/>
      <c r="AB55" s="923"/>
      <c r="AC55" s="923"/>
      <c r="AD55" s="923"/>
      <c r="AE55" s="923"/>
      <c r="AF55" s="923"/>
      <c r="AG55" s="923"/>
      <c r="AH55" s="923"/>
      <c r="AI55" s="923"/>
      <c r="AJ55" s="923"/>
      <c r="AK55" s="923"/>
      <c r="AL55" s="923"/>
      <c r="AM55" s="923"/>
      <c r="AN55" s="923"/>
      <c r="AO55" s="923"/>
      <c r="AP55" s="923"/>
      <c r="AQ55" s="923"/>
      <c r="AR55" s="923"/>
      <c r="AS55" s="923"/>
      <c r="AT55" s="923"/>
      <c r="AU55" s="923"/>
      <c r="AV55" s="923"/>
      <c r="AW55" s="923"/>
      <c r="AX55" s="923"/>
      <c r="AY55" s="923"/>
      <c r="AZ55" s="923"/>
      <c r="BA55" s="923"/>
      <c r="BB55" s="923"/>
      <c r="BC55" s="923"/>
      <c r="BD55" s="923"/>
      <c r="BE55" s="923"/>
      <c r="BF55" s="923"/>
      <c r="BG55" s="923"/>
      <c r="BH55" s="923"/>
      <c r="BI55" s="923"/>
      <c r="BJ55" s="923"/>
      <c r="BK55" s="923"/>
      <c r="BL55" s="923"/>
      <c r="BM55" s="923"/>
      <c r="BN55" s="923"/>
      <c r="BO55" s="923"/>
      <c r="BP55" s="923"/>
      <c r="BQ55" s="923"/>
    </row>
    <row r="56" spans="1:69" hidden="1">
      <c r="A56" s="855">
        <v>50</v>
      </c>
      <c r="B56" s="921" t="s">
        <v>29</v>
      </c>
      <c r="C56" s="855">
        <v>102</v>
      </c>
      <c r="D56" s="922" t="s">
        <v>1061</v>
      </c>
      <c r="E56" s="933" t="s">
        <v>1039</v>
      </c>
      <c r="F56" s="933">
        <v>1116418862</v>
      </c>
      <c r="G56" s="933">
        <v>558040717</v>
      </c>
      <c r="H56" s="894"/>
      <c r="I56" s="933">
        <v>10810602899</v>
      </c>
      <c r="J56" s="933">
        <v>1</v>
      </c>
      <c r="K56" s="933">
        <v>3500</v>
      </c>
      <c r="L56" s="933">
        <v>1</v>
      </c>
      <c r="M56" s="923">
        <f t="shared" si="2"/>
        <v>3500</v>
      </c>
      <c r="N56" s="935">
        <v>46010</v>
      </c>
      <c r="O56" s="924">
        <f t="shared" si="3"/>
        <v>46040</v>
      </c>
      <c r="P56" s="894"/>
      <c r="Q56" s="894"/>
      <c r="R56" s="894"/>
      <c r="S56"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0</v>
      </c>
      <c r="T56" s="925">
        <f>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56" s="923">
        <f>الجدول4[[#This Row],[مبلغ الايجار]]-الجدول4[[#This Row],[المبلغ المدفوع]]</f>
        <v>3500</v>
      </c>
      <c r="V56" s="923">
        <f>SUMIFS(الجدول3[مبلغ الدفعة], الجدول3[حساب الدفع], "مرفوعة في ناجز", الجدول3[رقم العقد], الجدول4[[#This Row],[رقم العقد]], الجدول3[اسم المستاجر], الجدول4[[#This Row],[اسم المستاجر]])</f>
        <v>0</v>
      </c>
      <c r="W56" s="923"/>
      <c r="X56" s="923"/>
      <c r="Y56" s="923"/>
      <c r="Z56" s="923"/>
      <c r="AA56" s="923"/>
      <c r="AB56" s="923"/>
      <c r="AC56" s="923"/>
      <c r="AD56" s="923"/>
      <c r="AE56" s="923"/>
      <c r="AF56" s="923"/>
      <c r="AG56" s="923"/>
      <c r="AH56" s="923"/>
      <c r="AI56" s="923"/>
      <c r="AJ56" s="923"/>
      <c r="AK56" s="923"/>
      <c r="AL56" s="923"/>
      <c r="AM56" s="923"/>
      <c r="AN56" s="923"/>
      <c r="AO56" s="923"/>
      <c r="AP56" s="923"/>
      <c r="AQ56" s="923"/>
      <c r="AR56" s="923"/>
      <c r="AS56" s="923"/>
      <c r="AT56" s="923"/>
      <c r="AU56" s="923"/>
      <c r="AV56" s="923"/>
      <c r="AW56" s="923"/>
      <c r="AX56" s="923"/>
      <c r="AY56" s="923"/>
      <c r="AZ56" s="923"/>
      <c r="BA56" s="923"/>
      <c r="BB56" s="923"/>
      <c r="BC56" s="923"/>
      <c r="BD56" s="923"/>
      <c r="BE56" s="923"/>
      <c r="BF56" s="923"/>
      <c r="BG56" s="923"/>
      <c r="BH56" s="923"/>
      <c r="BI56" s="923"/>
      <c r="BJ56" s="923"/>
      <c r="BK56" s="923"/>
      <c r="BL56" s="923"/>
      <c r="BM56" s="923"/>
      <c r="BN56" s="923"/>
      <c r="BO56" s="923"/>
      <c r="BP56" s="923"/>
      <c r="BQ56" s="923"/>
    </row>
    <row r="57" spans="1:69" hidden="1">
      <c r="A57" s="855">
        <v>51</v>
      </c>
      <c r="B57" s="855" t="s">
        <v>32</v>
      </c>
      <c r="C57" s="855">
        <v>102</v>
      </c>
      <c r="D57" s="856" t="s">
        <v>1061</v>
      </c>
      <c r="E57" s="894" t="s">
        <v>1033</v>
      </c>
      <c r="F57" s="894">
        <v>2566342156</v>
      </c>
      <c r="G57" s="894">
        <v>573034457</v>
      </c>
      <c r="H57" s="857"/>
      <c r="I57" s="894">
        <v>10357210925</v>
      </c>
      <c r="J57" s="894">
        <v>1</v>
      </c>
      <c r="K57" s="894">
        <v>12000</v>
      </c>
      <c r="L57" s="894">
        <v>3</v>
      </c>
      <c r="M57" s="859">
        <f t="shared" si="2"/>
        <v>4000</v>
      </c>
      <c r="N57" s="932">
        <v>46029</v>
      </c>
      <c r="O57" s="867">
        <f t="shared" si="3"/>
        <v>46118</v>
      </c>
      <c r="P57" s="857"/>
      <c r="Q57" s="857"/>
      <c r="R57" s="857"/>
      <c r="S57"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35598</v>
      </c>
      <c r="T57" s="861">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57" s="859">
        <f>الجدول4[[#This Row],[مبلغ الايجار]]-الجدول4[[#This Row],[المبلغ المدفوع]]</f>
        <v>-23598</v>
      </c>
      <c r="V57" s="859">
        <f>SUMIFS(الجدول3[مبلغ الدفعة], الجدول3[حساب الدفع], "مرفوعة في ناجز", الجدول3[رقم العقد], الجدول4[[#This Row],[رقم العقد]], الجدول3[اسم المستاجر], الجدول4[[#This Row],[اسم المستاجر]])</f>
        <v>0</v>
      </c>
      <c r="W57" s="859"/>
      <c r="X57" s="859"/>
      <c r="Y57" s="859"/>
      <c r="Z57" s="859"/>
      <c r="AA57" s="859"/>
      <c r="AB57" s="859"/>
      <c r="AC57" s="859"/>
      <c r="AD57" s="859"/>
      <c r="AE57" s="859"/>
      <c r="AF57" s="859"/>
      <c r="AG57" s="859"/>
      <c r="AH57" s="859"/>
      <c r="AI57" s="859"/>
      <c r="AJ57" s="859"/>
      <c r="AK57" s="859"/>
      <c r="AL57" s="859"/>
      <c r="AM57" s="859"/>
      <c r="AN57" s="859"/>
      <c r="AO57" s="859"/>
      <c r="AP57" s="859"/>
      <c r="AQ57" s="859"/>
      <c r="AR57" s="859"/>
      <c r="AS57" s="859"/>
      <c r="AT57" s="859"/>
      <c r="AU57" s="859"/>
      <c r="AV57" s="859"/>
      <c r="AW57" s="859"/>
      <c r="AX57" s="859"/>
      <c r="AY57" s="859"/>
      <c r="AZ57" s="859"/>
      <c r="BA57" s="859"/>
      <c r="BB57" s="859"/>
      <c r="BC57" s="859"/>
      <c r="BD57" s="859"/>
      <c r="BE57" s="859"/>
      <c r="BF57" s="859"/>
      <c r="BG57" s="859"/>
      <c r="BH57" s="859"/>
      <c r="BI57" s="859"/>
      <c r="BJ57" s="859"/>
      <c r="BK57" s="859"/>
      <c r="BL57" s="859"/>
      <c r="BM57" s="859"/>
      <c r="BN57" s="859"/>
      <c r="BO57" s="859"/>
      <c r="BP57" s="859"/>
      <c r="BQ57" s="859"/>
    </row>
    <row r="58" spans="1:69" hidden="1">
      <c r="A58" s="855">
        <v>52</v>
      </c>
      <c r="B58" s="921" t="s">
        <v>29</v>
      </c>
      <c r="C58" s="855">
        <v>102</v>
      </c>
      <c r="D58" s="922" t="s">
        <v>1061</v>
      </c>
      <c r="E58" s="933" t="s">
        <v>1039</v>
      </c>
      <c r="F58" s="933">
        <v>1116418862</v>
      </c>
      <c r="G58" s="933">
        <v>558040717</v>
      </c>
      <c r="H58" s="894"/>
      <c r="I58" s="933">
        <v>10849658586</v>
      </c>
      <c r="J58" s="933">
        <v>1</v>
      </c>
      <c r="K58" s="933">
        <v>3500</v>
      </c>
      <c r="L58" s="933">
        <v>1</v>
      </c>
      <c r="M58" s="923">
        <f t="shared" si="2"/>
        <v>3500</v>
      </c>
      <c r="N58" s="935">
        <v>46041</v>
      </c>
      <c r="O58" s="924">
        <f t="shared" si="3"/>
        <v>46071</v>
      </c>
      <c r="P58" s="894"/>
      <c r="Q58" s="894"/>
      <c r="R58" s="894"/>
      <c r="S58"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0</v>
      </c>
      <c r="T58" s="925">
        <f>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58" s="923">
        <f>الجدول4[[#This Row],[مبلغ الايجار]]-الجدول4[[#This Row],[المبلغ المدفوع]]</f>
        <v>3500</v>
      </c>
      <c r="V58" s="923">
        <f>SUMIFS(الجدول3[مبلغ الدفعة], الجدول3[حساب الدفع], "مرفوعة في ناجز", الجدول3[رقم العقد], الجدول4[[#This Row],[رقم العقد]], الجدول3[اسم المستاجر], الجدول4[[#This Row],[اسم المستاجر]])</f>
        <v>0</v>
      </c>
      <c r="W58" s="923"/>
      <c r="X58" s="923"/>
      <c r="Y58" s="923"/>
      <c r="Z58" s="923"/>
      <c r="AA58" s="923"/>
      <c r="AB58" s="923"/>
      <c r="AC58" s="923"/>
      <c r="AD58" s="923"/>
      <c r="AE58" s="923"/>
      <c r="AF58" s="923"/>
      <c r="AG58" s="923"/>
      <c r="AH58" s="923"/>
      <c r="AI58" s="923"/>
      <c r="AJ58" s="923"/>
      <c r="AK58" s="923"/>
      <c r="AL58" s="923"/>
      <c r="AM58" s="923"/>
      <c r="AN58" s="923"/>
      <c r="AO58" s="923"/>
      <c r="AP58" s="923"/>
      <c r="AQ58" s="923"/>
      <c r="AR58" s="923"/>
      <c r="AS58" s="923"/>
      <c r="AT58" s="923"/>
      <c r="AU58" s="923"/>
      <c r="AV58" s="923"/>
      <c r="AW58" s="923"/>
      <c r="AX58" s="923"/>
      <c r="AY58" s="923"/>
      <c r="AZ58" s="923"/>
      <c r="BA58" s="923"/>
      <c r="BB58" s="923"/>
      <c r="BC58" s="923"/>
      <c r="BD58" s="923"/>
      <c r="BE58" s="923"/>
      <c r="BF58" s="923"/>
      <c r="BG58" s="923"/>
      <c r="BH58" s="923"/>
      <c r="BI58" s="923"/>
      <c r="BJ58" s="923"/>
      <c r="BK58" s="923"/>
      <c r="BL58" s="923"/>
      <c r="BM58" s="923"/>
      <c r="BN58" s="923"/>
      <c r="BO58" s="923"/>
      <c r="BP58" s="923"/>
      <c r="BQ58" s="923"/>
    </row>
    <row r="59" spans="1:69" hidden="1">
      <c r="A59" s="855">
        <v>53</v>
      </c>
      <c r="B59" s="921" t="s">
        <v>1024</v>
      </c>
      <c r="C59" s="855">
        <v>102</v>
      </c>
      <c r="D59" s="922" t="s">
        <v>1061</v>
      </c>
      <c r="E59" s="933" t="s">
        <v>1023</v>
      </c>
      <c r="F59" s="933">
        <v>2540931389</v>
      </c>
      <c r="G59" s="933">
        <v>509595287</v>
      </c>
      <c r="H59" s="894"/>
      <c r="I59" s="933">
        <v>10451468132</v>
      </c>
      <c r="J59" s="933">
        <v>1</v>
      </c>
      <c r="K59" s="933">
        <v>3800</v>
      </c>
      <c r="L59" s="933">
        <v>1</v>
      </c>
      <c r="M59" s="923">
        <f t="shared" si="2"/>
        <v>3800</v>
      </c>
      <c r="N59" s="935">
        <v>46048</v>
      </c>
      <c r="O59" s="924">
        <f t="shared" si="3"/>
        <v>46078</v>
      </c>
      <c r="P59" s="894"/>
      <c r="Q59" s="894"/>
      <c r="R59" s="894"/>
      <c r="S59"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4550</v>
      </c>
      <c r="T59"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59" s="923">
        <f>الجدول4[[#This Row],[مبلغ الايجار]]-الجدول4[[#This Row],[المبلغ المدفوع]]</f>
        <v>-750</v>
      </c>
      <c r="V59" s="923">
        <f>SUMIFS(الجدول3[مبلغ الدفعة], الجدول3[حساب الدفع], "مرفوعة في ناجز", الجدول3[رقم العقد], الجدول4[[#This Row],[رقم العقد]], الجدول3[اسم المستاجر], الجدول4[[#This Row],[اسم المستاجر]])</f>
        <v>0</v>
      </c>
      <c r="W59" s="923"/>
      <c r="X59" s="923"/>
      <c r="Y59" s="923"/>
      <c r="Z59" s="923"/>
      <c r="AA59" s="923"/>
      <c r="AB59" s="923"/>
      <c r="AC59" s="923"/>
      <c r="AD59" s="923"/>
      <c r="AE59" s="923"/>
      <c r="AF59" s="923"/>
      <c r="AG59" s="923"/>
      <c r="AH59" s="923"/>
      <c r="AI59" s="923"/>
      <c r="AJ59" s="923"/>
      <c r="AK59" s="923"/>
      <c r="AL59" s="923"/>
      <c r="AM59" s="923"/>
      <c r="AN59" s="923"/>
      <c r="AO59" s="923"/>
      <c r="AP59" s="923"/>
      <c r="AQ59" s="923"/>
      <c r="AR59" s="923"/>
      <c r="AS59" s="923"/>
      <c r="AT59" s="923"/>
      <c r="AU59" s="923"/>
      <c r="AV59" s="923"/>
      <c r="AW59" s="923"/>
      <c r="AX59" s="923"/>
      <c r="AY59" s="923"/>
      <c r="AZ59" s="923"/>
      <c r="BA59" s="923"/>
      <c r="BB59" s="923"/>
      <c r="BC59" s="923"/>
      <c r="BD59" s="923"/>
      <c r="BE59" s="923"/>
      <c r="BF59" s="923"/>
      <c r="BG59" s="923"/>
      <c r="BH59" s="923"/>
      <c r="BI59" s="923"/>
      <c r="BJ59" s="923"/>
      <c r="BK59" s="923"/>
      <c r="BL59" s="923"/>
      <c r="BM59" s="923"/>
      <c r="BN59" s="923"/>
      <c r="BO59" s="923"/>
      <c r="BP59" s="923"/>
      <c r="BQ59" s="923"/>
    </row>
    <row r="60" spans="1:69" hidden="1">
      <c r="A60" s="855">
        <v>54</v>
      </c>
      <c r="B60" s="921" t="s">
        <v>35</v>
      </c>
      <c r="C60" s="855">
        <v>102</v>
      </c>
      <c r="D60" s="922" t="s">
        <v>1061</v>
      </c>
      <c r="E60" s="926" t="s">
        <v>1037</v>
      </c>
      <c r="F60" s="926">
        <v>2565317019</v>
      </c>
      <c r="G60" s="926">
        <v>535654508</v>
      </c>
      <c r="H60" s="894"/>
      <c r="I60" s="926">
        <v>10634545692</v>
      </c>
      <c r="J60" s="926">
        <v>1</v>
      </c>
      <c r="K60" s="926">
        <v>12000</v>
      </c>
      <c r="L60" s="926">
        <v>3</v>
      </c>
      <c r="M60" s="923">
        <f t="shared" si="2"/>
        <v>4000</v>
      </c>
      <c r="N60" s="929">
        <v>46047</v>
      </c>
      <c r="O60" s="924">
        <f t="shared" si="3"/>
        <v>46136</v>
      </c>
      <c r="P60" s="894"/>
      <c r="Q60" s="894"/>
      <c r="R60" s="894"/>
      <c r="S60"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8000</v>
      </c>
      <c r="T60"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4000</v>
      </c>
      <c r="U60" s="923">
        <f>الجدول4[[#This Row],[مبلغ الايجار]]-الجدول4[[#This Row],[المبلغ المدفوع]]</f>
        <v>4000</v>
      </c>
      <c r="V60" s="923">
        <f>SUMIFS(الجدول3[مبلغ الدفعة], الجدول3[حساب الدفع], "مرفوعة في ناجز", الجدول3[رقم العقد], الجدول4[[#This Row],[رقم العقد]], الجدول3[اسم المستاجر], الجدول4[[#This Row],[اسم المستاجر]])</f>
        <v>0</v>
      </c>
      <c r="W60" s="923"/>
      <c r="X60" s="923"/>
      <c r="Y60" s="923"/>
      <c r="Z60" s="923"/>
      <c r="AA60" s="923"/>
      <c r="AB60" s="923"/>
      <c r="AC60" s="923"/>
      <c r="AD60" s="923"/>
      <c r="AE60" s="923"/>
      <c r="AF60" s="923"/>
      <c r="AG60" s="923"/>
      <c r="AH60" s="923"/>
      <c r="AI60" s="923"/>
      <c r="AJ60" s="923"/>
      <c r="AK60" s="923"/>
      <c r="AL60" s="923"/>
      <c r="AM60" s="923"/>
      <c r="AN60" s="923"/>
      <c r="AO60" s="923"/>
      <c r="AP60" s="923"/>
      <c r="AQ60" s="923"/>
      <c r="AR60" s="923"/>
      <c r="AS60" s="923"/>
      <c r="AT60" s="923"/>
      <c r="AU60" s="923"/>
      <c r="AV60" s="923"/>
      <c r="AW60" s="923"/>
      <c r="AX60" s="923"/>
      <c r="AY60" s="923"/>
      <c r="AZ60" s="923"/>
      <c r="BA60" s="923"/>
      <c r="BB60" s="923"/>
      <c r="BC60" s="923"/>
      <c r="BD60" s="923"/>
      <c r="BE60" s="923"/>
      <c r="BF60" s="923"/>
      <c r="BG60" s="923"/>
      <c r="BH60" s="923"/>
      <c r="BI60" s="923"/>
      <c r="BJ60" s="923"/>
      <c r="BK60" s="923"/>
      <c r="BL60" s="923"/>
      <c r="BM60" s="923"/>
      <c r="BN60" s="923"/>
      <c r="BO60" s="923"/>
      <c r="BP60" s="923"/>
      <c r="BQ60" s="923"/>
    </row>
    <row r="61" spans="1:69" ht="16" hidden="1" thickBot="1">
      <c r="A61" s="855">
        <v>55</v>
      </c>
      <c r="B61" s="921" t="s">
        <v>1027</v>
      </c>
      <c r="C61" s="855">
        <v>102</v>
      </c>
      <c r="D61" s="922" t="s">
        <v>1061</v>
      </c>
      <c r="E61" s="926" t="s">
        <v>1038</v>
      </c>
      <c r="F61" s="926">
        <v>1120681935</v>
      </c>
      <c r="G61" s="926">
        <v>534574981</v>
      </c>
      <c r="H61" s="894"/>
      <c r="I61" s="928">
        <v>10968662558</v>
      </c>
      <c r="J61" s="926">
        <v>1</v>
      </c>
      <c r="K61" s="926">
        <v>4000</v>
      </c>
      <c r="L61" s="926">
        <v>1</v>
      </c>
      <c r="M61" s="923">
        <f t="shared" si="2"/>
        <v>4000</v>
      </c>
      <c r="N61" s="929">
        <v>46039</v>
      </c>
      <c r="O61" s="924">
        <f t="shared" si="3"/>
        <v>46069</v>
      </c>
      <c r="P61" s="894"/>
      <c r="Q61" s="894"/>
      <c r="R61" s="894"/>
      <c r="S61"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4000</v>
      </c>
      <c r="T61"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61" s="923">
        <f>الجدول4[[#This Row],[مبلغ الايجار]]-الجدول4[[#This Row],[المبلغ المدفوع]]</f>
        <v>0</v>
      </c>
      <c r="V61" s="923">
        <f>SUMIFS(الجدول3[مبلغ الدفعة], الجدول3[حساب الدفع], "مرفوعة في ناجز", الجدول3[رقم العقد], الجدول4[[#This Row],[رقم العقد]], الجدول3[اسم المستاجر], الجدول4[[#This Row],[اسم المستاجر]])</f>
        <v>0</v>
      </c>
      <c r="W61" s="923"/>
      <c r="X61" s="923"/>
      <c r="Y61" s="923"/>
      <c r="Z61" s="923"/>
      <c r="AA61" s="923"/>
      <c r="AB61" s="923"/>
      <c r="AC61" s="923"/>
      <c r="AD61" s="923"/>
      <c r="AE61" s="923"/>
      <c r="AF61" s="923"/>
      <c r="AG61" s="923"/>
      <c r="AH61" s="923"/>
      <c r="AI61" s="923"/>
      <c r="AJ61" s="923"/>
      <c r="AK61" s="923"/>
      <c r="AL61" s="923"/>
      <c r="AM61" s="923"/>
      <c r="AN61" s="923"/>
      <c r="AO61" s="923"/>
      <c r="AP61" s="923"/>
      <c r="AQ61" s="923"/>
      <c r="AR61" s="923"/>
      <c r="AS61" s="923"/>
      <c r="AT61" s="923"/>
      <c r="AU61" s="923"/>
      <c r="AV61" s="923"/>
      <c r="AW61" s="923"/>
      <c r="AX61" s="923"/>
      <c r="AY61" s="923"/>
      <c r="AZ61" s="923"/>
      <c r="BA61" s="923"/>
      <c r="BB61" s="923"/>
      <c r="BC61" s="923"/>
      <c r="BD61" s="923"/>
      <c r="BE61" s="923"/>
      <c r="BF61" s="923"/>
      <c r="BG61" s="923"/>
      <c r="BH61" s="923"/>
      <c r="BI61" s="923"/>
      <c r="BJ61" s="923"/>
      <c r="BK61" s="923"/>
      <c r="BL61" s="923"/>
      <c r="BM61" s="923"/>
      <c r="BN61" s="923"/>
      <c r="BO61" s="923"/>
      <c r="BP61" s="923"/>
      <c r="BQ61" s="923"/>
    </row>
    <row r="62" spans="1:69" hidden="1">
      <c r="A62" s="855">
        <v>56</v>
      </c>
      <c r="B62" s="855" t="s">
        <v>36</v>
      </c>
      <c r="C62" s="855">
        <v>102</v>
      </c>
      <c r="D62" s="856" t="s">
        <v>1061</v>
      </c>
      <c r="E62" s="4" t="s">
        <v>625</v>
      </c>
      <c r="F62" s="4">
        <v>1011636675</v>
      </c>
      <c r="G62" s="4">
        <v>504281077</v>
      </c>
      <c r="H62" s="857"/>
      <c r="I62" s="4">
        <v>10979208354</v>
      </c>
      <c r="J62" s="4">
        <v>1</v>
      </c>
      <c r="K62" s="4">
        <v>12000</v>
      </c>
      <c r="L62" s="4">
        <v>3</v>
      </c>
      <c r="M62" s="859">
        <f t="shared" si="2"/>
        <v>4000</v>
      </c>
      <c r="N62" s="930">
        <v>46053</v>
      </c>
      <c r="O62" s="867">
        <f t="shared" si="3"/>
        <v>46141</v>
      </c>
      <c r="P62" s="857"/>
      <c r="Q62" s="857"/>
      <c r="R62" s="857"/>
      <c r="S62"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12000</v>
      </c>
      <c r="T62" s="861">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62" s="859">
        <f>الجدول4[[#This Row],[مبلغ الايجار]]-الجدول4[[#This Row],[المبلغ المدفوع]]</f>
        <v>0</v>
      </c>
      <c r="V62" s="859">
        <f>SUMIFS(الجدول3[مبلغ الدفعة], الجدول3[حساب الدفع], "مرفوعة في ناجز", الجدول3[رقم العقد], الجدول4[[#This Row],[رقم العقد]], الجدول3[اسم المستاجر], الجدول4[[#This Row],[اسم المستاجر]])</f>
        <v>0</v>
      </c>
      <c r="W62" s="859"/>
      <c r="X62" s="859"/>
      <c r="Y62" s="859"/>
      <c r="Z62" s="859"/>
      <c r="AA62" s="859"/>
      <c r="AB62" s="859"/>
      <c r="AC62" s="859"/>
      <c r="AD62" s="859"/>
      <c r="AE62" s="859"/>
      <c r="AF62" s="859"/>
      <c r="AG62" s="859"/>
      <c r="AH62" s="859"/>
      <c r="AI62" s="859"/>
      <c r="AJ62" s="859"/>
      <c r="AK62" s="859"/>
      <c r="AL62" s="859"/>
      <c r="AM62" s="859"/>
      <c r="AN62" s="859"/>
      <c r="AO62" s="859"/>
      <c r="AP62" s="859"/>
      <c r="AQ62" s="859"/>
      <c r="AR62" s="859"/>
      <c r="AS62" s="859"/>
      <c r="AT62" s="859"/>
      <c r="AU62" s="859"/>
      <c r="AV62" s="859"/>
      <c r="AW62" s="859"/>
      <c r="AX62" s="859"/>
      <c r="AY62" s="859"/>
      <c r="AZ62" s="859"/>
      <c r="BA62" s="859"/>
      <c r="BB62" s="859"/>
      <c r="BC62" s="859"/>
      <c r="BD62" s="859"/>
      <c r="BE62" s="859"/>
      <c r="BF62" s="859"/>
      <c r="BG62" s="859"/>
      <c r="BH62" s="859"/>
      <c r="BI62" s="859"/>
      <c r="BJ62" s="859"/>
      <c r="BK62" s="859"/>
      <c r="BL62" s="859"/>
      <c r="BM62" s="859"/>
      <c r="BN62" s="859"/>
      <c r="BO62" s="859"/>
      <c r="BP62" s="859"/>
      <c r="BQ62" s="859"/>
    </row>
    <row r="63" spans="1:69" hidden="1">
      <c r="A63" s="855">
        <v>57</v>
      </c>
      <c r="B63" s="921" t="s">
        <v>29</v>
      </c>
      <c r="C63" s="855">
        <v>102</v>
      </c>
      <c r="D63" s="922" t="s">
        <v>1061</v>
      </c>
      <c r="E63" s="926" t="s">
        <v>1039</v>
      </c>
      <c r="F63" s="926">
        <v>1116418862</v>
      </c>
      <c r="G63" s="926">
        <v>541230244</v>
      </c>
      <c r="H63" s="894"/>
      <c r="I63" s="926">
        <v>10048083921</v>
      </c>
      <c r="J63" s="926">
        <v>1</v>
      </c>
      <c r="K63" s="926">
        <v>3500</v>
      </c>
      <c r="L63" s="926">
        <v>1</v>
      </c>
      <c r="M63" s="923">
        <f t="shared" si="2"/>
        <v>3500</v>
      </c>
      <c r="N63" s="929">
        <v>46072</v>
      </c>
      <c r="O63" s="924">
        <f t="shared" si="3"/>
        <v>46099</v>
      </c>
      <c r="P63" s="894"/>
      <c r="Q63" s="894"/>
      <c r="R63" s="894"/>
      <c r="S63"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3500</v>
      </c>
      <c r="T63"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63" s="923">
        <f>الجدول4[[#This Row],[مبلغ الايجار]]-الجدول4[[#This Row],[المبلغ المدفوع]]</f>
        <v>0</v>
      </c>
      <c r="V63" s="923">
        <f>SUMIFS(الجدول3[مبلغ الدفعة], الجدول3[حساب الدفع], "مرفوعة في ناجز", الجدول3[رقم العقد], الجدول4[[#This Row],[رقم العقد]], الجدول3[اسم المستاجر], الجدول4[[#This Row],[اسم المستاجر]])</f>
        <v>0</v>
      </c>
      <c r="W63" s="923"/>
      <c r="X63" s="923"/>
      <c r="Y63" s="923"/>
      <c r="Z63" s="923"/>
      <c r="AA63" s="923"/>
      <c r="AB63" s="923"/>
      <c r="AC63" s="923"/>
      <c r="AD63" s="923"/>
      <c r="AE63" s="923"/>
      <c r="AF63" s="923"/>
      <c r="AG63" s="923"/>
      <c r="AH63" s="923"/>
      <c r="AI63" s="923"/>
      <c r="AJ63" s="923"/>
      <c r="AK63" s="923"/>
      <c r="AL63" s="923"/>
      <c r="AM63" s="923"/>
      <c r="AN63" s="923"/>
      <c r="AO63" s="923"/>
      <c r="AP63" s="923"/>
      <c r="AQ63" s="923"/>
      <c r="AR63" s="923"/>
      <c r="AS63" s="923"/>
      <c r="AT63" s="923"/>
      <c r="AU63" s="923"/>
      <c r="AV63" s="923"/>
      <c r="AW63" s="923"/>
      <c r="AX63" s="923"/>
      <c r="AY63" s="923"/>
      <c r="AZ63" s="923"/>
      <c r="BA63" s="923"/>
      <c r="BB63" s="923"/>
      <c r="BC63" s="923"/>
      <c r="BD63" s="923"/>
      <c r="BE63" s="923"/>
      <c r="BF63" s="923"/>
      <c r="BG63" s="923"/>
      <c r="BH63" s="923"/>
      <c r="BI63" s="923"/>
      <c r="BJ63" s="923"/>
      <c r="BK63" s="923"/>
      <c r="BL63" s="923"/>
      <c r="BM63" s="923"/>
      <c r="BN63" s="923"/>
      <c r="BO63" s="923"/>
      <c r="BP63" s="923"/>
      <c r="BQ63" s="923"/>
    </row>
    <row r="64" spans="1:69">
      <c r="A64" s="855">
        <v>58</v>
      </c>
      <c r="B64" s="921" t="s">
        <v>30</v>
      </c>
      <c r="C64" s="855">
        <v>102</v>
      </c>
      <c r="D64" s="856">
        <f ca="1">الجدول4[[#This Row],[تاريخ نهاية العقد]]-'Payments and Repayments'!B$1</f>
        <v>27</v>
      </c>
      <c r="E64" s="4" t="s">
        <v>1040</v>
      </c>
      <c r="F64" s="4">
        <v>1024375899</v>
      </c>
      <c r="G64" s="4">
        <v>558683977</v>
      </c>
      <c r="H64" s="894"/>
      <c r="I64" s="4">
        <v>10776420553</v>
      </c>
      <c r="J64" s="4">
        <v>1</v>
      </c>
      <c r="K64" s="4">
        <v>31500</v>
      </c>
      <c r="L64" s="4">
        <v>9</v>
      </c>
      <c r="M64" s="923">
        <f t="shared" si="2"/>
        <v>3500</v>
      </c>
      <c r="N64" s="930">
        <v>46078</v>
      </c>
      <c r="O64" s="924">
        <f t="shared" si="3"/>
        <v>46350</v>
      </c>
      <c r="P64" s="894"/>
      <c r="Q64" s="894"/>
      <c r="R64" s="894"/>
      <c r="S64"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17500</v>
      </c>
      <c r="T64"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14000</v>
      </c>
      <c r="U64" s="923">
        <f>الجدول4[[#This Row],[مبلغ الايجار]]-الجدول4[[#This Row],[المبلغ المدفوع]]</f>
        <v>14000</v>
      </c>
      <c r="V64" s="923">
        <f ca="1">SUMIFS(الجدول3[مبلغ الدفعة], الجدول3[حساب الدفع], "مرفوعة في ناجز", الجدول3[رقم العقد], الجدول4[[#This Row],[رقم العقد]], الجدول3[اسم المستاجر], الجدول4[[#This Row],[اسم المستاجر]])</f>
        <v>0</v>
      </c>
      <c r="W64" s="923"/>
      <c r="X64" s="923"/>
      <c r="Y64" s="923"/>
      <c r="Z64" s="923"/>
      <c r="AA64" s="923"/>
      <c r="AB64" s="923"/>
      <c r="AC64" s="923"/>
      <c r="AD64" s="923"/>
      <c r="AE64" s="923"/>
      <c r="AF64" s="923"/>
      <c r="AG64" s="923"/>
      <c r="AH64" s="923"/>
      <c r="AI64" s="923"/>
      <c r="AJ64" s="923"/>
      <c r="AK64" s="923"/>
      <c r="AL64" s="923"/>
      <c r="AM64" s="923"/>
      <c r="AN64" s="923"/>
      <c r="AO64" s="923"/>
      <c r="AP64" s="923"/>
      <c r="AQ64" s="923"/>
      <c r="AR64" s="923"/>
      <c r="AS64" s="923"/>
      <c r="AT64" s="923"/>
      <c r="AU64" s="923"/>
      <c r="AV64" s="923"/>
      <c r="AW64" s="923"/>
      <c r="AX64" s="923"/>
      <c r="AY64" s="923"/>
      <c r="AZ64" s="923"/>
      <c r="BA64" s="923"/>
      <c r="BB64" s="923"/>
      <c r="BC64" s="923"/>
      <c r="BD64" s="923"/>
      <c r="BE64" s="923"/>
      <c r="BF64" s="923"/>
      <c r="BG64" s="923"/>
      <c r="BH64" s="923"/>
      <c r="BI64" s="923"/>
      <c r="BJ64" s="923"/>
      <c r="BK64" s="923"/>
      <c r="BL64" s="923"/>
      <c r="BM64" s="923"/>
      <c r="BN64" s="923"/>
      <c r="BO64" s="923"/>
      <c r="BP64" s="923"/>
      <c r="BQ64" s="923"/>
    </row>
    <row r="65" spans="1:69" hidden="1">
      <c r="A65" s="855">
        <v>59</v>
      </c>
      <c r="B65" s="855" t="s">
        <v>40</v>
      </c>
      <c r="C65" s="855">
        <v>102</v>
      </c>
      <c r="D65" s="856" t="s">
        <v>1061</v>
      </c>
      <c r="E65" s="4" t="s">
        <v>1022</v>
      </c>
      <c r="F65" s="4">
        <v>2561457025</v>
      </c>
      <c r="G65" s="4">
        <v>594473931</v>
      </c>
      <c r="H65" s="857"/>
      <c r="I65" s="894">
        <v>10534580051</v>
      </c>
      <c r="J65" s="4">
        <v>1</v>
      </c>
      <c r="K65" s="4">
        <v>3800</v>
      </c>
      <c r="L65" s="4">
        <v>1</v>
      </c>
      <c r="M65" s="859">
        <f t="shared" si="2"/>
        <v>3800</v>
      </c>
      <c r="N65" s="930">
        <v>46081</v>
      </c>
      <c r="O65" s="867">
        <f t="shared" si="3"/>
        <v>46108</v>
      </c>
      <c r="P65" s="857"/>
      <c r="Q65" s="857"/>
      <c r="R65" s="857"/>
      <c r="S65"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3800</v>
      </c>
      <c r="T65" s="861">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65" s="859">
        <f>الجدول4[[#This Row],[مبلغ الايجار]]-الجدول4[[#This Row],[المبلغ المدفوع]]</f>
        <v>0</v>
      </c>
      <c r="V65" s="859">
        <f>SUMIFS(الجدول3[مبلغ الدفعة], الجدول3[حساب الدفع], "مرفوعة في ناجز", الجدول3[رقم العقد], الجدول4[[#This Row],[رقم العقد]], الجدول3[اسم المستاجر], الجدول4[[#This Row],[اسم المستاجر]])</f>
        <v>0</v>
      </c>
      <c r="W65" s="859"/>
      <c r="X65" s="859"/>
      <c r="Y65" s="859"/>
      <c r="Z65" s="859"/>
      <c r="AA65" s="859"/>
      <c r="AB65" s="859"/>
      <c r="AC65" s="859"/>
      <c r="AD65" s="859"/>
      <c r="AE65" s="859"/>
      <c r="AF65" s="859"/>
      <c r="AG65" s="859"/>
      <c r="AH65" s="859"/>
      <c r="AI65" s="859"/>
      <c r="AJ65" s="859"/>
      <c r="AK65" s="859"/>
      <c r="AL65" s="859"/>
      <c r="AM65" s="859"/>
      <c r="AN65" s="859"/>
      <c r="AO65" s="859"/>
      <c r="AP65" s="859"/>
      <c r="AQ65" s="859"/>
      <c r="AR65" s="859"/>
      <c r="AS65" s="859"/>
      <c r="AT65" s="859"/>
      <c r="AU65" s="859"/>
      <c r="AV65" s="859"/>
      <c r="AW65" s="859"/>
      <c r="AX65" s="859"/>
      <c r="AY65" s="859"/>
      <c r="AZ65" s="859"/>
      <c r="BA65" s="859"/>
      <c r="BB65" s="859"/>
      <c r="BC65" s="859"/>
      <c r="BD65" s="859"/>
      <c r="BE65" s="859"/>
      <c r="BF65" s="859"/>
      <c r="BG65" s="859"/>
      <c r="BH65" s="859"/>
      <c r="BI65" s="859"/>
      <c r="BJ65" s="859"/>
      <c r="BK65" s="859"/>
      <c r="BL65" s="859"/>
      <c r="BM65" s="859"/>
      <c r="BN65" s="859"/>
      <c r="BO65" s="859"/>
      <c r="BP65" s="859"/>
      <c r="BQ65" s="859"/>
    </row>
    <row r="66" spans="1:69" hidden="1">
      <c r="A66" s="855">
        <v>60</v>
      </c>
      <c r="B66" s="921" t="s">
        <v>38</v>
      </c>
      <c r="C66" s="855">
        <v>102</v>
      </c>
      <c r="D66" s="922" t="s">
        <v>1061</v>
      </c>
      <c r="E66" s="4" t="s">
        <v>1041</v>
      </c>
      <c r="F66" s="4">
        <v>1083128726</v>
      </c>
      <c r="G66" s="4">
        <v>509984009</v>
      </c>
      <c r="H66" s="894"/>
      <c r="I66" s="4">
        <v>10340718386</v>
      </c>
      <c r="J66" s="4">
        <v>1</v>
      </c>
      <c r="K66" s="4">
        <v>4000</v>
      </c>
      <c r="L66" s="4">
        <v>1</v>
      </c>
      <c r="M66" s="923">
        <f t="shared" si="2"/>
        <v>4000</v>
      </c>
      <c r="N66" s="930">
        <v>46068</v>
      </c>
      <c r="O66" s="924">
        <f t="shared" si="3"/>
        <v>46095</v>
      </c>
      <c r="P66" s="894"/>
      <c r="Q66" s="894"/>
      <c r="R66" s="894"/>
      <c r="S66"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4000</v>
      </c>
      <c r="T66"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66" s="923">
        <f>الجدول4[[#This Row],[مبلغ الايجار]]-الجدول4[[#This Row],[المبلغ المدفوع]]</f>
        <v>0</v>
      </c>
      <c r="V66" s="923">
        <f>SUMIFS(الجدول3[مبلغ الدفعة], الجدول3[حساب الدفع], "مرفوعة في ناجز", الجدول3[رقم العقد], الجدول4[[#This Row],[رقم العقد]], الجدول3[اسم المستاجر], الجدول4[[#This Row],[اسم المستاجر]])</f>
        <v>0</v>
      </c>
      <c r="W66" s="923"/>
      <c r="X66" s="923"/>
      <c r="Y66" s="923"/>
      <c r="Z66" s="923"/>
      <c r="AA66" s="923"/>
      <c r="AB66" s="923"/>
      <c r="AC66" s="923"/>
      <c r="AD66" s="923"/>
      <c r="AE66" s="923"/>
      <c r="AF66" s="923"/>
      <c r="AG66" s="923"/>
      <c r="AH66" s="923"/>
      <c r="AI66" s="923"/>
      <c r="AJ66" s="923"/>
      <c r="AK66" s="923"/>
      <c r="AL66" s="923"/>
      <c r="AM66" s="923"/>
      <c r="AN66" s="923"/>
      <c r="AO66" s="923"/>
      <c r="AP66" s="923"/>
      <c r="AQ66" s="923"/>
      <c r="AR66" s="923"/>
      <c r="AS66" s="923"/>
      <c r="AT66" s="923"/>
      <c r="AU66" s="923"/>
      <c r="AV66" s="923"/>
      <c r="AW66" s="923"/>
      <c r="AX66" s="923"/>
      <c r="AY66" s="923"/>
      <c r="AZ66" s="923"/>
      <c r="BA66" s="923"/>
      <c r="BB66" s="923"/>
      <c r="BC66" s="923"/>
      <c r="BD66" s="923"/>
      <c r="BE66" s="923"/>
      <c r="BF66" s="923"/>
      <c r="BG66" s="923"/>
      <c r="BH66" s="923"/>
      <c r="BI66" s="923"/>
      <c r="BJ66" s="923"/>
      <c r="BK66" s="923"/>
      <c r="BL66" s="923"/>
      <c r="BM66" s="923"/>
      <c r="BN66" s="923"/>
      <c r="BO66" s="923"/>
      <c r="BP66" s="923"/>
      <c r="BQ66" s="923"/>
    </row>
    <row r="67" spans="1:69" hidden="1">
      <c r="A67" s="855">
        <v>61</v>
      </c>
      <c r="B67" s="921" t="s">
        <v>38</v>
      </c>
      <c r="C67" s="855">
        <v>102</v>
      </c>
      <c r="D67" s="922" t="s">
        <v>1061</v>
      </c>
      <c r="E67" s="4" t="s">
        <v>1041</v>
      </c>
      <c r="F67" s="4">
        <v>1083128726</v>
      </c>
      <c r="G67" s="4">
        <v>509984009</v>
      </c>
      <c r="H67" s="894"/>
      <c r="I67" s="903">
        <v>10332937482</v>
      </c>
      <c r="J67" s="4">
        <v>1</v>
      </c>
      <c r="K67" s="4">
        <v>4000</v>
      </c>
      <c r="L67" s="4">
        <v>1</v>
      </c>
      <c r="M67" s="923">
        <f t="shared" si="2"/>
        <v>4000</v>
      </c>
      <c r="N67" s="930">
        <v>46096</v>
      </c>
      <c r="O67" s="924">
        <f t="shared" si="3"/>
        <v>46126</v>
      </c>
      <c r="P67" s="894"/>
      <c r="Q67" s="894"/>
      <c r="R67" s="894"/>
      <c r="S67"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4000</v>
      </c>
      <c r="T67"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67" s="923">
        <f>الجدول4[[#This Row],[مبلغ الايجار]]-الجدول4[[#This Row],[المبلغ المدفوع]]</f>
        <v>0</v>
      </c>
      <c r="V67" s="923">
        <f>SUMIFS(الجدول3[مبلغ الدفعة], الجدول3[حساب الدفع], "مرفوعة في ناجز", الجدول3[رقم العقد], الجدول4[[#This Row],[رقم العقد]], الجدول3[اسم المستاجر], الجدول4[[#This Row],[اسم المستاجر]])</f>
        <v>0</v>
      </c>
      <c r="W67" s="923"/>
      <c r="X67" s="923"/>
      <c r="Y67" s="923"/>
      <c r="Z67" s="923"/>
      <c r="AA67" s="923"/>
      <c r="AB67" s="923"/>
      <c r="AC67" s="923"/>
      <c r="AD67" s="923"/>
      <c r="AE67" s="923"/>
      <c r="AF67" s="923"/>
      <c r="AG67" s="923"/>
      <c r="AH67" s="923"/>
      <c r="AI67" s="923"/>
      <c r="AJ67" s="923"/>
      <c r="AK67" s="923"/>
      <c r="AL67" s="923"/>
      <c r="AM67" s="923"/>
      <c r="AN67" s="923"/>
      <c r="AO67" s="923"/>
      <c r="AP67" s="923"/>
      <c r="AQ67" s="923"/>
      <c r="AR67" s="923"/>
      <c r="AS67" s="923"/>
      <c r="AT67" s="923"/>
      <c r="AU67" s="923"/>
      <c r="AV67" s="923"/>
      <c r="AW67" s="923"/>
      <c r="AX67" s="923"/>
      <c r="AY67" s="923"/>
      <c r="AZ67" s="923"/>
      <c r="BA67" s="923"/>
      <c r="BB67" s="923"/>
      <c r="BC67" s="923"/>
      <c r="BD67" s="923"/>
      <c r="BE67" s="923"/>
      <c r="BF67" s="923"/>
      <c r="BG67" s="923"/>
      <c r="BH67" s="923"/>
      <c r="BI67" s="923"/>
      <c r="BJ67" s="923"/>
      <c r="BK67" s="923"/>
      <c r="BL67" s="923"/>
      <c r="BM67" s="923"/>
      <c r="BN67" s="923"/>
      <c r="BO67" s="923"/>
      <c r="BP67" s="923"/>
      <c r="BQ67" s="923"/>
    </row>
    <row r="68" spans="1:69" hidden="1">
      <c r="A68" s="855">
        <v>62</v>
      </c>
      <c r="B68" s="921" t="s">
        <v>40</v>
      </c>
      <c r="C68" s="855">
        <v>102</v>
      </c>
      <c r="D68" s="922" t="s">
        <v>1061</v>
      </c>
      <c r="E68" s="4" t="s">
        <v>1022</v>
      </c>
      <c r="F68" s="4">
        <v>2561457025</v>
      </c>
      <c r="G68" s="4">
        <v>594473931</v>
      </c>
      <c r="H68" s="894"/>
      <c r="I68" s="4">
        <v>10872041359</v>
      </c>
      <c r="J68" s="4">
        <v>1</v>
      </c>
      <c r="K68" s="4">
        <v>3800</v>
      </c>
      <c r="L68" s="4">
        <v>1</v>
      </c>
      <c r="M68" s="923">
        <f t="shared" si="2"/>
        <v>3800</v>
      </c>
      <c r="N68" s="930">
        <v>46109</v>
      </c>
      <c r="O68" s="924">
        <f t="shared" si="3"/>
        <v>46139</v>
      </c>
      <c r="P68" s="894"/>
      <c r="Q68" s="894"/>
      <c r="R68" s="894"/>
      <c r="S68"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3800</v>
      </c>
      <c r="T68"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68" s="923">
        <f>الجدول4[[#This Row],[مبلغ الايجار]]-الجدول4[[#This Row],[المبلغ المدفوع]]</f>
        <v>0</v>
      </c>
      <c r="V68" s="923">
        <f>SUMIFS(الجدول3[مبلغ الدفعة], الجدول3[حساب الدفع], "مرفوعة في ناجز", الجدول3[رقم العقد], الجدول4[[#This Row],[رقم العقد]], الجدول3[اسم المستاجر], الجدول4[[#This Row],[اسم المستاجر]])</f>
        <v>0</v>
      </c>
      <c r="W68" s="923"/>
      <c r="X68" s="923"/>
      <c r="Y68" s="923"/>
      <c r="Z68" s="923"/>
      <c r="AA68" s="923"/>
      <c r="AB68" s="923"/>
      <c r="AC68" s="923"/>
      <c r="AD68" s="923"/>
      <c r="AE68" s="923"/>
      <c r="AF68" s="923"/>
      <c r="AG68" s="923"/>
      <c r="AH68" s="923"/>
      <c r="AI68" s="923"/>
      <c r="AJ68" s="923"/>
      <c r="AK68" s="923"/>
      <c r="AL68" s="923"/>
      <c r="AM68" s="923"/>
      <c r="AN68" s="923"/>
      <c r="AO68" s="923"/>
      <c r="AP68" s="923"/>
      <c r="AQ68" s="923"/>
      <c r="AR68" s="923"/>
      <c r="AS68" s="923"/>
      <c r="AT68" s="923"/>
      <c r="AU68" s="923"/>
      <c r="AV68" s="923"/>
      <c r="AW68" s="923"/>
      <c r="AX68" s="923"/>
      <c r="AY68" s="923"/>
      <c r="AZ68" s="923"/>
      <c r="BA68" s="923"/>
      <c r="BB68" s="923"/>
      <c r="BC68" s="923"/>
      <c r="BD68" s="923"/>
      <c r="BE68" s="923"/>
      <c r="BF68" s="923"/>
      <c r="BG68" s="923"/>
      <c r="BH68" s="923"/>
      <c r="BI68" s="923"/>
      <c r="BJ68" s="923"/>
      <c r="BK68" s="923"/>
      <c r="BL68" s="923"/>
      <c r="BM68" s="923"/>
      <c r="BN68" s="923"/>
      <c r="BO68" s="923"/>
      <c r="BP68" s="923"/>
      <c r="BQ68" s="923"/>
    </row>
    <row r="69" spans="1:69" hidden="1">
      <c r="A69" s="855">
        <v>63</v>
      </c>
      <c r="B69" s="921" t="s">
        <v>29</v>
      </c>
      <c r="C69" s="855">
        <v>102</v>
      </c>
      <c r="D69" s="922" t="s">
        <v>1061</v>
      </c>
      <c r="E69" s="4" t="s">
        <v>1039</v>
      </c>
      <c r="F69" s="4">
        <v>1116418862</v>
      </c>
      <c r="G69" s="4">
        <v>541230244</v>
      </c>
      <c r="H69" s="894"/>
      <c r="I69" s="4">
        <v>10746467420</v>
      </c>
      <c r="J69" s="4">
        <v>1</v>
      </c>
      <c r="K69" s="4">
        <v>3500</v>
      </c>
      <c r="L69" s="4">
        <v>1</v>
      </c>
      <c r="M69" s="923">
        <f t="shared" si="2"/>
        <v>3500</v>
      </c>
      <c r="N69" s="930">
        <v>46100</v>
      </c>
      <c r="O69" s="924">
        <f t="shared" si="3"/>
        <v>46130</v>
      </c>
      <c r="P69" s="894"/>
      <c r="Q69" s="894"/>
      <c r="R69" s="894"/>
      <c r="S69"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3500</v>
      </c>
      <c r="T69"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69" s="923">
        <f>الجدول4[[#This Row],[مبلغ الايجار]]-الجدول4[[#This Row],[المبلغ المدفوع]]</f>
        <v>0</v>
      </c>
      <c r="V69" s="923">
        <f>SUMIFS(الجدول3[مبلغ الدفعة], الجدول3[حساب الدفع], "مرفوعة في ناجز", الجدول3[رقم العقد], الجدول4[[#This Row],[رقم العقد]], الجدول3[اسم المستاجر], الجدول4[[#This Row],[اسم المستاجر]])</f>
        <v>0</v>
      </c>
      <c r="W69" s="923"/>
      <c r="X69" s="923"/>
      <c r="Y69" s="923"/>
      <c r="Z69" s="923"/>
      <c r="AA69" s="923"/>
      <c r="AB69" s="923"/>
      <c r="AC69" s="923"/>
      <c r="AD69" s="923"/>
      <c r="AE69" s="923"/>
      <c r="AF69" s="923"/>
      <c r="AG69" s="923"/>
      <c r="AH69" s="923"/>
      <c r="AI69" s="923"/>
      <c r="AJ69" s="923"/>
      <c r="AK69" s="923"/>
      <c r="AL69" s="923"/>
      <c r="AM69" s="923"/>
      <c r="AN69" s="923"/>
      <c r="AO69" s="923"/>
      <c r="AP69" s="923"/>
      <c r="AQ69" s="923"/>
      <c r="AR69" s="923"/>
      <c r="AS69" s="923"/>
      <c r="AT69" s="923"/>
      <c r="AU69" s="923"/>
      <c r="AV69" s="923"/>
      <c r="AW69" s="923"/>
      <c r="AX69" s="923"/>
      <c r="AY69" s="923"/>
      <c r="AZ69" s="923"/>
      <c r="BA69" s="923"/>
      <c r="BB69" s="923"/>
      <c r="BC69" s="923"/>
      <c r="BD69" s="923"/>
      <c r="BE69" s="923"/>
      <c r="BF69" s="923"/>
      <c r="BG69" s="923"/>
      <c r="BH69" s="923"/>
      <c r="BI69" s="923"/>
      <c r="BJ69" s="923"/>
      <c r="BK69" s="923"/>
      <c r="BL69" s="923"/>
      <c r="BM69" s="923"/>
      <c r="BN69" s="923"/>
      <c r="BO69" s="923"/>
      <c r="BP69" s="923"/>
      <c r="BQ69" s="923"/>
    </row>
    <row r="70" spans="1:69" hidden="1">
      <c r="A70" s="855">
        <v>64</v>
      </c>
      <c r="B70" s="921" t="s">
        <v>1027</v>
      </c>
      <c r="C70" s="855">
        <v>102</v>
      </c>
      <c r="D70" s="922" t="s">
        <v>1061</v>
      </c>
      <c r="E70" s="4" t="s">
        <v>1017</v>
      </c>
      <c r="F70" s="4">
        <v>1126489572</v>
      </c>
      <c r="G70" s="4">
        <v>508797441</v>
      </c>
      <c r="H70" s="894"/>
      <c r="I70" s="4">
        <v>10157139921</v>
      </c>
      <c r="J70" s="4">
        <v>1</v>
      </c>
      <c r="K70" s="4">
        <v>3800</v>
      </c>
      <c r="L70" s="4">
        <v>1</v>
      </c>
      <c r="M70" s="923">
        <f t="shared" si="2"/>
        <v>3800</v>
      </c>
      <c r="N70" s="930">
        <v>46106</v>
      </c>
      <c r="O70" s="924">
        <f t="shared" si="3"/>
        <v>46136</v>
      </c>
      <c r="P70" s="894"/>
      <c r="Q70" s="894"/>
      <c r="R70" s="894"/>
      <c r="S70"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3800</v>
      </c>
      <c r="T70"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70" s="923">
        <f>الجدول4[[#This Row],[مبلغ الايجار]]-الجدول4[[#This Row],[المبلغ المدفوع]]</f>
        <v>0</v>
      </c>
      <c r="V70" s="923">
        <f>SUMIFS(الجدول3[مبلغ الدفعة], الجدول3[حساب الدفع], "مرفوعة في ناجز", الجدول3[رقم العقد], الجدول4[[#This Row],[رقم العقد]], الجدول3[اسم المستاجر], الجدول4[[#This Row],[اسم المستاجر]])</f>
        <v>0</v>
      </c>
      <c r="W70" s="923"/>
      <c r="X70" s="923"/>
      <c r="Y70" s="923"/>
      <c r="Z70" s="923"/>
      <c r="AA70" s="923"/>
      <c r="AB70" s="923"/>
      <c r="AC70" s="923"/>
      <c r="AD70" s="923"/>
      <c r="AE70" s="923"/>
      <c r="AF70" s="923"/>
      <c r="AG70" s="923"/>
      <c r="AH70" s="923"/>
      <c r="AI70" s="923"/>
      <c r="AJ70" s="923"/>
      <c r="AK70" s="923"/>
      <c r="AL70" s="923"/>
      <c r="AM70" s="923"/>
      <c r="AN70" s="923"/>
      <c r="AO70" s="923"/>
      <c r="AP70" s="923"/>
      <c r="AQ70" s="923"/>
      <c r="AR70" s="923"/>
      <c r="AS70" s="923"/>
      <c r="AT70" s="923"/>
      <c r="AU70" s="923"/>
      <c r="AV70" s="923"/>
      <c r="AW70" s="923"/>
      <c r="AX70" s="923"/>
      <c r="AY70" s="923"/>
      <c r="AZ70" s="923"/>
      <c r="BA70" s="923"/>
      <c r="BB70" s="923"/>
      <c r="BC70" s="923"/>
      <c r="BD70" s="923"/>
      <c r="BE70" s="923"/>
      <c r="BF70" s="923"/>
      <c r="BG70" s="923"/>
      <c r="BH70" s="923"/>
      <c r="BI70" s="923"/>
      <c r="BJ70" s="923"/>
      <c r="BK70" s="923"/>
      <c r="BL70" s="923"/>
      <c r="BM70" s="923"/>
      <c r="BN70" s="923"/>
      <c r="BO70" s="923"/>
      <c r="BP70" s="923"/>
      <c r="BQ70" s="923"/>
    </row>
    <row r="71" spans="1:69" hidden="1">
      <c r="A71" s="855">
        <v>65</v>
      </c>
      <c r="B71" s="921" t="s">
        <v>1024</v>
      </c>
      <c r="C71" s="855">
        <v>102</v>
      </c>
      <c r="D71" s="922" t="s">
        <v>1061</v>
      </c>
      <c r="E71" s="4" t="s">
        <v>1042</v>
      </c>
      <c r="F71" s="4">
        <v>1124246388</v>
      </c>
      <c r="G71" s="4">
        <v>505731927</v>
      </c>
      <c r="H71" s="894"/>
      <c r="I71" s="4">
        <v>10813661005</v>
      </c>
      <c r="J71" s="4">
        <v>1</v>
      </c>
      <c r="K71" s="4">
        <v>8000</v>
      </c>
      <c r="L71" s="4">
        <v>2</v>
      </c>
      <c r="M71" s="923">
        <f t="shared" ref="M71:M100" si="4">K71/L71</f>
        <v>4000</v>
      </c>
      <c r="N71" s="930">
        <v>46111</v>
      </c>
      <c r="O71" s="924">
        <f t="shared" ref="O71:O100" si="5">EDATE(N71,L71)-1</f>
        <v>46171</v>
      </c>
      <c r="P71" s="894"/>
      <c r="Q71" s="894"/>
      <c r="R71" s="894"/>
      <c r="S71"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8000</v>
      </c>
      <c r="T71"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71" s="923">
        <f>الجدول4[[#This Row],[مبلغ الايجار]]-الجدول4[[#This Row],[المبلغ المدفوع]]</f>
        <v>0</v>
      </c>
      <c r="V71" s="923">
        <f>SUMIFS(الجدول3[مبلغ الدفعة], الجدول3[حساب الدفع], "مرفوعة في ناجز", الجدول3[رقم العقد], الجدول4[[#This Row],[رقم العقد]], الجدول3[اسم المستاجر], الجدول4[[#This Row],[اسم المستاجر]])</f>
        <v>0</v>
      </c>
      <c r="W71" s="923"/>
      <c r="X71" s="923"/>
      <c r="Y71" s="923"/>
      <c r="Z71" s="923"/>
      <c r="AA71" s="923"/>
      <c r="AB71" s="923"/>
      <c r="AC71" s="923"/>
      <c r="AD71" s="923"/>
      <c r="AE71" s="923"/>
      <c r="AF71" s="923"/>
      <c r="AG71" s="923"/>
      <c r="AH71" s="923"/>
      <c r="AI71" s="923"/>
      <c r="AJ71" s="923"/>
      <c r="AK71" s="923"/>
      <c r="AL71" s="923"/>
      <c r="AM71" s="923"/>
      <c r="AN71" s="923"/>
      <c r="AO71" s="923"/>
      <c r="AP71" s="923"/>
      <c r="AQ71" s="923"/>
      <c r="AR71" s="923"/>
      <c r="AS71" s="923"/>
      <c r="AT71" s="923"/>
      <c r="AU71" s="923"/>
      <c r="AV71" s="923"/>
      <c r="AW71" s="923"/>
      <c r="AX71" s="923"/>
      <c r="AY71" s="923"/>
      <c r="AZ71" s="923"/>
      <c r="BA71" s="923"/>
      <c r="BB71" s="923"/>
      <c r="BC71" s="923"/>
      <c r="BD71" s="923"/>
      <c r="BE71" s="923"/>
      <c r="BF71" s="923"/>
      <c r="BG71" s="923"/>
      <c r="BH71" s="923"/>
      <c r="BI71" s="923"/>
      <c r="BJ71" s="923"/>
      <c r="BK71" s="923"/>
      <c r="BL71" s="923"/>
      <c r="BM71" s="923"/>
      <c r="BN71" s="923"/>
      <c r="BO71" s="923"/>
      <c r="BP71" s="923"/>
      <c r="BQ71" s="923"/>
    </row>
    <row r="72" spans="1:69" hidden="1">
      <c r="A72" s="855">
        <v>66</v>
      </c>
      <c r="B72" s="921" t="s">
        <v>33</v>
      </c>
      <c r="C72" s="855">
        <v>102</v>
      </c>
      <c r="D72" s="856">
        <f ca="1">الجدول4[[#This Row],[تاريخ نهاية العقد]]-'Payments and Repayments'!B$1</f>
        <v>156</v>
      </c>
      <c r="E72" s="4" t="s">
        <v>1044</v>
      </c>
      <c r="F72" s="4">
        <v>2632671778</v>
      </c>
      <c r="G72" s="4">
        <v>504337749</v>
      </c>
      <c r="H72" s="894"/>
      <c r="I72" s="4">
        <v>10999720795</v>
      </c>
      <c r="J72" s="4">
        <v>2</v>
      </c>
      <c r="K72" s="4">
        <v>42000</v>
      </c>
      <c r="L72" s="4">
        <v>12</v>
      </c>
      <c r="M72" s="923">
        <f t="shared" si="4"/>
        <v>3500</v>
      </c>
      <c r="N72" s="930">
        <v>46115</v>
      </c>
      <c r="O72" s="924">
        <f t="shared" si="5"/>
        <v>46479</v>
      </c>
      <c r="P72" s="894"/>
      <c r="Q72" s="894"/>
      <c r="R72" s="894"/>
      <c r="S72"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24500</v>
      </c>
      <c r="T72"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72" s="923">
        <f>الجدول4[[#This Row],[مبلغ الايجار]]-الجدول4[[#This Row],[المبلغ المدفوع]]</f>
        <v>17500</v>
      </c>
      <c r="V72" s="923">
        <f ca="1">SUMIFS(الجدول3[مبلغ الدفعة], الجدول3[حساب الدفع], "مرفوعة في ناجز", الجدول3[رقم العقد], الجدول4[[#This Row],[رقم العقد]], الجدول3[اسم المستاجر], الجدول4[[#This Row],[اسم المستاجر]])</f>
        <v>0</v>
      </c>
      <c r="W72" s="923"/>
      <c r="X72" s="923"/>
      <c r="Y72" s="923"/>
      <c r="Z72" s="923"/>
      <c r="AA72" s="923"/>
      <c r="AB72" s="923"/>
      <c r="AC72" s="923"/>
      <c r="AD72" s="923"/>
      <c r="AE72" s="923"/>
      <c r="AF72" s="923"/>
      <c r="AG72" s="923"/>
      <c r="AH72" s="923"/>
      <c r="AI72" s="923"/>
      <c r="AJ72" s="923"/>
      <c r="AK72" s="923"/>
      <c r="AL72" s="923"/>
      <c r="AM72" s="923"/>
      <c r="AN72" s="923"/>
      <c r="AO72" s="923"/>
      <c r="AP72" s="923"/>
      <c r="AQ72" s="923"/>
      <c r="AR72" s="923"/>
      <c r="AS72" s="923"/>
      <c r="AT72" s="923"/>
      <c r="AU72" s="923"/>
      <c r="AV72" s="923"/>
      <c r="AW72" s="923"/>
      <c r="AX72" s="923"/>
      <c r="AY72" s="923"/>
      <c r="AZ72" s="923"/>
      <c r="BA72" s="923"/>
      <c r="BB72" s="923"/>
      <c r="BC72" s="923"/>
      <c r="BD72" s="923"/>
      <c r="BE72" s="923"/>
      <c r="BF72" s="923"/>
      <c r="BG72" s="923"/>
      <c r="BH72" s="923"/>
      <c r="BI72" s="923"/>
      <c r="BJ72" s="923"/>
      <c r="BK72" s="923"/>
      <c r="BL72" s="923"/>
      <c r="BM72" s="923"/>
      <c r="BN72" s="923"/>
      <c r="BO72" s="923"/>
      <c r="BP72" s="923"/>
      <c r="BQ72" s="923"/>
    </row>
    <row r="73" spans="1:69" hidden="1">
      <c r="A73" s="855">
        <v>67</v>
      </c>
      <c r="B73" s="921" t="s">
        <v>35</v>
      </c>
      <c r="C73" s="855">
        <v>102</v>
      </c>
      <c r="D73" s="856">
        <f ca="1">الجدول4[[#This Row],[تاريخ نهاية العقد]]-'Payments and Repayments'!B$1</f>
        <v>156</v>
      </c>
      <c r="E73" s="4" t="s">
        <v>1043</v>
      </c>
      <c r="F73" s="4">
        <v>2633251521</v>
      </c>
      <c r="G73" s="4">
        <v>553990727</v>
      </c>
      <c r="H73" s="894"/>
      <c r="I73" s="4">
        <v>10097849921</v>
      </c>
      <c r="J73" s="4">
        <v>2</v>
      </c>
      <c r="K73" s="4">
        <v>42000</v>
      </c>
      <c r="L73" s="4">
        <v>12</v>
      </c>
      <c r="M73" s="923">
        <f t="shared" si="4"/>
        <v>3500</v>
      </c>
      <c r="N73" s="930">
        <v>46115</v>
      </c>
      <c r="O73" s="924">
        <f t="shared" si="5"/>
        <v>46479</v>
      </c>
      <c r="P73" s="894"/>
      <c r="Q73" s="894"/>
      <c r="R73" s="894"/>
      <c r="S73"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24500</v>
      </c>
      <c r="T73"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73" s="923">
        <f>الجدول4[[#This Row],[مبلغ الايجار]]-الجدول4[[#This Row],[المبلغ المدفوع]]</f>
        <v>17500</v>
      </c>
      <c r="V73" s="923">
        <f ca="1">SUMIFS(الجدول3[مبلغ الدفعة], الجدول3[حساب الدفع], "مرفوعة في ناجز", الجدول3[رقم العقد], الجدول4[[#This Row],[رقم العقد]], الجدول3[اسم المستاجر], الجدول4[[#This Row],[اسم المستاجر]])</f>
        <v>0</v>
      </c>
      <c r="W73" s="923"/>
      <c r="X73" s="923"/>
      <c r="Y73" s="923"/>
      <c r="Z73" s="923"/>
      <c r="AA73" s="923"/>
      <c r="AB73" s="923"/>
      <c r="AC73" s="923"/>
      <c r="AD73" s="923"/>
      <c r="AE73" s="923"/>
      <c r="AF73" s="923"/>
      <c r="AG73" s="923"/>
      <c r="AH73" s="923"/>
      <c r="AI73" s="923"/>
      <c r="AJ73" s="923"/>
      <c r="AK73" s="923"/>
      <c r="AL73" s="923"/>
      <c r="AM73" s="923"/>
      <c r="AN73" s="923"/>
      <c r="AO73" s="923"/>
      <c r="AP73" s="923"/>
      <c r="AQ73" s="923"/>
      <c r="AR73" s="923"/>
      <c r="AS73" s="923"/>
      <c r="AT73" s="923"/>
      <c r="AU73" s="923"/>
      <c r="AV73" s="923"/>
      <c r="AW73" s="923"/>
      <c r="AX73" s="923"/>
      <c r="AY73" s="923"/>
      <c r="AZ73" s="923"/>
      <c r="BA73" s="923"/>
      <c r="BB73" s="923"/>
      <c r="BC73" s="923"/>
      <c r="BD73" s="923"/>
      <c r="BE73" s="923"/>
      <c r="BF73" s="923"/>
      <c r="BG73" s="923"/>
      <c r="BH73" s="923"/>
      <c r="BI73" s="923"/>
      <c r="BJ73" s="923"/>
      <c r="BK73" s="923"/>
      <c r="BL73" s="923"/>
      <c r="BM73" s="923"/>
      <c r="BN73" s="923"/>
      <c r="BO73" s="923"/>
      <c r="BP73" s="923"/>
      <c r="BQ73" s="923"/>
    </row>
    <row r="74" spans="1:69" hidden="1">
      <c r="A74" s="855">
        <v>68</v>
      </c>
      <c r="B74" s="921" t="s">
        <v>37</v>
      </c>
      <c r="C74" s="855">
        <v>102</v>
      </c>
      <c r="D74" s="856" t="s">
        <v>1061</v>
      </c>
      <c r="E74" s="4" t="s">
        <v>1017</v>
      </c>
      <c r="F74" s="4">
        <v>1126489572</v>
      </c>
      <c r="G74" s="4">
        <v>508797441</v>
      </c>
      <c r="H74" s="894"/>
      <c r="I74" s="4">
        <v>10243460515</v>
      </c>
      <c r="J74" s="4">
        <v>1</v>
      </c>
      <c r="K74" s="4">
        <v>48000</v>
      </c>
      <c r="L74" s="4">
        <v>12</v>
      </c>
      <c r="M74" s="923">
        <f t="shared" si="4"/>
        <v>4000</v>
      </c>
      <c r="N74" s="930">
        <v>46123</v>
      </c>
      <c r="O74" s="924">
        <f t="shared" si="5"/>
        <v>46487</v>
      </c>
      <c r="P74" s="894"/>
      <c r="Q74" s="894"/>
      <c r="R74" s="894"/>
      <c r="S74"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18250</v>
      </c>
      <c r="T74"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29750</v>
      </c>
      <c r="U74" s="923">
        <f>الجدول4[[#This Row],[مبلغ الايجار]]-الجدول4[[#This Row],[المبلغ المدفوع]]</f>
        <v>29750</v>
      </c>
      <c r="V74" s="923">
        <f ca="1">SUMIFS(الجدول3[مبلغ الدفعة], الجدول3[حساب الدفع], "مرفوعة في ناجز", الجدول3[رقم العقد], الجدول4[[#This Row],[رقم العقد]], الجدول3[اسم المستاجر], الجدول4[[#This Row],[اسم المستاجر]])</f>
        <v>0</v>
      </c>
      <c r="W74" s="923"/>
      <c r="X74" s="923"/>
      <c r="Y74" s="923"/>
      <c r="Z74" s="923"/>
      <c r="AA74" s="923"/>
      <c r="AB74" s="923"/>
      <c r="AC74" s="923"/>
      <c r="AD74" s="923"/>
      <c r="AE74" s="923"/>
      <c r="AF74" s="923"/>
      <c r="AG74" s="923"/>
      <c r="AH74" s="923"/>
      <c r="AI74" s="923"/>
      <c r="AJ74" s="923"/>
      <c r="AK74" s="923"/>
      <c r="AL74" s="923"/>
      <c r="AM74" s="923"/>
      <c r="AN74" s="923"/>
      <c r="AO74" s="923"/>
      <c r="AP74" s="923"/>
      <c r="AQ74" s="923"/>
      <c r="AR74" s="923"/>
      <c r="AS74" s="923"/>
      <c r="AT74" s="923"/>
      <c r="AU74" s="923"/>
      <c r="AV74" s="923"/>
      <c r="AW74" s="923"/>
      <c r="AX74" s="923"/>
      <c r="AY74" s="923"/>
      <c r="AZ74" s="923"/>
      <c r="BA74" s="923"/>
      <c r="BB74" s="923"/>
      <c r="BC74" s="923"/>
      <c r="BD74" s="923"/>
      <c r="BE74" s="923"/>
      <c r="BF74" s="923"/>
      <c r="BG74" s="923"/>
      <c r="BH74" s="923"/>
      <c r="BI74" s="923"/>
      <c r="BJ74" s="923"/>
      <c r="BK74" s="923"/>
      <c r="BL74" s="923"/>
      <c r="BM74" s="923"/>
      <c r="BN74" s="923"/>
      <c r="BO74" s="923"/>
      <c r="BP74" s="923"/>
      <c r="BQ74" s="923"/>
    </row>
    <row r="75" spans="1:69" hidden="1">
      <c r="A75" s="855">
        <v>69</v>
      </c>
      <c r="B75" s="921" t="s">
        <v>32</v>
      </c>
      <c r="C75" s="855">
        <v>102</v>
      </c>
      <c r="D75" s="856" t="s">
        <v>1061</v>
      </c>
      <c r="E75" s="4" t="s">
        <v>1033</v>
      </c>
      <c r="F75" s="4">
        <v>2566342156</v>
      </c>
      <c r="G75" s="4">
        <v>573034457</v>
      </c>
      <c r="H75" s="894"/>
      <c r="I75" s="4">
        <v>10357210925</v>
      </c>
      <c r="J75" s="4">
        <v>3</v>
      </c>
      <c r="K75" s="4">
        <v>23998</v>
      </c>
      <c r="L75" s="4">
        <v>6</v>
      </c>
      <c r="M75" s="923">
        <f t="shared" si="4"/>
        <v>3999.6666666666665</v>
      </c>
      <c r="N75" s="2">
        <v>46119</v>
      </c>
      <c r="O75" s="924">
        <f t="shared" si="5"/>
        <v>46301</v>
      </c>
      <c r="P75" s="894"/>
      <c r="Q75" s="894"/>
      <c r="R75" s="894"/>
      <c r="S75"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35598</v>
      </c>
      <c r="T75"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75" s="923">
        <f>الجدول4[[#This Row],[مبلغ الايجار]]-الجدول4[[#This Row],[المبلغ المدفوع]]</f>
        <v>-11600</v>
      </c>
      <c r="V75" s="923">
        <f>SUMIFS(الجدول3[مبلغ الدفعة], الجدول3[حساب الدفع], "مرفوعة في ناجز", الجدول3[رقم العقد], الجدول4[[#This Row],[رقم العقد]], الجدول3[اسم المستاجر], الجدول4[[#This Row],[اسم المستاجر]])</f>
        <v>0</v>
      </c>
      <c r="W75" s="923"/>
      <c r="X75" s="923"/>
      <c r="Y75" s="923"/>
      <c r="Z75" s="923"/>
      <c r="AA75" s="923"/>
      <c r="AB75" s="923"/>
      <c r="AC75" s="923"/>
      <c r="AD75" s="923"/>
      <c r="AE75" s="923"/>
      <c r="AF75" s="923"/>
      <c r="AG75" s="923"/>
      <c r="AH75" s="923"/>
      <c r="AI75" s="923"/>
      <c r="AJ75" s="923"/>
      <c r="AK75" s="923"/>
      <c r="AL75" s="923"/>
      <c r="AM75" s="923"/>
      <c r="AN75" s="923"/>
      <c r="AO75" s="923"/>
      <c r="AP75" s="923"/>
      <c r="AQ75" s="923"/>
      <c r="AR75" s="923"/>
      <c r="AS75" s="923"/>
      <c r="AT75" s="923"/>
      <c r="AU75" s="923"/>
      <c r="AV75" s="923"/>
      <c r="AW75" s="923"/>
      <c r="AX75" s="923"/>
      <c r="AY75" s="923"/>
      <c r="AZ75" s="923"/>
      <c r="BA75" s="923"/>
      <c r="BB75" s="923"/>
      <c r="BC75" s="923"/>
      <c r="BD75" s="923"/>
      <c r="BE75" s="923"/>
      <c r="BF75" s="923"/>
      <c r="BG75" s="923"/>
      <c r="BH75" s="923"/>
      <c r="BI75" s="923"/>
      <c r="BJ75" s="923"/>
      <c r="BK75" s="923"/>
      <c r="BL75" s="923"/>
      <c r="BM75" s="923"/>
      <c r="BN75" s="923"/>
      <c r="BO75" s="923"/>
      <c r="BP75" s="923"/>
      <c r="BQ75" s="923"/>
    </row>
    <row r="76" spans="1:69" hidden="1">
      <c r="A76" s="855">
        <v>70</v>
      </c>
      <c r="B76" s="921" t="s">
        <v>1015</v>
      </c>
      <c r="C76" s="855">
        <v>102</v>
      </c>
      <c r="D76" s="856" t="s">
        <v>1061</v>
      </c>
      <c r="E76" s="4" t="s">
        <v>1028</v>
      </c>
      <c r="F76" s="4">
        <v>1122046780</v>
      </c>
      <c r="G76" s="4">
        <v>500918612</v>
      </c>
      <c r="H76" s="894"/>
      <c r="I76" s="4">
        <v>10961328891</v>
      </c>
      <c r="J76" s="4">
        <v>1</v>
      </c>
      <c r="K76" s="4">
        <v>12000</v>
      </c>
      <c r="L76" s="4">
        <v>3</v>
      </c>
      <c r="M76" s="923">
        <f t="shared" si="4"/>
        <v>4000</v>
      </c>
      <c r="N76" s="930">
        <v>46104</v>
      </c>
      <c r="O76" s="924">
        <f t="shared" si="5"/>
        <v>46195</v>
      </c>
      <c r="P76" s="894"/>
      <c r="Q76" s="894"/>
      <c r="R76" s="894"/>
      <c r="S76"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12000</v>
      </c>
      <c r="T76"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76" s="923">
        <f>الجدول4[[#This Row],[مبلغ الايجار]]-الجدول4[[#This Row],[المبلغ المدفوع]]</f>
        <v>0</v>
      </c>
      <c r="V76" s="923">
        <f>SUMIFS(الجدول3[مبلغ الدفعة], الجدول3[حساب الدفع], "مرفوعة في ناجز", الجدول3[رقم العقد], الجدول4[[#This Row],[رقم العقد]], الجدول3[اسم المستاجر], الجدول4[[#This Row],[اسم المستاجر]])</f>
        <v>0</v>
      </c>
      <c r="W76" s="923"/>
      <c r="X76" s="923"/>
      <c r="Y76" s="923"/>
      <c r="Z76" s="923"/>
      <c r="AA76" s="923"/>
      <c r="AB76" s="923"/>
      <c r="AC76" s="923"/>
      <c r="AD76" s="923"/>
      <c r="AE76" s="923"/>
      <c r="AF76" s="923"/>
      <c r="AG76" s="923"/>
      <c r="AH76" s="923"/>
      <c r="AI76" s="923"/>
      <c r="AJ76" s="923"/>
      <c r="AK76" s="923"/>
      <c r="AL76" s="923"/>
      <c r="AM76" s="923"/>
      <c r="AN76" s="923"/>
      <c r="AO76" s="923"/>
      <c r="AP76" s="923"/>
      <c r="AQ76" s="923"/>
      <c r="AR76" s="923"/>
      <c r="AS76" s="923"/>
      <c r="AT76" s="923"/>
      <c r="AU76" s="923"/>
      <c r="AV76" s="923"/>
      <c r="AW76" s="923"/>
      <c r="AX76" s="923"/>
      <c r="AY76" s="923"/>
      <c r="AZ76" s="923"/>
      <c r="BA76" s="923"/>
      <c r="BB76" s="923"/>
      <c r="BC76" s="923"/>
      <c r="BD76" s="923"/>
      <c r="BE76" s="923"/>
      <c r="BF76" s="923"/>
      <c r="BG76" s="923"/>
      <c r="BH76" s="923"/>
      <c r="BI76" s="923"/>
      <c r="BJ76" s="923"/>
      <c r="BK76" s="923"/>
      <c r="BL76" s="923"/>
      <c r="BM76" s="923"/>
      <c r="BN76" s="923"/>
      <c r="BO76" s="923"/>
      <c r="BP76" s="923"/>
      <c r="BQ76" s="923"/>
    </row>
    <row r="77" spans="1:69" hidden="1">
      <c r="A77" s="855">
        <v>71</v>
      </c>
      <c r="B77" s="855" t="s">
        <v>29</v>
      </c>
      <c r="C77" s="855">
        <v>102</v>
      </c>
      <c r="D77" s="856" t="s">
        <v>1061</v>
      </c>
      <c r="E77" s="4" t="s">
        <v>1039</v>
      </c>
      <c r="F77" s="4">
        <v>1116418862</v>
      </c>
      <c r="G77" s="4">
        <v>541230244</v>
      </c>
      <c r="H77" s="857"/>
      <c r="I77" s="4">
        <v>10375415806</v>
      </c>
      <c r="J77" s="4">
        <v>1</v>
      </c>
      <c r="K77" s="4">
        <v>3500</v>
      </c>
      <c r="L77" s="4">
        <v>1</v>
      </c>
      <c r="M77" s="859">
        <f t="shared" si="4"/>
        <v>3500</v>
      </c>
      <c r="N77" s="930">
        <v>46131</v>
      </c>
      <c r="O77" s="867">
        <f t="shared" si="5"/>
        <v>46160</v>
      </c>
      <c r="P77" s="857"/>
      <c r="Q77" s="857"/>
      <c r="R77" s="857"/>
      <c r="S77"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3500</v>
      </c>
      <c r="T77" s="861">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77" s="859">
        <f>الجدول4[[#This Row],[مبلغ الايجار]]-الجدول4[[#This Row],[المبلغ المدفوع]]</f>
        <v>0</v>
      </c>
      <c r="V77" s="859">
        <f>SUMIFS(الجدول3[مبلغ الدفعة], الجدول3[حساب الدفع], "مرفوعة في ناجز", الجدول3[رقم العقد], الجدول4[[#This Row],[رقم العقد]], الجدول3[اسم المستاجر], الجدول4[[#This Row],[اسم المستاجر]])</f>
        <v>0</v>
      </c>
      <c r="W77" s="859"/>
      <c r="X77" s="859"/>
      <c r="Y77" s="859"/>
      <c r="Z77" s="859"/>
      <c r="AA77" s="859"/>
      <c r="AB77" s="859"/>
      <c r="AC77" s="859"/>
      <c r="AD77" s="859"/>
      <c r="AE77" s="859"/>
      <c r="AF77" s="859"/>
      <c r="AG77" s="859"/>
      <c r="AH77" s="859"/>
      <c r="AI77" s="859"/>
      <c r="AJ77" s="859"/>
      <c r="AK77" s="859"/>
      <c r="AL77" s="859"/>
      <c r="AM77" s="859"/>
      <c r="AN77" s="859"/>
      <c r="AO77" s="859"/>
      <c r="AP77" s="859"/>
      <c r="AQ77" s="859"/>
      <c r="AR77" s="859"/>
      <c r="AS77" s="859"/>
      <c r="AT77" s="859"/>
      <c r="AU77" s="859"/>
      <c r="AV77" s="859"/>
      <c r="AW77" s="859"/>
      <c r="AX77" s="859"/>
      <c r="AY77" s="859"/>
      <c r="AZ77" s="859"/>
      <c r="BA77" s="859"/>
      <c r="BB77" s="859"/>
      <c r="BC77" s="859"/>
      <c r="BD77" s="859"/>
      <c r="BE77" s="859"/>
      <c r="BF77" s="859"/>
      <c r="BG77" s="859"/>
      <c r="BH77" s="859"/>
      <c r="BI77" s="859"/>
      <c r="BJ77" s="859"/>
      <c r="BK77" s="859"/>
      <c r="BL77" s="859"/>
      <c r="BM77" s="859"/>
      <c r="BN77" s="859"/>
      <c r="BO77" s="859"/>
      <c r="BP77" s="859"/>
      <c r="BQ77" s="859"/>
    </row>
    <row r="78" spans="1:69" hidden="1">
      <c r="A78" s="855">
        <v>72</v>
      </c>
      <c r="B78" s="921" t="s">
        <v>36</v>
      </c>
      <c r="C78" s="855">
        <v>102</v>
      </c>
      <c r="D78" s="856" t="s">
        <v>1061</v>
      </c>
      <c r="E78" s="4" t="s">
        <v>625</v>
      </c>
      <c r="F78" s="4">
        <v>1011636675</v>
      </c>
      <c r="G78" s="4">
        <v>504281077</v>
      </c>
      <c r="H78" s="894"/>
      <c r="I78" s="4">
        <v>10392757392</v>
      </c>
      <c r="J78" s="4">
        <v>1</v>
      </c>
      <c r="K78" s="4">
        <v>4000</v>
      </c>
      <c r="L78" s="4">
        <v>1</v>
      </c>
      <c r="M78" s="923">
        <f t="shared" si="4"/>
        <v>4000</v>
      </c>
      <c r="N78" s="930">
        <v>46142</v>
      </c>
      <c r="O78" s="924">
        <f t="shared" si="5"/>
        <v>46171</v>
      </c>
      <c r="P78" s="894"/>
      <c r="Q78" s="894"/>
      <c r="R78" s="894"/>
      <c r="S78"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1000</v>
      </c>
      <c r="T78"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78" s="923">
        <f>الجدول4[[#This Row],[مبلغ الايجار]]-الجدول4[[#This Row],[المبلغ المدفوع]]</f>
        <v>3000</v>
      </c>
      <c r="V78" s="923">
        <f>SUMIFS(الجدول3[مبلغ الدفعة], الجدول3[حساب الدفع], "مرفوعة في ناجز", الجدول3[رقم العقد], الجدول4[[#This Row],[رقم العقد]], الجدول3[اسم المستاجر], الجدول4[[#This Row],[اسم المستاجر]])</f>
        <v>0</v>
      </c>
      <c r="W78" s="923"/>
      <c r="X78" s="923"/>
      <c r="Y78" s="923"/>
      <c r="Z78" s="923"/>
      <c r="AA78" s="923"/>
      <c r="AB78" s="923"/>
      <c r="AC78" s="923"/>
      <c r="AD78" s="923"/>
      <c r="AE78" s="923"/>
      <c r="AF78" s="923"/>
      <c r="AG78" s="923"/>
      <c r="AH78" s="923"/>
      <c r="AI78" s="923"/>
      <c r="AJ78" s="923"/>
      <c r="AK78" s="923"/>
      <c r="AL78" s="923"/>
      <c r="AM78" s="923"/>
      <c r="AN78" s="923"/>
      <c r="AO78" s="923"/>
      <c r="AP78" s="923"/>
      <c r="AQ78" s="923"/>
      <c r="AR78" s="923"/>
      <c r="AS78" s="923"/>
      <c r="AT78" s="923"/>
      <c r="AU78" s="923"/>
      <c r="AV78" s="923"/>
      <c r="AW78" s="923"/>
      <c r="AX78" s="923"/>
      <c r="AY78" s="923"/>
      <c r="AZ78" s="923"/>
      <c r="BA78" s="923"/>
      <c r="BB78" s="923"/>
      <c r="BC78" s="923"/>
      <c r="BD78" s="923"/>
      <c r="BE78" s="923"/>
      <c r="BF78" s="923"/>
      <c r="BG78" s="923"/>
      <c r="BH78" s="923"/>
      <c r="BI78" s="923"/>
      <c r="BJ78" s="923"/>
      <c r="BK78" s="923"/>
      <c r="BL78" s="923"/>
      <c r="BM78" s="923"/>
      <c r="BN78" s="923"/>
      <c r="BO78" s="923"/>
      <c r="BP78" s="923"/>
      <c r="BQ78" s="923"/>
    </row>
    <row r="79" spans="1:69" hidden="1">
      <c r="A79" s="855">
        <v>73</v>
      </c>
      <c r="B79" s="921" t="s">
        <v>1027</v>
      </c>
      <c r="C79" s="855">
        <v>102</v>
      </c>
      <c r="D79" s="856" t="s">
        <v>1061</v>
      </c>
      <c r="E79" s="4" t="s">
        <v>1017</v>
      </c>
      <c r="F79" s="4">
        <v>1126489572</v>
      </c>
      <c r="G79" s="4">
        <v>508797441</v>
      </c>
      <c r="H79" s="894"/>
      <c r="I79" s="4">
        <v>10910223387</v>
      </c>
      <c r="J79" s="4">
        <v>1</v>
      </c>
      <c r="K79" s="4">
        <v>3800</v>
      </c>
      <c r="L79" s="4">
        <v>1</v>
      </c>
      <c r="M79" s="923">
        <f t="shared" si="4"/>
        <v>3800</v>
      </c>
      <c r="N79" s="930">
        <v>46137</v>
      </c>
      <c r="O79" s="924">
        <f t="shared" si="5"/>
        <v>46166</v>
      </c>
      <c r="P79" s="894"/>
      <c r="Q79" s="894"/>
      <c r="R79" s="894"/>
      <c r="S79"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0</v>
      </c>
      <c r="T79"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3800</v>
      </c>
      <c r="U79" s="923">
        <f>الجدول4[[#This Row],[مبلغ الايجار]]-الجدول4[[#This Row],[المبلغ المدفوع]]</f>
        <v>3800</v>
      </c>
      <c r="V79" s="923">
        <f>SUMIFS(الجدول3[مبلغ الدفعة], الجدول3[حساب الدفع], "مرفوعة في ناجز", الجدول3[رقم العقد], الجدول4[[#This Row],[رقم العقد]], الجدول3[اسم المستاجر], الجدول4[[#This Row],[اسم المستاجر]])</f>
        <v>0</v>
      </c>
      <c r="W79" s="923"/>
      <c r="X79" s="923"/>
      <c r="Y79" s="923"/>
      <c r="Z79" s="923"/>
      <c r="AA79" s="923"/>
      <c r="AB79" s="923"/>
      <c r="AC79" s="923"/>
      <c r="AD79" s="923"/>
      <c r="AE79" s="923"/>
      <c r="AF79" s="923"/>
      <c r="AG79" s="923"/>
      <c r="AH79" s="923"/>
      <c r="AI79" s="923"/>
      <c r="AJ79" s="923"/>
      <c r="AK79" s="923"/>
      <c r="AL79" s="923"/>
      <c r="AM79" s="923"/>
      <c r="AN79" s="923"/>
      <c r="AO79" s="923"/>
      <c r="AP79" s="923"/>
      <c r="AQ79" s="923"/>
      <c r="AR79" s="923"/>
      <c r="AS79" s="923"/>
      <c r="AT79" s="923"/>
      <c r="AU79" s="923"/>
      <c r="AV79" s="923"/>
      <c r="AW79" s="923"/>
      <c r="AX79" s="923"/>
      <c r="AY79" s="923"/>
      <c r="AZ79" s="923"/>
      <c r="BA79" s="923"/>
      <c r="BB79" s="923"/>
      <c r="BC79" s="923"/>
      <c r="BD79" s="923"/>
      <c r="BE79" s="923"/>
      <c r="BF79" s="923"/>
      <c r="BG79" s="923"/>
      <c r="BH79" s="923"/>
      <c r="BI79" s="923"/>
      <c r="BJ79" s="923"/>
      <c r="BK79" s="923"/>
      <c r="BL79" s="923"/>
      <c r="BM79" s="923"/>
      <c r="BN79" s="923"/>
      <c r="BO79" s="923"/>
      <c r="BP79" s="923"/>
      <c r="BQ79" s="923"/>
    </row>
    <row r="80" spans="1:69" hidden="1">
      <c r="A80" s="855">
        <v>74</v>
      </c>
      <c r="B80" s="855" t="s">
        <v>40</v>
      </c>
      <c r="C80" s="855">
        <v>102</v>
      </c>
      <c r="D80" s="856" t="s">
        <v>1061</v>
      </c>
      <c r="E80" s="4" t="s">
        <v>1047</v>
      </c>
      <c r="F80" s="4">
        <v>2373135140</v>
      </c>
      <c r="G80" s="4">
        <v>549343219</v>
      </c>
      <c r="H80" s="857"/>
      <c r="I80" s="4">
        <v>10843660475</v>
      </c>
      <c r="J80" s="4">
        <v>1</v>
      </c>
      <c r="K80" s="4">
        <v>12000</v>
      </c>
      <c r="L80" s="4">
        <v>3</v>
      </c>
      <c r="M80" s="859">
        <f t="shared" si="4"/>
        <v>4000</v>
      </c>
      <c r="N80" s="930">
        <v>46145</v>
      </c>
      <c r="O80" s="867">
        <f t="shared" si="5"/>
        <v>46236</v>
      </c>
      <c r="P80" s="857"/>
      <c r="Q80" s="857"/>
      <c r="R80" s="857"/>
      <c r="S80"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600</v>
      </c>
      <c r="T80" s="861">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8000</v>
      </c>
      <c r="U80" s="859">
        <f>الجدول4[[#This Row],[مبلغ الايجار]]-الجدول4[[#This Row],[المبلغ المدفوع]]</f>
        <v>11400</v>
      </c>
      <c r="V80" s="859">
        <f>SUMIFS(الجدول3[مبلغ الدفعة], الجدول3[حساب الدفع], "مرفوعة في ناجز", الجدول3[رقم العقد], الجدول4[[#This Row],[رقم العقد]], الجدول3[اسم المستاجر], الجدول4[[#This Row],[اسم المستاجر]])</f>
        <v>0</v>
      </c>
      <c r="W80" s="859"/>
      <c r="X80" s="859"/>
      <c r="Y80" s="859"/>
      <c r="Z80" s="859"/>
      <c r="AA80" s="859"/>
      <c r="AB80" s="859"/>
      <c r="AC80" s="859"/>
      <c r="AD80" s="859"/>
      <c r="AE80" s="859"/>
      <c r="AF80" s="859"/>
      <c r="AG80" s="859"/>
      <c r="AH80" s="859"/>
      <c r="AI80" s="859"/>
      <c r="AJ80" s="859"/>
      <c r="AK80" s="859"/>
      <c r="AL80" s="859"/>
      <c r="AM80" s="859"/>
      <c r="AN80" s="859"/>
      <c r="AO80" s="859"/>
      <c r="AP80" s="859"/>
      <c r="AQ80" s="859"/>
      <c r="AR80" s="859"/>
      <c r="AS80" s="859"/>
      <c r="AT80" s="859"/>
      <c r="AU80" s="859"/>
      <c r="AV80" s="859"/>
      <c r="AW80" s="859"/>
      <c r="AX80" s="859"/>
      <c r="AY80" s="859"/>
      <c r="AZ80" s="859"/>
      <c r="BA80" s="859"/>
      <c r="BB80" s="859"/>
      <c r="BC80" s="859"/>
      <c r="BD80" s="859"/>
      <c r="BE80" s="859"/>
      <c r="BF80" s="859"/>
      <c r="BG80" s="859"/>
      <c r="BH80" s="859"/>
      <c r="BI80" s="859"/>
      <c r="BJ80" s="859"/>
      <c r="BK80" s="859"/>
      <c r="BL80" s="859"/>
      <c r="BM80" s="859"/>
      <c r="BN80" s="859"/>
      <c r="BO80" s="859"/>
      <c r="BP80" s="859"/>
      <c r="BQ80" s="859"/>
    </row>
    <row r="81" spans="1:69" hidden="1">
      <c r="A81" s="855">
        <v>75</v>
      </c>
      <c r="B81" s="855" t="s">
        <v>29</v>
      </c>
      <c r="C81" s="855">
        <v>102</v>
      </c>
      <c r="D81" s="856">
        <f ca="1">الجدول4[[#This Row],[تاريخ نهاية العقد]]-'Payments and Repayments'!B$1</f>
        <v>21</v>
      </c>
      <c r="E81" s="887" t="s">
        <v>1039</v>
      </c>
      <c r="F81" s="4">
        <v>1116418862</v>
      </c>
      <c r="G81" s="4">
        <v>541230244</v>
      </c>
      <c r="H81" s="857"/>
      <c r="I81" s="624">
        <v>10192262306</v>
      </c>
      <c r="J81" s="4">
        <v>1</v>
      </c>
      <c r="K81" s="4">
        <v>21000</v>
      </c>
      <c r="L81" s="4">
        <v>6</v>
      </c>
      <c r="M81" s="859">
        <f t="shared" si="4"/>
        <v>3500</v>
      </c>
      <c r="N81" s="930">
        <v>46161</v>
      </c>
      <c r="O81" s="867">
        <f t="shared" si="5"/>
        <v>46344</v>
      </c>
      <c r="P81" s="857"/>
      <c r="Q81" s="857"/>
      <c r="R81" s="857"/>
      <c r="S81"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17500</v>
      </c>
      <c r="T81" s="861">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3500</v>
      </c>
      <c r="U81" s="859">
        <f>الجدول4[[#This Row],[مبلغ الايجار]]-الجدول4[[#This Row],[المبلغ المدفوع]]</f>
        <v>3500</v>
      </c>
      <c r="V81" s="859">
        <f ca="1">SUMIFS(الجدول3[مبلغ الدفعة], الجدول3[حساب الدفع], "مرفوعة في ناجز", الجدول3[رقم العقد], الجدول4[[#This Row],[رقم العقد]], الجدول3[اسم المستاجر], الجدول4[[#This Row],[اسم المستاجر]])</f>
        <v>0</v>
      </c>
      <c r="W81" s="859"/>
      <c r="X81" s="859"/>
      <c r="Y81" s="859"/>
      <c r="Z81" s="859"/>
      <c r="AA81" s="859"/>
      <c r="AB81" s="859"/>
      <c r="AC81" s="859"/>
      <c r="AD81" s="859"/>
      <c r="AE81" s="859"/>
      <c r="AF81" s="859"/>
      <c r="AG81" s="859"/>
      <c r="AH81" s="859"/>
      <c r="AI81" s="859"/>
      <c r="AJ81" s="859"/>
      <c r="AK81" s="859"/>
      <c r="AL81" s="859"/>
      <c r="AM81" s="859"/>
      <c r="AN81" s="859"/>
      <c r="AO81" s="859"/>
      <c r="AP81" s="859"/>
      <c r="AQ81" s="859"/>
      <c r="AR81" s="859"/>
      <c r="AS81" s="859"/>
      <c r="AT81" s="859"/>
      <c r="AU81" s="859"/>
      <c r="AV81" s="859"/>
      <c r="AW81" s="859"/>
      <c r="AX81" s="859"/>
      <c r="AY81" s="859"/>
      <c r="AZ81" s="859"/>
      <c r="BA81" s="859"/>
      <c r="BB81" s="859"/>
      <c r="BC81" s="859"/>
      <c r="BD81" s="859"/>
      <c r="BE81" s="859"/>
      <c r="BF81" s="859"/>
      <c r="BG81" s="859"/>
      <c r="BH81" s="859"/>
      <c r="BI81" s="859"/>
      <c r="BJ81" s="859"/>
      <c r="BK81" s="859"/>
      <c r="BL81" s="859"/>
      <c r="BM81" s="859"/>
      <c r="BN81" s="859"/>
      <c r="BO81" s="859"/>
      <c r="BP81" s="859"/>
      <c r="BQ81" s="859"/>
    </row>
    <row r="82" spans="1:69" hidden="1">
      <c r="A82" s="855">
        <v>76</v>
      </c>
      <c r="B82" s="921" t="s">
        <v>38</v>
      </c>
      <c r="C82" s="855">
        <v>102</v>
      </c>
      <c r="D82" s="856">
        <f ca="1">الجدول4[[#This Row],[تاريخ نهاية العقد]]-'Payments and Repayments'!B$1</f>
        <v>184</v>
      </c>
      <c r="E82" s="887" t="s">
        <v>1045</v>
      </c>
      <c r="F82" s="4">
        <v>1098250036</v>
      </c>
      <c r="G82" s="4">
        <v>534433962</v>
      </c>
      <c r="H82" s="894"/>
      <c r="I82" s="4">
        <v>10987748633</v>
      </c>
      <c r="J82" s="4">
        <v>1</v>
      </c>
      <c r="K82" s="4">
        <v>48000</v>
      </c>
      <c r="L82" s="4">
        <v>12</v>
      </c>
      <c r="M82" s="923">
        <f t="shared" si="4"/>
        <v>4000</v>
      </c>
      <c r="N82" s="930">
        <v>46143</v>
      </c>
      <c r="O82" s="924">
        <f t="shared" si="5"/>
        <v>46507</v>
      </c>
      <c r="P82" s="894"/>
      <c r="Q82" s="894"/>
      <c r="R82" s="894"/>
      <c r="S82"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17500</v>
      </c>
      <c r="T82"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7000</v>
      </c>
      <c r="U82" s="923">
        <f>الجدول4[[#This Row],[مبلغ الايجار]]-الجدول4[[#This Row],[المبلغ المدفوع]]</f>
        <v>30500</v>
      </c>
      <c r="V82" s="923">
        <f ca="1">SUMIFS(الجدول3[مبلغ الدفعة], الجدول3[حساب الدفع], "مرفوعة في ناجز", الجدول3[رقم العقد], الجدول4[[#This Row],[رقم العقد]], الجدول3[اسم المستاجر], الجدول4[[#This Row],[اسم المستاجر]])</f>
        <v>0</v>
      </c>
      <c r="W82" s="923"/>
      <c r="X82" s="923"/>
      <c r="Y82" s="923"/>
      <c r="Z82" s="923"/>
      <c r="AA82" s="923"/>
      <c r="AB82" s="923"/>
      <c r="AC82" s="923"/>
      <c r="AD82" s="923"/>
      <c r="AE82" s="923"/>
      <c r="AF82" s="923"/>
      <c r="AG82" s="923"/>
      <c r="AH82" s="923"/>
      <c r="AI82" s="923"/>
      <c r="AJ82" s="923"/>
      <c r="AK82" s="923"/>
      <c r="AL82" s="923"/>
      <c r="AM82" s="923"/>
      <c r="AN82" s="923"/>
      <c r="AO82" s="923"/>
      <c r="AP82" s="923"/>
      <c r="AQ82" s="923"/>
      <c r="AR82" s="923"/>
      <c r="AS82" s="923"/>
      <c r="AT82" s="923"/>
      <c r="AU82" s="923"/>
      <c r="AV82" s="923"/>
      <c r="AW82" s="923"/>
      <c r="AX82" s="923"/>
      <c r="AY82" s="923"/>
      <c r="AZ82" s="923"/>
      <c r="BA82" s="923"/>
      <c r="BB82" s="923"/>
      <c r="BC82" s="923"/>
      <c r="BD82" s="923"/>
      <c r="BE82" s="923"/>
      <c r="BF82" s="923"/>
      <c r="BG82" s="923"/>
      <c r="BH82" s="923"/>
      <c r="BI82" s="923"/>
      <c r="BJ82" s="923"/>
      <c r="BK82" s="923"/>
      <c r="BL82" s="923"/>
      <c r="BM82" s="923"/>
      <c r="BN82" s="923"/>
      <c r="BO82" s="923"/>
      <c r="BP82" s="923"/>
      <c r="BQ82" s="923"/>
    </row>
    <row r="83" spans="1:69" hidden="1">
      <c r="A83" s="855">
        <v>77</v>
      </c>
      <c r="B83" s="921" t="s">
        <v>39</v>
      </c>
      <c r="C83" s="855">
        <v>102</v>
      </c>
      <c r="D83" s="856">
        <f ca="1">الجدول4[[#This Row],[تاريخ نهاية العقد]]-'Payments and Repayments'!B$1</f>
        <v>200</v>
      </c>
      <c r="E83" s="726" t="s">
        <v>1046</v>
      </c>
      <c r="F83" s="4">
        <v>2493137893</v>
      </c>
      <c r="G83" s="4">
        <v>542843124</v>
      </c>
      <c r="H83" s="894"/>
      <c r="I83" s="4">
        <v>10282412931</v>
      </c>
      <c r="J83" s="4">
        <v>1</v>
      </c>
      <c r="K83" s="4">
        <v>38400</v>
      </c>
      <c r="L83" s="4">
        <v>12</v>
      </c>
      <c r="M83" s="923">
        <f t="shared" si="4"/>
        <v>3200</v>
      </c>
      <c r="N83" s="930">
        <v>46159</v>
      </c>
      <c r="O83" s="924">
        <f t="shared" si="5"/>
        <v>46523</v>
      </c>
      <c r="P83" s="894"/>
      <c r="Q83" s="894"/>
      <c r="R83" s="894"/>
      <c r="S83"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16000</v>
      </c>
      <c r="T83"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3200</v>
      </c>
      <c r="U83" s="923">
        <f>الجدول4[[#This Row],[مبلغ الايجار]]-الجدول4[[#This Row],[المبلغ المدفوع]]</f>
        <v>22400</v>
      </c>
      <c r="V83" s="923">
        <f ca="1">SUMIFS(الجدول3[مبلغ الدفعة], الجدول3[حساب الدفع], "مرفوعة في ناجز", الجدول3[رقم العقد], الجدول4[[#This Row],[رقم العقد]], الجدول3[اسم المستاجر], الجدول4[[#This Row],[اسم المستاجر]])</f>
        <v>0</v>
      </c>
      <c r="W83" s="923"/>
      <c r="X83" s="923"/>
      <c r="Y83" s="923"/>
      <c r="Z83" s="923"/>
      <c r="AA83" s="923"/>
      <c r="AB83" s="923"/>
      <c r="AC83" s="923"/>
      <c r="AD83" s="923"/>
      <c r="AE83" s="923"/>
      <c r="AF83" s="923"/>
      <c r="AG83" s="923"/>
      <c r="AH83" s="923"/>
      <c r="AI83" s="923"/>
      <c r="AJ83" s="923"/>
      <c r="AK83" s="923"/>
      <c r="AL83" s="923"/>
      <c r="AM83" s="923"/>
      <c r="AN83" s="923"/>
      <c r="AO83" s="923"/>
      <c r="AP83" s="923"/>
      <c r="AQ83" s="923"/>
      <c r="AR83" s="923"/>
      <c r="AS83" s="923"/>
      <c r="AT83" s="923"/>
      <c r="AU83" s="923"/>
      <c r="AV83" s="923"/>
      <c r="AW83" s="923"/>
      <c r="AX83" s="923"/>
      <c r="AY83" s="923"/>
      <c r="AZ83" s="923"/>
      <c r="BA83" s="923"/>
      <c r="BB83" s="923"/>
      <c r="BC83" s="923"/>
      <c r="BD83" s="923"/>
      <c r="BE83" s="923"/>
      <c r="BF83" s="923"/>
      <c r="BG83" s="923"/>
      <c r="BH83" s="923"/>
      <c r="BI83" s="923"/>
      <c r="BJ83" s="923"/>
      <c r="BK83" s="923"/>
      <c r="BL83" s="923"/>
      <c r="BM83" s="923"/>
      <c r="BN83" s="923"/>
      <c r="BO83" s="923"/>
      <c r="BP83" s="923"/>
      <c r="BQ83" s="923"/>
    </row>
    <row r="84" spans="1:69" hidden="1">
      <c r="A84" s="855">
        <v>78</v>
      </c>
      <c r="B84" s="921" t="s">
        <v>40</v>
      </c>
      <c r="C84" s="855">
        <v>102</v>
      </c>
      <c r="D84" s="856" t="s">
        <v>1061</v>
      </c>
      <c r="E84" s="726" t="s">
        <v>1047</v>
      </c>
      <c r="F84" s="4">
        <v>2373135140</v>
      </c>
      <c r="G84" s="4">
        <v>549343219</v>
      </c>
      <c r="H84" s="894"/>
      <c r="I84" s="4">
        <v>10843660475</v>
      </c>
      <c r="J84" s="4">
        <v>1</v>
      </c>
      <c r="K84" s="4">
        <v>12000</v>
      </c>
      <c r="L84" s="4">
        <v>3</v>
      </c>
      <c r="M84" s="923">
        <f t="shared" si="4"/>
        <v>4000</v>
      </c>
      <c r="N84" s="930">
        <v>46145</v>
      </c>
      <c r="O84" s="924">
        <f t="shared" si="5"/>
        <v>46236</v>
      </c>
      <c r="P84" s="894"/>
      <c r="Q84" s="894"/>
      <c r="R84" s="894"/>
      <c r="S84"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600</v>
      </c>
      <c r="T84"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8000</v>
      </c>
      <c r="U84" s="923">
        <f>الجدول4[[#This Row],[مبلغ الايجار]]-الجدول4[[#This Row],[المبلغ المدفوع]]</f>
        <v>11400</v>
      </c>
      <c r="V84" s="923">
        <f>SUMIFS(الجدول3[مبلغ الدفعة], الجدول3[حساب الدفع], "مرفوعة في ناجز", الجدول3[رقم العقد], الجدول4[[#This Row],[رقم العقد]], الجدول3[اسم المستاجر], الجدول4[[#This Row],[اسم المستاجر]])</f>
        <v>0</v>
      </c>
      <c r="W84" s="923"/>
      <c r="X84" s="923"/>
      <c r="Y84" s="923"/>
      <c r="Z84" s="923"/>
      <c r="AA84" s="923"/>
      <c r="AB84" s="923"/>
      <c r="AC84" s="923"/>
      <c r="AD84" s="923"/>
      <c r="AE84" s="923"/>
      <c r="AF84" s="923"/>
      <c r="AG84" s="923"/>
      <c r="AH84" s="923"/>
      <c r="AI84" s="923"/>
      <c r="AJ84" s="923"/>
      <c r="AK84" s="923"/>
      <c r="AL84" s="923"/>
      <c r="AM84" s="923"/>
      <c r="AN84" s="923"/>
      <c r="AO84" s="923"/>
      <c r="AP84" s="923"/>
      <c r="AQ84" s="923"/>
      <c r="AR84" s="923"/>
      <c r="AS84" s="923"/>
      <c r="AT84" s="923"/>
      <c r="AU84" s="923"/>
      <c r="AV84" s="923"/>
      <c r="AW84" s="923"/>
      <c r="AX84" s="923"/>
      <c r="AY84" s="923"/>
      <c r="AZ84" s="923"/>
      <c r="BA84" s="923"/>
      <c r="BB84" s="923"/>
      <c r="BC84" s="923"/>
      <c r="BD84" s="923"/>
      <c r="BE84" s="923"/>
      <c r="BF84" s="923"/>
      <c r="BG84" s="923"/>
      <c r="BH84" s="923"/>
      <c r="BI84" s="923"/>
      <c r="BJ84" s="923"/>
      <c r="BK84" s="923"/>
      <c r="BL84" s="923"/>
      <c r="BM84" s="923"/>
      <c r="BN84" s="923"/>
      <c r="BO84" s="923"/>
      <c r="BP84" s="923"/>
      <c r="BQ84" s="923"/>
    </row>
    <row r="85" spans="1:69" hidden="1">
      <c r="A85" s="855">
        <v>79</v>
      </c>
      <c r="B85" s="921" t="s">
        <v>31</v>
      </c>
      <c r="C85" s="855">
        <v>102</v>
      </c>
      <c r="D85" s="856" t="s">
        <v>1061</v>
      </c>
      <c r="E85" s="4" t="s">
        <v>1048</v>
      </c>
      <c r="F85" s="4">
        <v>1132014893</v>
      </c>
      <c r="G85" s="4">
        <v>534727462</v>
      </c>
      <c r="H85" s="894"/>
      <c r="I85" s="4">
        <v>10868706751</v>
      </c>
      <c r="J85" s="4">
        <v>1</v>
      </c>
      <c r="K85" s="4">
        <v>42000</v>
      </c>
      <c r="L85" s="4">
        <v>12</v>
      </c>
      <c r="M85" s="923">
        <f t="shared" si="4"/>
        <v>3500</v>
      </c>
      <c r="N85" s="930">
        <v>46197</v>
      </c>
      <c r="O85" s="924">
        <f t="shared" si="5"/>
        <v>46561</v>
      </c>
      <c r="P85" s="894"/>
      <c r="Q85" s="894"/>
      <c r="R85" s="894"/>
      <c r="S85"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7000</v>
      </c>
      <c r="T85"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10500</v>
      </c>
      <c r="U85" s="923">
        <f>الجدول4[[#This Row],[مبلغ الايجار]]-الجدول4[[#This Row],[المبلغ المدفوع]]</f>
        <v>35000</v>
      </c>
      <c r="V85" s="923">
        <f>SUMIFS(الجدول3[مبلغ الدفعة], الجدول3[حساب الدفع], "مرفوعة في ناجز", الجدول3[رقم العقد], الجدول4[[#This Row],[رقم العقد]], الجدول3[اسم المستاجر], الجدول4[[#This Row],[اسم المستاجر]])</f>
        <v>0</v>
      </c>
      <c r="W85" s="923"/>
      <c r="X85" s="923"/>
      <c r="Y85" s="923"/>
      <c r="Z85" s="923"/>
      <c r="AA85" s="923"/>
      <c r="AB85" s="923"/>
      <c r="AC85" s="923"/>
      <c r="AD85" s="923"/>
      <c r="AE85" s="923"/>
      <c r="AF85" s="923"/>
      <c r="AG85" s="923"/>
      <c r="AH85" s="923"/>
      <c r="AI85" s="923"/>
      <c r="AJ85" s="923"/>
      <c r="AK85" s="923"/>
      <c r="AL85" s="923"/>
      <c r="AM85" s="923"/>
      <c r="AN85" s="923"/>
      <c r="AO85" s="923"/>
      <c r="AP85" s="923"/>
      <c r="AQ85" s="923"/>
      <c r="AR85" s="923"/>
      <c r="AS85" s="923"/>
      <c r="AT85" s="923"/>
      <c r="AU85" s="923"/>
      <c r="AV85" s="923"/>
      <c r="AW85" s="923"/>
      <c r="AX85" s="923"/>
      <c r="AY85" s="923"/>
      <c r="AZ85" s="923"/>
      <c r="BA85" s="923"/>
      <c r="BB85" s="923"/>
      <c r="BC85" s="923"/>
      <c r="BD85" s="923"/>
      <c r="BE85" s="923"/>
      <c r="BF85" s="923"/>
      <c r="BG85" s="923"/>
      <c r="BH85" s="923"/>
      <c r="BI85" s="923"/>
      <c r="BJ85" s="923"/>
      <c r="BK85" s="923"/>
      <c r="BL85" s="923"/>
      <c r="BM85" s="923"/>
      <c r="BN85" s="923"/>
      <c r="BO85" s="923"/>
      <c r="BP85" s="923"/>
      <c r="BQ85" s="923"/>
    </row>
    <row r="86" spans="1:69" hidden="1">
      <c r="A86" s="855">
        <v>80</v>
      </c>
      <c r="B86" s="921" t="s">
        <v>40</v>
      </c>
      <c r="C86" s="855">
        <v>102</v>
      </c>
      <c r="D86" s="856" t="s">
        <v>1061</v>
      </c>
      <c r="E86" s="4" t="s">
        <v>1049</v>
      </c>
      <c r="F86" s="4">
        <v>1125500171</v>
      </c>
      <c r="G86" s="4">
        <v>554766083</v>
      </c>
      <c r="H86" s="894"/>
      <c r="I86" s="4">
        <v>10936935607</v>
      </c>
      <c r="J86" s="4">
        <v>1</v>
      </c>
      <c r="K86" s="4">
        <v>4000</v>
      </c>
      <c r="L86" s="4">
        <v>1</v>
      </c>
      <c r="M86" s="923">
        <f t="shared" si="4"/>
        <v>4000</v>
      </c>
      <c r="N86" s="930">
        <v>46198</v>
      </c>
      <c r="O86" s="924">
        <f t="shared" si="5"/>
        <v>46227</v>
      </c>
      <c r="P86" s="894"/>
      <c r="Q86" s="894"/>
      <c r="R86" s="894"/>
      <c r="S86"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4000</v>
      </c>
      <c r="T86"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86" s="923">
        <f>الجدول4[[#This Row],[مبلغ الايجار]]-الجدول4[[#This Row],[المبلغ المدفوع]]</f>
        <v>0</v>
      </c>
      <c r="V86" s="923">
        <f>SUMIFS(الجدول3[مبلغ الدفعة], الجدول3[حساب الدفع], "مرفوعة في ناجز", الجدول3[رقم العقد], الجدول4[[#This Row],[رقم العقد]], الجدول3[اسم المستاجر], الجدول4[[#This Row],[اسم المستاجر]])</f>
        <v>0</v>
      </c>
      <c r="W86" s="923"/>
      <c r="X86" s="923"/>
      <c r="Y86" s="923"/>
      <c r="Z86" s="923"/>
      <c r="AA86" s="923"/>
      <c r="AB86" s="923"/>
      <c r="AC86" s="923"/>
      <c r="AD86" s="923"/>
      <c r="AE86" s="923"/>
      <c r="AF86" s="923"/>
      <c r="AG86" s="923"/>
      <c r="AH86" s="923"/>
      <c r="AI86" s="923"/>
      <c r="AJ86" s="923"/>
      <c r="AK86" s="923"/>
      <c r="AL86" s="923"/>
      <c r="AM86" s="923"/>
      <c r="AN86" s="923"/>
      <c r="AO86" s="923"/>
      <c r="AP86" s="923"/>
      <c r="AQ86" s="923"/>
      <c r="AR86" s="923"/>
      <c r="AS86" s="923"/>
      <c r="AT86" s="923"/>
      <c r="AU86" s="923"/>
      <c r="AV86" s="923"/>
      <c r="AW86" s="923"/>
      <c r="AX86" s="923"/>
      <c r="AY86" s="923"/>
      <c r="AZ86" s="923"/>
      <c r="BA86" s="923"/>
      <c r="BB86" s="923"/>
      <c r="BC86" s="923"/>
      <c r="BD86" s="923"/>
      <c r="BE86" s="923"/>
      <c r="BF86" s="923"/>
      <c r="BG86" s="923"/>
      <c r="BH86" s="923"/>
      <c r="BI86" s="923"/>
      <c r="BJ86" s="923"/>
      <c r="BK86" s="923"/>
      <c r="BL86" s="923"/>
      <c r="BM86" s="923"/>
      <c r="BN86" s="923"/>
      <c r="BO86" s="923"/>
      <c r="BP86" s="923"/>
      <c r="BQ86" s="923"/>
    </row>
    <row r="87" spans="1:69" hidden="1">
      <c r="A87" s="855">
        <v>81</v>
      </c>
      <c r="B87" s="921" t="s">
        <v>34</v>
      </c>
      <c r="C87" s="855">
        <v>102</v>
      </c>
      <c r="D87" s="856" t="s">
        <v>1061</v>
      </c>
      <c r="E87" s="906" t="s">
        <v>1050</v>
      </c>
      <c r="F87" s="4">
        <v>1114116609</v>
      </c>
      <c r="G87" s="4">
        <v>536618234</v>
      </c>
      <c r="H87" s="894"/>
      <c r="I87" s="894">
        <v>10462173690</v>
      </c>
      <c r="J87" s="4">
        <v>1</v>
      </c>
      <c r="K87" s="4">
        <v>22800</v>
      </c>
      <c r="L87" s="4">
        <v>6</v>
      </c>
      <c r="M87" s="923">
        <f t="shared" si="4"/>
        <v>3800</v>
      </c>
      <c r="N87" s="930">
        <v>46198</v>
      </c>
      <c r="O87" s="924">
        <f t="shared" si="5"/>
        <v>46380</v>
      </c>
      <c r="P87" s="894"/>
      <c r="Q87" s="894"/>
      <c r="R87" s="894"/>
      <c r="S87"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7600</v>
      </c>
      <c r="T87"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87" s="923">
        <f>الجدول4[[#This Row],[مبلغ الايجار]]-الجدول4[[#This Row],[المبلغ المدفوع]]</f>
        <v>15200</v>
      </c>
      <c r="V87" s="923">
        <f>SUMIFS(الجدول3[مبلغ الدفعة], الجدول3[حساب الدفع], "مرفوعة في ناجز", الجدول3[رقم العقد], الجدول4[[#This Row],[رقم العقد]], الجدول3[اسم المستاجر], الجدول4[[#This Row],[اسم المستاجر]])</f>
        <v>0</v>
      </c>
      <c r="W87" s="923"/>
      <c r="X87" s="923"/>
      <c r="Y87" s="923"/>
      <c r="Z87" s="923"/>
      <c r="AA87" s="923"/>
      <c r="AB87" s="923"/>
      <c r="AC87" s="923"/>
      <c r="AD87" s="923"/>
      <c r="AE87" s="923"/>
      <c r="AF87" s="923"/>
      <c r="AG87" s="923"/>
      <c r="AH87" s="923"/>
      <c r="AI87" s="923"/>
      <c r="AJ87" s="923"/>
      <c r="AK87" s="923"/>
      <c r="AL87" s="923"/>
      <c r="AM87" s="923"/>
      <c r="AN87" s="923"/>
      <c r="AO87" s="923"/>
      <c r="AP87" s="923"/>
      <c r="AQ87" s="923"/>
      <c r="AR87" s="923"/>
      <c r="AS87" s="923"/>
      <c r="AT87" s="923"/>
      <c r="AU87" s="923"/>
      <c r="AV87" s="923"/>
      <c r="AW87" s="923"/>
      <c r="AX87" s="923"/>
      <c r="AY87" s="923"/>
      <c r="AZ87" s="923"/>
      <c r="BA87" s="923"/>
      <c r="BB87" s="923"/>
      <c r="BC87" s="923"/>
      <c r="BD87" s="923"/>
      <c r="BE87" s="923"/>
      <c r="BF87" s="923"/>
      <c r="BG87" s="923"/>
      <c r="BH87" s="923"/>
      <c r="BI87" s="923"/>
      <c r="BJ87" s="923"/>
      <c r="BK87" s="923"/>
      <c r="BL87" s="923"/>
      <c r="BM87" s="923"/>
      <c r="BN87" s="923"/>
      <c r="BO87" s="923"/>
      <c r="BP87" s="923"/>
      <c r="BQ87" s="923"/>
    </row>
    <row r="88" spans="1:69" hidden="1">
      <c r="A88" s="855">
        <v>82</v>
      </c>
      <c r="B88" s="921" t="s">
        <v>1024</v>
      </c>
      <c r="C88" s="855">
        <v>102</v>
      </c>
      <c r="D88" s="856" t="s">
        <v>1061</v>
      </c>
      <c r="E88" s="887" t="s">
        <v>1051</v>
      </c>
      <c r="F88" s="4">
        <v>1113143281</v>
      </c>
      <c r="G88" s="624">
        <v>562158155</v>
      </c>
      <c r="H88" s="894"/>
      <c r="I88" s="624">
        <v>10079670370</v>
      </c>
      <c r="J88" s="4">
        <v>1</v>
      </c>
      <c r="K88" s="4">
        <v>4000</v>
      </c>
      <c r="L88" s="4">
        <v>1</v>
      </c>
      <c r="M88" s="923">
        <f t="shared" si="4"/>
        <v>4000</v>
      </c>
      <c r="N88" s="930">
        <v>46205</v>
      </c>
      <c r="O88" s="924">
        <f t="shared" si="5"/>
        <v>46235</v>
      </c>
      <c r="P88" s="894"/>
      <c r="Q88" s="894"/>
      <c r="R88" s="894"/>
      <c r="S88"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0</v>
      </c>
      <c r="T88"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4000</v>
      </c>
      <c r="U88" s="923">
        <f>الجدول4[[#This Row],[مبلغ الايجار]]-الجدول4[[#This Row],[المبلغ المدفوع]]</f>
        <v>4000</v>
      </c>
      <c r="V88" s="923">
        <f ca="1">SUMIFS(الجدول3[مبلغ الدفعة], الجدول3[حساب الدفع], "مرفوعة في ناجز", الجدول3[رقم العقد], الجدول4[[#This Row],[رقم العقد]], الجدول3[اسم المستاجر], الجدول4[[#This Row],[اسم المستاجر]])</f>
        <v>0</v>
      </c>
      <c r="W88" s="923"/>
      <c r="X88" s="923"/>
      <c r="Y88" s="923"/>
      <c r="Z88" s="923"/>
      <c r="AA88" s="923"/>
      <c r="AB88" s="923"/>
      <c r="AC88" s="923"/>
      <c r="AD88" s="923"/>
      <c r="AE88" s="923"/>
      <c r="AF88" s="923"/>
      <c r="AG88" s="923"/>
      <c r="AH88" s="923"/>
      <c r="AI88" s="923"/>
      <c r="AJ88" s="923"/>
      <c r="AK88" s="923"/>
      <c r="AL88" s="923"/>
      <c r="AM88" s="923"/>
      <c r="AN88" s="923"/>
      <c r="AO88" s="923"/>
      <c r="AP88" s="923"/>
      <c r="AQ88" s="923"/>
      <c r="AR88" s="923"/>
      <c r="AS88" s="923"/>
      <c r="AT88" s="923"/>
      <c r="AU88" s="923"/>
      <c r="AV88" s="923"/>
      <c r="AW88" s="923"/>
      <c r="AX88" s="923"/>
      <c r="AY88" s="923"/>
      <c r="AZ88" s="923"/>
      <c r="BA88" s="923"/>
      <c r="BB88" s="923"/>
      <c r="BC88" s="923"/>
      <c r="BD88" s="923"/>
      <c r="BE88" s="923"/>
      <c r="BF88" s="923"/>
      <c r="BG88" s="923"/>
      <c r="BH88" s="923"/>
      <c r="BI88" s="923"/>
      <c r="BJ88" s="923"/>
      <c r="BK88" s="923"/>
      <c r="BL88" s="923"/>
      <c r="BM88" s="923"/>
      <c r="BN88" s="923"/>
      <c r="BO88" s="923"/>
      <c r="BP88" s="923"/>
      <c r="BQ88" s="923"/>
    </row>
    <row r="89" spans="1:69" hidden="1">
      <c r="A89" s="855">
        <v>83</v>
      </c>
      <c r="B89" s="921" t="s">
        <v>1027</v>
      </c>
      <c r="C89" s="855">
        <v>102</v>
      </c>
      <c r="D89" s="856" t="s">
        <v>1061</v>
      </c>
      <c r="E89" s="4" t="s">
        <v>1052</v>
      </c>
      <c r="F89" s="4">
        <v>1058698893</v>
      </c>
      <c r="G89" s="4">
        <v>508801008</v>
      </c>
      <c r="H89" s="894"/>
      <c r="I89" s="4">
        <v>10582830436</v>
      </c>
      <c r="J89" s="4">
        <v>1</v>
      </c>
      <c r="K89" s="4">
        <v>4000</v>
      </c>
      <c r="L89" s="4">
        <v>1</v>
      </c>
      <c r="M89" s="923">
        <f t="shared" si="4"/>
        <v>4000</v>
      </c>
      <c r="N89" s="930">
        <v>46212</v>
      </c>
      <c r="O89" s="924">
        <f t="shared" si="5"/>
        <v>46242</v>
      </c>
      <c r="P89" s="894"/>
      <c r="Q89" s="894"/>
      <c r="R89" s="894"/>
      <c r="S89"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4000</v>
      </c>
      <c r="T89"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89" s="923">
        <f>الجدول4[[#This Row],[مبلغ الايجار]]-الجدول4[[#This Row],[المبلغ المدفوع]]</f>
        <v>0</v>
      </c>
      <c r="V89" s="923">
        <f>SUMIFS(الجدول3[مبلغ الدفعة], الجدول3[حساب الدفع], "مرفوعة في ناجز", الجدول3[رقم العقد], الجدول4[[#This Row],[رقم العقد]], الجدول3[اسم المستاجر], الجدول4[[#This Row],[اسم المستاجر]])</f>
        <v>0</v>
      </c>
      <c r="W89" s="923"/>
      <c r="X89" s="923"/>
      <c r="Y89" s="923"/>
      <c r="Z89" s="923"/>
      <c r="AA89" s="923"/>
      <c r="AB89" s="923"/>
      <c r="AC89" s="923"/>
      <c r="AD89" s="923"/>
      <c r="AE89" s="923"/>
      <c r="AF89" s="923"/>
      <c r="AG89" s="923"/>
      <c r="AH89" s="923"/>
      <c r="AI89" s="923"/>
      <c r="AJ89" s="923"/>
      <c r="AK89" s="923"/>
      <c r="AL89" s="923"/>
      <c r="AM89" s="923"/>
      <c r="AN89" s="923"/>
      <c r="AO89" s="923"/>
      <c r="AP89" s="923"/>
      <c r="AQ89" s="923"/>
      <c r="AR89" s="923"/>
      <c r="AS89" s="923"/>
      <c r="AT89" s="923"/>
      <c r="AU89" s="923"/>
      <c r="AV89" s="923"/>
      <c r="AW89" s="923"/>
      <c r="AX89" s="923"/>
      <c r="AY89" s="923"/>
      <c r="AZ89" s="923"/>
      <c r="BA89" s="923"/>
      <c r="BB89" s="923"/>
      <c r="BC89" s="923"/>
      <c r="BD89" s="923"/>
      <c r="BE89" s="923"/>
      <c r="BF89" s="923"/>
      <c r="BG89" s="923"/>
      <c r="BH89" s="923"/>
      <c r="BI89" s="923"/>
      <c r="BJ89" s="923"/>
      <c r="BK89" s="923"/>
      <c r="BL89" s="923"/>
      <c r="BM89" s="923"/>
      <c r="BN89" s="923"/>
      <c r="BO89" s="923"/>
      <c r="BP89" s="923"/>
      <c r="BQ89" s="923"/>
    </row>
    <row r="90" spans="1:69" hidden="1">
      <c r="A90" s="855">
        <v>84</v>
      </c>
      <c r="B90" s="921" t="s">
        <v>1015</v>
      </c>
      <c r="C90" s="855">
        <v>102</v>
      </c>
      <c r="D90" s="856" t="s">
        <v>1061</v>
      </c>
      <c r="E90" s="887" t="s">
        <v>1053</v>
      </c>
      <c r="F90" s="4">
        <v>1100557428</v>
      </c>
      <c r="G90" s="624">
        <v>507346576</v>
      </c>
      <c r="H90" s="894"/>
      <c r="I90" s="624">
        <v>10914820590</v>
      </c>
      <c r="J90" s="4">
        <v>1</v>
      </c>
      <c r="K90" s="4">
        <v>4000</v>
      </c>
      <c r="L90" s="4">
        <v>1</v>
      </c>
      <c r="M90" s="923">
        <f t="shared" si="4"/>
        <v>4000</v>
      </c>
      <c r="N90" s="930">
        <v>46207</v>
      </c>
      <c r="O90" s="924">
        <f t="shared" si="5"/>
        <v>46237</v>
      </c>
      <c r="P90" s="894"/>
      <c r="Q90" s="894"/>
      <c r="R90" s="894"/>
      <c r="S90"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4000</v>
      </c>
      <c r="T90"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90" s="923">
        <f>الجدول4[[#This Row],[مبلغ الايجار]]-الجدول4[[#This Row],[المبلغ المدفوع]]</f>
        <v>0</v>
      </c>
      <c r="V90" s="923">
        <f>SUMIFS(الجدول3[مبلغ الدفعة], الجدول3[حساب الدفع], "مرفوعة في ناجز", الجدول3[رقم العقد], الجدول4[[#This Row],[رقم العقد]], الجدول3[اسم المستاجر], الجدول4[[#This Row],[اسم المستاجر]])</f>
        <v>0</v>
      </c>
      <c r="W90" s="923"/>
      <c r="X90" s="923"/>
      <c r="Y90" s="923"/>
      <c r="Z90" s="923"/>
      <c r="AA90" s="923"/>
      <c r="AB90" s="923"/>
      <c r="AC90" s="923"/>
      <c r="AD90" s="923"/>
      <c r="AE90" s="923"/>
      <c r="AF90" s="923"/>
      <c r="AG90" s="923"/>
      <c r="AH90" s="923"/>
      <c r="AI90" s="923"/>
      <c r="AJ90" s="923"/>
      <c r="AK90" s="923"/>
      <c r="AL90" s="923"/>
      <c r="AM90" s="923"/>
      <c r="AN90" s="923"/>
      <c r="AO90" s="923"/>
      <c r="AP90" s="923"/>
      <c r="AQ90" s="923"/>
      <c r="AR90" s="923"/>
      <c r="AS90" s="923"/>
      <c r="AT90" s="923"/>
      <c r="AU90" s="923"/>
      <c r="AV90" s="923"/>
      <c r="AW90" s="923"/>
      <c r="AX90" s="923"/>
      <c r="AY90" s="923"/>
      <c r="AZ90" s="923"/>
      <c r="BA90" s="923"/>
      <c r="BB90" s="923"/>
      <c r="BC90" s="923"/>
      <c r="BD90" s="923"/>
      <c r="BE90" s="923"/>
      <c r="BF90" s="923"/>
      <c r="BG90" s="923"/>
      <c r="BH90" s="923"/>
      <c r="BI90" s="923"/>
      <c r="BJ90" s="923"/>
      <c r="BK90" s="923"/>
      <c r="BL90" s="923"/>
      <c r="BM90" s="923"/>
      <c r="BN90" s="923"/>
      <c r="BO90" s="923"/>
      <c r="BP90" s="923"/>
      <c r="BQ90" s="923"/>
    </row>
    <row r="91" spans="1:69" hidden="1">
      <c r="A91" s="855">
        <v>85</v>
      </c>
      <c r="B91" s="855" t="s">
        <v>36</v>
      </c>
      <c r="C91" s="855">
        <v>102</v>
      </c>
      <c r="D91" s="856" t="s">
        <v>1061</v>
      </c>
      <c r="E91" s="4" t="s">
        <v>1054</v>
      </c>
      <c r="F91" s="4">
        <v>1081665182</v>
      </c>
      <c r="G91" s="4">
        <v>553985003</v>
      </c>
      <c r="H91" s="857"/>
      <c r="I91" s="4">
        <v>10433912663</v>
      </c>
      <c r="J91" s="4">
        <v>1</v>
      </c>
      <c r="K91" s="4">
        <v>4000</v>
      </c>
      <c r="L91" s="4">
        <v>1</v>
      </c>
      <c r="M91" s="859">
        <f t="shared" si="4"/>
        <v>4000</v>
      </c>
      <c r="N91" s="930">
        <v>46224</v>
      </c>
      <c r="O91" s="867">
        <f t="shared" si="5"/>
        <v>46254</v>
      </c>
      <c r="P91" s="857"/>
      <c r="Q91" s="857"/>
      <c r="R91" s="857"/>
      <c r="S91"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4000</v>
      </c>
      <c r="T91" s="861">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91" s="859">
        <f>الجدول4[[#This Row],[مبلغ الايجار]]-الجدول4[[#This Row],[المبلغ المدفوع]]</f>
        <v>0</v>
      </c>
      <c r="V91" s="859">
        <f>SUMIFS(الجدول3[مبلغ الدفعة], الجدول3[حساب الدفع], "مرفوعة في ناجز", الجدول3[رقم العقد], الجدول4[[#This Row],[رقم العقد]], الجدول3[اسم المستاجر], الجدول4[[#This Row],[اسم المستاجر]])</f>
        <v>0</v>
      </c>
      <c r="W91" s="859"/>
      <c r="X91" s="859"/>
      <c r="Y91" s="859"/>
      <c r="Z91" s="859"/>
      <c r="AA91" s="859"/>
      <c r="AB91" s="859"/>
      <c r="AC91" s="859"/>
      <c r="AD91" s="859"/>
      <c r="AE91" s="859"/>
      <c r="AF91" s="859"/>
      <c r="AG91" s="859"/>
      <c r="AH91" s="859"/>
      <c r="AI91" s="859"/>
      <c r="AJ91" s="859"/>
      <c r="AK91" s="859"/>
      <c r="AL91" s="859"/>
      <c r="AM91" s="859"/>
      <c r="AN91" s="859"/>
      <c r="AO91" s="859"/>
      <c r="AP91" s="859"/>
      <c r="AQ91" s="859"/>
      <c r="AR91" s="859"/>
      <c r="AS91" s="859"/>
      <c r="AT91" s="859"/>
      <c r="AU91" s="859"/>
      <c r="AV91" s="859"/>
      <c r="AW91" s="859"/>
      <c r="AX91" s="859"/>
      <c r="AY91" s="859"/>
      <c r="AZ91" s="859"/>
      <c r="BA91" s="859"/>
      <c r="BB91" s="859"/>
      <c r="BC91" s="859"/>
      <c r="BD91" s="859"/>
      <c r="BE91" s="859"/>
      <c r="BF91" s="859"/>
      <c r="BG91" s="859"/>
      <c r="BH91" s="859"/>
      <c r="BI91" s="859"/>
      <c r="BJ91" s="859"/>
      <c r="BK91" s="859"/>
      <c r="BL91" s="859"/>
      <c r="BM91" s="859"/>
      <c r="BN91" s="859"/>
      <c r="BO91" s="859"/>
      <c r="BP91" s="859"/>
      <c r="BQ91" s="859"/>
    </row>
    <row r="92" spans="1:69" hidden="1">
      <c r="A92" s="855">
        <v>86</v>
      </c>
      <c r="B92" s="855" t="s">
        <v>40</v>
      </c>
      <c r="C92" s="855">
        <v>102</v>
      </c>
      <c r="D92" s="856" t="s">
        <v>1061</v>
      </c>
      <c r="E92" s="4" t="s">
        <v>1057</v>
      </c>
      <c r="F92" s="4">
        <v>1125500171</v>
      </c>
      <c r="G92" s="4">
        <v>554766083</v>
      </c>
      <c r="H92" s="857"/>
      <c r="I92" s="4">
        <v>10517454392</v>
      </c>
      <c r="J92" s="4">
        <v>1</v>
      </c>
      <c r="K92" s="4">
        <v>4000</v>
      </c>
      <c r="L92" s="4">
        <v>1</v>
      </c>
      <c r="M92" s="859">
        <f t="shared" si="4"/>
        <v>4000</v>
      </c>
      <c r="N92" s="930">
        <v>46230</v>
      </c>
      <c r="O92" s="867">
        <f t="shared" si="5"/>
        <v>46260</v>
      </c>
      <c r="P92" s="857"/>
      <c r="Q92" s="857"/>
      <c r="R92" s="857"/>
      <c r="S92"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4000</v>
      </c>
      <c r="T92" s="861">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92" s="859">
        <f>الجدول4[[#This Row],[مبلغ الايجار]]-الجدول4[[#This Row],[المبلغ المدفوع]]</f>
        <v>0</v>
      </c>
      <c r="V92" s="859">
        <f>SUMIFS(الجدول3[مبلغ الدفعة], الجدول3[حساب الدفع], "مرفوعة في ناجز", الجدول3[رقم العقد], الجدول4[[#This Row],[رقم العقد]], الجدول3[اسم المستاجر], الجدول4[[#This Row],[اسم المستاجر]])</f>
        <v>0</v>
      </c>
      <c r="W92" s="859"/>
      <c r="X92" s="859"/>
      <c r="Y92" s="859"/>
      <c r="Z92" s="859"/>
      <c r="AA92" s="859"/>
      <c r="AB92" s="859"/>
      <c r="AC92" s="859"/>
      <c r="AD92" s="859"/>
      <c r="AE92" s="859"/>
      <c r="AF92" s="859"/>
      <c r="AG92" s="859"/>
      <c r="AH92" s="859"/>
      <c r="AI92" s="859"/>
      <c r="AJ92" s="859"/>
      <c r="AK92" s="859"/>
      <c r="AL92" s="859"/>
      <c r="AM92" s="859"/>
      <c r="AN92" s="859"/>
      <c r="AO92" s="859"/>
      <c r="AP92" s="859"/>
      <c r="AQ92" s="859"/>
      <c r="AR92" s="859"/>
      <c r="AS92" s="859"/>
      <c r="AT92" s="859"/>
      <c r="AU92" s="859"/>
      <c r="AV92" s="859"/>
      <c r="AW92" s="859"/>
      <c r="AX92" s="859"/>
      <c r="AY92" s="859"/>
      <c r="AZ92" s="859"/>
      <c r="BA92" s="859"/>
      <c r="BB92" s="859"/>
      <c r="BC92" s="859"/>
      <c r="BD92" s="859"/>
      <c r="BE92" s="859"/>
      <c r="BF92" s="859"/>
      <c r="BG92" s="859"/>
      <c r="BH92" s="859"/>
      <c r="BI92" s="859"/>
      <c r="BJ92" s="859"/>
      <c r="BK92" s="859"/>
      <c r="BL92" s="859"/>
      <c r="BM92" s="859"/>
      <c r="BN92" s="859"/>
      <c r="BO92" s="859"/>
      <c r="BP92" s="859"/>
      <c r="BQ92" s="859"/>
    </row>
    <row r="93" spans="1:69" hidden="1">
      <c r="A93" s="855">
        <v>87</v>
      </c>
      <c r="B93" s="855" t="s">
        <v>1015</v>
      </c>
      <c r="C93" s="855">
        <v>102</v>
      </c>
      <c r="D93" s="856" t="s">
        <v>1061</v>
      </c>
      <c r="E93" s="4" t="s">
        <v>1056</v>
      </c>
      <c r="F93" s="4">
        <v>1143829784</v>
      </c>
      <c r="G93" s="4">
        <v>593073751</v>
      </c>
      <c r="H93" s="857"/>
      <c r="I93" s="894">
        <v>10383332923</v>
      </c>
      <c r="J93" s="4">
        <v>1</v>
      </c>
      <c r="K93" s="4">
        <v>24000</v>
      </c>
      <c r="L93" s="4">
        <v>6</v>
      </c>
      <c r="M93" s="859">
        <f t="shared" si="4"/>
        <v>4000</v>
      </c>
      <c r="N93" s="930">
        <v>46243</v>
      </c>
      <c r="O93" s="867">
        <f t="shared" si="5"/>
        <v>46426</v>
      </c>
      <c r="P93" s="857"/>
      <c r="Q93" s="857"/>
      <c r="R93" s="857"/>
      <c r="S93"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4000</v>
      </c>
      <c r="T93" s="861">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93" s="859">
        <f>الجدول4[[#This Row],[مبلغ الايجار]]-الجدول4[[#This Row],[المبلغ المدفوع]]</f>
        <v>20000</v>
      </c>
      <c r="V93" s="859">
        <f>SUMIFS(الجدول3[مبلغ الدفعة], الجدول3[حساب الدفع], "مرفوعة في ناجز", الجدول3[رقم العقد], الجدول4[[#This Row],[رقم العقد]], الجدول3[اسم المستاجر], الجدول4[[#This Row],[اسم المستاجر]])</f>
        <v>0</v>
      </c>
      <c r="W93" s="859"/>
      <c r="X93" s="859"/>
      <c r="Y93" s="859"/>
      <c r="Z93" s="859"/>
      <c r="AA93" s="859"/>
      <c r="AB93" s="859"/>
      <c r="AC93" s="859"/>
      <c r="AD93" s="859"/>
      <c r="AE93" s="859"/>
      <c r="AF93" s="859"/>
      <c r="AG93" s="859"/>
      <c r="AH93" s="859"/>
      <c r="AI93" s="859"/>
      <c r="AJ93" s="859"/>
      <c r="AK93" s="859"/>
      <c r="AL93" s="859"/>
      <c r="AM93" s="859"/>
      <c r="AN93" s="859"/>
      <c r="AO93" s="859"/>
      <c r="AP93" s="859"/>
      <c r="AQ93" s="859"/>
      <c r="AR93" s="859"/>
      <c r="AS93" s="859"/>
      <c r="AT93" s="859"/>
      <c r="AU93" s="859"/>
      <c r="AV93" s="859"/>
      <c r="AW93" s="859"/>
      <c r="AX93" s="859"/>
      <c r="AY93" s="859"/>
      <c r="AZ93" s="859"/>
      <c r="BA93" s="859"/>
      <c r="BB93" s="859"/>
      <c r="BC93" s="859"/>
      <c r="BD93" s="859"/>
      <c r="BE93" s="859"/>
      <c r="BF93" s="859"/>
      <c r="BG93" s="859"/>
      <c r="BH93" s="859"/>
      <c r="BI93" s="859"/>
      <c r="BJ93" s="859"/>
      <c r="BK93" s="859"/>
      <c r="BL93" s="859"/>
      <c r="BM93" s="859"/>
      <c r="BN93" s="859"/>
      <c r="BO93" s="859"/>
      <c r="BP93" s="859"/>
      <c r="BQ93" s="859"/>
    </row>
    <row r="94" spans="1:69" hidden="1">
      <c r="A94" s="855">
        <v>88</v>
      </c>
      <c r="B94" s="921" t="s">
        <v>31</v>
      </c>
      <c r="C94" s="855">
        <v>102</v>
      </c>
      <c r="D94" s="856">
        <f ca="1">الجدول4[[#This Row],[تاريخ نهاية العقد]]-'Payments and Repayments'!B$1</f>
        <v>41</v>
      </c>
      <c r="E94" s="4" t="s">
        <v>1056</v>
      </c>
      <c r="F94" s="4">
        <v>1143829784</v>
      </c>
      <c r="G94" s="4">
        <v>593073751</v>
      </c>
      <c r="H94" s="894"/>
      <c r="I94" s="4">
        <v>10727058896</v>
      </c>
      <c r="J94" s="4">
        <v>1</v>
      </c>
      <c r="K94" s="4">
        <v>10500</v>
      </c>
      <c r="L94" s="4">
        <v>3</v>
      </c>
      <c r="M94" s="923">
        <f t="shared" si="4"/>
        <v>3500</v>
      </c>
      <c r="N94" s="930">
        <v>46274</v>
      </c>
      <c r="O94" s="924">
        <f t="shared" si="5"/>
        <v>46364</v>
      </c>
      <c r="P94" s="894"/>
      <c r="Q94" s="894"/>
      <c r="R94" s="894"/>
      <c r="S94"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7000</v>
      </c>
      <c r="T94"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94" s="923">
        <f>الجدول4[[#This Row],[مبلغ الايجار]]-الجدول4[[#This Row],[المبلغ المدفوع]]</f>
        <v>3500</v>
      </c>
      <c r="V94" s="923">
        <f ca="1">SUMIFS(الجدول3[مبلغ الدفعة], الجدول3[حساب الدفع], "مرفوعة في ناجز", الجدول3[رقم العقد], الجدول4[[#This Row],[رقم العقد]], الجدول3[اسم المستاجر], الجدول4[[#This Row],[اسم المستاجر]])</f>
        <v>0</v>
      </c>
      <c r="W94" s="923"/>
      <c r="X94" s="923"/>
      <c r="Y94" s="923"/>
      <c r="Z94" s="923"/>
      <c r="AA94" s="923"/>
      <c r="AB94" s="923"/>
      <c r="AC94" s="923"/>
      <c r="AD94" s="923"/>
      <c r="AE94" s="923"/>
      <c r="AF94" s="923"/>
      <c r="AG94" s="923"/>
      <c r="AH94" s="923"/>
      <c r="AI94" s="923"/>
      <c r="AJ94" s="923"/>
      <c r="AK94" s="923"/>
      <c r="AL94" s="923"/>
      <c r="AM94" s="923"/>
      <c r="AN94" s="923"/>
      <c r="AO94" s="923"/>
      <c r="AP94" s="923"/>
      <c r="AQ94" s="923"/>
      <c r="AR94" s="923"/>
      <c r="AS94" s="923"/>
      <c r="AT94" s="923"/>
      <c r="AU94" s="923"/>
      <c r="AV94" s="923"/>
      <c r="AW94" s="923"/>
      <c r="AX94" s="923"/>
      <c r="AY94" s="923"/>
      <c r="AZ94" s="923"/>
      <c r="BA94" s="923"/>
      <c r="BB94" s="923"/>
      <c r="BC94" s="923"/>
      <c r="BD94" s="923"/>
      <c r="BE94" s="923"/>
      <c r="BF94" s="923"/>
      <c r="BG94" s="923"/>
      <c r="BH94" s="923"/>
      <c r="BI94" s="923"/>
      <c r="BJ94" s="923"/>
      <c r="BK94" s="923"/>
      <c r="BL94" s="923"/>
      <c r="BM94" s="923"/>
      <c r="BN94" s="923"/>
      <c r="BO94" s="923"/>
      <c r="BP94" s="923"/>
      <c r="BQ94" s="923"/>
    </row>
    <row r="95" spans="1:69" hidden="1">
      <c r="A95" s="855">
        <v>89</v>
      </c>
      <c r="B95" s="921" t="s">
        <v>34</v>
      </c>
      <c r="C95" s="855">
        <v>102</v>
      </c>
      <c r="D95" s="856">
        <f ca="1">الجدول4[[#This Row],[تاريخ نهاية العقد]]-'Payments and Repayments'!B$1</f>
        <v>27</v>
      </c>
      <c r="E95" s="4" t="s">
        <v>1055</v>
      </c>
      <c r="F95" s="4">
        <v>2562439410</v>
      </c>
      <c r="G95" s="4">
        <v>509438028</v>
      </c>
      <c r="H95" s="894"/>
      <c r="I95" s="4">
        <v>10886502059</v>
      </c>
      <c r="J95" s="4">
        <v>1</v>
      </c>
      <c r="K95" s="4">
        <v>12000</v>
      </c>
      <c r="L95" s="4">
        <v>3</v>
      </c>
      <c r="M95" s="923">
        <f t="shared" si="4"/>
        <v>4000</v>
      </c>
      <c r="N95" s="930">
        <v>46259</v>
      </c>
      <c r="O95" s="924">
        <f t="shared" si="5"/>
        <v>46350</v>
      </c>
      <c r="P95" s="894"/>
      <c r="Q95" s="894"/>
      <c r="R95" s="894"/>
      <c r="S95"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12000</v>
      </c>
      <c r="T95"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95" s="923">
        <f>الجدول4[[#This Row],[مبلغ الايجار]]-الجدول4[[#This Row],[المبلغ المدفوع]]</f>
        <v>0</v>
      </c>
      <c r="V95" s="923">
        <f>SUMIFS(الجدول3[مبلغ الدفعة], الجدول3[حساب الدفع], "مرفوعة في ناجز", الجدول3[رقم العقد], الجدول4[[#This Row],[رقم العقد]], الجدول3[اسم المستاجر], الجدول4[[#This Row],[اسم المستاجر]])</f>
        <v>0</v>
      </c>
      <c r="W95" s="923"/>
      <c r="X95" s="923"/>
      <c r="Y95" s="923"/>
      <c r="Z95" s="923"/>
      <c r="AA95" s="923"/>
      <c r="AB95" s="923"/>
      <c r="AC95" s="923"/>
      <c r="AD95" s="923"/>
      <c r="AE95" s="923"/>
      <c r="AF95" s="923"/>
      <c r="AG95" s="923"/>
      <c r="AH95" s="923"/>
      <c r="AI95" s="923"/>
      <c r="AJ95" s="923"/>
      <c r="AK95" s="923"/>
      <c r="AL95" s="923"/>
      <c r="AM95" s="923"/>
      <c r="AN95" s="923"/>
      <c r="AO95" s="923"/>
      <c r="AP95" s="923"/>
      <c r="AQ95" s="923"/>
      <c r="AR95" s="923"/>
      <c r="AS95" s="923"/>
      <c r="AT95" s="923"/>
      <c r="AU95" s="923"/>
      <c r="AV95" s="923"/>
      <c r="AW95" s="923"/>
      <c r="AX95" s="923"/>
      <c r="AY95" s="923"/>
      <c r="AZ95" s="923"/>
      <c r="BA95" s="923"/>
      <c r="BB95" s="923"/>
      <c r="BC95" s="923"/>
      <c r="BD95" s="923"/>
      <c r="BE95" s="923"/>
      <c r="BF95" s="923"/>
      <c r="BG95" s="923"/>
      <c r="BH95" s="923"/>
      <c r="BI95" s="923"/>
      <c r="BJ95" s="923"/>
      <c r="BK95" s="923"/>
      <c r="BL95" s="923"/>
      <c r="BM95" s="923"/>
      <c r="BN95" s="923"/>
      <c r="BO95" s="923"/>
      <c r="BP95" s="923"/>
      <c r="BQ95" s="923"/>
    </row>
    <row r="96" spans="1:69" hidden="1">
      <c r="A96" s="855">
        <v>90</v>
      </c>
      <c r="B96" s="921" t="s">
        <v>1027</v>
      </c>
      <c r="C96" s="855">
        <v>102</v>
      </c>
      <c r="D96" s="856" t="s">
        <v>1740</v>
      </c>
      <c r="E96" s="4" t="s">
        <v>994</v>
      </c>
      <c r="F96" s="4">
        <v>1120162464</v>
      </c>
      <c r="G96" s="4">
        <v>538356214</v>
      </c>
      <c r="H96" s="894"/>
      <c r="I96" s="4">
        <v>10769104004</v>
      </c>
      <c r="J96" s="4">
        <v>1</v>
      </c>
      <c r="K96" s="4">
        <v>48000</v>
      </c>
      <c r="L96" s="4">
        <v>12</v>
      </c>
      <c r="M96" s="923">
        <f t="shared" si="4"/>
        <v>4000</v>
      </c>
      <c r="N96" s="930">
        <v>46261</v>
      </c>
      <c r="O96" s="924">
        <f t="shared" si="5"/>
        <v>46625</v>
      </c>
      <c r="P96" s="894"/>
      <c r="Q96" s="894"/>
      <c r="R96" s="894"/>
      <c r="S96" s="925">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8000</v>
      </c>
      <c r="T96" s="925">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96" s="923">
        <f>الجدول4[[#This Row],[مبلغ الايجار]]-الجدول4[[#This Row],[المبلغ المدفوع]]</f>
        <v>40000</v>
      </c>
      <c r="V96" s="923">
        <f ca="1">SUMIFS(الجدول3[مبلغ الدفعة], الجدول3[حساب الدفع], "مرفوعة في ناجز", الجدول3[رقم العقد], الجدول4[[#This Row],[رقم العقد]], الجدول3[اسم المستاجر], الجدول4[[#This Row],[اسم المستاجر]])</f>
        <v>0</v>
      </c>
      <c r="W96" s="923"/>
      <c r="X96" s="923"/>
      <c r="Y96" s="923"/>
      <c r="Z96" s="923"/>
      <c r="AA96" s="923"/>
      <c r="AB96" s="923"/>
      <c r="AC96" s="923"/>
      <c r="AD96" s="923"/>
      <c r="AE96" s="923"/>
      <c r="AF96" s="923"/>
      <c r="AG96" s="923"/>
      <c r="AH96" s="923"/>
      <c r="AI96" s="923"/>
      <c r="AJ96" s="923"/>
      <c r="AK96" s="923"/>
      <c r="AL96" s="923"/>
      <c r="AM96" s="923"/>
      <c r="AN96" s="923"/>
      <c r="AO96" s="923"/>
      <c r="AP96" s="923"/>
      <c r="AQ96" s="923"/>
      <c r="AR96" s="923"/>
      <c r="AS96" s="923"/>
      <c r="AT96" s="923"/>
      <c r="AU96" s="923"/>
      <c r="AV96" s="923"/>
      <c r="AW96" s="923"/>
      <c r="AX96" s="923"/>
      <c r="AY96" s="923"/>
      <c r="AZ96" s="923"/>
      <c r="BA96" s="923"/>
      <c r="BB96" s="923"/>
      <c r="BC96" s="923"/>
      <c r="BD96" s="923"/>
      <c r="BE96" s="923"/>
      <c r="BF96" s="923"/>
      <c r="BG96" s="923"/>
      <c r="BH96" s="923"/>
      <c r="BI96" s="923"/>
      <c r="BJ96" s="923"/>
      <c r="BK96" s="923"/>
      <c r="BL96" s="923"/>
      <c r="BM96" s="923"/>
      <c r="BN96" s="923"/>
      <c r="BO96" s="923"/>
      <c r="BP96" s="923"/>
      <c r="BQ96" s="923"/>
    </row>
    <row r="97" spans="1:69" hidden="1">
      <c r="A97" s="855">
        <v>91</v>
      </c>
      <c r="B97" s="855" t="s">
        <v>40</v>
      </c>
      <c r="C97" s="855">
        <v>102</v>
      </c>
      <c r="D97" s="856">
        <f ca="1">الجدول4[[#This Row],[تاريخ نهاية العقد]]-'Payments and Repayments'!B$1</f>
        <v>31</v>
      </c>
      <c r="E97" s="4" t="s">
        <v>1058</v>
      </c>
      <c r="F97" s="4">
        <v>1132014893</v>
      </c>
      <c r="G97" s="4">
        <v>534727462</v>
      </c>
      <c r="H97" s="857"/>
      <c r="I97" s="4">
        <v>10247853018</v>
      </c>
      <c r="J97" s="4">
        <v>1</v>
      </c>
      <c r="K97" s="4">
        <v>12000</v>
      </c>
      <c r="L97" s="4">
        <v>3</v>
      </c>
      <c r="M97" s="859">
        <f t="shared" si="4"/>
        <v>4000</v>
      </c>
      <c r="N97" s="930">
        <v>46263</v>
      </c>
      <c r="O97" s="867">
        <f t="shared" si="5"/>
        <v>46354</v>
      </c>
      <c r="P97" s="857"/>
      <c r="Q97" s="857"/>
      <c r="R97" s="857"/>
      <c r="S97"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8000</v>
      </c>
      <c r="T97" s="861">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97" s="859">
        <f>الجدول4[[#This Row],[مبلغ الايجار]]-الجدول4[[#This Row],[المبلغ المدفوع]]</f>
        <v>4000</v>
      </c>
      <c r="V97" s="859">
        <f ca="1">SUMIFS(الجدول3[مبلغ الدفعة], الجدول3[حساب الدفع], "مرفوعة في ناجز", الجدول3[رقم العقد], الجدول4[[#This Row],[رقم العقد]], الجدول3[اسم المستاجر], الجدول4[[#This Row],[اسم المستاجر]])</f>
        <v>0</v>
      </c>
      <c r="W97" s="859"/>
      <c r="X97" s="859"/>
      <c r="Y97" s="859"/>
      <c r="Z97" s="859"/>
      <c r="AA97" s="859"/>
      <c r="AB97" s="859"/>
      <c r="AC97" s="859"/>
      <c r="AD97" s="859"/>
      <c r="AE97" s="859"/>
      <c r="AF97" s="859"/>
      <c r="AG97" s="859"/>
      <c r="AH97" s="859"/>
      <c r="AI97" s="859"/>
      <c r="AJ97" s="859"/>
      <c r="AK97" s="859"/>
      <c r="AL97" s="859"/>
      <c r="AM97" s="859"/>
      <c r="AN97" s="859"/>
      <c r="AO97" s="859"/>
      <c r="AP97" s="859"/>
      <c r="AQ97" s="859"/>
      <c r="AR97" s="859"/>
      <c r="AS97" s="859"/>
      <c r="AT97" s="859"/>
      <c r="AU97" s="859"/>
      <c r="AV97" s="859"/>
      <c r="AW97" s="859"/>
      <c r="AX97" s="859"/>
      <c r="AY97" s="859"/>
      <c r="AZ97" s="859"/>
      <c r="BA97" s="859"/>
      <c r="BB97" s="859"/>
      <c r="BC97" s="859"/>
      <c r="BD97" s="859"/>
      <c r="BE97" s="859"/>
      <c r="BF97" s="859"/>
      <c r="BG97" s="859"/>
      <c r="BH97" s="859"/>
      <c r="BI97" s="859"/>
      <c r="BJ97" s="859"/>
      <c r="BK97" s="859"/>
      <c r="BL97" s="859"/>
      <c r="BM97" s="859"/>
      <c r="BN97" s="859"/>
      <c r="BO97" s="859"/>
      <c r="BP97" s="859"/>
      <c r="BQ97" s="859"/>
    </row>
    <row r="98" spans="1:69" hidden="1">
      <c r="A98" s="855">
        <v>92</v>
      </c>
      <c r="B98" s="855" t="s">
        <v>31</v>
      </c>
      <c r="C98" s="855">
        <v>102</v>
      </c>
      <c r="D98" s="856">
        <f ca="1">الجدول4[[#This Row],[تاريخ نهاية العقد]]-'Payments and Repayments'!B$1</f>
        <v>41</v>
      </c>
      <c r="E98" s="4" t="s">
        <v>1059</v>
      </c>
      <c r="F98" s="4">
        <v>1143829784</v>
      </c>
      <c r="G98" s="4">
        <v>593073751</v>
      </c>
      <c r="H98" s="857"/>
      <c r="I98" s="4">
        <v>10727058896</v>
      </c>
      <c r="J98" s="4">
        <v>1</v>
      </c>
      <c r="K98" s="4">
        <v>10500</v>
      </c>
      <c r="L98" s="4">
        <v>3</v>
      </c>
      <c r="M98" s="859">
        <f t="shared" si="4"/>
        <v>3500</v>
      </c>
      <c r="N98" s="930">
        <v>46274</v>
      </c>
      <c r="O98" s="867">
        <f t="shared" si="5"/>
        <v>46364</v>
      </c>
      <c r="P98" s="857"/>
      <c r="Q98" s="857"/>
      <c r="R98" s="857"/>
      <c r="S98"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0</v>
      </c>
      <c r="T98" s="861">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98" s="859">
        <f>الجدول4[[#This Row],[مبلغ الايجار]]-الجدول4[[#This Row],[المبلغ المدفوع]]</f>
        <v>10500</v>
      </c>
      <c r="V98" s="859">
        <f ca="1">SUMIFS(الجدول3[مبلغ الدفعة], الجدول3[حساب الدفع], "مرفوعة في ناجز", الجدول3[رقم العقد], الجدول4[[#This Row],[رقم العقد]], الجدول3[اسم المستاجر], الجدول4[[#This Row],[اسم المستاجر]])</f>
        <v>0</v>
      </c>
      <c r="W98" s="859"/>
      <c r="X98" s="859"/>
      <c r="Y98" s="859"/>
      <c r="Z98" s="859"/>
      <c r="AA98" s="859"/>
      <c r="AB98" s="859"/>
      <c r="AC98" s="859"/>
      <c r="AD98" s="859"/>
      <c r="AE98" s="859"/>
      <c r="AF98" s="859"/>
      <c r="AG98" s="859"/>
      <c r="AH98" s="859"/>
      <c r="AI98" s="859"/>
      <c r="AJ98" s="859"/>
      <c r="AK98" s="859"/>
      <c r="AL98" s="859"/>
      <c r="AM98" s="859"/>
      <c r="AN98" s="859"/>
      <c r="AO98" s="859"/>
      <c r="AP98" s="859"/>
      <c r="AQ98" s="859"/>
      <c r="AR98" s="859"/>
      <c r="AS98" s="859"/>
      <c r="AT98" s="859"/>
      <c r="AU98" s="859"/>
      <c r="AV98" s="859"/>
      <c r="AW98" s="859"/>
      <c r="AX98" s="859"/>
      <c r="AY98" s="859"/>
      <c r="AZ98" s="859"/>
      <c r="BA98" s="859"/>
      <c r="BB98" s="859"/>
      <c r="BC98" s="859"/>
      <c r="BD98" s="859"/>
      <c r="BE98" s="859"/>
      <c r="BF98" s="859"/>
      <c r="BG98" s="859"/>
      <c r="BH98" s="859"/>
      <c r="BI98" s="859"/>
      <c r="BJ98" s="859"/>
      <c r="BK98" s="859"/>
      <c r="BL98" s="859"/>
      <c r="BM98" s="859"/>
      <c r="BN98" s="859"/>
      <c r="BO98" s="859"/>
      <c r="BP98" s="859"/>
      <c r="BQ98" s="859"/>
    </row>
    <row r="99" spans="1:69" hidden="1">
      <c r="A99" s="855">
        <v>93</v>
      </c>
      <c r="B99" s="855" t="s">
        <v>32</v>
      </c>
      <c r="C99" s="855">
        <v>102</v>
      </c>
      <c r="D99" s="856">
        <f ca="1">الجدول4[[#This Row],[تاريخ نهاية العقد]]-'Payments and Repayments'!B$1</f>
        <v>70</v>
      </c>
      <c r="E99" s="857" t="s">
        <v>1033</v>
      </c>
      <c r="F99" s="4">
        <v>2566342156</v>
      </c>
      <c r="G99" s="4">
        <v>573034457</v>
      </c>
      <c r="H99" s="857"/>
      <c r="I99" s="857">
        <v>10778617693</v>
      </c>
      <c r="J99" s="857">
        <v>1</v>
      </c>
      <c r="K99" s="857">
        <v>11400</v>
      </c>
      <c r="L99" s="857">
        <v>3</v>
      </c>
      <c r="M99" s="859">
        <f t="shared" si="4"/>
        <v>3800</v>
      </c>
      <c r="N99" s="866">
        <v>46302</v>
      </c>
      <c r="O99" s="867">
        <f t="shared" si="5"/>
        <v>46393</v>
      </c>
      <c r="P99" s="857"/>
      <c r="Q99" s="857"/>
      <c r="R99" s="857"/>
      <c r="S99"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3800</v>
      </c>
      <c r="T99" s="861">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99" s="859">
        <f>الجدول4[[#This Row],[مبلغ الايجار]]-الجدول4[[#This Row],[المبلغ المدفوع]]</f>
        <v>7600</v>
      </c>
      <c r="V99" s="859">
        <f ca="1">SUMIFS(الجدول3[مبلغ الدفعة], الجدول3[حساب الدفع], "مرفوعة في ناجز", الجدول3[رقم العقد], الجدول4[[#This Row],[رقم العقد]], الجدول3[اسم المستاجر], الجدول4[[#This Row],[اسم المستاجر]])</f>
        <v>0</v>
      </c>
      <c r="W99" s="859"/>
      <c r="X99" s="859"/>
      <c r="Y99" s="859"/>
      <c r="Z99" s="859"/>
      <c r="AA99" s="859"/>
      <c r="AB99" s="859"/>
      <c r="AC99" s="859"/>
      <c r="AD99" s="859"/>
      <c r="AE99" s="859"/>
      <c r="AF99" s="859"/>
      <c r="AG99" s="859"/>
      <c r="AH99" s="859"/>
      <c r="AI99" s="859"/>
      <c r="AJ99" s="859"/>
      <c r="AK99" s="859"/>
      <c r="AL99" s="859"/>
      <c r="AM99" s="859"/>
      <c r="AN99" s="859"/>
      <c r="AO99" s="859"/>
      <c r="AP99" s="859"/>
      <c r="AQ99" s="859"/>
      <c r="AR99" s="859"/>
      <c r="AS99" s="859"/>
      <c r="AT99" s="859"/>
      <c r="AU99" s="859"/>
      <c r="AV99" s="859"/>
      <c r="AW99" s="859"/>
      <c r="AX99" s="859"/>
      <c r="AY99" s="859"/>
      <c r="AZ99" s="859"/>
      <c r="BA99" s="859"/>
      <c r="BB99" s="859"/>
      <c r="BC99" s="859"/>
      <c r="BD99" s="859"/>
      <c r="BE99" s="859"/>
      <c r="BF99" s="859"/>
      <c r="BG99" s="859"/>
      <c r="BH99" s="859"/>
      <c r="BI99" s="859"/>
      <c r="BJ99" s="859"/>
      <c r="BK99" s="859"/>
      <c r="BL99" s="859"/>
      <c r="BM99" s="859"/>
      <c r="BN99" s="859"/>
      <c r="BO99" s="859"/>
      <c r="BP99" s="859"/>
      <c r="BQ99" s="859"/>
    </row>
    <row r="100" spans="1:69" hidden="1">
      <c r="A100" s="855">
        <v>94</v>
      </c>
      <c r="B100" s="855" t="s">
        <v>979</v>
      </c>
      <c r="C100" s="855" t="s">
        <v>897</v>
      </c>
      <c r="D100" s="856">
        <f ca="1">الجدول4[[#This Row],[تاريخ نهاية العقد]]-'Payments and Repayments'!B$1</f>
        <v>64</v>
      </c>
      <c r="E100" s="857" t="s">
        <v>1065</v>
      </c>
      <c r="F100" s="865">
        <v>1135396958</v>
      </c>
      <c r="G100" s="857">
        <v>535245958</v>
      </c>
      <c r="H100" s="857"/>
      <c r="I100" s="857">
        <v>10683282170</v>
      </c>
      <c r="J100" s="857">
        <v>1</v>
      </c>
      <c r="K100" s="857">
        <v>5000</v>
      </c>
      <c r="L100" s="857">
        <v>2</v>
      </c>
      <c r="M100" s="859">
        <f t="shared" si="4"/>
        <v>2500</v>
      </c>
      <c r="N100" s="866">
        <v>46327</v>
      </c>
      <c r="O100" s="867">
        <f t="shared" si="5"/>
        <v>46387</v>
      </c>
      <c r="P100" s="857"/>
      <c r="Q100" s="857"/>
      <c r="R100" s="857"/>
      <c r="S100" s="861">
        <f>SUMIFS(الجدول3[المدفوع], الجدول3[رقم العقد], الجدول4[[#This Row],[رقم العقد]], الجدول3[اسم المستاجر], الجدول4[[#This Row],[اسم المستاجر]], الجدول3[المبني], الجدول4[[#This Row],[المبني]], الجدول3[الوحدة], الجدول4[[#This Row],[رقم الشقة]])</f>
        <v>0</v>
      </c>
      <c r="T100" s="861">
        <f ca="1">SUMIFS(الجدول3[المبلغ المستحق], الجدول3[اسم المستاجر], الجدول4[[#This Row],[اسم المستاجر]], الجدول3[رقم العقد], الجدول4[[#This Row],[رقم العقد]], الجدول3[الوحدة], الجدول4[[#This Row],[رقم الشقة]], الجدول3[المبني], الجدول4[[#This Row],[المبني]]) - الجدول4[[#This Row],[المبلغ المدفوع]]</f>
        <v>0</v>
      </c>
      <c r="U100" s="859">
        <f>الجدول4[[#This Row],[مبلغ الايجار]]-الجدول4[[#This Row],[المبلغ المدفوع]]</f>
        <v>5000</v>
      </c>
      <c r="V100" s="859">
        <f ca="1">SUMIFS(الجدول3[مبلغ الدفعة], الجدول3[حساب الدفع], "مرفوعة في ناجز", الجدول3[رقم العقد], الجدول4[[#This Row],[رقم العقد]], الجدول3[اسم المستاجر], الجدول4[[#This Row],[اسم المستاجر]])</f>
        <v>0</v>
      </c>
      <c r="W100" s="859"/>
      <c r="X100" s="859"/>
      <c r="Y100" s="859"/>
      <c r="Z100" s="859"/>
      <c r="AA100" s="859"/>
      <c r="AB100" s="859"/>
      <c r="AC100" s="859"/>
      <c r="AD100" s="859"/>
      <c r="AE100" s="859"/>
      <c r="AF100" s="859"/>
      <c r="AG100" s="859"/>
      <c r="AH100" s="859"/>
      <c r="AI100" s="859"/>
      <c r="AJ100" s="859"/>
      <c r="AK100" s="859"/>
      <c r="AL100" s="859"/>
      <c r="AM100" s="859"/>
      <c r="AN100" s="859"/>
      <c r="AO100" s="859"/>
      <c r="AP100" s="859"/>
      <c r="AQ100" s="859"/>
      <c r="AR100" s="859"/>
      <c r="AS100" s="859"/>
      <c r="AT100" s="859"/>
      <c r="AU100" s="859"/>
      <c r="AV100" s="859"/>
      <c r="AW100" s="859"/>
      <c r="AX100" s="859"/>
      <c r="AY100" s="859"/>
      <c r="AZ100" s="859"/>
      <c r="BA100" s="859"/>
      <c r="BB100" s="859"/>
      <c r="BC100" s="859"/>
      <c r="BD100" s="859"/>
      <c r="BE100" s="859"/>
      <c r="BF100" s="859"/>
      <c r="BG100" s="859"/>
      <c r="BH100" s="859"/>
      <c r="BI100" s="859"/>
      <c r="BJ100" s="859"/>
      <c r="BK100" s="859"/>
      <c r="BL100" s="859"/>
      <c r="BM100" s="859"/>
      <c r="BN100" s="859"/>
      <c r="BO100" s="859"/>
      <c r="BP100" s="859"/>
      <c r="BQ100" s="859"/>
    </row>
  </sheetData>
  <phoneticPr fontId="84"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0511628E-3CA8-4C0E-862C-6C8019A5CCD1}">
          <x14:formula1>
            <xm:f>Menus!$B$4:$B$88</xm:f>
          </x14:formula1>
          <xm:sqref>C7:C100</xm:sqref>
        </x14:dataValidation>
        <x14:dataValidation type="list" allowBlank="1" showInputMessage="1" showErrorMessage="1" xr:uid="{0E33EEEF-FACE-478D-8E0E-FEA3DB323ED1}">
          <x14:formula1>
            <xm:f>Menus!$J$4:$J$88</xm:f>
          </x14:formula1>
          <xm:sqref>B7:B100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9086-7BF4-4B01-9A39-BB7F0CCC9419}">
  <dimension ref="A1:D17"/>
  <sheetViews>
    <sheetView rightToLeft="1" tabSelected="1" workbookViewId="0">
      <selection activeCell="K21" sqref="K21"/>
    </sheetView>
  </sheetViews>
  <sheetFormatPr defaultRowHeight="15.5"/>
  <cols>
    <col min="1" max="1" width="4.3046875" style="737" bestFit="1" customWidth="1"/>
    <col min="2" max="2" width="3.84375" style="737" bestFit="1" customWidth="1"/>
    <col min="3" max="3" width="3.07421875" style="737" bestFit="1" customWidth="1"/>
    <col min="4" max="4" width="4" style="737" bestFit="1" customWidth="1"/>
    <col min="5" max="16384" width="9.23046875" style="737"/>
  </cols>
  <sheetData>
    <row r="1" spans="1:4">
      <c r="A1" s="737" t="s">
        <v>27</v>
      </c>
      <c r="B1" s="737">
        <v>102</v>
      </c>
      <c r="C1" s="737" t="s">
        <v>896</v>
      </c>
      <c r="D1" s="737" t="s">
        <v>897</v>
      </c>
    </row>
    <row r="2" spans="1:4">
      <c r="B2" s="737" t="s">
        <v>28</v>
      </c>
      <c r="C2" s="737" t="s">
        <v>980</v>
      </c>
      <c r="D2" s="737" t="s">
        <v>65</v>
      </c>
    </row>
    <row r="3" spans="1:4">
      <c r="B3" s="737" t="s">
        <v>29</v>
      </c>
      <c r="C3" s="737" t="s">
        <v>28</v>
      </c>
      <c r="D3" s="737" t="s">
        <v>66</v>
      </c>
    </row>
    <row r="4" spans="1:4">
      <c r="B4" s="737" t="s">
        <v>30</v>
      </c>
      <c r="C4" s="737" t="s">
        <v>29</v>
      </c>
      <c r="D4" s="737" t="s">
        <v>944</v>
      </c>
    </row>
    <row r="5" spans="1:4">
      <c r="B5" s="737" t="s">
        <v>31</v>
      </c>
      <c r="C5" s="737" t="s">
        <v>30</v>
      </c>
      <c r="D5" s="737" t="s">
        <v>945</v>
      </c>
    </row>
    <row r="6" spans="1:4">
      <c r="B6" s="737" t="s">
        <v>32</v>
      </c>
      <c r="C6" s="737" t="s">
        <v>31</v>
      </c>
      <c r="D6" s="737" t="s">
        <v>946</v>
      </c>
    </row>
    <row r="7" spans="1:4">
      <c r="B7" s="737" t="s">
        <v>33</v>
      </c>
      <c r="C7" s="737" t="s">
        <v>32</v>
      </c>
      <c r="D7" s="737" t="s">
        <v>947</v>
      </c>
    </row>
    <row r="8" spans="1:4">
      <c r="B8" s="737" t="s">
        <v>34</v>
      </c>
      <c r="C8" s="737" t="s">
        <v>33</v>
      </c>
      <c r="D8" s="737" t="s">
        <v>975</v>
      </c>
    </row>
    <row r="9" spans="1:4">
      <c r="B9" s="737" t="s">
        <v>35</v>
      </c>
      <c r="C9" s="737" t="s">
        <v>34</v>
      </c>
      <c r="D9" s="737" t="s">
        <v>976</v>
      </c>
    </row>
    <row r="10" spans="1:4">
      <c r="B10" s="737" t="s">
        <v>36</v>
      </c>
      <c r="C10" s="737" t="s">
        <v>35</v>
      </c>
      <c r="D10" s="737" t="s">
        <v>977</v>
      </c>
    </row>
    <row r="11" spans="1:4">
      <c r="B11" s="737" t="s">
        <v>37</v>
      </c>
      <c r="C11" s="737" t="s">
        <v>36</v>
      </c>
      <c r="D11" s="737" t="s">
        <v>992</v>
      </c>
    </row>
    <row r="12" spans="1:4">
      <c r="B12" s="737" t="s">
        <v>38</v>
      </c>
      <c r="C12" s="737" t="s">
        <v>37</v>
      </c>
      <c r="D12" s="737" t="s">
        <v>920</v>
      </c>
    </row>
    <row r="13" spans="1:4">
      <c r="B13" s="737" t="s">
        <v>39</v>
      </c>
      <c r="C13" s="737" t="s">
        <v>38</v>
      </c>
      <c r="D13" s="737" t="s">
        <v>918</v>
      </c>
    </row>
    <row r="14" spans="1:4">
      <c r="B14" s="737" t="s">
        <v>40</v>
      </c>
      <c r="C14" s="737" t="s">
        <v>39</v>
      </c>
      <c r="D14" s="737" t="s">
        <v>978</v>
      </c>
    </row>
    <row r="15" spans="1:4">
      <c r="B15" s="737" t="s">
        <v>1024</v>
      </c>
      <c r="C15" s="737" t="s">
        <v>40</v>
      </c>
      <c r="D15" s="737" t="s">
        <v>979</v>
      </c>
    </row>
    <row r="16" spans="1:4">
      <c r="B16" s="737" t="s">
        <v>1027</v>
      </c>
      <c r="D16" s="737" t="s">
        <v>919</v>
      </c>
    </row>
    <row r="17" spans="2:2">
      <c r="B17" s="737" t="s">
        <v>1015</v>
      </c>
    </row>
  </sheetData>
  <phoneticPr fontId="8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20B91-2977-4E67-91AE-28C7506704B4}">
  <sheetPr codeName="ورقة16"/>
  <dimension ref="A6:P544"/>
  <sheetViews>
    <sheetView rightToLeft="1" topLeftCell="A18" workbookViewId="0">
      <selection activeCell="K30" sqref="K30"/>
    </sheetView>
  </sheetViews>
  <sheetFormatPr defaultRowHeight="15.5"/>
  <cols>
    <col min="1" max="1" width="5.61328125" style="737" bestFit="1" customWidth="1"/>
    <col min="2" max="2" width="8.61328125" style="737" bestFit="1" customWidth="1"/>
    <col min="3" max="3" width="10.765625" style="737" bestFit="1" customWidth="1"/>
    <col min="4" max="4" width="11.921875" style="737" hidden="1" customWidth="1"/>
    <col min="5" max="5" width="8.3046875" style="737" hidden="1" customWidth="1"/>
    <col min="6" max="6" width="26.765625" style="737" hidden="1" customWidth="1"/>
    <col min="7" max="7" width="13.61328125" style="737" hidden="1" customWidth="1"/>
    <col min="8" max="8" width="17.921875" style="737" hidden="1" customWidth="1"/>
    <col min="9" max="9" width="8.3046875" style="737" bestFit="1" customWidth="1"/>
    <col min="10" max="10" width="13.15234375" style="737" hidden="1" customWidth="1"/>
    <col min="11" max="11" width="14.765625" style="737" bestFit="1" customWidth="1"/>
    <col min="12" max="12" width="28.07421875" style="737" customWidth="1"/>
    <col min="13" max="13" width="19.07421875" style="737" hidden="1" customWidth="1"/>
    <col min="14" max="14" width="14.61328125" style="737" hidden="1" customWidth="1"/>
    <col min="15" max="15" width="19.3046875" style="737" hidden="1" customWidth="1"/>
    <col min="16" max="16" width="12.4609375" style="737" bestFit="1" customWidth="1"/>
    <col min="17" max="16384" width="9.23046875" style="737"/>
  </cols>
  <sheetData>
    <row r="6" spans="1:16">
      <c r="A6" s="937" t="s">
        <v>168</v>
      </c>
      <c r="B6" s="937" t="s">
        <v>27</v>
      </c>
      <c r="C6" s="937" t="s">
        <v>6</v>
      </c>
      <c r="D6" s="938" t="s">
        <v>1066</v>
      </c>
      <c r="E6" s="939" t="s">
        <v>1067</v>
      </c>
      <c r="F6" s="939" t="s">
        <v>1068</v>
      </c>
      <c r="G6" s="939" t="s">
        <v>1069</v>
      </c>
      <c r="H6" s="939" t="s">
        <v>1070</v>
      </c>
      <c r="I6" s="939" t="s">
        <v>42</v>
      </c>
      <c r="J6" s="939" t="s">
        <v>601</v>
      </c>
      <c r="K6" s="939" t="s">
        <v>1071</v>
      </c>
      <c r="L6" s="939" t="s">
        <v>1072</v>
      </c>
      <c r="M6" s="939" t="s">
        <v>1073</v>
      </c>
      <c r="N6" s="939" t="s">
        <v>1074</v>
      </c>
      <c r="O6" s="939" t="s">
        <v>1075</v>
      </c>
      <c r="P6" s="939" t="s">
        <v>12</v>
      </c>
    </row>
    <row r="7" spans="1:16">
      <c r="A7" s="937"/>
      <c r="B7" s="937" cm="1">
        <f t="array" ref="B7">IF(P7="","",_xlfn.XLOOKUP(P7&amp;"",'Units Data'!$I$6:$I$10000&amp;"",'Units Data'!$C$6:$C$10000,"غير موجود",0))</f>
        <v>102</v>
      </c>
      <c r="C7" s="937" t="str" cm="1">
        <f t="array" ref="C7">IF(P7="","",_xlfn.XLOOKUP(P7&amp;"",'Units Data'!$I$6:$I$10000&amp;"",'Units Data'!$B$6:$B$10000,"غير موجود",0))</f>
        <v>F7</v>
      </c>
      <c r="D7" s="940">
        <v>46851861</v>
      </c>
      <c r="E7" s="941" t="s">
        <v>1076</v>
      </c>
      <c r="F7" s="941" t="s">
        <v>1077</v>
      </c>
      <c r="G7" s="941" t="s">
        <v>1078</v>
      </c>
      <c r="H7" s="941" t="s">
        <v>1079</v>
      </c>
      <c r="I7" s="941">
        <v>3875</v>
      </c>
      <c r="J7" s="944">
        <v>46320</v>
      </c>
      <c r="K7" s="944">
        <v>46318</v>
      </c>
      <c r="L7" s="946" t="s">
        <v>1055</v>
      </c>
      <c r="M7" s="941"/>
      <c r="N7" s="941" t="s">
        <v>1080</v>
      </c>
      <c r="O7" s="941" t="s">
        <v>1081</v>
      </c>
      <c r="P7" s="941" t="s">
        <v>1082</v>
      </c>
    </row>
    <row r="8" spans="1:16">
      <c r="A8" s="937"/>
      <c r="B8" s="937" t="str" cm="1">
        <f t="array" ref="B8">IF(P8="","",_xlfn.XLOOKUP(P8&amp;"",'Units Data'!$I$6:$I$10000&amp;"",'Units Data'!$C$6:$C$10000,"غير موجود",0))</f>
        <v>A</v>
      </c>
      <c r="C8" s="937" t="str" cm="1">
        <f t="array" ref="C8">IF(P8="","",_xlfn.XLOOKUP(P8&amp;"",'Units Data'!$I$6:$I$10000&amp;"",'Units Data'!$B$6:$B$10000,"غير موجود",0))</f>
        <v>F4</v>
      </c>
      <c r="D8" s="940">
        <v>46739747</v>
      </c>
      <c r="E8" s="941" t="s">
        <v>1076</v>
      </c>
      <c r="F8" s="941" t="s">
        <v>1077</v>
      </c>
      <c r="G8" s="941" t="s">
        <v>1078</v>
      </c>
      <c r="H8" s="941" t="s">
        <v>1083</v>
      </c>
      <c r="I8" s="941">
        <v>2000</v>
      </c>
      <c r="J8" s="944">
        <v>46316</v>
      </c>
      <c r="K8" s="944">
        <v>46314</v>
      </c>
      <c r="L8" s="946" t="s">
        <v>900</v>
      </c>
      <c r="M8" s="941"/>
      <c r="N8" s="941" t="s">
        <v>1084</v>
      </c>
      <c r="O8" s="941" t="s">
        <v>1085</v>
      </c>
      <c r="P8" s="941" t="s">
        <v>1086</v>
      </c>
    </row>
    <row r="9" spans="1:16">
      <c r="A9" s="937"/>
      <c r="B9" s="937" t="str" cm="1">
        <f t="array" ref="B9">IF(P9="","",_xlfn.XLOOKUP(P9&amp;"",'Units Data'!$I$6:$I$10000&amp;"",'Units Data'!$C$6:$C$10000,"غير موجود",0))</f>
        <v>A</v>
      </c>
      <c r="C9" s="937" t="str" cm="1">
        <f t="array" ref="C9">IF(P9="","",_xlfn.XLOOKUP(P9&amp;"",'Units Data'!$I$6:$I$10000&amp;"",'Units Data'!$B$6:$B$10000,"غير موجود",0))</f>
        <v>F0</v>
      </c>
      <c r="D9" s="940">
        <v>46686576</v>
      </c>
      <c r="E9" s="941" t="s">
        <v>1076</v>
      </c>
      <c r="F9" s="941" t="s">
        <v>1077</v>
      </c>
      <c r="G9" s="941" t="s">
        <v>1078</v>
      </c>
      <c r="H9" s="941" t="s">
        <v>1083</v>
      </c>
      <c r="I9" s="941">
        <v>1000</v>
      </c>
      <c r="J9" s="944">
        <v>46314</v>
      </c>
      <c r="K9" s="944">
        <v>46312</v>
      </c>
      <c r="L9" s="946" t="s">
        <v>990</v>
      </c>
      <c r="M9" s="941"/>
      <c r="N9" s="941" t="s">
        <v>1087</v>
      </c>
      <c r="O9" s="941" t="s">
        <v>1088</v>
      </c>
      <c r="P9" s="941" t="s">
        <v>1089</v>
      </c>
    </row>
    <row r="10" spans="1:16">
      <c r="A10" s="937"/>
      <c r="B10" s="937" t="str" cm="1">
        <f t="array" ref="B10">IF(P10="","",_xlfn.XLOOKUP(P10&amp;"",'Units Data'!$I$6:$I$10000&amp;"",'Units Data'!$C$6:$C$10000,"غير موجود",0))</f>
        <v>B</v>
      </c>
      <c r="C10" s="937" t="str" cm="1">
        <f t="array" ref="C10">IF(P10="","",_xlfn.XLOOKUP(P10&amp;"",'Units Data'!$I$6:$I$10000&amp;"",'Units Data'!$B$6:$B$10000,"غير موجود",0))</f>
        <v>A1</v>
      </c>
      <c r="D10" s="940">
        <v>46665638</v>
      </c>
      <c r="E10" s="941" t="s">
        <v>1076</v>
      </c>
      <c r="F10" s="941" t="s">
        <v>1077</v>
      </c>
      <c r="G10" s="941" t="s">
        <v>1078</v>
      </c>
      <c r="H10" s="941" t="s">
        <v>1079</v>
      </c>
      <c r="I10" s="941">
        <v>2000</v>
      </c>
      <c r="J10" s="944">
        <v>46313</v>
      </c>
      <c r="K10" s="944">
        <v>46311</v>
      </c>
      <c r="L10" s="946" t="s">
        <v>1090</v>
      </c>
      <c r="M10" s="941"/>
      <c r="N10" s="941" t="s">
        <v>1091</v>
      </c>
      <c r="O10" s="941" t="s">
        <v>1092</v>
      </c>
      <c r="P10" s="941" t="s">
        <v>1093</v>
      </c>
    </row>
    <row r="11" spans="1:16">
      <c r="A11" s="937"/>
      <c r="B11" s="937" cm="1">
        <f t="array" ref="B11">IF(P11="","",_xlfn.XLOOKUP(P11&amp;"",'Units Data'!$I$6:$I$10000&amp;"",'Units Data'!$C$6:$C$10000,"غير موجود",0))</f>
        <v>102</v>
      </c>
      <c r="C11" s="937" t="str" cm="1">
        <f t="array" ref="C11">IF(P11="","",_xlfn.XLOOKUP(P11&amp;"",'Units Data'!$I$6:$I$10000&amp;"",'Units Data'!$B$6:$B$10000,"غير موجود",0))</f>
        <v>F1</v>
      </c>
      <c r="D11" s="940">
        <v>46638262</v>
      </c>
      <c r="E11" s="941" t="s">
        <v>1076</v>
      </c>
      <c r="F11" s="941" t="s">
        <v>1077</v>
      </c>
      <c r="G11" s="941" t="s">
        <v>1078</v>
      </c>
      <c r="H11" s="941" t="s">
        <v>1079</v>
      </c>
      <c r="I11" s="941">
        <v>3500</v>
      </c>
      <c r="J11" s="944">
        <v>46311</v>
      </c>
      <c r="K11" s="944">
        <v>46310</v>
      </c>
      <c r="L11" s="946" t="s">
        <v>81</v>
      </c>
      <c r="M11" s="941"/>
      <c r="N11" s="941" t="s">
        <v>1094</v>
      </c>
      <c r="O11" s="941" t="s">
        <v>1095</v>
      </c>
      <c r="P11" s="941" t="s">
        <v>1096</v>
      </c>
    </row>
    <row r="12" spans="1:16">
      <c r="A12" s="937"/>
      <c r="B12" s="937" t="str" cm="1">
        <f t="array" ref="B12">IF(P12="","",_xlfn.XLOOKUP(P12&amp;"",'Units Data'!$I$6:$I$10000&amp;"",'Units Data'!$C$6:$C$10000,"غير موجود",0))</f>
        <v>غير موجود</v>
      </c>
      <c r="C12" s="937" t="str" cm="1">
        <f t="array" ref="C12">IF(P12="","",_xlfn.XLOOKUP(P12&amp;"",'Units Data'!$I$6:$I$10000&amp;"",'Units Data'!$B$6:$B$10000,"غير موجود",0))</f>
        <v>غير موجود</v>
      </c>
      <c r="D12" s="940">
        <v>46545542</v>
      </c>
      <c r="E12" s="941" t="s">
        <v>1076</v>
      </c>
      <c r="F12" s="941" t="s">
        <v>1077</v>
      </c>
      <c r="G12" s="941" t="s">
        <v>1078</v>
      </c>
      <c r="H12" s="941" t="s">
        <v>1083</v>
      </c>
      <c r="I12" s="941">
        <v>19000</v>
      </c>
      <c r="J12" s="944">
        <v>46309</v>
      </c>
      <c r="K12" s="944">
        <v>46307</v>
      </c>
      <c r="L12" s="941" t="s">
        <v>1097</v>
      </c>
      <c r="M12" s="941"/>
      <c r="N12" s="941" t="s">
        <v>1098</v>
      </c>
      <c r="O12" s="941" t="s">
        <v>1099</v>
      </c>
      <c r="P12" s="941" t="s">
        <v>1100</v>
      </c>
    </row>
    <row r="13" spans="1:16">
      <c r="A13" s="937"/>
      <c r="B13" s="937" t="str" cm="1">
        <f t="array" ref="B13">IF(P13="","",_xlfn.XLOOKUP(P13&amp;"",'Units Data'!$I$6:$I$10000&amp;"",'Units Data'!$C$6:$C$10000,"غير موجود",0))</f>
        <v>غير موجود</v>
      </c>
      <c r="C13" s="937" t="str" cm="1">
        <f t="array" ref="C13">IF(P13="","",_xlfn.XLOOKUP(P13&amp;"",'Units Data'!$I$6:$I$10000&amp;"",'Units Data'!$B$6:$B$10000,"غير موجود",0))</f>
        <v>غير موجود</v>
      </c>
      <c r="D13" s="940">
        <v>46540698</v>
      </c>
      <c r="E13" s="941" t="s">
        <v>1076</v>
      </c>
      <c r="F13" s="941" t="s">
        <v>1077</v>
      </c>
      <c r="G13" s="941" t="s">
        <v>1078</v>
      </c>
      <c r="H13" s="941" t="s">
        <v>1083</v>
      </c>
      <c r="I13" s="941">
        <v>67150</v>
      </c>
      <c r="J13" s="944">
        <v>46309</v>
      </c>
      <c r="K13" s="944">
        <v>46307</v>
      </c>
      <c r="L13" s="941" t="s">
        <v>1101</v>
      </c>
      <c r="M13" s="941"/>
      <c r="N13" s="941" t="s">
        <v>1102</v>
      </c>
      <c r="O13" s="941" t="s">
        <v>1099</v>
      </c>
      <c r="P13" s="941" t="s">
        <v>1103</v>
      </c>
    </row>
    <row r="14" spans="1:16">
      <c r="A14" s="937"/>
      <c r="B14" s="937" cm="1">
        <f t="array" ref="B14">IF(P14="","",_xlfn.XLOOKUP(P14&amp;"",'Units Data'!$I$6:$I$10000&amp;"",'Units Data'!$C$6:$C$10000,"غير موجود",0))</f>
        <v>102</v>
      </c>
      <c r="C14" s="937" t="str" cm="1">
        <f t="array" ref="C14">IF(P14="","",_xlfn.XLOOKUP(P14&amp;"",'Units Data'!$I$6:$I$10000&amp;"",'Units Data'!$B$6:$B$10000,"غير موجود",0))</f>
        <v>F5</v>
      </c>
      <c r="D14" s="940">
        <v>46524684</v>
      </c>
      <c r="E14" s="941" t="s">
        <v>1076</v>
      </c>
      <c r="F14" s="941" t="s">
        <v>1077</v>
      </c>
      <c r="G14" s="941" t="s">
        <v>1078</v>
      </c>
      <c r="H14" s="941" t="s">
        <v>1079</v>
      </c>
      <c r="I14" s="941">
        <v>3800</v>
      </c>
      <c r="J14" s="944">
        <v>46308</v>
      </c>
      <c r="K14" s="944">
        <v>46307</v>
      </c>
      <c r="L14" s="946" t="s">
        <v>1104</v>
      </c>
      <c r="M14" s="941"/>
      <c r="N14" s="941" t="s">
        <v>1105</v>
      </c>
      <c r="O14" s="941" t="s">
        <v>1081</v>
      </c>
      <c r="P14" s="941" t="s">
        <v>1106</v>
      </c>
    </row>
    <row r="15" spans="1:16">
      <c r="A15" s="937"/>
      <c r="B15" s="937" t="str" cm="1">
        <f t="array" ref="B15">IF(P15="","",_xlfn.XLOOKUP(P15&amp;"",'Units Data'!$I$6:$I$10000&amp;"",'Units Data'!$C$6:$C$10000,"غير موجود",0))</f>
        <v>B</v>
      </c>
      <c r="C15" s="937" t="str" cm="1">
        <f t="array" ref="C15">IF(P15="","",_xlfn.XLOOKUP(P15&amp;"",'Units Data'!$I$6:$I$10000&amp;"",'Units Data'!$B$6:$B$10000,"غير موجود",0))</f>
        <v>A7</v>
      </c>
      <c r="D15" s="940">
        <v>46493163</v>
      </c>
      <c r="E15" s="941" t="s">
        <v>1076</v>
      </c>
      <c r="F15" s="941" t="s">
        <v>1077</v>
      </c>
      <c r="G15" s="941" t="s">
        <v>1078</v>
      </c>
      <c r="H15" s="941" t="s">
        <v>1083</v>
      </c>
      <c r="I15" s="941">
        <v>1000</v>
      </c>
      <c r="J15" s="944">
        <v>46308</v>
      </c>
      <c r="K15" s="944">
        <v>46306</v>
      </c>
      <c r="L15" s="946" t="s">
        <v>989</v>
      </c>
      <c r="M15" s="941"/>
      <c r="N15" s="941" t="s">
        <v>1107</v>
      </c>
      <c r="O15" s="941" t="s">
        <v>1092</v>
      </c>
      <c r="P15" s="941" t="s">
        <v>1108</v>
      </c>
    </row>
    <row r="16" spans="1:16">
      <c r="A16" s="937"/>
      <c r="B16" s="937" t="str" cm="1">
        <f t="array" ref="B16">IF(P16="","",_xlfn.XLOOKUP(P16&amp;"",'Units Data'!$I$6:$I$10000&amp;"",'Units Data'!$C$6:$C$10000,"غير موجود",0))</f>
        <v>غير موجود</v>
      </c>
      <c r="C16" s="937" t="str" cm="1">
        <f t="array" ref="C16">IF(P16="","",_xlfn.XLOOKUP(P16&amp;"",'Units Data'!$I$6:$I$10000&amp;"",'Units Data'!$B$6:$B$10000,"غير موجود",0))</f>
        <v>غير موجود</v>
      </c>
      <c r="D16" s="940">
        <v>46489777</v>
      </c>
      <c r="E16" s="941" t="s">
        <v>1076</v>
      </c>
      <c r="F16" s="941" t="s">
        <v>1077</v>
      </c>
      <c r="G16" s="941" t="s">
        <v>1078</v>
      </c>
      <c r="H16" s="941" t="s">
        <v>1083</v>
      </c>
      <c r="I16" s="941">
        <v>4375</v>
      </c>
      <c r="J16" s="944">
        <v>46308</v>
      </c>
      <c r="K16" s="944">
        <v>46306</v>
      </c>
      <c r="L16" s="941" t="s">
        <v>1109</v>
      </c>
      <c r="M16" s="941"/>
      <c r="N16" s="941" t="s">
        <v>1110</v>
      </c>
      <c r="O16" s="941" t="s">
        <v>1111</v>
      </c>
      <c r="P16" s="941" t="s">
        <v>1112</v>
      </c>
    </row>
    <row r="17" spans="1:16">
      <c r="A17" s="937"/>
      <c r="B17" s="937" t="str" cm="1">
        <f t="array" ref="B17">IF(P17="","",_xlfn.XLOOKUP(P17&amp;"",'Units Data'!$I$6:$I$10000&amp;"",'Units Data'!$C$6:$C$10000,"غير موجود",0))</f>
        <v>B</v>
      </c>
      <c r="C17" s="937" t="str" cm="1">
        <f t="array" ref="C17">IF(P17="","",_xlfn.XLOOKUP(P17&amp;"",'Units Data'!$I$6:$I$10000&amp;"",'Units Data'!$B$6:$B$10000,"غير موجود",0))</f>
        <v>A6</v>
      </c>
      <c r="D17" s="940">
        <v>46470997</v>
      </c>
      <c r="E17" s="941" t="s">
        <v>1076</v>
      </c>
      <c r="F17" s="941" t="s">
        <v>1077</v>
      </c>
      <c r="G17" s="941" t="s">
        <v>1078</v>
      </c>
      <c r="H17" s="941" t="s">
        <v>1083</v>
      </c>
      <c r="I17" s="941">
        <v>2000</v>
      </c>
      <c r="J17" s="944">
        <v>46307</v>
      </c>
      <c r="K17" s="944">
        <v>46305</v>
      </c>
      <c r="L17" s="946" t="s">
        <v>1113</v>
      </c>
      <c r="M17" s="941"/>
      <c r="N17" s="941" t="s">
        <v>1114</v>
      </c>
      <c r="O17" s="941" t="s">
        <v>1092</v>
      </c>
      <c r="P17" s="941" t="s">
        <v>1115</v>
      </c>
    </row>
    <row r="18" spans="1:16">
      <c r="A18" s="937"/>
      <c r="B18" s="937" t="str" cm="1">
        <f t="array" ref="B18">IF(P18="","",_xlfn.XLOOKUP(P18&amp;"",'Units Data'!$I$6:$I$10000&amp;"",'Units Data'!$C$6:$C$10000,"غير موجود",0))</f>
        <v>غير موجود</v>
      </c>
      <c r="C18" s="937" t="str" cm="1">
        <f t="array" ref="C18">IF(P18="","",_xlfn.XLOOKUP(P18&amp;"",'Units Data'!$I$6:$I$10000&amp;"",'Units Data'!$B$6:$B$10000,"غير موجود",0))</f>
        <v>غير موجود</v>
      </c>
      <c r="D18" s="940">
        <v>46466784</v>
      </c>
      <c r="E18" s="941" t="s">
        <v>1076</v>
      </c>
      <c r="F18" s="941" t="s">
        <v>1077</v>
      </c>
      <c r="G18" s="941" t="s">
        <v>1078</v>
      </c>
      <c r="H18" s="941" t="s">
        <v>1083</v>
      </c>
      <c r="I18" s="941">
        <v>1000</v>
      </c>
      <c r="J18" s="944">
        <v>46307</v>
      </c>
      <c r="K18" s="944">
        <v>46305</v>
      </c>
      <c r="L18" s="941" t="s">
        <v>1116</v>
      </c>
      <c r="M18" s="941"/>
      <c r="N18" s="941" t="s">
        <v>1117</v>
      </c>
      <c r="O18" s="941" t="s">
        <v>1118</v>
      </c>
      <c r="P18" s="941" t="s">
        <v>1119</v>
      </c>
    </row>
    <row r="19" spans="1:16">
      <c r="A19" s="937"/>
      <c r="B19" s="937" t="str" cm="1">
        <f t="array" ref="B19">IF(P19="","",_xlfn.XLOOKUP(P19&amp;"",'Units Data'!$I$6:$I$10000&amp;"",'Units Data'!$C$6:$C$10000,"غير موجود",0))</f>
        <v>غير موجود</v>
      </c>
      <c r="C19" s="937" t="str" cm="1">
        <f t="array" ref="C19">IF(P19="","",_xlfn.XLOOKUP(P19&amp;"",'Units Data'!$I$6:$I$10000&amp;"",'Units Data'!$B$6:$B$10000,"غير موجود",0))</f>
        <v>غير موجود</v>
      </c>
      <c r="D19" s="940">
        <v>46465745</v>
      </c>
      <c r="E19" s="941" t="s">
        <v>1076</v>
      </c>
      <c r="F19" s="941" t="s">
        <v>1077</v>
      </c>
      <c r="G19" s="941" t="s">
        <v>1078</v>
      </c>
      <c r="H19" s="941" t="s">
        <v>1083</v>
      </c>
      <c r="I19" s="941">
        <v>1000</v>
      </c>
      <c r="J19" s="944">
        <v>46307</v>
      </c>
      <c r="K19" s="944">
        <v>46305</v>
      </c>
      <c r="L19" s="941" t="s">
        <v>1120</v>
      </c>
      <c r="M19" s="941"/>
      <c r="N19" s="941" t="s">
        <v>1121</v>
      </c>
      <c r="O19" s="941" t="s">
        <v>1122</v>
      </c>
      <c r="P19" s="941" t="s">
        <v>1123</v>
      </c>
    </row>
    <row r="20" spans="1:16">
      <c r="A20" s="937"/>
      <c r="B20" s="937" cm="1">
        <f t="array" ref="B20">IF(P20="","",_xlfn.XLOOKUP(P20&amp;"",'Units Data'!$I$6:$I$10000&amp;"",'Units Data'!$C$6:$C$10000,"غير موجود",0))</f>
        <v>102</v>
      </c>
      <c r="C20" s="937" t="str" cm="1">
        <f t="array" ref="C20">IF(P20="","",_xlfn.XLOOKUP(P20&amp;"",'Units Data'!$I$6:$I$10000&amp;"",'Units Data'!$B$6:$B$10000,"غير موجود",0))</f>
        <v>F4</v>
      </c>
      <c r="D20" s="940">
        <v>46439316</v>
      </c>
      <c r="E20" s="941" t="s">
        <v>1076</v>
      </c>
      <c r="F20" s="941" t="s">
        <v>1077</v>
      </c>
      <c r="G20" s="941" t="s">
        <v>1078</v>
      </c>
      <c r="H20" s="941" t="s">
        <v>1079</v>
      </c>
      <c r="I20" s="941">
        <v>3500</v>
      </c>
      <c r="J20" s="944">
        <v>46306</v>
      </c>
      <c r="K20" s="944">
        <v>46305</v>
      </c>
      <c r="L20" s="946" t="s">
        <v>1056</v>
      </c>
      <c r="M20" s="941"/>
      <c r="N20" s="941" t="s">
        <v>1124</v>
      </c>
      <c r="O20" s="941" t="s">
        <v>1081</v>
      </c>
      <c r="P20" s="941" t="s">
        <v>1125</v>
      </c>
    </row>
    <row r="21" spans="1:16">
      <c r="A21" s="937"/>
      <c r="B21" s="937" t="str" cm="1">
        <f t="array" ref="B21">IF(P21="","",_xlfn.XLOOKUP(P21&amp;"",'Units Data'!$I$6:$I$10000&amp;"",'Units Data'!$C$6:$C$10000,"غير موجود",0))</f>
        <v>غير موجود</v>
      </c>
      <c r="C21" s="937" t="str" cm="1">
        <f t="array" ref="C21">IF(P21="","",_xlfn.XLOOKUP(P21&amp;"",'Units Data'!$I$6:$I$10000&amp;"",'Units Data'!$B$6:$B$10000,"غير موجود",0))</f>
        <v>غير موجود</v>
      </c>
      <c r="D21" s="940">
        <v>46402815</v>
      </c>
      <c r="E21" s="941" t="s">
        <v>1076</v>
      </c>
      <c r="F21" s="941" t="s">
        <v>1077</v>
      </c>
      <c r="G21" s="941" t="s">
        <v>1078</v>
      </c>
      <c r="H21" s="941" t="s">
        <v>1079</v>
      </c>
      <c r="I21" s="941">
        <v>4000</v>
      </c>
      <c r="J21" s="944">
        <v>46305</v>
      </c>
      <c r="K21" s="944">
        <v>46303</v>
      </c>
      <c r="L21" s="941" t="s">
        <v>1126</v>
      </c>
      <c r="M21" s="941"/>
      <c r="N21" s="941" t="s">
        <v>1127</v>
      </c>
      <c r="O21" s="941" t="s">
        <v>1095</v>
      </c>
      <c r="P21" s="941" t="s">
        <v>1128</v>
      </c>
    </row>
    <row r="22" spans="1:16">
      <c r="A22" s="937"/>
      <c r="B22" s="937" cm="1">
        <f t="array" ref="B22">IF(P22="","",_xlfn.XLOOKUP(P22&amp;"",'Units Data'!$I$6:$I$10000&amp;"",'Units Data'!$C$6:$C$10000,"غير موجود",0))</f>
        <v>102</v>
      </c>
      <c r="C22" s="937" t="str" cm="1">
        <f t="array" ref="C22">IF(P22="","",_xlfn.XLOOKUP(P22&amp;"",'Units Data'!$I$6:$I$10000&amp;"",'Units Data'!$B$6:$B$10000,"غير موجود",0))</f>
        <v>F6</v>
      </c>
      <c r="D22" s="940">
        <v>46370038</v>
      </c>
      <c r="E22" s="941" t="s">
        <v>1076</v>
      </c>
      <c r="F22" s="941" t="s">
        <v>1077</v>
      </c>
      <c r="G22" s="941" t="s">
        <v>1078</v>
      </c>
      <c r="H22" s="941" t="s">
        <v>1083</v>
      </c>
      <c r="I22" s="941">
        <v>3500</v>
      </c>
      <c r="J22" s="944">
        <v>46305</v>
      </c>
      <c r="K22" s="944">
        <v>46302</v>
      </c>
      <c r="L22" s="946" t="s">
        <v>1044</v>
      </c>
      <c r="M22" s="941"/>
      <c r="N22" s="941" t="s">
        <v>1129</v>
      </c>
      <c r="O22" s="941" t="s">
        <v>1081</v>
      </c>
      <c r="P22" s="941" t="s">
        <v>1130</v>
      </c>
    </row>
    <row r="23" spans="1:16">
      <c r="A23" s="937"/>
      <c r="B23" s="937" t="str" cm="1">
        <f t="array" ref="B23">IF(P23="","",_xlfn.XLOOKUP(P23&amp;"",'Units Data'!$I$6:$I$10000&amp;"",'Units Data'!$C$6:$C$10000,"غير موجود",0))</f>
        <v>A</v>
      </c>
      <c r="C23" s="937" t="str" cm="1">
        <f t="array" ref="C23">IF(P23="","",_xlfn.XLOOKUP(P23&amp;"",'Units Data'!$I$6:$I$10000&amp;"",'Units Data'!$B$6:$B$10000,"غير موجود",0))</f>
        <v>F7</v>
      </c>
      <c r="D23" s="940">
        <v>46353854</v>
      </c>
      <c r="E23" s="941" t="s">
        <v>1076</v>
      </c>
      <c r="F23" s="941" t="s">
        <v>1077</v>
      </c>
      <c r="G23" s="941" t="s">
        <v>1078</v>
      </c>
      <c r="H23" s="941" t="s">
        <v>1083</v>
      </c>
      <c r="I23" s="941">
        <v>1900</v>
      </c>
      <c r="J23" s="944">
        <v>46305</v>
      </c>
      <c r="K23" s="944">
        <v>46302</v>
      </c>
      <c r="L23" s="946" t="s">
        <v>951</v>
      </c>
      <c r="M23" s="941"/>
      <c r="N23" s="941" t="s">
        <v>1131</v>
      </c>
      <c r="O23" s="941" t="s">
        <v>1085</v>
      </c>
      <c r="P23" s="941" t="s">
        <v>1132</v>
      </c>
    </row>
    <row r="24" spans="1:16">
      <c r="A24" s="937"/>
      <c r="B24" s="937" t="str" cm="1">
        <f t="array" ref="B24">IF(P24="","",_xlfn.XLOOKUP(P24&amp;"",'Units Data'!$I$6:$I$10000&amp;"",'Units Data'!$C$6:$C$10000,"غير موجود",0))</f>
        <v>B</v>
      </c>
      <c r="C24" s="937" t="str" cm="1">
        <f t="array" ref="C24">IF(P24="","",_xlfn.XLOOKUP(P24&amp;"",'Units Data'!$I$6:$I$10000&amp;"",'Units Data'!$B$6:$B$10000,"غير موجود",0))</f>
        <v>R4</v>
      </c>
      <c r="D24" s="940">
        <v>46205719</v>
      </c>
      <c r="E24" s="941" t="s">
        <v>1076</v>
      </c>
      <c r="F24" s="941" t="s">
        <v>1077</v>
      </c>
      <c r="G24" s="941" t="s">
        <v>1078</v>
      </c>
      <c r="H24" s="941" t="s">
        <v>1079</v>
      </c>
      <c r="I24" s="941">
        <v>2500</v>
      </c>
      <c r="J24" s="944">
        <v>46301</v>
      </c>
      <c r="K24" s="944">
        <v>46299</v>
      </c>
      <c r="L24" s="946" t="s">
        <v>1133</v>
      </c>
      <c r="M24" s="941"/>
      <c r="N24" s="941" t="s">
        <v>1134</v>
      </c>
      <c r="O24" s="941" t="s">
        <v>1092</v>
      </c>
      <c r="P24" s="941" t="s">
        <v>1135</v>
      </c>
    </row>
    <row r="25" spans="1:16">
      <c r="A25" s="937"/>
      <c r="B25" s="937" cm="1">
        <f t="array" ref="B25">IF(P25="","",_xlfn.XLOOKUP(P25&amp;"",'Units Data'!$I$6:$I$10000&amp;"",'Units Data'!$C$6:$C$10000,"غير موجود",0))</f>
        <v>102</v>
      </c>
      <c r="C25" s="937" t="str" cm="1">
        <f t="array" ref="C25">IF(P25="","",_xlfn.XLOOKUP(P25&amp;"",'Units Data'!$I$6:$I$10000&amp;"",'Units Data'!$B$6:$B$10000,"غير موجود",0))</f>
        <v>S3</v>
      </c>
      <c r="D25" s="940">
        <v>46179688</v>
      </c>
      <c r="E25" s="941" t="s">
        <v>1076</v>
      </c>
      <c r="F25" s="941" t="s">
        <v>1077</v>
      </c>
      <c r="G25" s="941" t="s">
        <v>1078</v>
      </c>
      <c r="H25" s="941" t="s">
        <v>1083</v>
      </c>
      <c r="I25" s="941">
        <v>3200</v>
      </c>
      <c r="J25" s="944">
        <v>46301</v>
      </c>
      <c r="K25" s="944">
        <v>46299</v>
      </c>
      <c r="L25" s="946" t="s">
        <v>1046</v>
      </c>
      <c r="M25" s="941"/>
      <c r="N25" s="941" t="s">
        <v>1136</v>
      </c>
      <c r="O25" s="941" t="s">
        <v>1095</v>
      </c>
      <c r="P25" s="941" t="s">
        <v>1137</v>
      </c>
    </row>
    <row r="26" spans="1:16">
      <c r="A26" s="937"/>
      <c r="B26" s="937" cm="1">
        <f t="array" ref="B26">IF(P26="","",_xlfn.XLOOKUP(P26&amp;"",'Units Data'!$I$6:$I$10000&amp;"",'Units Data'!$C$6:$C$10000,"غير موجود",0))</f>
        <v>102</v>
      </c>
      <c r="C26" s="937" t="str" cm="1">
        <f t="array" ref="C26">IF(P26="","",_xlfn.XLOOKUP(P26&amp;"",'Units Data'!$I$6:$I$10000&amp;"",'Units Data'!$B$6:$B$10000,"غير موجود",0))</f>
        <v>F5</v>
      </c>
      <c r="D26" s="940">
        <v>46163400</v>
      </c>
      <c r="E26" s="941" t="s">
        <v>1076</v>
      </c>
      <c r="F26" s="941" t="s">
        <v>1077</v>
      </c>
      <c r="G26" s="941" t="s">
        <v>1078</v>
      </c>
      <c r="H26" s="941" t="s">
        <v>1083</v>
      </c>
      <c r="I26" s="941">
        <v>399</v>
      </c>
      <c r="J26" s="944">
        <v>46301</v>
      </c>
      <c r="K26" s="944">
        <v>46298</v>
      </c>
      <c r="L26" s="946" t="s">
        <v>1104</v>
      </c>
      <c r="M26" s="941"/>
      <c r="N26" s="941" t="s">
        <v>1138</v>
      </c>
      <c r="O26" s="941" t="s">
        <v>1081</v>
      </c>
      <c r="P26" s="941" t="s">
        <v>1139</v>
      </c>
    </row>
    <row r="27" spans="1:16">
      <c r="A27" s="937"/>
      <c r="B27" s="937" t="str" cm="1">
        <f t="array" ref="B27">IF(P27="","",_xlfn.XLOOKUP(P27&amp;"",'Units Data'!$I$6:$I$10000&amp;"",'Units Data'!$C$6:$C$10000,"غير موجود",0))</f>
        <v>A</v>
      </c>
      <c r="C27" s="937" t="str" cm="1">
        <f t="array" ref="C27">IF(P27="","",_xlfn.XLOOKUP(P27&amp;"",'Units Data'!$I$6:$I$10000&amp;"",'Units Data'!$B$6:$B$10000,"غير موجود",0))</f>
        <v>F3</v>
      </c>
      <c r="D27" s="940">
        <v>46161150</v>
      </c>
      <c r="E27" s="941" t="s">
        <v>1076</v>
      </c>
      <c r="F27" s="941" t="s">
        <v>1077</v>
      </c>
      <c r="G27" s="941" t="s">
        <v>1078</v>
      </c>
      <c r="H27" s="941" t="s">
        <v>1079</v>
      </c>
      <c r="I27" s="941">
        <v>1800</v>
      </c>
      <c r="J27" s="944">
        <v>46299</v>
      </c>
      <c r="K27" s="944">
        <v>46298</v>
      </c>
      <c r="L27" s="946" t="s">
        <v>1140</v>
      </c>
      <c r="M27" s="941"/>
      <c r="N27" s="941" t="s">
        <v>1141</v>
      </c>
      <c r="O27" s="941" t="s">
        <v>1085</v>
      </c>
      <c r="P27" s="941" t="s">
        <v>1142</v>
      </c>
    </row>
    <row r="28" spans="1:16">
      <c r="A28" s="937"/>
      <c r="B28" s="937" t="str" cm="1">
        <f t="array" ref="B28">IF(P28="","",_xlfn.XLOOKUP(P28&amp;"",'Units Data'!$I$6:$I$10000&amp;"",'Units Data'!$C$6:$C$10000,"غير موجود",0))</f>
        <v>A</v>
      </c>
      <c r="C28" s="937" t="str" cm="1">
        <f t="array" ref="C28">IF(P28="","",_xlfn.XLOOKUP(P28&amp;"",'Units Data'!$I$6:$I$10000&amp;"",'Units Data'!$B$6:$B$10000,"غير موجود",0))</f>
        <v>S3</v>
      </c>
      <c r="D28" s="940">
        <v>46155264</v>
      </c>
      <c r="E28" s="941" t="s">
        <v>1076</v>
      </c>
      <c r="F28" s="941" t="s">
        <v>1077</v>
      </c>
      <c r="G28" s="941" t="s">
        <v>1078</v>
      </c>
      <c r="H28" s="941" t="s">
        <v>1083</v>
      </c>
      <c r="I28" s="941">
        <v>2800</v>
      </c>
      <c r="J28" s="944">
        <v>46301</v>
      </c>
      <c r="K28" s="944">
        <v>46298</v>
      </c>
      <c r="L28" s="946" t="s">
        <v>1143</v>
      </c>
      <c r="M28" s="941"/>
      <c r="N28" s="941" t="s">
        <v>1144</v>
      </c>
      <c r="O28" s="941" t="s">
        <v>1085</v>
      </c>
      <c r="P28" s="941" t="s">
        <v>1145</v>
      </c>
    </row>
    <row r="29" spans="1:16">
      <c r="A29" s="937"/>
      <c r="B29" s="937" t="str" cm="1">
        <f t="array" ref="B29">IF(P29="","",_xlfn.XLOOKUP(P29&amp;"",'Units Data'!$I$6:$I$10000&amp;"",'Units Data'!$C$6:$C$10000,"غير موجود",0))</f>
        <v>غير موجود</v>
      </c>
      <c r="C29" s="937" t="str" cm="1">
        <f t="array" ref="C29">IF(P29="","",_xlfn.XLOOKUP(P29&amp;"",'Units Data'!$I$6:$I$10000&amp;"",'Units Data'!$B$6:$B$10000,"غير موجود",0))</f>
        <v>غير موجود</v>
      </c>
      <c r="D29" s="940">
        <v>46142942</v>
      </c>
      <c r="E29" s="941" t="s">
        <v>1076</v>
      </c>
      <c r="F29" s="941" t="s">
        <v>1077</v>
      </c>
      <c r="G29" s="941" t="s">
        <v>1078</v>
      </c>
      <c r="H29" s="941" t="s">
        <v>1079</v>
      </c>
      <c r="I29" s="941">
        <v>1000</v>
      </c>
      <c r="J29" s="944">
        <v>46299</v>
      </c>
      <c r="K29" s="944">
        <v>46298</v>
      </c>
      <c r="L29" s="941" t="s">
        <v>1146</v>
      </c>
      <c r="M29" s="941"/>
      <c r="N29" s="941" t="s">
        <v>1147</v>
      </c>
      <c r="O29" s="941" t="s">
        <v>1118</v>
      </c>
      <c r="P29" s="941" t="s">
        <v>1148</v>
      </c>
    </row>
    <row r="30" spans="1:16">
      <c r="A30" s="937"/>
      <c r="B30" s="937" cm="1">
        <f t="array" ref="B30">IF(P30="","",_xlfn.XLOOKUP(P30&amp;"",'Units Data'!$I$6:$I$10000&amp;"",'Units Data'!$C$6:$C$10000,"غير موجود",0))</f>
        <v>102</v>
      </c>
      <c r="C30" s="937" t="str" cm="1">
        <f t="array" ref="C30">IF(P30="","",_xlfn.XLOOKUP(P30&amp;"",'Units Data'!$I$6:$I$10000&amp;"",'Units Data'!$B$6:$B$10000,"غير موجود",0))</f>
        <v>F8</v>
      </c>
      <c r="D30" s="940">
        <v>46140226</v>
      </c>
      <c r="E30" s="941" t="s">
        <v>1076</v>
      </c>
      <c r="F30" s="941" t="s">
        <v>1077</v>
      </c>
      <c r="G30" s="941" t="s">
        <v>1078</v>
      </c>
      <c r="H30" s="941" t="s">
        <v>1079</v>
      </c>
      <c r="I30" s="941">
        <v>3250</v>
      </c>
      <c r="J30" s="944">
        <v>46299</v>
      </c>
      <c r="K30" s="944">
        <v>46298</v>
      </c>
      <c r="L30" s="946" t="s">
        <v>1043</v>
      </c>
      <c r="M30" s="941"/>
      <c r="N30" s="941" t="s">
        <v>1149</v>
      </c>
      <c r="O30" s="941" t="s">
        <v>1081</v>
      </c>
      <c r="P30" s="941" t="s">
        <v>1150</v>
      </c>
    </row>
    <row r="31" spans="1:16">
      <c r="A31" s="937"/>
      <c r="B31" s="937" t="str" cm="1">
        <f t="array" ref="B31">IF(P31="","",_xlfn.XLOOKUP(P31&amp;"",'Units Data'!$I$6:$I$10000&amp;"",'Units Data'!$C$6:$C$10000,"غير موجود",0))</f>
        <v>A</v>
      </c>
      <c r="C31" s="937" t="str" cm="1">
        <f t="array" ref="C31">IF(P31="","",_xlfn.XLOOKUP(P31&amp;"",'Units Data'!$I$6:$I$10000&amp;"",'Units Data'!$B$6:$B$10000,"غير موجود",0))</f>
        <v>F5</v>
      </c>
      <c r="D31" s="940">
        <v>46116189</v>
      </c>
      <c r="E31" s="941" t="s">
        <v>1076</v>
      </c>
      <c r="F31" s="941" t="s">
        <v>1077</v>
      </c>
      <c r="G31" s="941" t="s">
        <v>1078</v>
      </c>
      <c r="H31" s="941" t="s">
        <v>1083</v>
      </c>
      <c r="I31" s="941">
        <v>2000</v>
      </c>
      <c r="J31" s="944">
        <v>46301</v>
      </c>
      <c r="K31" s="944">
        <v>46297</v>
      </c>
      <c r="L31" s="946" t="s">
        <v>941</v>
      </c>
      <c r="M31" s="941"/>
      <c r="N31" s="941" t="s">
        <v>1151</v>
      </c>
      <c r="O31" s="941" t="s">
        <v>1085</v>
      </c>
      <c r="P31" s="941" t="s">
        <v>1152</v>
      </c>
    </row>
    <row r="32" spans="1:16">
      <c r="A32" s="937"/>
      <c r="B32" s="937" t="str" cm="1">
        <f t="array" ref="B32">IF(P32="","",_xlfn.XLOOKUP(P32&amp;"",'Units Data'!$I$6:$I$10000&amp;"",'Units Data'!$C$6:$C$10000,"غير موجود",0))</f>
        <v>غير موجود</v>
      </c>
      <c r="C32" s="937" t="str" cm="1">
        <f t="array" ref="C32">IF(P32="","",_xlfn.XLOOKUP(P32&amp;"",'Units Data'!$I$6:$I$10000&amp;"",'Units Data'!$B$6:$B$10000,"غير موجود",0))</f>
        <v>غير موجود</v>
      </c>
      <c r="D32" s="940">
        <v>46113292</v>
      </c>
      <c r="E32" s="941" t="s">
        <v>1076</v>
      </c>
      <c r="F32" s="941" t="s">
        <v>1077</v>
      </c>
      <c r="G32" s="941" t="s">
        <v>1078</v>
      </c>
      <c r="H32" s="941" t="s">
        <v>1083</v>
      </c>
      <c r="I32" s="941">
        <v>1000</v>
      </c>
      <c r="J32" s="944">
        <v>46301</v>
      </c>
      <c r="K32" s="944">
        <v>46297</v>
      </c>
      <c r="L32" s="941" t="s">
        <v>1153</v>
      </c>
      <c r="M32" s="941"/>
      <c r="N32" s="941" t="s">
        <v>1154</v>
      </c>
      <c r="O32" s="941" t="s">
        <v>1122</v>
      </c>
      <c r="P32" s="941" t="s">
        <v>1155</v>
      </c>
    </row>
    <row r="33" spans="1:16">
      <c r="A33" s="937"/>
      <c r="B33" s="937" t="str" cm="1">
        <f t="array" ref="B33">IF(P33="","",_xlfn.XLOOKUP(P33&amp;"",'Units Data'!$I$6:$I$10000&amp;"",'Units Data'!$C$6:$C$10000,"غير موجود",0))</f>
        <v>غير موجود</v>
      </c>
      <c r="C33" s="937" t="str" cm="1">
        <f t="array" ref="C33">IF(P33="","",_xlfn.XLOOKUP(P33&amp;"",'Units Data'!$I$6:$I$10000&amp;"",'Units Data'!$B$6:$B$10000,"غير موجود",0))</f>
        <v>غير موجود</v>
      </c>
      <c r="D33" s="940">
        <v>46103588</v>
      </c>
      <c r="E33" s="941" t="s">
        <v>1076</v>
      </c>
      <c r="F33" s="941" t="s">
        <v>1077</v>
      </c>
      <c r="G33" s="941" t="s">
        <v>1078</v>
      </c>
      <c r="H33" s="941" t="s">
        <v>1083</v>
      </c>
      <c r="I33" s="941">
        <v>1000</v>
      </c>
      <c r="J33" s="944">
        <v>46301</v>
      </c>
      <c r="K33" s="944">
        <v>46297</v>
      </c>
      <c r="L33" s="941" t="s">
        <v>1156</v>
      </c>
      <c r="M33" s="941"/>
      <c r="N33" s="941" t="s">
        <v>1157</v>
      </c>
      <c r="O33" s="941" t="s">
        <v>1118</v>
      </c>
      <c r="P33" s="941" t="s">
        <v>1158</v>
      </c>
    </row>
    <row r="34" spans="1:16">
      <c r="A34" s="937"/>
      <c r="B34" s="937" t="str" cm="1">
        <f t="array" ref="B34">IF(P34="","",_xlfn.XLOOKUP(P34&amp;"",'Units Data'!$I$6:$I$10000&amp;"",'Units Data'!$C$6:$C$10000,"غير موجود",0))</f>
        <v>غير موجود</v>
      </c>
      <c r="C34" s="937" t="str" cm="1">
        <f t="array" ref="C34">IF(P34="","",_xlfn.XLOOKUP(P34&amp;"",'Units Data'!$I$6:$I$10000&amp;"",'Units Data'!$B$6:$B$10000,"غير موجود",0))</f>
        <v>غير موجود</v>
      </c>
      <c r="D34" s="940">
        <v>46040276</v>
      </c>
      <c r="E34" s="941" t="s">
        <v>1076</v>
      </c>
      <c r="F34" s="941" t="s">
        <v>1077</v>
      </c>
      <c r="G34" s="941" t="s">
        <v>1078</v>
      </c>
      <c r="H34" s="941" t="s">
        <v>1083</v>
      </c>
      <c r="I34" s="941">
        <v>3000</v>
      </c>
      <c r="J34" s="944">
        <v>46301</v>
      </c>
      <c r="K34" s="944">
        <v>46296</v>
      </c>
      <c r="L34" s="941" t="s">
        <v>1159</v>
      </c>
      <c r="M34" s="941"/>
      <c r="N34" s="941" t="s">
        <v>1160</v>
      </c>
      <c r="O34" s="941" t="s">
        <v>1161</v>
      </c>
      <c r="P34" s="941" t="s">
        <v>1162</v>
      </c>
    </row>
    <row r="35" spans="1:16">
      <c r="A35" s="937"/>
      <c r="B35" s="937" t="str" cm="1">
        <f t="array" ref="B35">IF(P35="","",_xlfn.XLOOKUP(P35&amp;"",'Units Data'!$I$6:$I$10000&amp;"",'Units Data'!$C$6:$C$10000,"غير موجود",0))</f>
        <v>B</v>
      </c>
      <c r="C35" s="937" t="str" cm="1">
        <f t="array" ref="C35">IF(P35="","",_xlfn.XLOOKUP(P35&amp;"",'Units Data'!$I$6:$I$10000&amp;"",'Units Data'!$B$6:$B$10000,"غير موجود",0))</f>
        <v>A3</v>
      </c>
      <c r="D35" s="940">
        <v>45966540</v>
      </c>
      <c r="E35" s="941" t="s">
        <v>1076</v>
      </c>
      <c r="F35" s="941" t="s">
        <v>1077</v>
      </c>
      <c r="G35" s="941" t="s">
        <v>1078</v>
      </c>
      <c r="H35" s="941" t="s">
        <v>1079</v>
      </c>
      <c r="I35" s="941">
        <v>1800</v>
      </c>
      <c r="J35" s="944">
        <v>46297</v>
      </c>
      <c r="K35" s="944">
        <v>46296</v>
      </c>
      <c r="L35" s="946" t="s">
        <v>1140</v>
      </c>
      <c r="M35" s="941"/>
      <c r="N35" s="941" t="s">
        <v>1163</v>
      </c>
      <c r="O35" s="941" t="s">
        <v>1092</v>
      </c>
      <c r="P35" s="941" t="s">
        <v>1164</v>
      </c>
    </row>
    <row r="36" spans="1:16">
      <c r="A36" s="937"/>
      <c r="B36" s="937" t="str" cm="1">
        <f t="array" ref="B36">IF(P36="","",_xlfn.XLOOKUP(P36&amp;"",'Units Data'!$I$6:$I$10000&amp;"",'Units Data'!$C$6:$C$10000,"غير موجود",0))</f>
        <v>A</v>
      </c>
      <c r="C36" s="937" t="str" cm="1">
        <f t="array" ref="C36">IF(P36="","",_xlfn.XLOOKUP(P36&amp;"",'Units Data'!$I$6:$I$10000&amp;"",'Units Data'!$B$6:$B$10000,"غير موجود",0))</f>
        <v>F6</v>
      </c>
      <c r="D36" s="940">
        <v>45967438</v>
      </c>
      <c r="E36" s="941" t="s">
        <v>1076</v>
      </c>
      <c r="F36" s="941" t="s">
        <v>1077</v>
      </c>
      <c r="G36" s="941" t="s">
        <v>1078</v>
      </c>
      <c r="H36" s="941" t="s">
        <v>1083</v>
      </c>
      <c r="I36" s="941">
        <v>1000</v>
      </c>
      <c r="J36" s="944">
        <v>46301</v>
      </c>
      <c r="K36" s="944">
        <v>46296</v>
      </c>
      <c r="L36" s="946" t="s">
        <v>915</v>
      </c>
      <c r="M36" s="941"/>
      <c r="N36" s="941" t="s">
        <v>1165</v>
      </c>
      <c r="O36" s="941" t="s">
        <v>1085</v>
      </c>
      <c r="P36" s="941" t="s">
        <v>1166</v>
      </c>
    </row>
    <row r="37" spans="1:16">
      <c r="A37" s="937"/>
      <c r="B37" s="937" t="str" cm="1">
        <f t="array" ref="B37">IF(P37="","",_xlfn.XLOOKUP(P37&amp;"",'Units Data'!$I$6:$I$10000&amp;"",'Units Data'!$C$6:$C$10000,"غير موجود",0))</f>
        <v>A</v>
      </c>
      <c r="C37" s="937" t="str" cm="1">
        <f t="array" ref="C37">IF(P37="","",_xlfn.XLOOKUP(P37&amp;"",'Units Data'!$I$6:$I$10000&amp;"",'Units Data'!$B$6:$B$10000,"غير موجود",0))</f>
        <v>F1</v>
      </c>
      <c r="D37" s="940">
        <v>45863225</v>
      </c>
      <c r="E37" s="941" t="s">
        <v>1076</v>
      </c>
      <c r="F37" s="941" t="s">
        <v>1077</v>
      </c>
      <c r="G37" s="941" t="s">
        <v>1078</v>
      </c>
      <c r="H37" s="941" t="s">
        <v>1079</v>
      </c>
      <c r="I37" s="941">
        <v>2000</v>
      </c>
      <c r="J37" s="944">
        <v>46296</v>
      </c>
      <c r="K37" s="944">
        <v>46295</v>
      </c>
      <c r="L37" s="947" t="s">
        <v>924</v>
      </c>
      <c r="M37" s="941"/>
      <c r="N37" s="941" t="s">
        <v>1167</v>
      </c>
      <c r="O37" s="941" t="s">
        <v>1085</v>
      </c>
      <c r="P37" s="941" t="s">
        <v>1168</v>
      </c>
    </row>
    <row r="38" spans="1:16">
      <c r="A38" s="937"/>
      <c r="B38" s="937" cm="1">
        <f t="array" ref="B38">IF(P38="","",_xlfn.XLOOKUP(P38&amp;"",'Units Data'!$I$6:$I$10000&amp;"",'Units Data'!$C$6:$C$10000,"غير موجود",0))</f>
        <v>102</v>
      </c>
      <c r="C38" s="937" t="str" cm="1">
        <f t="array" ref="C38">IF(P38="","",_xlfn.XLOOKUP(P38&amp;"",'Units Data'!$I$6:$I$10000&amp;"",'Units Data'!$B$6:$B$10000,"غير موجود",0))</f>
        <v>S4</v>
      </c>
      <c r="D38" s="940">
        <v>45821873</v>
      </c>
      <c r="E38" s="941" t="s">
        <v>1076</v>
      </c>
      <c r="F38" s="941" t="s">
        <v>1077</v>
      </c>
      <c r="G38" s="941" t="s">
        <v>1078</v>
      </c>
      <c r="H38" s="941" t="s">
        <v>1083</v>
      </c>
      <c r="I38" s="941">
        <v>4000</v>
      </c>
      <c r="J38" s="944">
        <v>46296</v>
      </c>
      <c r="K38" s="944">
        <v>46294</v>
      </c>
      <c r="L38" s="947" t="s">
        <v>1058</v>
      </c>
      <c r="M38" s="941"/>
      <c r="N38" s="941" t="s">
        <v>1169</v>
      </c>
      <c r="O38" s="941" t="s">
        <v>1081</v>
      </c>
      <c r="P38" s="941" t="s">
        <v>1170</v>
      </c>
    </row>
    <row r="39" spans="1:16">
      <c r="A39" s="937"/>
      <c r="B39" s="937" t="str" cm="1">
        <f t="array" ref="B39">IF(P39="","",_xlfn.XLOOKUP(P39&amp;"",'Units Data'!$I$6:$I$10000&amp;"",'Units Data'!$C$6:$C$10000,"غير موجود",0))</f>
        <v>A</v>
      </c>
      <c r="C39" s="937" t="str" cm="1">
        <f t="array" ref="C39">IF(P39="","",_xlfn.XLOOKUP(P39&amp;"",'Units Data'!$I$6:$I$10000&amp;"",'Units Data'!$B$6:$B$10000,"غير موجود",0))</f>
        <v>S1</v>
      </c>
      <c r="D39" s="940">
        <v>45812986</v>
      </c>
      <c r="E39" s="941" t="s">
        <v>1076</v>
      </c>
      <c r="F39" s="941" t="s">
        <v>1077</v>
      </c>
      <c r="G39" s="941" t="s">
        <v>1078</v>
      </c>
      <c r="H39" s="941" t="s">
        <v>1079</v>
      </c>
      <c r="I39" s="941">
        <v>2500</v>
      </c>
      <c r="J39" s="944">
        <v>46295</v>
      </c>
      <c r="K39" s="944">
        <v>46294</v>
      </c>
      <c r="L39" s="947" t="s">
        <v>901</v>
      </c>
      <c r="M39" s="941"/>
      <c r="N39" s="941" t="s">
        <v>1171</v>
      </c>
      <c r="O39" s="941" t="s">
        <v>1085</v>
      </c>
      <c r="P39" s="941" t="s">
        <v>1172</v>
      </c>
    </row>
    <row r="40" spans="1:16">
      <c r="A40" s="937"/>
      <c r="B40" s="937" cm="1">
        <f t="array" ref="B40">IF(P40="","",_xlfn.XLOOKUP(P40&amp;"",'Units Data'!$I$6:$I$10000&amp;"",'Units Data'!$C$6:$C$10000,"غير موجود",0))</f>
        <v>102</v>
      </c>
      <c r="C40" s="937" t="str" cm="1">
        <f t="array" ref="C40">IF(P40="","",_xlfn.XLOOKUP(P40&amp;"",'Units Data'!$I$6:$I$10000&amp;"",'Units Data'!$B$6:$B$10000,"غير موجود",0))</f>
        <v>F2</v>
      </c>
      <c r="D40" s="940">
        <v>45785923</v>
      </c>
      <c r="E40" s="941" t="s">
        <v>1076</v>
      </c>
      <c r="F40" s="941" t="s">
        <v>1077</v>
      </c>
      <c r="G40" s="941" t="s">
        <v>1078</v>
      </c>
      <c r="H40" s="941" t="s">
        <v>1079</v>
      </c>
      <c r="I40" s="941">
        <v>3500</v>
      </c>
      <c r="J40" s="944">
        <v>46295</v>
      </c>
      <c r="K40" s="944">
        <v>46293</v>
      </c>
      <c r="L40" s="941" t="s">
        <v>1039</v>
      </c>
      <c r="M40" s="941"/>
      <c r="N40" s="941" t="s">
        <v>1173</v>
      </c>
      <c r="O40" s="941" t="s">
        <v>1081</v>
      </c>
      <c r="P40" s="941" t="s">
        <v>1174</v>
      </c>
    </row>
    <row r="41" spans="1:16">
      <c r="A41" s="937"/>
      <c r="B41" s="937" cm="1">
        <f t="array" ref="B41">IF(P41="","",_xlfn.XLOOKUP(P41&amp;"",'Units Data'!$I$6:$I$10000&amp;"",'Units Data'!$C$6:$C$10000,"غير موجود",0))</f>
        <v>102</v>
      </c>
      <c r="C41" s="937" t="str" cm="1">
        <f t="array" ref="C41">IF(P41="","",_xlfn.XLOOKUP(P41&amp;"",'Units Data'!$I$6:$I$10000&amp;"",'Units Data'!$B$6:$B$10000,"غير موجود",0))</f>
        <v>S6</v>
      </c>
      <c r="D41" s="940">
        <v>45742463</v>
      </c>
      <c r="E41" s="941" t="s">
        <v>1076</v>
      </c>
      <c r="F41" s="941" t="s">
        <v>1077</v>
      </c>
      <c r="G41" s="941" t="s">
        <v>1078</v>
      </c>
      <c r="H41" s="941" t="s">
        <v>1079</v>
      </c>
      <c r="I41" s="941">
        <v>4000</v>
      </c>
      <c r="J41" s="944">
        <v>46295</v>
      </c>
      <c r="K41" s="944">
        <v>46293</v>
      </c>
      <c r="L41" s="941" t="s">
        <v>994</v>
      </c>
      <c r="M41" s="941"/>
      <c r="N41" s="941" t="s">
        <v>1175</v>
      </c>
      <c r="O41" s="941" t="s">
        <v>1095</v>
      </c>
      <c r="P41" s="941" t="s">
        <v>1176</v>
      </c>
    </row>
    <row r="42" spans="1:16">
      <c r="A42" s="937"/>
      <c r="B42" s="937" t="str" cm="1">
        <f t="array" ref="B42">IF(P42="","",_xlfn.XLOOKUP(P42&amp;"",'Units Data'!$I$6:$I$10000&amp;"",'Units Data'!$C$6:$C$10000,"غير موجود",0))</f>
        <v>A</v>
      </c>
      <c r="C42" s="937" t="str" cm="1">
        <f t="array" ref="C42">IF(P42="","",_xlfn.XLOOKUP(P42&amp;"",'Units Data'!$I$6:$I$10000&amp;"",'Units Data'!$B$6:$B$10000,"غير موجود",0))</f>
        <v>S2</v>
      </c>
      <c r="D42" s="940">
        <v>45718544</v>
      </c>
      <c r="E42" s="941" t="s">
        <v>1076</v>
      </c>
      <c r="F42" s="941" t="s">
        <v>1077</v>
      </c>
      <c r="G42" s="941" t="s">
        <v>1078</v>
      </c>
      <c r="H42" s="941" t="s">
        <v>1083</v>
      </c>
      <c r="I42" s="941">
        <v>2800</v>
      </c>
      <c r="J42" s="944">
        <v>46295</v>
      </c>
      <c r="K42" s="944">
        <v>46292</v>
      </c>
      <c r="L42" s="941" t="s">
        <v>988</v>
      </c>
      <c r="M42" s="941"/>
      <c r="N42" s="941" t="s">
        <v>1177</v>
      </c>
      <c r="O42" s="941" t="s">
        <v>1085</v>
      </c>
      <c r="P42" s="941" t="s">
        <v>1178</v>
      </c>
    </row>
    <row r="43" spans="1:16">
      <c r="A43" s="937"/>
      <c r="B43" s="937" t="str" cm="1">
        <f t="array" ref="B43">IF(P43="","",_xlfn.XLOOKUP(P43&amp;"",'Units Data'!$I$6:$I$10000&amp;"",'Units Data'!$C$6:$C$10000,"غير موجود",0))</f>
        <v>غير موجود</v>
      </c>
      <c r="C43" s="937" t="str" cm="1">
        <f t="array" ref="C43">IF(P43="","",_xlfn.XLOOKUP(P43&amp;"",'Units Data'!$I$6:$I$10000&amp;"",'Units Data'!$B$6:$B$10000,"غير موجود",0))</f>
        <v>غير موجود</v>
      </c>
      <c r="D43" s="940">
        <v>45694742</v>
      </c>
      <c r="E43" s="941" t="s">
        <v>1076</v>
      </c>
      <c r="F43" s="941" t="s">
        <v>1077</v>
      </c>
      <c r="G43" s="941" t="s">
        <v>1078</v>
      </c>
      <c r="H43" s="941" t="s">
        <v>1083</v>
      </c>
      <c r="I43" s="941">
        <v>3000</v>
      </c>
      <c r="J43" s="944">
        <v>46295</v>
      </c>
      <c r="K43" s="944">
        <v>46292</v>
      </c>
      <c r="L43" s="941" t="s">
        <v>1179</v>
      </c>
      <c r="M43" s="941"/>
      <c r="N43" s="941" t="s">
        <v>1180</v>
      </c>
      <c r="O43" s="941" t="s">
        <v>1161</v>
      </c>
      <c r="P43" s="941" t="s">
        <v>1181</v>
      </c>
    </row>
    <row r="44" spans="1:16">
      <c r="A44" s="937"/>
      <c r="B44" s="937" t="str" cm="1">
        <f t="array" ref="B44">IF(P44="","",_xlfn.XLOOKUP(P44&amp;"",'Units Data'!$I$6:$I$10000&amp;"",'Units Data'!$C$6:$C$10000,"غير موجود",0))</f>
        <v>B</v>
      </c>
      <c r="C44" s="937" t="str" cm="1">
        <f t="array" ref="C44">IF(P44="","",_xlfn.XLOOKUP(P44&amp;"",'Units Data'!$I$6:$I$10000&amp;"",'Units Data'!$B$6:$B$10000,"غير موجود",0))</f>
        <v>A4</v>
      </c>
      <c r="D44" s="940">
        <v>45689738</v>
      </c>
      <c r="E44" s="941" t="s">
        <v>1076</v>
      </c>
      <c r="F44" s="941" t="s">
        <v>1077</v>
      </c>
      <c r="G44" s="941" t="s">
        <v>1078</v>
      </c>
      <c r="H44" s="941" t="s">
        <v>1083</v>
      </c>
      <c r="I44" s="941">
        <v>1900</v>
      </c>
      <c r="J44" s="944">
        <v>46295</v>
      </c>
      <c r="K44" s="944">
        <v>46292</v>
      </c>
      <c r="L44" s="941" t="s">
        <v>949</v>
      </c>
      <c r="M44" s="941"/>
      <c r="N44" s="941" t="s">
        <v>1182</v>
      </c>
      <c r="O44" s="941" t="s">
        <v>1092</v>
      </c>
      <c r="P44" s="941" t="s">
        <v>1183</v>
      </c>
    </row>
    <row r="45" spans="1:16">
      <c r="A45" s="937"/>
      <c r="B45" s="937" t="str" cm="1">
        <f t="array" ref="B45">IF(P45="","",_xlfn.XLOOKUP(P45&amp;"",'Units Data'!$I$6:$I$10000&amp;"",'Units Data'!$C$6:$C$10000,"غير موجود",0))</f>
        <v>A</v>
      </c>
      <c r="C45" s="937" t="str" cm="1">
        <f t="array" ref="C45">IF(P45="","",_xlfn.XLOOKUP(P45&amp;"",'Units Data'!$I$6:$I$10000&amp;"",'Units Data'!$B$6:$B$10000,"غير موجود",0))</f>
        <v>F9</v>
      </c>
      <c r="D45" s="940">
        <v>45607743</v>
      </c>
      <c r="E45" s="941" t="s">
        <v>1076</v>
      </c>
      <c r="F45" s="941" t="s">
        <v>1077</v>
      </c>
      <c r="G45" s="941" t="s">
        <v>1078</v>
      </c>
      <c r="H45" s="941" t="s">
        <v>1083</v>
      </c>
      <c r="I45" s="941">
        <v>1800</v>
      </c>
      <c r="J45" s="944">
        <v>46295</v>
      </c>
      <c r="K45" s="944">
        <v>46292</v>
      </c>
      <c r="L45" s="941" t="s">
        <v>922</v>
      </c>
      <c r="M45" s="941"/>
      <c r="N45" s="941" t="s">
        <v>1184</v>
      </c>
      <c r="O45" s="941" t="s">
        <v>1085</v>
      </c>
      <c r="P45" s="941" t="s">
        <v>1185</v>
      </c>
    </row>
    <row r="46" spans="1:16">
      <c r="A46" s="937"/>
      <c r="B46" s="937" cm="1">
        <f t="array" ref="B46">IF(P46="","",_xlfn.XLOOKUP(P46&amp;"",'Units Data'!$I$6:$I$10000&amp;"",'Units Data'!$C$6:$C$10000,"غير موجود",0))</f>
        <v>102</v>
      </c>
      <c r="C46" s="937" t="str" cm="1">
        <f t="array" ref="C46">IF(P46="","",_xlfn.XLOOKUP(P46&amp;"",'Units Data'!$I$6:$I$10000&amp;"",'Units Data'!$B$6:$B$10000,"غير موجود",0))</f>
        <v>S2</v>
      </c>
      <c r="D46" s="940">
        <v>45593200</v>
      </c>
      <c r="E46" s="941" t="s">
        <v>1076</v>
      </c>
      <c r="F46" s="941" t="s">
        <v>1077</v>
      </c>
      <c r="G46" s="941" t="s">
        <v>1078</v>
      </c>
      <c r="H46" s="941" t="s">
        <v>1083</v>
      </c>
      <c r="I46" s="941">
        <v>2000</v>
      </c>
      <c r="J46" s="944">
        <v>46295</v>
      </c>
      <c r="K46" s="944">
        <v>46292</v>
      </c>
      <c r="L46" s="941" t="s">
        <v>1045</v>
      </c>
      <c r="M46" s="941"/>
      <c r="N46" s="941" t="s">
        <v>1186</v>
      </c>
      <c r="O46" s="941" t="s">
        <v>1081</v>
      </c>
      <c r="P46" s="941" t="s">
        <v>1187</v>
      </c>
    </row>
    <row r="47" spans="1:16">
      <c r="A47" s="937"/>
      <c r="B47" s="937" cm="1">
        <f t="array" ref="B47">IF(P47="","",_xlfn.XLOOKUP(P47&amp;"",'Units Data'!$I$6:$I$10000&amp;"",'Units Data'!$C$6:$C$10000,"غير موجود",0))</f>
        <v>102</v>
      </c>
      <c r="C47" s="937" t="str" cm="1">
        <f t="array" ref="C47">IF(P47="","",_xlfn.XLOOKUP(P47&amp;"",'Units Data'!$I$6:$I$10000&amp;"",'Units Data'!$B$6:$B$10000,"غير موجود",0))</f>
        <v>F7</v>
      </c>
      <c r="D47" s="940">
        <v>45557761</v>
      </c>
      <c r="E47" s="941" t="s">
        <v>1076</v>
      </c>
      <c r="F47" s="941" t="s">
        <v>1077</v>
      </c>
      <c r="G47" s="941" t="s">
        <v>1078</v>
      </c>
      <c r="H47" s="941" t="s">
        <v>1079</v>
      </c>
      <c r="I47" s="941">
        <v>4000</v>
      </c>
      <c r="J47" s="944">
        <v>46291</v>
      </c>
      <c r="K47" s="944">
        <v>46290</v>
      </c>
      <c r="L47" s="941" t="s">
        <v>1055</v>
      </c>
      <c r="M47" s="941"/>
      <c r="N47" s="941" t="s">
        <v>1080</v>
      </c>
      <c r="O47" s="941" t="s">
        <v>1081</v>
      </c>
      <c r="P47" s="941" t="s">
        <v>1082</v>
      </c>
    </row>
    <row r="48" spans="1:16">
      <c r="A48" s="937"/>
      <c r="B48" s="937" t="str" cm="1">
        <f t="array" ref="B48">IF(P48="","",_xlfn.XLOOKUP(P48&amp;"",'Units Data'!$I$6:$I$10000&amp;"",'Units Data'!$C$6:$C$10000,"غير موجود",0))</f>
        <v>غير موجود</v>
      </c>
      <c r="C48" s="937" t="str" cm="1">
        <f t="array" ref="C48">IF(P48="","",_xlfn.XLOOKUP(P48&amp;"",'Units Data'!$I$6:$I$10000&amp;"",'Units Data'!$B$6:$B$10000,"غير موجود",0))</f>
        <v>غير موجود</v>
      </c>
      <c r="D48" s="940">
        <v>45557747</v>
      </c>
      <c r="E48" s="941" t="s">
        <v>1076</v>
      </c>
      <c r="F48" s="941" t="s">
        <v>1077</v>
      </c>
      <c r="G48" s="941" t="s">
        <v>1078</v>
      </c>
      <c r="H48" s="941" t="s">
        <v>1083</v>
      </c>
      <c r="I48" s="941">
        <v>3000</v>
      </c>
      <c r="J48" s="944">
        <v>46293</v>
      </c>
      <c r="K48" s="944">
        <v>46290</v>
      </c>
      <c r="L48" s="941" t="s">
        <v>1188</v>
      </c>
      <c r="M48" s="941"/>
      <c r="N48" s="941" t="s">
        <v>1189</v>
      </c>
      <c r="O48" s="941" t="s">
        <v>1099</v>
      </c>
      <c r="P48" s="941" t="s">
        <v>1190</v>
      </c>
    </row>
    <row r="49" spans="1:16">
      <c r="A49" s="937"/>
      <c r="B49" s="937" t="str" cm="1">
        <f t="array" ref="B49">IF(P49="","",_xlfn.XLOOKUP(P49&amp;"",'Units Data'!$I$6:$I$10000&amp;"",'Units Data'!$C$6:$C$10000,"غير موجود",0))</f>
        <v>غير موجود</v>
      </c>
      <c r="C49" s="937" t="str" cm="1">
        <f t="array" ref="C49">IF(P49="","",_xlfn.XLOOKUP(P49&amp;"",'Units Data'!$I$6:$I$10000&amp;"",'Units Data'!$B$6:$B$10000,"غير موجود",0))</f>
        <v>غير موجود</v>
      </c>
      <c r="D49" s="940">
        <v>45533310</v>
      </c>
      <c r="E49" s="941" t="s">
        <v>1076</v>
      </c>
      <c r="F49" s="941" t="s">
        <v>1077</v>
      </c>
      <c r="G49" s="941" t="s">
        <v>1078</v>
      </c>
      <c r="H49" s="941" t="s">
        <v>1083</v>
      </c>
      <c r="I49" s="941">
        <v>4875</v>
      </c>
      <c r="J49" s="944">
        <v>46293</v>
      </c>
      <c r="K49" s="944">
        <v>46289</v>
      </c>
      <c r="L49" s="941" t="s">
        <v>1188</v>
      </c>
      <c r="M49" s="941"/>
      <c r="N49" s="941" t="s">
        <v>1189</v>
      </c>
      <c r="O49" s="941" t="s">
        <v>1099</v>
      </c>
      <c r="P49" s="941" t="s">
        <v>1190</v>
      </c>
    </row>
    <row r="50" spans="1:16">
      <c r="A50" s="937"/>
      <c r="B50" s="937" t="str" cm="1">
        <f t="array" ref="B50">IF(P50="","",_xlfn.XLOOKUP(P50&amp;"",'Units Data'!$I$6:$I$10000&amp;"",'Units Data'!$C$6:$C$10000,"غير موجود",0))</f>
        <v>غير موجود</v>
      </c>
      <c r="C50" s="937" t="str" cm="1">
        <f t="array" ref="C50">IF(P50="","",_xlfn.XLOOKUP(P50&amp;"",'Units Data'!$I$6:$I$10000&amp;"",'Units Data'!$B$6:$B$10000,"غير موجود",0))</f>
        <v>غير موجود</v>
      </c>
      <c r="D50" s="940">
        <v>45516712</v>
      </c>
      <c r="E50" s="941" t="s">
        <v>1076</v>
      </c>
      <c r="F50" s="941" t="s">
        <v>1077</v>
      </c>
      <c r="G50" s="941" t="s">
        <v>1078</v>
      </c>
      <c r="H50" s="941" t="s">
        <v>1083</v>
      </c>
      <c r="I50" s="941">
        <v>5000</v>
      </c>
      <c r="J50" s="944">
        <v>46290</v>
      </c>
      <c r="K50" s="944">
        <v>46288</v>
      </c>
      <c r="L50" s="941" t="s">
        <v>1188</v>
      </c>
      <c r="M50" s="941"/>
      <c r="N50" s="941" t="s">
        <v>1189</v>
      </c>
      <c r="O50" s="941" t="s">
        <v>1099</v>
      </c>
      <c r="P50" s="941" t="s">
        <v>1190</v>
      </c>
    </row>
    <row r="51" spans="1:16">
      <c r="A51" s="937"/>
      <c r="B51" s="937" t="str" cm="1">
        <f t="array" ref="B51">IF(P51="","",_xlfn.XLOOKUP(P51&amp;"",'Units Data'!$I$6:$I$10000&amp;"",'Units Data'!$C$6:$C$10000,"غير موجود",0))</f>
        <v>غير موجود</v>
      </c>
      <c r="C51" s="937" t="str" cm="1">
        <f t="array" ref="C51">IF(P51="","",_xlfn.XLOOKUP(P51&amp;"",'Units Data'!$I$6:$I$10000&amp;"",'Units Data'!$B$6:$B$10000,"غير موجود",0))</f>
        <v>غير موجود</v>
      </c>
      <c r="D51" s="940">
        <v>45509931</v>
      </c>
      <c r="E51" s="941" t="s">
        <v>1076</v>
      </c>
      <c r="F51" s="941" t="s">
        <v>1077</v>
      </c>
      <c r="G51" s="941" t="s">
        <v>1078</v>
      </c>
      <c r="H51" s="941" t="s">
        <v>1083</v>
      </c>
      <c r="I51" s="941">
        <v>1000</v>
      </c>
      <c r="J51" s="944">
        <v>46290</v>
      </c>
      <c r="K51" s="944">
        <v>46288</v>
      </c>
      <c r="L51" s="941" t="s">
        <v>1191</v>
      </c>
      <c r="M51" s="941"/>
      <c r="N51" s="941" t="s">
        <v>1192</v>
      </c>
      <c r="O51" s="941" t="s">
        <v>1122</v>
      </c>
      <c r="P51" s="941" t="s">
        <v>1193</v>
      </c>
    </row>
    <row r="52" spans="1:16">
      <c r="A52" s="937"/>
      <c r="B52" s="937" t="str" cm="1">
        <f t="array" ref="B52">IF(P52="","",_xlfn.XLOOKUP(P52&amp;"",'Units Data'!$I$6:$I$10000&amp;"",'Units Data'!$C$6:$C$10000,"غير موجود",0))</f>
        <v>غير موجود</v>
      </c>
      <c r="C52" s="937" t="str" cm="1">
        <f t="array" ref="C52">IF(P52="","",_xlfn.XLOOKUP(P52&amp;"",'Units Data'!$I$6:$I$10000&amp;"",'Units Data'!$B$6:$B$10000,"غير موجود",0))</f>
        <v>غير موجود</v>
      </c>
      <c r="D52" s="940">
        <v>45493879</v>
      </c>
      <c r="E52" s="941" t="s">
        <v>1076</v>
      </c>
      <c r="F52" s="941" t="s">
        <v>1077</v>
      </c>
      <c r="G52" s="941" t="s">
        <v>1078</v>
      </c>
      <c r="H52" s="941" t="s">
        <v>1083</v>
      </c>
      <c r="I52" s="941">
        <v>5000</v>
      </c>
      <c r="J52" s="944">
        <v>46290</v>
      </c>
      <c r="K52" s="944">
        <v>46287</v>
      </c>
      <c r="L52" s="941" t="s">
        <v>1188</v>
      </c>
      <c r="M52" s="941"/>
      <c r="N52" s="941" t="s">
        <v>1189</v>
      </c>
      <c r="O52" s="941" t="s">
        <v>1099</v>
      </c>
      <c r="P52" s="941" t="s">
        <v>1190</v>
      </c>
    </row>
    <row r="53" spans="1:16">
      <c r="A53" s="937"/>
      <c r="B53" s="937" cm="1">
        <f t="array" ref="B53">IF(P53="","",_xlfn.XLOOKUP(P53&amp;"",'Units Data'!$I$6:$I$10000&amp;"",'Units Data'!$C$6:$C$10000,"غير موجود",0))</f>
        <v>102</v>
      </c>
      <c r="C53" s="937" t="str" cm="1">
        <f t="array" ref="C53">IF(P53="","",_xlfn.XLOOKUP(P53&amp;"",'Units Data'!$I$6:$I$10000&amp;"",'Units Data'!$B$6:$B$10000,"غير موجود",0))</f>
        <v>F3</v>
      </c>
      <c r="D53" s="940">
        <v>45485685</v>
      </c>
      <c r="E53" s="941" t="s">
        <v>1076</v>
      </c>
      <c r="F53" s="941" t="s">
        <v>1077</v>
      </c>
      <c r="G53" s="941" t="s">
        <v>1078</v>
      </c>
      <c r="H53" s="941" t="s">
        <v>1079</v>
      </c>
      <c r="I53" s="941">
        <v>3500</v>
      </c>
      <c r="J53" s="944">
        <v>46288</v>
      </c>
      <c r="K53" s="944">
        <v>46287</v>
      </c>
      <c r="L53" s="941" t="s">
        <v>1040</v>
      </c>
      <c r="M53" s="941"/>
      <c r="N53" s="941" t="s">
        <v>1194</v>
      </c>
      <c r="O53" s="941" t="s">
        <v>1081</v>
      </c>
      <c r="P53" s="941" t="s">
        <v>1195</v>
      </c>
    </row>
    <row r="54" spans="1:16">
      <c r="A54" s="937"/>
      <c r="B54" s="937" t="str" cm="1">
        <f t="array" ref="B54">IF(P54="","",_xlfn.XLOOKUP(P54&amp;"",'Units Data'!$I$6:$I$10000&amp;"",'Units Data'!$C$6:$C$10000,"غير موجود",0))</f>
        <v>غير موجود</v>
      </c>
      <c r="C54" s="937" t="str" cm="1">
        <f t="array" ref="C54">IF(P54="","",_xlfn.XLOOKUP(P54&amp;"",'Units Data'!$I$6:$I$10000&amp;"",'Units Data'!$B$6:$B$10000,"غير موجود",0))</f>
        <v>غير موجود</v>
      </c>
      <c r="D54" s="940">
        <v>45456940</v>
      </c>
      <c r="E54" s="941" t="s">
        <v>1076</v>
      </c>
      <c r="F54" s="941" t="s">
        <v>1077</v>
      </c>
      <c r="G54" s="941" t="s">
        <v>1078</v>
      </c>
      <c r="H54" s="941" t="s">
        <v>1083</v>
      </c>
      <c r="I54" s="941">
        <v>5000</v>
      </c>
      <c r="J54" s="944">
        <v>46289</v>
      </c>
      <c r="K54" s="944">
        <v>46286</v>
      </c>
      <c r="L54" s="941" t="s">
        <v>1188</v>
      </c>
      <c r="M54" s="941"/>
      <c r="N54" s="941" t="s">
        <v>1189</v>
      </c>
      <c r="O54" s="941" t="s">
        <v>1099</v>
      </c>
      <c r="P54" s="941" t="s">
        <v>1190</v>
      </c>
    </row>
    <row r="55" spans="1:16">
      <c r="A55" s="937"/>
      <c r="B55" s="937" t="str" cm="1">
        <f t="array" ref="B55">IF(P55="","",_xlfn.XLOOKUP(P55&amp;"",'Units Data'!$I$6:$I$10000&amp;"",'Units Data'!$C$6:$C$10000,"غير موجود",0))</f>
        <v>غير موجود</v>
      </c>
      <c r="C55" s="937" t="str" cm="1">
        <f t="array" ref="C55">IF(P55="","",_xlfn.XLOOKUP(P55&amp;"",'Units Data'!$I$6:$I$10000&amp;"",'Units Data'!$B$6:$B$10000,"غير موجود",0))</f>
        <v>غير موجود</v>
      </c>
      <c r="D55" s="940">
        <v>45425857</v>
      </c>
      <c r="E55" s="941" t="s">
        <v>1076</v>
      </c>
      <c r="F55" s="941" t="s">
        <v>1077</v>
      </c>
      <c r="G55" s="941" t="s">
        <v>1078</v>
      </c>
      <c r="H55" s="941" t="s">
        <v>1083</v>
      </c>
      <c r="I55" s="941">
        <v>5000</v>
      </c>
      <c r="J55" s="944">
        <v>46287</v>
      </c>
      <c r="K55" s="944">
        <v>46285</v>
      </c>
      <c r="L55" s="941" t="s">
        <v>1188</v>
      </c>
      <c r="M55" s="941"/>
      <c r="N55" s="941" t="s">
        <v>1189</v>
      </c>
      <c r="O55" s="941" t="s">
        <v>1099</v>
      </c>
      <c r="P55" s="941" t="s">
        <v>1190</v>
      </c>
    </row>
    <row r="56" spans="1:16">
      <c r="A56" s="937"/>
      <c r="B56" s="937" t="str" cm="1">
        <f t="array" ref="B56">IF(P56="","",_xlfn.XLOOKUP(P56&amp;"",'Units Data'!$I$6:$I$10000&amp;"",'Units Data'!$C$6:$C$10000,"غير موجود",0))</f>
        <v>غير موجود</v>
      </c>
      <c r="C56" s="937" t="str" cm="1">
        <f t="array" ref="C56">IF(P56="","",_xlfn.XLOOKUP(P56&amp;"",'Units Data'!$I$6:$I$10000&amp;"",'Units Data'!$B$6:$B$10000,"غير موجود",0))</f>
        <v>غير موجود</v>
      </c>
      <c r="D56" s="940">
        <v>45424338</v>
      </c>
      <c r="E56" s="941" t="s">
        <v>1076</v>
      </c>
      <c r="F56" s="941" t="s">
        <v>1077</v>
      </c>
      <c r="G56" s="941" t="s">
        <v>1078</v>
      </c>
      <c r="H56" s="941" t="s">
        <v>1083</v>
      </c>
      <c r="I56" s="941">
        <v>5000</v>
      </c>
      <c r="J56" s="944">
        <v>46287</v>
      </c>
      <c r="K56" s="944">
        <v>46285</v>
      </c>
      <c r="L56" s="941" t="s">
        <v>1188</v>
      </c>
      <c r="M56" s="941"/>
      <c r="N56" s="941" t="s">
        <v>1189</v>
      </c>
      <c r="O56" s="941" t="s">
        <v>1099</v>
      </c>
      <c r="P56" s="941" t="s">
        <v>1190</v>
      </c>
    </row>
    <row r="57" spans="1:16">
      <c r="A57" s="937"/>
      <c r="B57" s="937" t="str" cm="1">
        <f t="array" ref="B57">IF(P57="","",_xlfn.XLOOKUP(P57&amp;"",'Units Data'!$I$6:$I$10000&amp;"",'Units Data'!$C$6:$C$10000,"غير موجود",0))</f>
        <v>غير موجود</v>
      </c>
      <c r="C57" s="937" t="str" cm="1">
        <f t="array" ref="C57">IF(P57="","",_xlfn.XLOOKUP(P57&amp;"",'Units Data'!$I$6:$I$10000&amp;"",'Units Data'!$B$6:$B$10000,"غير موجود",0))</f>
        <v>غير موجود</v>
      </c>
      <c r="D57" s="940">
        <v>45384279</v>
      </c>
      <c r="E57" s="941" t="s">
        <v>1076</v>
      </c>
      <c r="F57" s="941" t="s">
        <v>1077</v>
      </c>
      <c r="G57" s="941" t="s">
        <v>1078</v>
      </c>
      <c r="H57" s="941" t="s">
        <v>1083</v>
      </c>
      <c r="I57" s="941">
        <v>1000</v>
      </c>
      <c r="J57" s="944">
        <v>46286</v>
      </c>
      <c r="K57" s="944">
        <v>46283</v>
      </c>
      <c r="L57" s="941" t="s">
        <v>1196</v>
      </c>
      <c r="M57" s="941"/>
      <c r="N57" s="941" t="s">
        <v>1197</v>
      </c>
      <c r="O57" s="941" t="s">
        <v>1118</v>
      </c>
      <c r="P57" s="941" t="s">
        <v>1198</v>
      </c>
    </row>
    <row r="58" spans="1:16">
      <c r="A58" s="937"/>
      <c r="B58" s="937" t="str" cm="1">
        <f t="array" ref="B58">IF(P58="","",_xlfn.XLOOKUP(P58&amp;"",'Units Data'!$I$6:$I$10000&amp;"",'Units Data'!$C$6:$C$10000,"غير موجود",0))</f>
        <v>B</v>
      </c>
      <c r="C58" s="937" t="str" cm="1">
        <f t="array" ref="C58">IF(P58="","",_xlfn.XLOOKUP(P58&amp;"",'Units Data'!$I$6:$I$10000&amp;"",'Units Data'!$B$6:$B$10000,"غير موجود",0))</f>
        <v>A1</v>
      </c>
      <c r="D58" s="940">
        <v>45374350</v>
      </c>
      <c r="E58" s="941" t="s">
        <v>1076</v>
      </c>
      <c r="F58" s="941" t="s">
        <v>1077</v>
      </c>
      <c r="G58" s="941" t="s">
        <v>1078</v>
      </c>
      <c r="H58" s="941" t="s">
        <v>1079</v>
      </c>
      <c r="I58" s="941">
        <v>2000</v>
      </c>
      <c r="J58" s="944">
        <v>46284</v>
      </c>
      <c r="K58" s="944">
        <v>46282</v>
      </c>
      <c r="L58" s="941" t="s">
        <v>1090</v>
      </c>
      <c r="M58" s="941"/>
      <c r="N58" s="941" t="s">
        <v>1091</v>
      </c>
      <c r="O58" s="941" t="s">
        <v>1092</v>
      </c>
      <c r="P58" s="941" t="s">
        <v>1093</v>
      </c>
    </row>
    <row r="59" spans="1:16">
      <c r="A59" s="937"/>
      <c r="B59" s="937" t="str" cm="1">
        <f t="array" ref="B59">IF(P59="","",_xlfn.XLOOKUP(P59&amp;"",'Units Data'!$I$6:$I$10000&amp;"",'Units Data'!$C$6:$C$10000,"غير موجود",0))</f>
        <v>غير موجود</v>
      </c>
      <c r="C59" s="937" t="str" cm="1">
        <f t="array" ref="C59">IF(P59="","",_xlfn.XLOOKUP(P59&amp;"",'Units Data'!$I$6:$I$10000&amp;"",'Units Data'!$B$6:$B$10000,"غير موجود",0))</f>
        <v>غير موجود</v>
      </c>
      <c r="D59" s="940">
        <v>45362781</v>
      </c>
      <c r="E59" s="941" t="s">
        <v>1076</v>
      </c>
      <c r="F59" s="941" t="s">
        <v>1077</v>
      </c>
      <c r="G59" s="941" t="s">
        <v>1078</v>
      </c>
      <c r="H59" s="941" t="s">
        <v>1083</v>
      </c>
      <c r="I59" s="941">
        <v>20000</v>
      </c>
      <c r="J59" s="944">
        <v>46286</v>
      </c>
      <c r="K59" s="944">
        <v>46282</v>
      </c>
      <c r="L59" s="941" t="s">
        <v>1199</v>
      </c>
      <c r="M59" s="941"/>
      <c r="N59" s="941" t="s">
        <v>1200</v>
      </c>
      <c r="O59" s="941" t="s">
        <v>1099</v>
      </c>
      <c r="P59" s="941" t="s">
        <v>1201</v>
      </c>
    </row>
    <row r="60" spans="1:16">
      <c r="A60" s="937"/>
      <c r="B60" s="937" t="str" cm="1">
        <f t="array" ref="B60">IF(P60="","",_xlfn.XLOOKUP(P60&amp;"",'Units Data'!$I$6:$I$10000&amp;"",'Units Data'!$C$6:$C$10000,"غير موجود",0))</f>
        <v>A</v>
      </c>
      <c r="C60" s="937" t="str" cm="1">
        <f t="array" ref="C60">IF(P60="","",_xlfn.XLOOKUP(P60&amp;"",'Units Data'!$I$6:$I$10000&amp;"",'Units Data'!$B$6:$B$10000,"غير موجود",0))</f>
        <v>F4</v>
      </c>
      <c r="D60" s="940">
        <v>45321668</v>
      </c>
      <c r="E60" s="941" t="s">
        <v>1076</v>
      </c>
      <c r="F60" s="941" t="s">
        <v>1077</v>
      </c>
      <c r="G60" s="941" t="s">
        <v>1078</v>
      </c>
      <c r="H60" s="941" t="s">
        <v>1083</v>
      </c>
      <c r="I60" s="941">
        <v>2000</v>
      </c>
      <c r="J60" s="944">
        <v>46284</v>
      </c>
      <c r="K60" s="944">
        <v>46281</v>
      </c>
      <c r="L60" s="941" t="s">
        <v>900</v>
      </c>
      <c r="M60" s="941"/>
      <c r="N60" s="941" t="s">
        <v>1084</v>
      </c>
      <c r="O60" s="941" t="s">
        <v>1085</v>
      </c>
      <c r="P60" s="941" t="s">
        <v>1086</v>
      </c>
    </row>
    <row r="61" spans="1:16">
      <c r="A61" s="937"/>
      <c r="B61" s="937" t="str" cm="1">
        <f t="array" ref="B61">IF(P61="","",_xlfn.XLOOKUP(P61&amp;"",'Units Data'!$I$6:$I$10000&amp;"",'Units Data'!$C$6:$C$10000,"غير موجود",0))</f>
        <v>غير موجود</v>
      </c>
      <c r="C61" s="937" t="str" cm="1">
        <f t="array" ref="C61">IF(P61="","",_xlfn.XLOOKUP(P61&amp;"",'Units Data'!$I$6:$I$10000&amp;"",'Units Data'!$B$6:$B$10000,"غير موجود",0))</f>
        <v>غير موجود</v>
      </c>
      <c r="D61" s="940">
        <v>45251244</v>
      </c>
      <c r="E61" s="941" t="s">
        <v>1076</v>
      </c>
      <c r="F61" s="941" t="s">
        <v>1077</v>
      </c>
      <c r="G61" s="941" t="s">
        <v>1078</v>
      </c>
      <c r="H61" s="941" t="s">
        <v>1083</v>
      </c>
      <c r="I61" s="941">
        <v>6200</v>
      </c>
      <c r="J61" s="944">
        <v>46281</v>
      </c>
      <c r="K61" s="944">
        <v>46279</v>
      </c>
      <c r="L61" s="941" t="s">
        <v>1202</v>
      </c>
      <c r="M61" s="941"/>
      <c r="N61" s="941" t="s">
        <v>1203</v>
      </c>
      <c r="O61" s="941" t="s">
        <v>1099</v>
      </c>
      <c r="P61" s="941" t="s">
        <v>1204</v>
      </c>
    </row>
    <row r="62" spans="1:16">
      <c r="A62" s="937"/>
      <c r="B62" s="937" t="str" cm="1">
        <f t="array" ref="B62">IF(P62="","",_xlfn.XLOOKUP(P62&amp;"",'Units Data'!$I$6:$I$10000&amp;"",'Units Data'!$C$6:$C$10000,"غير موجود",0))</f>
        <v>غير موجود</v>
      </c>
      <c r="C62" s="937" t="str" cm="1">
        <f t="array" ref="C62">IF(P62="","",_xlfn.XLOOKUP(P62&amp;"",'Units Data'!$I$6:$I$10000&amp;"",'Units Data'!$B$6:$B$10000,"غير موجود",0))</f>
        <v>غير موجود</v>
      </c>
      <c r="D62" s="940">
        <v>45195874</v>
      </c>
      <c r="E62" s="941" t="s">
        <v>1076</v>
      </c>
      <c r="F62" s="941" t="s">
        <v>1077</v>
      </c>
      <c r="G62" s="941" t="s">
        <v>1078</v>
      </c>
      <c r="H62" s="941" t="s">
        <v>1083</v>
      </c>
      <c r="I62" s="941">
        <v>3000</v>
      </c>
      <c r="J62" s="944">
        <v>46279</v>
      </c>
      <c r="K62" s="944">
        <v>46277</v>
      </c>
      <c r="L62" s="941" t="s">
        <v>1205</v>
      </c>
      <c r="M62" s="941"/>
      <c r="N62" s="941" t="s">
        <v>1206</v>
      </c>
      <c r="O62" s="941" t="s">
        <v>1161</v>
      </c>
      <c r="P62" s="941" t="s">
        <v>1207</v>
      </c>
    </row>
    <row r="63" spans="1:16">
      <c r="A63" s="937"/>
      <c r="B63" s="937" t="str" cm="1">
        <f t="array" ref="B63">IF(P63="","",_xlfn.XLOOKUP(P63&amp;"",'Units Data'!$I$6:$I$10000&amp;"",'Units Data'!$C$6:$C$10000,"غير موجود",0))</f>
        <v>غير موجود</v>
      </c>
      <c r="C63" s="937" t="str" cm="1">
        <f t="array" ref="C63">IF(P63="","",_xlfn.XLOOKUP(P63&amp;"",'Units Data'!$I$6:$I$10000&amp;"",'Units Data'!$B$6:$B$10000,"غير موجود",0))</f>
        <v>غير موجود</v>
      </c>
      <c r="D63" s="940">
        <v>45179400</v>
      </c>
      <c r="E63" s="941" t="s">
        <v>1076</v>
      </c>
      <c r="F63" s="941" t="s">
        <v>1077</v>
      </c>
      <c r="G63" s="941" t="s">
        <v>1078</v>
      </c>
      <c r="H63" s="941" t="s">
        <v>1083</v>
      </c>
      <c r="I63" s="941">
        <v>2000</v>
      </c>
      <c r="J63" s="944">
        <v>46279</v>
      </c>
      <c r="K63" s="944">
        <v>46276</v>
      </c>
      <c r="L63" s="941" t="s">
        <v>1191</v>
      </c>
      <c r="M63" s="941"/>
      <c r="N63" s="941" t="s">
        <v>1192</v>
      </c>
      <c r="O63" s="941" t="s">
        <v>1122</v>
      </c>
      <c r="P63" s="941" t="s">
        <v>1193</v>
      </c>
    </row>
    <row r="64" spans="1:16">
      <c r="A64" s="937"/>
      <c r="B64" s="937" cm="1">
        <f t="array" ref="B64">IF(P64="","",_xlfn.XLOOKUP(P64&amp;"",'Units Data'!$I$6:$I$10000&amp;"",'Units Data'!$C$6:$C$10000,"غير موجود",0))</f>
        <v>102</v>
      </c>
      <c r="C64" s="937" t="str" cm="1">
        <f t="array" ref="C64">IF(P64="","",_xlfn.XLOOKUP(P64&amp;"",'Units Data'!$I$6:$I$10000&amp;"",'Units Data'!$B$6:$B$10000,"غير موجود",0))</f>
        <v>S4</v>
      </c>
      <c r="D64" s="940">
        <v>45176202</v>
      </c>
      <c r="E64" s="941" t="s">
        <v>1076</v>
      </c>
      <c r="F64" s="941" t="s">
        <v>1077</v>
      </c>
      <c r="G64" s="941" t="s">
        <v>1078</v>
      </c>
      <c r="H64" s="941" t="s">
        <v>1083</v>
      </c>
      <c r="I64" s="941">
        <v>4000</v>
      </c>
      <c r="J64" s="944">
        <v>46279</v>
      </c>
      <c r="K64" s="944">
        <v>46276</v>
      </c>
      <c r="L64" s="941" t="s">
        <v>1058</v>
      </c>
      <c r="M64" s="941"/>
      <c r="N64" s="941" t="s">
        <v>1169</v>
      </c>
      <c r="O64" s="941" t="s">
        <v>1081</v>
      </c>
      <c r="P64" s="941" t="s">
        <v>1170</v>
      </c>
    </row>
    <row r="65" spans="1:16">
      <c r="A65" s="937"/>
      <c r="B65" s="937" t="str" cm="1">
        <f t="array" ref="B65">IF(P65="","",_xlfn.XLOOKUP(P65&amp;"",'Units Data'!$I$6:$I$10000&amp;"",'Units Data'!$C$6:$C$10000,"غير موجود",0))</f>
        <v>غير موجود</v>
      </c>
      <c r="C65" s="937" t="str" cm="1">
        <f t="array" ref="C65">IF(P65="","",_xlfn.XLOOKUP(P65&amp;"",'Units Data'!$I$6:$I$10000&amp;"",'Units Data'!$B$6:$B$10000,"غير موجود",0))</f>
        <v>غير موجود</v>
      </c>
      <c r="D65" s="940">
        <v>45165279</v>
      </c>
      <c r="E65" s="941" t="s">
        <v>1076</v>
      </c>
      <c r="F65" s="941" t="s">
        <v>1077</v>
      </c>
      <c r="G65" s="941" t="s">
        <v>1078</v>
      </c>
      <c r="H65" s="941" t="s">
        <v>1083</v>
      </c>
      <c r="I65" s="941">
        <v>4500</v>
      </c>
      <c r="J65" s="944">
        <v>46279</v>
      </c>
      <c r="K65" s="944">
        <v>46276</v>
      </c>
      <c r="L65" s="941" t="s">
        <v>1109</v>
      </c>
      <c r="M65" s="941"/>
      <c r="N65" s="941" t="s">
        <v>1110</v>
      </c>
      <c r="O65" s="941" t="s">
        <v>1111</v>
      </c>
      <c r="P65" s="941" t="s">
        <v>1112</v>
      </c>
    </row>
    <row r="66" spans="1:16">
      <c r="A66" s="937"/>
      <c r="B66" s="937" cm="1">
        <f t="array" ref="B66">IF(P66="","",_xlfn.XLOOKUP(P66&amp;"",'Units Data'!$I$6:$I$10000&amp;"",'Units Data'!$C$6:$C$10000,"غير موجود",0))</f>
        <v>102</v>
      </c>
      <c r="C66" s="937" t="str" cm="1">
        <f t="array" ref="C66">IF(P66="","",_xlfn.XLOOKUP(P66&amp;"",'Units Data'!$I$6:$I$10000&amp;"",'Units Data'!$B$6:$B$10000,"غير موجود",0))</f>
        <v>F6</v>
      </c>
      <c r="D66" s="940">
        <v>45157701</v>
      </c>
      <c r="E66" s="941" t="s">
        <v>1076</v>
      </c>
      <c r="F66" s="941" t="s">
        <v>1077</v>
      </c>
      <c r="G66" s="941" t="s">
        <v>1078</v>
      </c>
      <c r="H66" s="941" t="s">
        <v>1083</v>
      </c>
      <c r="I66" s="941">
        <v>3500</v>
      </c>
      <c r="J66" s="944">
        <v>46279</v>
      </c>
      <c r="K66" s="944">
        <v>46275</v>
      </c>
      <c r="L66" s="941" t="s">
        <v>1044</v>
      </c>
      <c r="M66" s="941"/>
      <c r="N66" s="941" t="s">
        <v>1208</v>
      </c>
      <c r="O66" s="941" t="s">
        <v>1081</v>
      </c>
      <c r="P66" s="941" t="s">
        <v>1130</v>
      </c>
    </row>
    <row r="67" spans="1:16">
      <c r="A67" s="937"/>
      <c r="B67" s="937" t="str" cm="1">
        <f t="array" ref="B67">IF(P67="","",_xlfn.XLOOKUP(P67&amp;"",'Units Data'!$I$6:$I$10000&amp;"",'Units Data'!$C$6:$C$10000,"غير موجود",0))</f>
        <v>A</v>
      </c>
      <c r="C67" s="937" t="str" cm="1">
        <f t="array" ref="C67">IF(P67="","",_xlfn.XLOOKUP(P67&amp;"",'Units Data'!$I$6:$I$10000&amp;"",'Units Data'!$B$6:$B$10000,"غير موجود",0))</f>
        <v>F7</v>
      </c>
      <c r="D67" s="940">
        <v>45146349</v>
      </c>
      <c r="E67" s="941" t="s">
        <v>1076</v>
      </c>
      <c r="F67" s="941" t="s">
        <v>1077</v>
      </c>
      <c r="G67" s="941" t="s">
        <v>1078</v>
      </c>
      <c r="H67" s="941" t="s">
        <v>1079</v>
      </c>
      <c r="I67" s="941">
        <v>1900</v>
      </c>
      <c r="J67" s="944">
        <v>46277</v>
      </c>
      <c r="K67" s="944">
        <v>46275</v>
      </c>
      <c r="L67" s="941" t="s">
        <v>951</v>
      </c>
      <c r="M67" s="941"/>
      <c r="N67" s="941" t="s">
        <v>1131</v>
      </c>
      <c r="O67" s="941" t="s">
        <v>1085</v>
      </c>
      <c r="P67" s="941" t="s">
        <v>1132</v>
      </c>
    </row>
    <row r="68" spans="1:16">
      <c r="A68" s="937"/>
      <c r="B68" s="937" cm="1">
        <f t="array" ref="B68">IF(P68="","",_xlfn.XLOOKUP(P68&amp;"",'Units Data'!$I$6:$I$10000&amp;"",'Units Data'!$C$6:$C$10000,"غير موجود",0))</f>
        <v>102</v>
      </c>
      <c r="C68" s="937" t="str" cm="1">
        <f t="array" ref="C68">IF(P68="","",_xlfn.XLOOKUP(P68&amp;"",'Units Data'!$I$6:$I$10000&amp;"",'Units Data'!$B$6:$B$10000,"غير موجود",0))</f>
        <v>F2</v>
      </c>
      <c r="D68" s="940">
        <v>45140725</v>
      </c>
      <c r="E68" s="941" t="s">
        <v>1076</v>
      </c>
      <c r="F68" s="941" t="s">
        <v>1077</v>
      </c>
      <c r="G68" s="941" t="s">
        <v>1078</v>
      </c>
      <c r="H68" s="941" t="s">
        <v>1079</v>
      </c>
      <c r="I68" s="941">
        <v>3500</v>
      </c>
      <c r="J68" s="944">
        <v>46277</v>
      </c>
      <c r="K68" s="944">
        <v>46275</v>
      </c>
      <c r="L68" s="941" t="s">
        <v>1039</v>
      </c>
      <c r="M68" s="941"/>
      <c r="N68" s="941" t="s">
        <v>1173</v>
      </c>
      <c r="O68" s="941" t="s">
        <v>1081</v>
      </c>
      <c r="P68" s="941" t="s">
        <v>1174</v>
      </c>
    </row>
    <row r="69" spans="1:16">
      <c r="A69" s="937"/>
      <c r="B69" s="937" cm="1">
        <f t="array" ref="B69">IF(P69="","",_xlfn.XLOOKUP(P69&amp;"",'Units Data'!$I$6:$I$10000&amp;"",'Units Data'!$C$6:$C$10000,"غير موجود",0))</f>
        <v>102</v>
      </c>
      <c r="C69" s="937" t="str" cm="1">
        <f t="array" ref="C69">IF(P69="","",_xlfn.XLOOKUP(P69&amp;"",'Units Data'!$I$6:$I$10000&amp;"",'Units Data'!$B$6:$B$10000,"غير موجود",0))</f>
        <v>F1</v>
      </c>
      <c r="D69" s="940">
        <v>45122434</v>
      </c>
      <c r="E69" s="941" t="s">
        <v>1076</v>
      </c>
      <c r="F69" s="941" t="s">
        <v>1077</v>
      </c>
      <c r="G69" s="941" t="s">
        <v>1078</v>
      </c>
      <c r="H69" s="941" t="s">
        <v>1079</v>
      </c>
      <c r="I69" s="941">
        <v>3500</v>
      </c>
      <c r="J69" s="944">
        <v>46277</v>
      </c>
      <c r="K69" s="944">
        <v>46275</v>
      </c>
      <c r="L69" s="941" t="s">
        <v>81</v>
      </c>
      <c r="M69" s="941"/>
      <c r="N69" s="941" t="s">
        <v>1094</v>
      </c>
      <c r="O69" s="941" t="s">
        <v>1095</v>
      </c>
      <c r="P69" s="941" t="s">
        <v>1096</v>
      </c>
    </row>
    <row r="70" spans="1:16">
      <c r="A70" s="937"/>
      <c r="B70" s="937" cm="1">
        <f t="array" ref="B70">IF(P70="","",_xlfn.XLOOKUP(P70&amp;"",'Units Data'!$I$6:$I$10000&amp;"",'Units Data'!$C$6:$C$10000,"غير موجود",0))</f>
        <v>102</v>
      </c>
      <c r="C70" s="937" t="str" cm="1">
        <f t="array" ref="C70">IF(P70="","",_xlfn.XLOOKUP(P70&amp;"",'Units Data'!$I$6:$I$10000&amp;"",'Units Data'!$B$6:$B$10000,"غير موجود",0))</f>
        <v>F4</v>
      </c>
      <c r="D70" s="940">
        <v>45111898</v>
      </c>
      <c r="E70" s="941" t="s">
        <v>1076</v>
      </c>
      <c r="F70" s="941" t="s">
        <v>1077</v>
      </c>
      <c r="G70" s="941" t="s">
        <v>1078</v>
      </c>
      <c r="H70" s="941" t="s">
        <v>1079</v>
      </c>
      <c r="I70" s="941">
        <v>3500</v>
      </c>
      <c r="J70" s="944">
        <v>46277</v>
      </c>
      <c r="K70" s="944">
        <v>46275</v>
      </c>
      <c r="L70" s="941" t="s">
        <v>1056</v>
      </c>
      <c r="M70" s="941"/>
      <c r="N70" s="941" t="s">
        <v>1124</v>
      </c>
      <c r="O70" s="941" t="s">
        <v>1081</v>
      </c>
      <c r="P70" s="941" t="s">
        <v>1125</v>
      </c>
    </row>
    <row r="71" spans="1:16">
      <c r="A71" s="937"/>
      <c r="B71" s="937" t="str" cm="1">
        <f t="array" ref="B71">IF(P71="","",_xlfn.XLOOKUP(P71&amp;"",'Units Data'!$I$6:$I$10000&amp;"",'Units Data'!$C$6:$C$10000,"غير موجود",0))</f>
        <v>غير موجود</v>
      </c>
      <c r="C71" s="937" t="str" cm="1">
        <f t="array" ref="C71">IF(P71="","",_xlfn.XLOOKUP(P71&amp;"",'Units Data'!$I$6:$I$10000&amp;"",'Units Data'!$B$6:$B$10000,"غير موجود",0))</f>
        <v>غير موجود</v>
      </c>
      <c r="D71" s="940">
        <v>45013583</v>
      </c>
      <c r="E71" s="941" t="s">
        <v>1076</v>
      </c>
      <c r="F71" s="941" t="s">
        <v>1077</v>
      </c>
      <c r="G71" s="941" t="s">
        <v>1078</v>
      </c>
      <c r="H71" s="941" t="s">
        <v>1083</v>
      </c>
      <c r="I71" s="941">
        <v>1000</v>
      </c>
      <c r="J71" s="944">
        <v>46274</v>
      </c>
      <c r="K71" s="944">
        <v>46272</v>
      </c>
      <c r="L71" s="941" t="s">
        <v>1120</v>
      </c>
      <c r="M71" s="941"/>
      <c r="N71" s="941" t="s">
        <v>1121</v>
      </c>
      <c r="O71" s="941" t="s">
        <v>1122</v>
      </c>
      <c r="P71" s="941" t="s">
        <v>1123</v>
      </c>
    </row>
    <row r="72" spans="1:16">
      <c r="A72" s="937"/>
      <c r="B72" s="937" t="str" cm="1">
        <f t="array" ref="B72">IF(P72="","",_xlfn.XLOOKUP(P72&amp;"",'Units Data'!$I$6:$I$10000&amp;"",'Units Data'!$C$6:$C$10000,"غير موجود",0))</f>
        <v>A</v>
      </c>
      <c r="C72" s="937" t="str" cm="1">
        <f t="array" ref="C72">IF(P72="","",_xlfn.XLOOKUP(P72&amp;"",'Units Data'!$I$6:$I$10000&amp;"",'Units Data'!$B$6:$B$10000,"غير موجود",0))</f>
        <v>F5</v>
      </c>
      <c r="D72" s="940">
        <v>44945777</v>
      </c>
      <c r="E72" s="941" t="s">
        <v>1076</v>
      </c>
      <c r="F72" s="941" t="s">
        <v>1077</v>
      </c>
      <c r="G72" s="941" t="s">
        <v>1078</v>
      </c>
      <c r="H72" s="941" t="s">
        <v>1079</v>
      </c>
      <c r="I72" s="941">
        <v>2000</v>
      </c>
      <c r="J72" s="944">
        <v>46272</v>
      </c>
      <c r="K72" s="944">
        <v>46271</v>
      </c>
      <c r="L72" s="941" t="s">
        <v>941</v>
      </c>
      <c r="M72" s="941"/>
      <c r="N72" s="941" t="s">
        <v>1151</v>
      </c>
      <c r="O72" s="941" t="s">
        <v>1085</v>
      </c>
      <c r="P72" s="941" t="s">
        <v>1152</v>
      </c>
    </row>
    <row r="73" spans="1:16">
      <c r="A73" s="937"/>
      <c r="B73" s="937" cm="1">
        <f t="array" ref="B73">IF(P73="","",_xlfn.XLOOKUP(P73&amp;"",'Units Data'!$I$6:$I$10000&amp;"",'Units Data'!$C$6:$C$10000,"غير موجود",0))</f>
        <v>102</v>
      </c>
      <c r="C73" s="937" t="str" cm="1">
        <f t="array" ref="C73">IF(P73="","",_xlfn.XLOOKUP(P73&amp;"",'Units Data'!$I$6:$I$10000&amp;"",'Units Data'!$B$6:$B$10000,"غير موجود",0))</f>
        <v>F5</v>
      </c>
      <c r="D73" s="940">
        <v>44945359</v>
      </c>
      <c r="E73" s="941" t="s">
        <v>1076</v>
      </c>
      <c r="F73" s="941" t="s">
        <v>1077</v>
      </c>
      <c r="G73" s="941" t="s">
        <v>1078</v>
      </c>
      <c r="H73" s="941" t="s">
        <v>1079</v>
      </c>
      <c r="I73" s="941">
        <v>3800</v>
      </c>
      <c r="J73" s="944">
        <v>46272</v>
      </c>
      <c r="K73" s="944">
        <v>46271</v>
      </c>
      <c r="L73" s="941" t="s">
        <v>1104</v>
      </c>
      <c r="M73" s="941"/>
      <c r="N73" s="941" t="s">
        <v>1138</v>
      </c>
      <c r="O73" s="941" t="s">
        <v>1081</v>
      </c>
      <c r="P73" s="941" t="s">
        <v>1139</v>
      </c>
    </row>
    <row r="74" spans="1:16">
      <c r="A74" s="937"/>
      <c r="B74" s="937" cm="1">
        <f t="array" ref="B74">IF(P74="","",_xlfn.XLOOKUP(P74&amp;"",'Units Data'!$I$6:$I$10000&amp;"",'Units Data'!$C$6:$C$10000,"غير موجود",0))</f>
        <v>102</v>
      </c>
      <c r="C74" s="937" t="str" cm="1">
        <f t="array" ref="C74">IF(P74="","",_xlfn.XLOOKUP(P74&amp;"",'Units Data'!$I$6:$I$10000&amp;"",'Units Data'!$B$6:$B$10000,"غير موجود",0))</f>
        <v>F8</v>
      </c>
      <c r="D74" s="940">
        <v>44822620</v>
      </c>
      <c r="E74" s="941" t="s">
        <v>1076</v>
      </c>
      <c r="F74" s="941" t="s">
        <v>1077</v>
      </c>
      <c r="G74" s="941" t="s">
        <v>1078</v>
      </c>
      <c r="H74" s="941" t="s">
        <v>1079</v>
      </c>
      <c r="I74" s="941">
        <v>3500</v>
      </c>
      <c r="J74" s="944">
        <v>46270</v>
      </c>
      <c r="K74" s="944">
        <v>46268</v>
      </c>
      <c r="L74" s="941" t="s">
        <v>1043</v>
      </c>
      <c r="M74" s="941"/>
      <c r="N74" s="941" t="s">
        <v>1209</v>
      </c>
      <c r="O74" s="941" t="s">
        <v>1081</v>
      </c>
      <c r="P74" s="941" t="s">
        <v>1150</v>
      </c>
    </row>
    <row r="75" spans="1:16">
      <c r="A75" s="937"/>
      <c r="B75" s="937" t="str" cm="1">
        <f t="array" ref="B75">IF(P75="","",_xlfn.XLOOKUP(P75&amp;"",'Units Data'!$I$6:$I$10000&amp;"",'Units Data'!$C$6:$C$10000,"غير موجود",0))</f>
        <v>غير موجود</v>
      </c>
      <c r="C75" s="937" t="str" cm="1">
        <f t="array" ref="C75">IF(P75="","",_xlfn.XLOOKUP(P75&amp;"",'Units Data'!$I$6:$I$10000&amp;"",'Units Data'!$B$6:$B$10000,"غير موجود",0))</f>
        <v>غير موجود</v>
      </c>
      <c r="D75" s="940">
        <v>44820093</v>
      </c>
      <c r="E75" s="941" t="s">
        <v>1076</v>
      </c>
      <c r="F75" s="941" t="s">
        <v>1077</v>
      </c>
      <c r="G75" s="941" t="s">
        <v>1078</v>
      </c>
      <c r="H75" s="941" t="s">
        <v>1079</v>
      </c>
      <c r="I75" s="941">
        <v>1000</v>
      </c>
      <c r="J75" s="944">
        <v>46270</v>
      </c>
      <c r="K75" s="944">
        <v>46268</v>
      </c>
      <c r="L75" s="941" t="s">
        <v>1146</v>
      </c>
      <c r="M75" s="941"/>
      <c r="N75" s="941" t="s">
        <v>1147</v>
      </c>
      <c r="O75" s="941" t="s">
        <v>1118</v>
      </c>
      <c r="P75" s="941" t="s">
        <v>1148</v>
      </c>
    </row>
    <row r="76" spans="1:16">
      <c r="A76" s="937"/>
      <c r="B76" s="937" t="str" cm="1">
        <f t="array" ref="B76">IF(P76="","",_xlfn.XLOOKUP(P76&amp;"",'Units Data'!$I$6:$I$10000&amp;"",'Units Data'!$C$6:$C$10000,"غير موجود",0))</f>
        <v>A</v>
      </c>
      <c r="C76" s="937" t="str" cm="1">
        <f t="array" ref="C76">IF(P76="","",_xlfn.XLOOKUP(P76&amp;"",'Units Data'!$I$6:$I$10000&amp;"",'Units Data'!$B$6:$B$10000,"غير موجود",0))</f>
        <v>F2</v>
      </c>
      <c r="D76" s="940">
        <v>44801118</v>
      </c>
      <c r="E76" s="941" t="s">
        <v>1076</v>
      </c>
      <c r="F76" s="941" t="s">
        <v>1077</v>
      </c>
      <c r="G76" s="941" t="s">
        <v>1078</v>
      </c>
      <c r="H76" s="941" t="s">
        <v>1083</v>
      </c>
      <c r="I76" s="941">
        <v>2000</v>
      </c>
      <c r="J76" s="944">
        <v>46273</v>
      </c>
      <c r="K76" s="944">
        <v>46268</v>
      </c>
      <c r="L76" s="941" t="s">
        <v>1210</v>
      </c>
      <c r="M76" s="941"/>
      <c r="N76" s="941" t="s">
        <v>1211</v>
      </c>
      <c r="O76" s="941" t="s">
        <v>1085</v>
      </c>
      <c r="P76" s="941" t="s">
        <v>1212</v>
      </c>
    </row>
    <row r="77" spans="1:16">
      <c r="A77" s="937"/>
      <c r="B77" s="937" t="str" cm="1">
        <f t="array" ref="B77">IF(P77="","",_xlfn.XLOOKUP(P77&amp;"",'Units Data'!$I$6:$I$10000&amp;"",'Units Data'!$C$6:$C$10000,"غير موجود",0))</f>
        <v>غير موجود</v>
      </c>
      <c r="C77" s="937" t="str" cm="1">
        <f t="array" ref="C77">IF(P77="","",_xlfn.XLOOKUP(P77&amp;"",'Units Data'!$I$6:$I$10000&amp;"",'Units Data'!$B$6:$B$10000,"غير موجود",0))</f>
        <v>غير موجود</v>
      </c>
      <c r="D77" s="940">
        <v>44794640</v>
      </c>
      <c r="E77" s="941" t="s">
        <v>1076</v>
      </c>
      <c r="F77" s="941" t="s">
        <v>1077</v>
      </c>
      <c r="G77" s="941" t="s">
        <v>1078</v>
      </c>
      <c r="H77" s="941" t="s">
        <v>1083</v>
      </c>
      <c r="I77" s="941">
        <v>1000</v>
      </c>
      <c r="J77" s="944">
        <v>46270</v>
      </c>
      <c r="K77" s="944">
        <v>46267</v>
      </c>
      <c r="L77" s="941" t="s">
        <v>1153</v>
      </c>
      <c r="M77" s="941"/>
      <c r="N77" s="941" t="s">
        <v>1154</v>
      </c>
      <c r="O77" s="941" t="s">
        <v>1122</v>
      </c>
      <c r="P77" s="941" t="s">
        <v>1155</v>
      </c>
    </row>
    <row r="78" spans="1:16">
      <c r="A78" s="937"/>
      <c r="B78" s="937" t="str" cm="1">
        <f t="array" ref="B78">IF(P78="","",_xlfn.XLOOKUP(P78&amp;"",'Units Data'!$I$6:$I$10000&amp;"",'Units Data'!$C$6:$C$10000,"غير موجود",0))</f>
        <v>A</v>
      </c>
      <c r="C78" s="937" t="str" cm="1">
        <f t="array" ref="C78">IF(P78="","",_xlfn.XLOOKUP(P78&amp;"",'Units Data'!$I$6:$I$10000&amp;"",'Units Data'!$B$6:$B$10000,"غير موجود",0))</f>
        <v>F1</v>
      </c>
      <c r="D78" s="940">
        <v>44621209</v>
      </c>
      <c r="E78" s="941" t="s">
        <v>1076</v>
      </c>
      <c r="F78" s="941" t="s">
        <v>1077</v>
      </c>
      <c r="G78" s="941" t="s">
        <v>1078</v>
      </c>
      <c r="H78" s="941" t="s">
        <v>1079</v>
      </c>
      <c r="I78" s="941">
        <v>2000</v>
      </c>
      <c r="J78" s="944">
        <v>46267</v>
      </c>
      <c r="K78" s="944">
        <v>46266</v>
      </c>
      <c r="L78" s="941" t="s">
        <v>924</v>
      </c>
      <c r="M78" s="941"/>
      <c r="N78" s="941" t="s">
        <v>1167</v>
      </c>
      <c r="O78" s="941" t="s">
        <v>1085</v>
      </c>
      <c r="P78" s="941" t="s">
        <v>1168</v>
      </c>
    </row>
    <row r="79" spans="1:16">
      <c r="A79" s="937"/>
      <c r="B79" s="937" t="str" cm="1">
        <f t="array" ref="B79">IF(P79="","",_xlfn.XLOOKUP(P79&amp;"",'Units Data'!$I$6:$I$10000&amp;"",'Units Data'!$C$6:$C$10000,"غير موجود",0))</f>
        <v>A</v>
      </c>
      <c r="C79" s="937" t="str" cm="1">
        <f t="array" ref="C79">IF(P79="","",_xlfn.XLOOKUP(P79&amp;"",'Units Data'!$I$6:$I$10000&amp;"",'Units Data'!$B$6:$B$10000,"غير موجود",0))</f>
        <v>F7</v>
      </c>
      <c r="D79" s="940">
        <v>44580589</v>
      </c>
      <c r="E79" s="941" t="s">
        <v>1076</v>
      </c>
      <c r="F79" s="941" t="s">
        <v>1077</v>
      </c>
      <c r="G79" s="941" t="s">
        <v>1078</v>
      </c>
      <c r="H79" s="941" t="s">
        <v>1083</v>
      </c>
      <c r="I79" s="941">
        <v>2000</v>
      </c>
      <c r="J79" s="944">
        <v>46268</v>
      </c>
      <c r="K79" s="944">
        <v>46266</v>
      </c>
      <c r="L79" s="941" t="s">
        <v>907</v>
      </c>
      <c r="M79" s="941"/>
      <c r="N79" s="941" t="s">
        <v>1213</v>
      </c>
      <c r="O79" s="941" t="s">
        <v>1085</v>
      </c>
      <c r="P79" s="941" t="s">
        <v>1214</v>
      </c>
    </row>
    <row r="80" spans="1:16">
      <c r="A80" s="937"/>
      <c r="B80" s="937" t="str" cm="1">
        <f t="array" ref="B80">IF(P80="","",_xlfn.XLOOKUP(P80&amp;"",'Units Data'!$I$6:$I$10000&amp;"",'Units Data'!$C$6:$C$10000,"غير موجود",0))</f>
        <v>غير موجود</v>
      </c>
      <c r="C80" s="937" t="str" cm="1">
        <f t="array" ref="C80">IF(P80="","",_xlfn.XLOOKUP(P80&amp;"",'Units Data'!$I$6:$I$10000&amp;"",'Units Data'!$B$6:$B$10000,"غير موجود",0))</f>
        <v>غير موجود</v>
      </c>
      <c r="D80" s="940">
        <v>44537624</v>
      </c>
      <c r="E80" s="941" t="s">
        <v>1076</v>
      </c>
      <c r="F80" s="941" t="s">
        <v>1077</v>
      </c>
      <c r="G80" s="941" t="s">
        <v>1078</v>
      </c>
      <c r="H80" s="941" t="s">
        <v>1083</v>
      </c>
      <c r="I80" s="941">
        <v>6200</v>
      </c>
      <c r="J80" s="944">
        <v>46267</v>
      </c>
      <c r="K80" s="944">
        <v>46265</v>
      </c>
      <c r="L80" s="941" t="s">
        <v>1215</v>
      </c>
      <c r="M80" s="941"/>
      <c r="N80" s="941" t="s">
        <v>1216</v>
      </c>
      <c r="O80" s="941" t="s">
        <v>1099</v>
      </c>
      <c r="P80" s="941" t="s">
        <v>1217</v>
      </c>
    </row>
    <row r="81" spans="1:16">
      <c r="A81" s="937"/>
      <c r="B81" s="937" cm="1">
        <f t="array" ref="B81">IF(P81="","",_xlfn.XLOOKUP(P81&amp;"",'Units Data'!$I$6:$I$10000&amp;"",'Units Data'!$C$6:$C$10000,"غير موجود",0))</f>
        <v>102</v>
      </c>
      <c r="C81" s="937" t="str" cm="1">
        <f t="array" ref="C81">IF(P81="","",_xlfn.XLOOKUP(P81&amp;"",'Units Data'!$I$6:$I$10000&amp;"",'Units Data'!$B$6:$B$10000,"غير موجود",0))</f>
        <v>S3</v>
      </c>
      <c r="D81" s="940">
        <v>44469619</v>
      </c>
      <c r="E81" s="941" t="s">
        <v>1076</v>
      </c>
      <c r="F81" s="941" t="s">
        <v>1077</v>
      </c>
      <c r="G81" s="941" t="s">
        <v>1078</v>
      </c>
      <c r="H81" s="941" t="s">
        <v>1083</v>
      </c>
      <c r="I81" s="941">
        <v>3200</v>
      </c>
      <c r="J81" s="944">
        <v>46266</v>
      </c>
      <c r="K81" s="944">
        <v>46264</v>
      </c>
      <c r="L81" s="941" t="s">
        <v>1046</v>
      </c>
      <c r="M81" s="941"/>
      <c r="N81" s="941" t="s">
        <v>1136</v>
      </c>
      <c r="O81" s="941" t="s">
        <v>1095</v>
      </c>
      <c r="P81" s="941" t="s">
        <v>1137</v>
      </c>
    </row>
    <row r="82" spans="1:16">
      <c r="A82" s="937"/>
      <c r="B82" s="937" t="str" cm="1">
        <f t="array" ref="B82">IF(P82="","",_xlfn.XLOOKUP(P82&amp;"",'Units Data'!$I$6:$I$10000&amp;"",'Units Data'!$C$6:$C$10000,"غير موجود",0))</f>
        <v>A</v>
      </c>
      <c r="C82" s="937" t="str" cm="1">
        <f t="array" ref="C82">IF(P82="","",_xlfn.XLOOKUP(P82&amp;"",'Units Data'!$I$6:$I$10000&amp;"",'Units Data'!$B$6:$B$10000,"غير موجود",0))</f>
        <v>S1</v>
      </c>
      <c r="D82" s="940">
        <v>44446358</v>
      </c>
      <c r="E82" s="941" t="s">
        <v>1076</v>
      </c>
      <c r="F82" s="941" t="s">
        <v>1077</v>
      </c>
      <c r="G82" s="941" t="s">
        <v>1078</v>
      </c>
      <c r="H82" s="941" t="s">
        <v>1079</v>
      </c>
      <c r="I82" s="941">
        <v>2500</v>
      </c>
      <c r="J82" s="944">
        <v>46266</v>
      </c>
      <c r="K82" s="944">
        <v>46264</v>
      </c>
      <c r="L82" s="941" t="s">
        <v>901</v>
      </c>
      <c r="M82" s="941"/>
      <c r="N82" s="941" t="s">
        <v>1171</v>
      </c>
      <c r="O82" s="941" t="s">
        <v>1085</v>
      </c>
      <c r="P82" s="941" t="s">
        <v>1172</v>
      </c>
    </row>
    <row r="83" spans="1:16">
      <c r="A83" s="937"/>
      <c r="B83" s="937" cm="1">
        <f t="array" ref="B83">IF(P83="","",_xlfn.XLOOKUP(P83&amp;"",'Units Data'!$I$6:$I$10000&amp;"",'Units Data'!$C$6:$C$10000,"غير موجود",0))</f>
        <v>102</v>
      </c>
      <c r="C83" s="937" t="str" cm="1">
        <f t="array" ref="C83">IF(P83="","",_xlfn.XLOOKUP(P83&amp;"",'Units Data'!$I$6:$I$10000&amp;"",'Units Data'!$B$6:$B$10000,"غير موجود",0))</f>
        <v>S6</v>
      </c>
      <c r="D83" s="940">
        <v>44322794</v>
      </c>
      <c r="E83" s="941" t="s">
        <v>1076</v>
      </c>
      <c r="F83" s="941" t="s">
        <v>1077</v>
      </c>
      <c r="G83" s="941" t="s">
        <v>1078</v>
      </c>
      <c r="H83" s="941" t="s">
        <v>1079</v>
      </c>
      <c r="I83" s="941">
        <v>4000</v>
      </c>
      <c r="J83" s="944">
        <v>46263</v>
      </c>
      <c r="K83" s="944">
        <v>46261</v>
      </c>
      <c r="L83" s="941" t="s">
        <v>994</v>
      </c>
      <c r="M83" s="941"/>
      <c r="N83" s="941" t="s">
        <v>1175</v>
      </c>
      <c r="O83" s="941" t="s">
        <v>1095</v>
      </c>
      <c r="P83" s="941" t="s">
        <v>1176</v>
      </c>
    </row>
    <row r="84" spans="1:16">
      <c r="A84" s="937"/>
      <c r="B84" s="937" t="str" cm="1">
        <f t="array" ref="B84">IF(P84="","",_xlfn.XLOOKUP(P84&amp;"",'Units Data'!$I$6:$I$10000&amp;"",'Units Data'!$C$6:$C$10000,"غير موجود",0))</f>
        <v>A</v>
      </c>
      <c r="C84" s="937" t="str" cm="1">
        <f t="array" ref="C84">IF(P84="","",_xlfn.XLOOKUP(P84&amp;"",'Units Data'!$I$6:$I$10000&amp;"",'Units Data'!$B$6:$B$10000,"غير موجود",0))</f>
        <v>F9</v>
      </c>
      <c r="D84" s="940">
        <v>44242874</v>
      </c>
      <c r="E84" s="941" t="s">
        <v>1076</v>
      </c>
      <c r="F84" s="941" t="s">
        <v>1077</v>
      </c>
      <c r="G84" s="941" t="s">
        <v>1078</v>
      </c>
      <c r="H84" s="941" t="s">
        <v>1083</v>
      </c>
      <c r="I84" s="941">
        <v>1800</v>
      </c>
      <c r="J84" s="944">
        <v>46266</v>
      </c>
      <c r="K84" s="944">
        <v>46261</v>
      </c>
      <c r="L84" s="941" t="s">
        <v>922</v>
      </c>
      <c r="M84" s="941"/>
      <c r="N84" s="941" t="s">
        <v>1184</v>
      </c>
      <c r="O84" s="941" t="s">
        <v>1085</v>
      </c>
      <c r="P84" s="941" t="s">
        <v>1185</v>
      </c>
    </row>
    <row r="85" spans="1:16">
      <c r="A85" s="937"/>
      <c r="B85" s="937" t="str" cm="1">
        <f t="array" ref="B85">IF(P85="","",_xlfn.XLOOKUP(P85&amp;"",'Units Data'!$I$6:$I$10000&amp;"",'Units Data'!$C$6:$C$10000,"غير موجود",0))</f>
        <v>غير موجود</v>
      </c>
      <c r="C85" s="937" t="str" cm="1">
        <f t="array" ref="C85">IF(P85="","",_xlfn.XLOOKUP(P85&amp;"",'Units Data'!$I$6:$I$10000&amp;"",'Units Data'!$B$6:$B$10000,"غير موجود",0))</f>
        <v>غير موجود</v>
      </c>
      <c r="D85" s="940">
        <v>44227496</v>
      </c>
      <c r="E85" s="941" t="s">
        <v>1076</v>
      </c>
      <c r="F85" s="941" t="s">
        <v>1077</v>
      </c>
      <c r="G85" s="941" t="s">
        <v>1078</v>
      </c>
      <c r="H85" s="941" t="s">
        <v>1083</v>
      </c>
      <c r="I85" s="941">
        <v>3000</v>
      </c>
      <c r="J85" s="944">
        <v>46266</v>
      </c>
      <c r="K85" s="944">
        <v>46261</v>
      </c>
      <c r="L85" s="941" t="s">
        <v>1179</v>
      </c>
      <c r="M85" s="941"/>
      <c r="N85" s="941" t="s">
        <v>1180</v>
      </c>
      <c r="O85" s="941" t="s">
        <v>1161</v>
      </c>
      <c r="P85" s="941" t="s">
        <v>1181</v>
      </c>
    </row>
    <row r="86" spans="1:16">
      <c r="A86" s="937"/>
      <c r="B86" s="937" cm="1">
        <f t="array" ref="B86">IF(P86="","",_xlfn.XLOOKUP(P86&amp;"",'Units Data'!$I$6:$I$10000&amp;"",'Units Data'!$C$6:$C$10000,"غير موجود",0))</f>
        <v>102</v>
      </c>
      <c r="C86" s="937" t="str" cm="1">
        <f t="array" ref="C86">IF(P86="","",_xlfn.XLOOKUP(P86&amp;"",'Units Data'!$I$6:$I$10000&amp;"",'Units Data'!$B$6:$B$10000,"غير موجود",0))</f>
        <v>S2</v>
      </c>
      <c r="D86" s="940">
        <v>44226637</v>
      </c>
      <c r="E86" s="941" t="s">
        <v>1076</v>
      </c>
      <c r="F86" s="941" t="s">
        <v>1077</v>
      </c>
      <c r="G86" s="941" t="s">
        <v>1078</v>
      </c>
      <c r="H86" s="941" t="s">
        <v>1083</v>
      </c>
      <c r="I86" s="941">
        <v>4000</v>
      </c>
      <c r="J86" s="944">
        <v>46266</v>
      </c>
      <c r="K86" s="944">
        <v>46261</v>
      </c>
      <c r="L86" s="941" t="s">
        <v>1045</v>
      </c>
      <c r="M86" s="941"/>
      <c r="N86" s="941" t="s">
        <v>1186</v>
      </c>
      <c r="O86" s="941" t="s">
        <v>1081</v>
      </c>
      <c r="P86" s="941" t="s">
        <v>1187</v>
      </c>
    </row>
    <row r="87" spans="1:16">
      <c r="A87" s="937"/>
      <c r="B87" s="937" t="str" cm="1">
        <f t="array" ref="B87">IF(P87="","",_xlfn.XLOOKUP(P87&amp;"",'Units Data'!$I$6:$I$10000&amp;"",'Units Data'!$C$6:$C$10000,"غير موجود",0))</f>
        <v>غير موجود</v>
      </c>
      <c r="C87" s="937" t="str" cm="1">
        <f t="array" ref="C87">IF(P87="","",_xlfn.XLOOKUP(P87&amp;"",'Units Data'!$I$6:$I$10000&amp;"",'Units Data'!$B$6:$B$10000,"غير موجود",0))</f>
        <v>غير موجود</v>
      </c>
      <c r="D87" s="940">
        <v>44153359</v>
      </c>
      <c r="E87" s="941" t="s">
        <v>1076</v>
      </c>
      <c r="F87" s="941" t="s">
        <v>1077</v>
      </c>
      <c r="G87" s="941" t="s">
        <v>1078</v>
      </c>
      <c r="H87" s="941" t="s">
        <v>1083</v>
      </c>
      <c r="I87" s="941">
        <v>2750</v>
      </c>
      <c r="J87" s="944">
        <v>46261</v>
      </c>
      <c r="K87" s="944">
        <v>46259</v>
      </c>
      <c r="L87" s="941" t="s">
        <v>1159</v>
      </c>
      <c r="M87" s="941"/>
      <c r="N87" s="941" t="s">
        <v>1160</v>
      </c>
      <c r="O87" s="941" t="s">
        <v>1161</v>
      </c>
      <c r="P87" s="941" t="s">
        <v>1162</v>
      </c>
    </row>
    <row r="88" spans="1:16">
      <c r="A88" s="937"/>
      <c r="B88" s="937" cm="1">
        <f t="array" ref="B88">IF(P88="","",_xlfn.XLOOKUP(P88&amp;"",'Units Data'!$I$6:$I$10000&amp;"",'Units Data'!$C$6:$C$10000,"غير موجود",0))</f>
        <v>102</v>
      </c>
      <c r="C88" s="937" t="str" cm="1">
        <f t="array" ref="C88">IF(P88="","",_xlfn.XLOOKUP(P88&amp;"",'Units Data'!$I$6:$I$10000&amp;"",'Units Data'!$B$6:$B$10000,"غير موجود",0))</f>
        <v>F7</v>
      </c>
      <c r="D88" s="940">
        <v>44114361</v>
      </c>
      <c r="E88" s="941" t="s">
        <v>1076</v>
      </c>
      <c r="F88" s="941" t="s">
        <v>1077</v>
      </c>
      <c r="G88" s="941" t="s">
        <v>1078</v>
      </c>
      <c r="H88" s="941" t="s">
        <v>1079</v>
      </c>
      <c r="I88" s="941">
        <v>4000</v>
      </c>
      <c r="J88" s="944">
        <v>46259</v>
      </c>
      <c r="K88" s="944">
        <v>46258</v>
      </c>
      <c r="L88" s="941" t="s">
        <v>1055</v>
      </c>
      <c r="M88" s="941"/>
      <c r="N88" s="941" t="s">
        <v>1080</v>
      </c>
      <c r="O88" s="941" t="s">
        <v>1081</v>
      </c>
      <c r="P88" s="941" t="s">
        <v>1082</v>
      </c>
    </row>
    <row r="89" spans="1:16">
      <c r="A89" s="937"/>
      <c r="B89" s="937" cm="1">
        <f t="array" ref="B89">IF(P89="","",_xlfn.XLOOKUP(P89&amp;"",'Units Data'!$I$6:$I$10000&amp;"",'Units Data'!$C$6:$C$10000,"غير موجود",0))</f>
        <v>102</v>
      </c>
      <c r="C89" s="937" t="str" cm="1">
        <f t="array" ref="C89">IF(P89="","",_xlfn.XLOOKUP(P89&amp;"",'Units Data'!$I$6:$I$10000&amp;"",'Units Data'!$B$6:$B$10000,"غير موجود",0))</f>
        <v>F5</v>
      </c>
      <c r="D89" s="940">
        <v>44103939</v>
      </c>
      <c r="E89" s="941" t="s">
        <v>1076</v>
      </c>
      <c r="F89" s="941" t="s">
        <v>1077</v>
      </c>
      <c r="G89" s="941" t="s">
        <v>1078</v>
      </c>
      <c r="H89" s="941" t="s">
        <v>1079</v>
      </c>
      <c r="I89" s="941">
        <v>3800</v>
      </c>
      <c r="J89" s="944">
        <v>46258</v>
      </c>
      <c r="K89" s="944">
        <v>46257</v>
      </c>
      <c r="L89" s="941" t="s">
        <v>1104</v>
      </c>
      <c r="M89" s="941"/>
      <c r="N89" s="941" t="s">
        <v>1138</v>
      </c>
      <c r="O89" s="941" t="s">
        <v>1081</v>
      </c>
      <c r="P89" s="941" t="s">
        <v>1139</v>
      </c>
    </row>
    <row r="90" spans="1:16">
      <c r="A90" s="937"/>
      <c r="B90" s="937" t="str" cm="1">
        <f t="array" ref="B90">IF(P90="","",_xlfn.XLOOKUP(P90&amp;"",'Units Data'!$I$6:$I$10000&amp;"",'Units Data'!$C$6:$C$10000,"غير موجود",0))</f>
        <v>A</v>
      </c>
      <c r="C90" s="937" t="str" cm="1">
        <f t="array" ref="C90">IF(P90="","",_xlfn.XLOOKUP(P90&amp;"",'Units Data'!$I$6:$I$10000&amp;"",'Units Data'!$B$6:$B$10000,"غير موجود",0))</f>
        <v>F3</v>
      </c>
      <c r="D90" s="940">
        <v>44053445</v>
      </c>
      <c r="E90" s="941" t="s">
        <v>1076</v>
      </c>
      <c r="F90" s="941" t="s">
        <v>1077</v>
      </c>
      <c r="G90" s="941" t="s">
        <v>1078</v>
      </c>
      <c r="H90" s="941" t="s">
        <v>1083</v>
      </c>
      <c r="I90" s="941">
        <v>2000</v>
      </c>
      <c r="J90" s="944">
        <v>46258</v>
      </c>
      <c r="K90" s="944">
        <v>46255</v>
      </c>
      <c r="L90" s="941" t="s">
        <v>921</v>
      </c>
      <c r="M90" s="941"/>
      <c r="N90" s="941" t="s">
        <v>1218</v>
      </c>
      <c r="O90" s="941" t="s">
        <v>1085</v>
      </c>
      <c r="P90" s="941" t="s">
        <v>1219</v>
      </c>
    </row>
    <row r="91" spans="1:16">
      <c r="A91" s="937"/>
      <c r="B91" s="937" t="str" cm="1">
        <f t="array" ref="B91">IF(P91="","",_xlfn.XLOOKUP(P91&amp;"",'Units Data'!$I$6:$I$10000&amp;"",'Units Data'!$C$6:$C$10000,"غير موجود",0))</f>
        <v>A</v>
      </c>
      <c r="C91" s="937" t="str" cm="1">
        <f t="array" ref="C91">IF(P91="","",_xlfn.XLOOKUP(P91&amp;"",'Units Data'!$I$6:$I$10000&amp;"",'Units Data'!$B$6:$B$10000,"غير موجود",0))</f>
        <v>S2</v>
      </c>
      <c r="D91" s="940">
        <v>44016907</v>
      </c>
      <c r="E91" s="941" t="s">
        <v>1076</v>
      </c>
      <c r="F91" s="941" t="s">
        <v>1077</v>
      </c>
      <c r="G91" s="941" t="s">
        <v>1078</v>
      </c>
      <c r="H91" s="941" t="s">
        <v>1083</v>
      </c>
      <c r="I91" s="941">
        <v>2675</v>
      </c>
      <c r="J91" s="944">
        <v>46258</v>
      </c>
      <c r="K91" s="944">
        <v>46254</v>
      </c>
      <c r="L91" s="941" t="s">
        <v>1220</v>
      </c>
      <c r="M91" s="941"/>
      <c r="N91" s="941" t="s">
        <v>1221</v>
      </c>
      <c r="O91" s="941" t="s">
        <v>1085</v>
      </c>
      <c r="P91" s="941" t="s">
        <v>1178</v>
      </c>
    </row>
    <row r="92" spans="1:16">
      <c r="A92" s="937"/>
      <c r="B92" s="937" t="str" cm="1">
        <f t="array" ref="B92">IF(P92="","",_xlfn.XLOOKUP(P92&amp;"",'Units Data'!$I$6:$I$10000&amp;"",'Units Data'!$C$6:$C$10000,"غير موجود",0))</f>
        <v>A</v>
      </c>
      <c r="C92" s="937" t="str" cm="1">
        <f t="array" ref="C92">IF(P92="","",_xlfn.XLOOKUP(P92&amp;"",'Units Data'!$I$6:$I$10000&amp;"",'Units Data'!$B$6:$B$10000,"غير موجود",0))</f>
        <v>F4</v>
      </c>
      <c r="D92" s="940">
        <v>43959387</v>
      </c>
      <c r="E92" s="941" t="s">
        <v>1076</v>
      </c>
      <c r="F92" s="941" t="s">
        <v>1077</v>
      </c>
      <c r="G92" s="941" t="s">
        <v>1078</v>
      </c>
      <c r="H92" s="941" t="s">
        <v>1083</v>
      </c>
      <c r="I92" s="941">
        <v>2000</v>
      </c>
      <c r="J92" s="944">
        <v>46254</v>
      </c>
      <c r="K92" s="944">
        <v>46252</v>
      </c>
      <c r="L92" s="941" t="s">
        <v>900</v>
      </c>
      <c r="M92" s="941"/>
      <c r="N92" s="941" t="s">
        <v>1084</v>
      </c>
      <c r="O92" s="941" t="s">
        <v>1085</v>
      </c>
      <c r="P92" s="941" t="s">
        <v>1086</v>
      </c>
    </row>
    <row r="93" spans="1:16">
      <c r="A93" s="937"/>
      <c r="B93" s="937" t="str" cm="1">
        <f t="array" ref="B93">IF(P93="","",_xlfn.XLOOKUP(P93&amp;"",'Units Data'!$I$6:$I$10000&amp;"",'Units Data'!$C$6:$C$10000,"غير موجود",0))</f>
        <v>غير موجود</v>
      </c>
      <c r="C93" s="937" t="str" cm="1">
        <f t="array" ref="C93">IF(P93="","",_xlfn.XLOOKUP(P93&amp;"",'Units Data'!$I$6:$I$10000&amp;"",'Units Data'!$B$6:$B$10000,"غير موجود",0))</f>
        <v>غير موجود</v>
      </c>
      <c r="D93" s="940">
        <v>43930034</v>
      </c>
      <c r="E93" s="941" t="s">
        <v>1076</v>
      </c>
      <c r="F93" s="941" t="s">
        <v>1077</v>
      </c>
      <c r="G93" s="941" t="s">
        <v>1078</v>
      </c>
      <c r="H93" s="941" t="s">
        <v>1083</v>
      </c>
      <c r="I93" s="941">
        <v>17000</v>
      </c>
      <c r="J93" s="944">
        <v>46253</v>
      </c>
      <c r="K93" s="944">
        <v>46251</v>
      </c>
      <c r="L93" s="941" t="s">
        <v>1222</v>
      </c>
      <c r="M93" s="941"/>
      <c r="N93" s="941" t="s">
        <v>1223</v>
      </c>
      <c r="O93" s="941" t="s">
        <v>1099</v>
      </c>
      <c r="P93" s="941" t="s">
        <v>1224</v>
      </c>
    </row>
    <row r="94" spans="1:16">
      <c r="A94" s="937"/>
      <c r="B94" s="937" t="str" cm="1">
        <f t="array" ref="B94">IF(P94="","",_xlfn.XLOOKUP(P94&amp;"",'Units Data'!$I$6:$I$10000&amp;"",'Units Data'!$C$6:$C$10000,"غير موجود",0))</f>
        <v>غير موجود</v>
      </c>
      <c r="C94" s="937" t="str" cm="1">
        <f t="array" ref="C94">IF(P94="","",_xlfn.XLOOKUP(P94&amp;"",'Units Data'!$I$6:$I$10000&amp;"",'Units Data'!$B$6:$B$10000,"غير موجود",0))</f>
        <v>غير موجود</v>
      </c>
      <c r="D94" s="940">
        <v>43870808</v>
      </c>
      <c r="E94" s="941" t="s">
        <v>1076</v>
      </c>
      <c r="F94" s="941" t="s">
        <v>1077</v>
      </c>
      <c r="G94" s="941" t="s">
        <v>1078</v>
      </c>
      <c r="H94" s="941" t="s">
        <v>1079</v>
      </c>
      <c r="I94" s="941">
        <v>123</v>
      </c>
      <c r="J94" s="944">
        <v>46251</v>
      </c>
      <c r="K94" s="944">
        <v>46250</v>
      </c>
      <c r="L94" s="941" t="s">
        <v>1196</v>
      </c>
      <c r="M94" s="941"/>
      <c r="N94" s="941" t="s">
        <v>1225</v>
      </c>
      <c r="O94" s="941" t="s">
        <v>1118</v>
      </c>
      <c r="P94" s="941" t="s">
        <v>1198</v>
      </c>
    </row>
    <row r="95" spans="1:16">
      <c r="A95" s="937"/>
      <c r="B95" s="937" cm="1">
        <f t="array" ref="B95">IF(P95="","",_xlfn.XLOOKUP(P95&amp;"",'Units Data'!$I$6:$I$10000&amp;"",'Units Data'!$C$6:$C$10000,"غير موجود",0))</f>
        <v>102</v>
      </c>
      <c r="C95" s="937" t="str" cm="1">
        <f t="array" ref="C95">IF(P95="","",_xlfn.XLOOKUP(P95&amp;"",'Units Data'!$I$6:$I$10000&amp;"",'Units Data'!$B$6:$B$10000,"غير موجود",0))</f>
        <v>F3</v>
      </c>
      <c r="D95" s="940">
        <v>43830977</v>
      </c>
      <c r="E95" s="941" t="s">
        <v>1076</v>
      </c>
      <c r="F95" s="941" t="s">
        <v>1077</v>
      </c>
      <c r="G95" s="941" t="s">
        <v>1078</v>
      </c>
      <c r="H95" s="941" t="s">
        <v>1079</v>
      </c>
      <c r="I95" s="941">
        <v>3500</v>
      </c>
      <c r="J95" s="944">
        <v>46249</v>
      </c>
      <c r="K95" s="944">
        <v>46248</v>
      </c>
      <c r="L95" s="941" t="s">
        <v>1040</v>
      </c>
      <c r="M95" s="941"/>
      <c r="N95" s="941" t="s">
        <v>1226</v>
      </c>
      <c r="O95" s="941" t="s">
        <v>1081</v>
      </c>
      <c r="P95" s="941" t="s">
        <v>1195</v>
      </c>
    </row>
    <row r="96" spans="1:16">
      <c r="A96" s="937"/>
      <c r="B96" s="937" t="str" cm="1">
        <f t="array" ref="B96">IF(P96="","",_xlfn.XLOOKUP(P96&amp;"",'Units Data'!$I$6:$I$10000&amp;"",'Units Data'!$C$6:$C$10000,"غير موجود",0))</f>
        <v>غير موجود</v>
      </c>
      <c r="C96" s="937" t="str" cm="1">
        <f t="array" ref="C96">IF(P96="","",_xlfn.XLOOKUP(P96&amp;"",'Units Data'!$I$6:$I$10000&amp;"",'Units Data'!$B$6:$B$10000,"غير موجود",0))</f>
        <v>غير موجود</v>
      </c>
      <c r="D96" s="940">
        <v>43795521</v>
      </c>
      <c r="E96" s="941" t="s">
        <v>1076</v>
      </c>
      <c r="F96" s="941" t="s">
        <v>1077</v>
      </c>
      <c r="G96" s="941" t="s">
        <v>1078</v>
      </c>
      <c r="H96" s="941" t="s">
        <v>1083</v>
      </c>
      <c r="I96" s="941">
        <v>3000</v>
      </c>
      <c r="J96" s="944">
        <v>46249</v>
      </c>
      <c r="K96" s="944">
        <v>46246</v>
      </c>
      <c r="L96" s="941" t="s">
        <v>1227</v>
      </c>
      <c r="M96" s="941"/>
      <c r="N96" s="941" t="s">
        <v>1228</v>
      </c>
      <c r="O96" s="941" t="s">
        <v>1122</v>
      </c>
      <c r="P96" s="941" t="s">
        <v>1229</v>
      </c>
    </row>
    <row r="97" spans="1:16">
      <c r="A97" s="937"/>
      <c r="B97" s="937" t="str" cm="1">
        <f t="array" ref="B97">IF(P97="","",_xlfn.XLOOKUP(P97&amp;"",'Units Data'!$I$6:$I$10000&amp;"",'Units Data'!$C$6:$C$10000,"غير موجود",0))</f>
        <v>غير موجود</v>
      </c>
      <c r="C97" s="937" t="str" cm="1">
        <f t="array" ref="C97">IF(P97="","",_xlfn.XLOOKUP(P97&amp;"",'Units Data'!$I$6:$I$10000&amp;"",'Units Data'!$B$6:$B$10000,"غير موجود",0))</f>
        <v>غير موجود</v>
      </c>
      <c r="D97" s="940">
        <v>43795493</v>
      </c>
      <c r="E97" s="941" t="s">
        <v>1076</v>
      </c>
      <c r="F97" s="941" t="s">
        <v>1077</v>
      </c>
      <c r="G97" s="941" t="s">
        <v>1078</v>
      </c>
      <c r="H97" s="941" t="s">
        <v>1083</v>
      </c>
      <c r="I97" s="941">
        <v>877</v>
      </c>
      <c r="J97" s="944">
        <v>46249</v>
      </c>
      <c r="K97" s="944">
        <v>46246</v>
      </c>
      <c r="L97" s="941" t="s">
        <v>1196</v>
      </c>
      <c r="M97" s="941"/>
      <c r="N97" s="941" t="s">
        <v>1225</v>
      </c>
      <c r="O97" s="941" t="s">
        <v>1118</v>
      </c>
      <c r="P97" s="941" t="s">
        <v>1198</v>
      </c>
    </row>
    <row r="98" spans="1:16">
      <c r="A98" s="937"/>
      <c r="B98" s="937" cm="1">
        <f t="array" ref="B98">IF(P98="","",_xlfn.XLOOKUP(P98&amp;"",'Units Data'!$I$6:$I$10000&amp;"",'Units Data'!$C$6:$C$10000,"غير موجود",0))</f>
        <v>102</v>
      </c>
      <c r="C98" s="937" t="str" cm="1">
        <f t="array" ref="C98">IF(P98="","",_xlfn.XLOOKUP(P98&amp;"",'Units Data'!$I$6:$I$10000&amp;"",'Units Data'!$B$6:$B$10000,"غير موجود",0))</f>
        <v>S4</v>
      </c>
      <c r="D98" s="940">
        <v>43769613</v>
      </c>
      <c r="E98" s="941" t="s">
        <v>1076</v>
      </c>
      <c r="F98" s="941" t="s">
        <v>1077</v>
      </c>
      <c r="G98" s="941" t="s">
        <v>1078</v>
      </c>
      <c r="H98" s="941" t="s">
        <v>1083</v>
      </c>
      <c r="I98" s="941">
        <v>4000</v>
      </c>
      <c r="J98" s="944">
        <v>46249</v>
      </c>
      <c r="K98" s="944">
        <v>46246</v>
      </c>
      <c r="L98" s="941" t="s">
        <v>1057</v>
      </c>
      <c r="M98" s="941"/>
      <c r="N98" s="941" t="s">
        <v>1230</v>
      </c>
      <c r="O98" s="941" t="s">
        <v>1081</v>
      </c>
      <c r="P98" s="941" t="s">
        <v>1231</v>
      </c>
    </row>
    <row r="99" spans="1:16">
      <c r="A99" s="937"/>
      <c r="B99" s="937" t="str" cm="1">
        <f t="array" ref="B99">IF(P99="","",_xlfn.XLOOKUP(P99&amp;"",'Units Data'!$I$6:$I$10000&amp;"",'Units Data'!$C$6:$C$10000,"غير موجود",0))</f>
        <v>غير موجود</v>
      </c>
      <c r="C99" s="937" t="str" cm="1">
        <f t="array" ref="C99">IF(P99="","",_xlfn.XLOOKUP(P99&amp;"",'Units Data'!$I$6:$I$10000&amp;"",'Units Data'!$B$6:$B$10000,"غير موجود",0))</f>
        <v>غير موجود</v>
      </c>
      <c r="D99" s="940">
        <v>43763331</v>
      </c>
      <c r="E99" s="941" t="s">
        <v>1076</v>
      </c>
      <c r="F99" s="941" t="s">
        <v>1077</v>
      </c>
      <c r="G99" s="941" t="s">
        <v>1078</v>
      </c>
      <c r="H99" s="941" t="s">
        <v>1083</v>
      </c>
      <c r="I99" s="941">
        <v>4500</v>
      </c>
      <c r="J99" s="944">
        <v>46249</v>
      </c>
      <c r="K99" s="944">
        <v>46246</v>
      </c>
      <c r="L99" s="941" t="s">
        <v>1109</v>
      </c>
      <c r="M99" s="941"/>
      <c r="N99" s="941" t="s">
        <v>1110</v>
      </c>
      <c r="O99" s="941" t="s">
        <v>1111</v>
      </c>
      <c r="P99" s="941" t="s">
        <v>1112</v>
      </c>
    </row>
    <row r="100" spans="1:16">
      <c r="A100" s="937"/>
      <c r="B100" s="937" t="str" cm="1">
        <f t="array" ref="B100">IF(P100="","",_xlfn.XLOOKUP(P100&amp;"",'Units Data'!$I$6:$I$10000&amp;"",'Units Data'!$C$6:$C$10000,"غير موجود",0))</f>
        <v>غير موجود</v>
      </c>
      <c r="C100" s="937" t="str" cm="1">
        <f t="array" ref="C100">IF(P100="","",_xlfn.XLOOKUP(P100&amp;"",'Units Data'!$I$6:$I$10000&amp;"",'Units Data'!$B$6:$B$10000,"غير موجود",0))</f>
        <v>غير موجود</v>
      </c>
      <c r="D100" s="940">
        <v>43752048</v>
      </c>
      <c r="E100" s="941" t="s">
        <v>1076</v>
      </c>
      <c r="F100" s="941" t="s">
        <v>1077</v>
      </c>
      <c r="G100" s="941" t="s">
        <v>1078</v>
      </c>
      <c r="H100" s="941" t="s">
        <v>1083</v>
      </c>
      <c r="I100" s="941">
        <v>3000</v>
      </c>
      <c r="J100" s="944">
        <v>46247</v>
      </c>
      <c r="K100" s="944">
        <v>46245</v>
      </c>
      <c r="L100" s="941" t="s">
        <v>1205</v>
      </c>
      <c r="M100" s="941"/>
      <c r="N100" s="941" t="s">
        <v>1206</v>
      </c>
      <c r="O100" s="941" t="s">
        <v>1161</v>
      </c>
      <c r="P100" s="941" t="s">
        <v>1207</v>
      </c>
    </row>
    <row r="101" spans="1:16">
      <c r="A101" s="937"/>
      <c r="B101" s="937" t="str" cm="1">
        <f t="array" ref="B101">IF(P101="","",_xlfn.XLOOKUP(P101&amp;"",'Units Data'!$I$6:$I$10000&amp;"",'Units Data'!$C$6:$C$10000,"غير موجود",0))</f>
        <v>غير موجود</v>
      </c>
      <c r="C101" s="937" t="str" cm="1">
        <f t="array" ref="C101">IF(P101="","",_xlfn.XLOOKUP(P101&amp;"",'Units Data'!$I$6:$I$10000&amp;"",'Units Data'!$B$6:$B$10000,"غير موجود",0))</f>
        <v>غير موجود</v>
      </c>
      <c r="D101" s="940">
        <v>43737381</v>
      </c>
      <c r="E101" s="941" t="s">
        <v>1076</v>
      </c>
      <c r="F101" s="941" t="s">
        <v>1077</v>
      </c>
      <c r="G101" s="941" t="s">
        <v>1078</v>
      </c>
      <c r="H101" s="941" t="s">
        <v>1083</v>
      </c>
      <c r="I101" s="941">
        <v>6500</v>
      </c>
      <c r="J101" s="944">
        <v>46247</v>
      </c>
      <c r="K101" s="944">
        <v>46245</v>
      </c>
      <c r="L101" s="941" t="s">
        <v>1232</v>
      </c>
      <c r="M101" s="941"/>
      <c r="N101" s="941" t="s">
        <v>1233</v>
      </c>
      <c r="O101" s="941" t="s">
        <v>1099</v>
      </c>
      <c r="P101" s="941" t="s">
        <v>1234</v>
      </c>
    </row>
    <row r="102" spans="1:16">
      <c r="A102" s="937"/>
      <c r="B102" s="937" t="str" cm="1">
        <f t="array" ref="B102">IF(P102="","",_xlfn.XLOOKUP(P102&amp;"",'Units Data'!$I$6:$I$10000&amp;"",'Units Data'!$C$6:$C$10000,"غير موجود",0))</f>
        <v>غير موجود</v>
      </c>
      <c r="C102" s="937" t="str" cm="1">
        <f t="array" ref="C102">IF(P102="","",_xlfn.XLOOKUP(P102&amp;"",'Units Data'!$I$6:$I$10000&amp;"",'Units Data'!$B$6:$B$10000,"غير موجود",0))</f>
        <v>غير موجود</v>
      </c>
      <c r="D102" s="940">
        <v>43733264</v>
      </c>
      <c r="E102" s="941" t="s">
        <v>1076</v>
      </c>
      <c r="F102" s="941" t="s">
        <v>1077</v>
      </c>
      <c r="G102" s="941" t="s">
        <v>1078</v>
      </c>
      <c r="H102" s="941" t="s">
        <v>1083</v>
      </c>
      <c r="I102" s="941">
        <v>6200</v>
      </c>
      <c r="J102" s="944">
        <v>46247</v>
      </c>
      <c r="K102" s="944">
        <v>46245</v>
      </c>
      <c r="L102" s="941" t="s">
        <v>1215</v>
      </c>
      <c r="M102" s="941"/>
      <c r="N102" s="941" t="s">
        <v>1216</v>
      </c>
      <c r="O102" s="941" t="s">
        <v>1099</v>
      </c>
      <c r="P102" s="941" t="s">
        <v>1217</v>
      </c>
    </row>
    <row r="103" spans="1:16">
      <c r="A103" s="937"/>
      <c r="B103" s="937" t="str" cm="1">
        <f t="array" ref="B103">IF(P103="","",_xlfn.XLOOKUP(P103&amp;"",'Units Data'!$I$6:$I$10000&amp;"",'Units Data'!$C$6:$C$10000,"غير موجود",0))</f>
        <v>غير موجود</v>
      </c>
      <c r="C103" s="937" t="str" cm="1">
        <f t="array" ref="C103">IF(P103="","",_xlfn.XLOOKUP(P103&amp;"",'Units Data'!$I$6:$I$10000&amp;"",'Units Data'!$B$6:$B$10000,"غير موجود",0))</f>
        <v>غير موجود</v>
      </c>
      <c r="D103" s="940">
        <v>43731327</v>
      </c>
      <c r="E103" s="941" t="s">
        <v>1076</v>
      </c>
      <c r="F103" s="941" t="s">
        <v>1077</v>
      </c>
      <c r="G103" s="941" t="s">
        <v>1078</v>
      </c>
      <c r="H103" s="941" t="s">
        <v>1083</v>
      </c>
      <c r="I103" s="941">
        <v>1000</v>
      </c>
      <c r="J103" s="944">
        <v>46247</v>
      </c>
      <c r="K103" s="944">
        <v>46245</v>
      </c>
      <c r="L103" s="941" t="s">
        <v>1156</v>
      </c>
      <c r="M103" s="941"/>
      <c r="N103" s="941" t="s">
        <v>1157</v>
      </c>
      <c r="O103" s="941" t="s">
        <v>1118</v>
      </c>
      <c r="P103" s="941" t="s">
        <v>1158</v>
      </c>
    </row>
    <row r="104" spans="1:16">
      <c r="A104" s="937"/>
      <c r="B104" s="937" cm="1">
        <f t="array" ref="B104">IF(P104="","",_xlfn.XLOOKUP(P104&amp;"",'Units Data'!$I$6:$I$10000&amp;"",'Units Data'!$C$6:$C$10000,"غير موجود",0))</f>
        <v>102</v>
      </c>
      <c r="C104" s="937" t="str" cm="1">
        <f t="array" ref="C104">IF(P104="","",_xlfn.XLOOKUP(P104&amp;"",'Units Data'!$I$6:$I$10000&amp;"",'Units Data'!$B$6:$B$10000,"غير موجود",0))</f>
        <v>F6</v>
      </c>
      <c r="D104" s="940">
        <v>43680474</v>
      </c>
      <c r="E104" s="941" t="s">
        <v>1076</v>
      </c>
      <c r="F104" s="941" t="s">
        <v>1077</v>
      </c>
      <c r="G104" s="941" t="s">
        <v>1078</v>
      </c>
      <c r="H104" s="941" t="s">
        <v>1083</v>
      </c>
      <c r="I104" s="941">
        <v>3500</v>
      </c>
      <c r="J104" s="944">
        <v>46246</v>
      </c>
      <c r="K104" s="944">
        <v>46244</v>
      </c>
      <c r="L104" s="941" t="s">
        <v>1044</v>
      </c>
      <c r="M104" s="941"/>
      <c r="N104" s="941" t="s">
        <v>1208</v>
      </c>
      <c r="O104" s="941" t="s">
        <v>1081</v>
      </c>
      <c r="P104" s="941" t="s">
        <v>1130</v>
      </c>
    </row>
    <row r="105" spans="1:16">
      <c r="A105" s="937"/>
      <c r="B105" s="937" cm="1">
        <f t="array" ref="B105">IF(P105="","",_xlfn.XLOOKUP(P105&amp;"",'Units Data'!$I$6:$I$10000&amp;"",'Units Data'!$C$6:$C$10000,"غير موجود",0))</f>
        <v>102</v>
      </c>
      <c r="C105" s="937" t="str" cm="1">
        <f t="array" ref="C105">IF(P105="","",_xlfn.XLOOKUP(P105&amp;"",'Units Data'!$I$6:$I$10000&amp;"",'Units Data'!$B$6:$B$10000,"غير موجود",0))</f>
        <v>S7</v>
      </c>
      <c r="D105" s="940">
        <v>43676076</v>
      </c>
      <c r="E105" s="941" t="s">
        <v>1076</v>
      </c>
      <c r="F105" s="941" t="s">
        <v>1077</v>
      </c>
      <c r="G105" s="941" t="s">
        <v>1078</v>
      </c>
      <c r="H105" s="941" t="s">
        <v>1083</v>
      </c>
      <c r="I105" s="941">
        <v>4000</v>
      </c>
      <c r="J105" s="944">
        <v>46245</v>
      </c>
      <c r="K105" s="944">
        <v>46243</v>
      </c>
      <c r="L105" s="941" t="s">
        <v>1056</v>
      </c>
      <c r="M105" s="941"/>
      <c r="N105" s="941" t="s">
        <v>1235</v>
      </c>
      <c r="O105" s="941" t="s">
        <v>1095</v>
      </c>
      <c r="P105" s="941" t="s">
        <v>1236</v>
      </c>
    </row>
    <row r="106" spans="1:16">
      <c r="A106" s="937"/>
      <c r="B106" s="937" cm="1">
        <f t="array" ref="B106">IF(P106="","",_xlfn.XLOOKUP(P106&amp;"",'Units Data'!$I$6:$I$10000&amp;"",'Units Data'!$C$6:$C$10000,"غير موجود",0))</f>
        <v>102</v>
      </c>
      <c r="C106" s="937" t="str" cm="1">
        <f t="array" ref="C106">IF(P106="","",_xlfn.XLOOKUP(P106&amp;"",'Units Data'!$I$6:$I$10000&amp;"",'Units Data'!$B$6:$B$10000,"غير موجود",0))</f>
        <v>F8</v>
      </c>
      <c r="D106" s="940">
        <v>43405873</v>
      </c>
      <c r="E106" s="941" t="s">
        <v>1076</v>
      </c>
      <c r="F106" s="941" t="s">
        <v>1077</v>
      </c>
      <c r="G106" s="941" t="s">
        <v>1078</v>
      </c>
      <c r="H106" s="941" t="s">
        <v>1079</v>
      </c>
      <c r="I106" s="941">
        <v>3500</v>
      </c>
      <c r="J106" s="944">
        <v>46238</v>
      </c>
      <c r="K106" s="944">
        <v>46237</v>
      </c>
      <c r="L106" s="941" t="s">
        <v>1043</v>
      </c>
      <c r="M106" s="941"/>
      <c r="N106" s="941" t="s">
        <v>1209</v>
      </c>
      <c r="O106" s="941" t="s">
        <v>1081</v>
      </c>
      <c r="P106" s="941" t="s">
        <v>1150</v>
      </c>
    </row>
    <row r="107" spans="1:16">
      <c r="A107" s="937"/>
      <c r="B107" s="937" t="str" cm="1">
        <f t="array" ref="B107">IF(P107="","",_xlfn.XLOOKUP(P107&amp;"",'Units Data'!$I$6:$I$10000&amp;"",'Units Data'!$C$6:$C$10000,"غير موجود",0))</f>
        <v>غير موجود</v>
      </c>
      <c r="C107" s="937" t="str" cm="1">
        <f t="array" ref="C107">IF(P107="","",_xlfn.XLOOKUP(P107&amp;"",'Units Data'!$I$6:$I$10000&amp;"",'Units Data'!$B$6:$B$10000,"غير موجود",0))</f>
        <v>غير موجود</v>
      </c>
      <c r="D107" s="940">
        <v>43349821</v>
      </c>
      <c r="E107" s="941" t="s">
        <v>1076</v>
      </c>
      <c r="F107" s="941" t="s">
        <v>1077</v>
      </c>
      <c r="G107" s="941" t="s">
        <v>1078</v>
      </c>
      <c r="H107" s="941" t="s">
        <v>1083</v>
      </c>
      <c r="I107" s="941">
        <v>1000</v>
      </c>
      <c r="J107" s="944">
        <v>46238</v>
      </c>
      <c r="K107" s="944">
        <v>46236</v>
      </c>
      <c r="L107" s="941" t="s">
        <v>1153</v>
      </c>
      <c r="M107" s="941"/>
      <c r="N107" s="941" t="s">
        <v>1154</v>
      </c>
      <c r="O107" s="941" t="s">
        <v>1122</v>
      </c>
      <c r="P107" s="941" t="s">
        <v>1155</v>
      </c>
    </row>
    <row r="108" spans="1:16">
      <c r="A108" s="937"/>
      <c r="B108" s="937" cm="1">
        <f t="array" ref="B108">IF(P108="","",_xlfn.XLOOKUP(P108&amp;"",'Units Data'!$I$6:$I$10000&amp;"",'Units Data'!$C$6:$C$10000,"غير موجود",0))</f>
        <v>102</v>
      </c>
      <c r="C108" s="937" t="str" cm="1">
        <f t="array" ref="C108">IF(P108="","",_xlfn.XLOOKUP(P108&amp;"",'Units Data'!$I$6:$I$10000&amp;"",'Units Data'!$B$6:$B$10000,"غير موجود",0))</f>
        <v>S3</v>
      </c>
      <c r="D108" s="940">
        <v>43342791</v>
      </c>
      <c r="E108" s="941" t="s">
        <v>1076</v>
      </c>
      <c r="F108" s="941" t="s">
        <v>1077</v>
      </c>
      <c r="G108" s="941" t="s">
        <v>1078</v>
      </c>
      <c r="H108" s="941" t="s">
        <v>1083</v>
      </c>
      <c r="I108" s="941">
        <v>2950</v>
      </c>
      <c r="J108" s="944">
        <v>46238</v>
      </c>
      <c r="K108" s="944">
        <v>46236</v>
      </c>
      <c r="L108" s="941" t="s">
        <v>1046</v>
      </c>
      <c r="M108" s="941"/>
      <c r="N108" s="941" t="s">
        <v>1136</v>
      </c>
      <c r="O108" s="941" t="s">
        <v>1095</v>
      </c>
      <c r="P108" s="941" t="s">
        <v>1137</v>
      </c>
    </row>
    <row r="109" spans="1:16">
      <c r="A109" s="937"/>
      <c r="B109" s="937" cm="1">
        <f t="array" ref="B109">IF(P109="","",_xlfn.XLOOKUP(P109&amp;"",'Units Data'!$I$6:$I$10000&amp;"",'Units Data'!$C$6:$C$10000,"غير موجود",0))</f>
        <v>102</v>
      </c>
      <c r="C109" s="937" t="str" cm="1">
        <f t="array" ref="C109">IF(P109="","",_xlfn.XLOOKUP(P109&amp;"",'Units Data'!$I$6:$I$10000&amp;"",'Units Data'!$B$6:$B$10000,"غير موجود",0))</f>
        <v>F2</v>
      </c>
      <c r="D109" s="940">
        <v>42951143</v>
      </c>
      <c r="E109" s="941" t="s">
        <v>1076</v>
      </c>
      <c r="F109" s="941" t="s">
        <v>1077</v>
      </c>
      <c r="G109" s="941" t="s">
        <v>1078</v>
      </c>
      <c r="H109" s="941" t="s">
        <v>1079</v>
      </c>
      <c r="I109" s="941">
        <v>3500</v>
      </c>
      <c r="J109" s="944">
        <v>46231</v>
      </c>
      <c r="K109" s="944">
        <v>46230</v>
      </c>
      <c r="L109" s="941" t="s">
        <v>1039</v>
      </c>
      <c r="M109" s="941"/>
      <c r="N109" s="941" t="s">
        <v>1237</v>
      </c>
      <c r="O109" s="941" t="s">
        <v>1081</v>
      </c>
      <c r="P109" s="941" t="s">
        <v>1174</v>
      </c>
    </row>
    <row r="110" spans="1:16">
      <c r="A110" s="937"/>
      <c r="B110" s="937" cm="1">
        <f t="array" ref="B110">IF(P110="","",_xlfn.XLOOKUP(P110&amp;"",'Units Data'!$I$6:$I$10000&amp;"",'Units Data'!$C$6:$C$10000,"غير موجود",0))</f>
        <v>102</v>
      </c>
      <c r="C110" s="937" t="str" cm="1">
        <f t="array" ref="C110">IF(P110="","",_xlfn.XLOOKUP(P110&amp;"",'Units Data'!$I$6:$I$10000&amp;"",'Units Data'!$B$6:$B$10000,"غير موجود",0))</f>
        <v>F4</v>
      </c>
      <c r="D110" s="940">
        <v>42885753</v>
      </c>
      <c r="E110" s="941" t="s">
        <v>1076</v>
      </c>
      <c r="F110" s="941" t="s">
        <v>1077</v>
      </c>
      <c r="G110" s="941" t="s">
        <v>1078</v>
      </c>
      <c r="H110" s="941" t="s">
        <v>1083</v>
      </c>
      <c r="I110" s="941">
        <v>3500</v>
      </c>
      <c r="J110" s="944">
        <v>46233</v>
      </c>
      <c r="K110" s="944">
        <v>46230</v>
      </c>
      <c r="L110" s="941" t="s">
        <v>1058</v>
      </c>
      <c r="M110" s="941"/>
      <c r="N110" s="941" t="s">
        <v>1238</v>
      </c>
      <c r="O110" s="941" t="s">
        <v>1081</v>
      </c>
      <c r="P110" s="941" t="s">
        <v>1239</v>
      </c>
    </row>
    <row r="111" spans="1:16">
      <c r="A111" s="937"/>
      <c r="B111" s="937" cm="1">
        <f t="array" ref="B111">IF(P111="","",_xlfn.XLOOKUP(P111&amp;"",'Units Data'!$I$6:$I$10000&amp;"",'Units Data'!$C$6:$C$10000,"غير موجود",0))</f>
        <v>102</v>
      </c>
      <c r="C111" s="937" t="str" cm="1">
        <f t="array" ref="C111">IF(P111="","",_xlfn.XLOOKUP(P111&amp;"",'Units Data'!$I$6:$I$10000&amp;"",'Units Data'!$B$6:$B$10000,"غير موجود",0))</f>
        <v>S2</v>
      </c>
      <c r="D111" s="940">
        <v>42853158</v>
      </c>
      <c r="E111" s="941" t="s">
        <v>1076</v>
      </c>
      <c r="F111" s="941" t="s">
        <v>1077</v>
      </c>
      <c r="G111" s="941" t="s">
        <v>1078</v>
      </c>
      <c r="H111" s="941" t="s">
        <v>1083</v>
      </c>
      <c r="I111" s="941">
        <v>3500</v>
      </c>
      <c r="J111" s="944">
        <v>46233</v>
      </c>
      <c r="K111" s="944">
        <v>46230</v>
      </c>
      <c r="L111" s="941" t="s">
        <v>1045</v>
      </c>
      <c r="M111" s="941"/>
      <c r="N111" s="941" t="s">
        <v>1186</v>
      </c>
      <c r="O111" s="941" t="s">
        <v>1081</v>
      </c>
      <c r="P111" s="941" t="s">
        <v>1187</v>
      </c>
    </row>
    <row r="112" spans="1:16">
      <c r="A112" s="937"/>
      <c r="B112" s="937" t="str" cm="1">
        <f t="array" ref="B112">IF(P112="","",_xlfn.XLOOKUP(P112&amp;"",'Units Data'!$I$6:$I$10000&amp;"",'Units Data'!$C$6:$C$10000,"غير موجود",0))</f>
        <v>غير موجود</v>
      </c>
      <c r="C112" s="937" t="str" cm="1">
        <f t="array" ref="C112">IF(P112="","",_xlfn.XLOOKUP(P112&amp;"",'Units Data'!$I$6:$I$10000&amp;"",'Units Data'!$B$6:$B$10000,"غير موجود",0))</f>
        <v>غير موجود</v>
      </c>
      <c r="D112" s="940">
        <v>42846447</v>
      </c>
      <c r="E112" s="941" t="s">
        <v>1076</v>
      </c>
      <c r="F112" s="941" t="s">
        <v>1077</v>
      </c>
      <c r="G112" s="941" t="s">
        <v>1078</v>
      </c>
      <c r="H112" s="941" t="s">
        <v>1083</v>
      </c>
      <c r="I112" s="941">
        <v>3000</v>
      </c>
      <c r="J112" s="944">
        <v>46233</v>
      </c>
      <c r="K112" s="944">
        <v>46230</v>
      </c>
      <c r="L112" s="941" t="s">
        <v>1179</v>
      </c>
      <c r="M112" s="941"/>
      <c r="N112" s="941" t="s">
        <v>1240</v>
      </c>
      <c r="O112" s="941" t="s">
        <v>1161</v>
      </c>
      <c r="P112" s="941" t="s">
        <v>1181</v>
      </c>
    </row>
    <row r="113" spans="1:16">
      <c r="A113" s="937"/>
      <c r="B113" s="937" cm="1">
        <f t="array" ref="B113">IF(P113="","",_xlfn.XLOOKUP(P113&amp;"",'Units Data'!$I$6:$I$10000&amp;"",'Units Data'!$C$6:$C$10000,"غير موجود",0))</f>
        <v>102</v>
      </c>
      <c r="C113" s="937" t="str" cm="1">
        <f t="array" ref="C113">IF(P113="","",_xlfn.XLOOKUP(P113&amp;"",'Units Data'!$I$6:$I$10000&amp;"",'Units Data'!$B$6:$B$10000,"غير موجود",0))</f>
        <v>F7</v>
      </c>
      <c r="D113" s="940">
        <v>42835608</v>
      </c>
      <c r="E113" s="941" t="s">
        <v>1076</v>
      </c>
      <c r="F113" s="941" t="s">
        <v>1077</v>
      </c>
      <c r="G113" s="941" t="s">
        <v>1078</v>
      </c>
      <c r="H113" s="941" t="s">
        <v>1079</v>
      </c>
      <c r="I113" s="941">
        <v>3800</v>
      </c>
      <c r="J113" s="944">
        <v>46231</v>
      </c>
      <c r="K113" s="944">
        <v>46230</v>
      </c>
      <c r="L113" s="941" t="s">
        <v>1050</v>
      </c>
      <c r="M113" s="941"/>
      <c r="N113" s="941" t="s">
        <v>1241</v>
      </c>
      <c r="O113" s="941" t="s">
        <v>1081</v>
      </c>
      <c r="P113" s="941" t="s">
        <v>1242</v>
      </c>
    </row>
    <row r="114" spans="1:16">
      <c r="A114" s="937"/>
      <c r="B114" s="937" t="str" cm="1">
        <f t="array" ref="B114">IF(P114="","",_xlfn.XLOOKUP(P114&amp;"",'Units Data'!$I$6:$I$10000&amp;"",'Units Data'!$C$6:$C$10000,"غير موجود",0))</f>
        <v>غير موجود</v>
      </c>
      <c r="C114" s="937" t="str" cm="1">
        <f t="array" ref="C114">IF(P114="","",_xlfn.XLOOKUP(P114&amp;"",'Units Data'!$I$6:$I$10000&amp;"",'Units Data'!$B$6:$B$10000,"غير موجود",0))</f>
        <v>غير موجود</v>
      </c>
      <c r="D114" s="940">
        <v>42804254</v>
      </c>
      <c r="E114" s="941" t="s">
        <v>1076</v>
      </c>
      <c r="F114" s="941" t="s">
        <v>1077</v>
      </c>
      <c r="G114" s="941" t="s">
        <v>1078</v>
      </c>
      <c r="H114" s="941" t="s">
        <v>1083</v>
      </c>
      <c r="I114" s="941">
        <v>3000</v>
      </c>
      <c r="J114" s="944">
        <v>46231</v>
      </c>
      <c r="K114" s="944">
        <v>46229</v>
      </c>
      <c r="L114" s="941" t="s">
        <v>1159</v>
      </c>
      <c r="M114" s="941"/>
      <c r="N114" s="941" t="s">
        <v>1160</v>
      </c>
      <c r="O114" s="941" t="s">
        <v>1161</v>
      </c>
      <c r="P114" s="941" t="s">
        <v>1162</v>
      </c>
    </row>
    <row r="115" spans="1:16">
      <c r="A115" s="937"/>
      <c r="B115" s="937" t="str" cm="1">
        <f t="array" ref="B115">IF(P115="","",_xlfn.XLOOKUP(P115&amp;"",'Units Data'!$I$6:$I$10000&amp;"",'Units Data'!$C$6:$C$10000,"غير موجود",0))</f>
        <v>غير موجود</v>
      </c>
      <c r="C115" s="937" t="str" cm="1">
        <f t="array" ref="C115">IF(P115="","",_xlfn.XLOOKUP(P115&amp;"",'Units Data'!$I$6:$I$10000&amp;"",'Units Data'!$B$6:$B$10000,"غير موجود",0))</f>
        <v>غير موجود</v>
      </c>
      <c r="D115" s="940">
        <v>42726877</v>
      </c>
      <c r="E115" s="941" t="s">
        <v>1076</v>
      </c>
      <c r="F115" s="941" t="s">
        <v>1077</v>
      </c>
      <c r="G115" s="941" t="s">
        <v>1078</v>
      </c>
      <c r="H115" s="941" t="s">
        <v>1083</v>
      </c>
      <c r="I115" s="941">
        <v>1000</v>
      </c>
      <c r="J115" s="944">
        <v>46228</v>
      </c>
      <c r="K115" s="944">
        <v>46225</v>
      </c>
      <c r="L115" s="941" t="s">
        <v>1243</v>
      </c>
      <c r="M115" s="941"/>
      <c r="N115" s="941" t="s">
        <v>1244</v>
      </c>
      <c r="O115" s="941" t="s">
        <v>1118</v>
      </c>
      <c r="P115" s="941" t="s">
        <v>1245</v>
      </c>
    </row>
    <row r="116" spans="1:16">
      <c r="A116" s="937"/>
      <c r="B116" s="937" cm="1">
        <f t="array" ref="B116">IF(P116="","",_xlfn.XLOOKUP(P116&amp;"",'Units Data'!$I$6:$I$10000&amp;"",'Units Data'!$C$6:$C$10000,"غير موجود",0))</f>
        <v>102</v>
      </c>
      <c r="C116" s="937" t="str" cm="1">
        <f t="array" ref="C116">IF(P116="","",_xlfn.XLOOKUP(P116&amp;"",'Units Data'!$I$6:$I$10000&amp;"",'Units Data'!$B$6:$B$10000,"غير موجود",0))</f>
        <v>F9</v>
      </c>
      <c r="D116" s="940">
        <v>42701816</v>
      </c>
      <c r="E116" s="941" t="s">
        <v>1076</v>
      </c>
      <c r="F116" s="941" t="s">
        <v>1077</v>
      </c>
      <c r="G116" s="941" t="s">
        <v>1078</v>
      </c>
      <c r="H116" s="941" t="s">
        <v>1083</v>
      </c>
      <c r="I116" s="941">
        <v>4000</v>
      </c>
      <c r="J116" s="944">
        <v>46226</v>
      </c>
      <c r="K116" s="944">
        <v>46224</v>
      </c>
      <c r="L116" s="941" t="s">
        <v>1054</v>
      </c>
      <c r="M116" s="941"/>
      <c r="N116" s="941" t="s">
        <v>1246</v>
      </c>
      <c r="O116" s="941" t="s">
        <v>1081</v>
      </c>
      <c r="P116" s="941" t="s">
        <v>1247</v>
      </c>
    </row>
    <row r="117" spans="1:16">
      <c r="A117" s="937"/>
      <c r="B117" s="937" cm="1">
        <f t="array" ref="B117">IF(P117="","",_xlfn.XLOOKUP(P117&amp;"",'Units Data'!$I$6:$I$10000&amp;"",'Units Data'!$C$6:$C$10000,"غير موجود",0))</f>
        <v>102</v>
      </c>
      <c r="C117" s="937" t="str" cm="1">
        <f t="array" ref="C117">IF(P117="","",_xlfn.XLOOKUP(P117&amp;"",'Units Data'!$I$6:$I$10000&amp;"",'Units Data'!$B$6:$B$10000,"غير موجود",0))</f>
        <v>S4</v>
      </c>
      <c r="D117" s="940">
        <v>42620369</v>
      </c>
      <c r="E117" s="941" t="s">
        <v>1076</v>
      </c>
      <c r="F117" s="941" t="s">
        <v>1077</v>
      </c>
      <c r="G117" s="941" t="s">
        <v>1078</v>
      </c>
      <c r="H117" s="941" t="s">
        <v>1083</v>
      </c>
      <c r="I117" s="941">
        <v>4000</v>
      </c>
      <c r="J117" s="944">
        <v>46224</v>
      </c>
      <c r="K117" s="944">
        <v>46222</v>
      </c>
      <c r="L117" s="941" t="s">
        <v>1057</v>
      </c>
      <c r="M117" s="941"/>
      <c r="N117" s="941" t="s">
        <v>1248</v>
      </c>
      <c r="O117" s="941" t="s">
        <v>1081</v>
      </c>
      <c r="P117" s="941" t="s">
        <v>1249</v>
      </c>
    </row>
    <row r="118" spans="1:16">
      <c r="A118" s="937"/>
      <c r="B118" s="937" cm="1">
        <f t="array" ref="B118">IF(P118="","",_xlfn.XLOOKUP(P118&amp;"",'Units Data'!$I$6:$I$10000&amp;"",'Units Data'!$C$6:$C$10000,"غير موجود",0))</f>
        <v>102</v>
      </c>
      <c r="C118" s="937" t="str" cm="1">
        <f t="array" ref="C118">IF(P118="","",_xlfn.XLOOKUP(P118&amp;"",'Units Data'!$I$6:$I$10000&amp;"",'Units Data'!$B$6:$B$10000,"غير موجود",0))</f>
        <v>F5</v>
      </c>
      <c r="D118" s="940">
        <v>42605461</v>
      </c>
      <c r="E118" s="941" t="s">
        <v>1076</v>
      </c>
      <c r="F118" s="941" t="s">
        <v>1077</v>
      </c>
      <c r="G118" s="941" t="s">
        <v>1078</v>
      </c>
      <c r="H118" s="941" t="s">
        <v>1079</v>
      </c>
      <c r="I118" s="941">
        <v>4000</v>
      </c>
      <c r="J118" s="944">
        <v>46222</v>
      </c>
      <c r="K118" s="944">
        <v>46221</v>
      </c>
      <c r="L118" s="941" t="s">
        <v>1104</v>
      </c>
      <c r="M118" s="941"/>
      <c r="N118" s="941" t="s">
        <v>1138</v>
      </c>
      <c r="O118" s="941" t="s">
        <v>1081</v>
      </c>
      <c r="P118" s="941" t="s">
        <v>1139</v>
      </c>
    </row>
    <row r="119" spans="1:16">
      <c r="A119" s="937"/>
      <c r="B119" s="937" t="str" cm="1">
        <f t="array" ref="B119">IF(P119="","",_xlfn.XLOOKUP(P119&amp;"",'Units Data'!$I$6:$I$10000&amp;"",'Units Data'!$C$6:$C$10000,"غير موجود",0))</f>
        <v>غير موجود</v>
      </c>
      <c r="C119" s="937" t="str" cm="1">
        <f t="array" ref="C119">IF(P119="","",_xlfn.XLOOKUP(P119&amp;"",'Units Data'!$I$6:$I$10000&amp;"",'Units Data'!$B$6:$B$10000,"غير موجود",0))</f>
        <v>غير موجود</v>
      </c>
      <c r="D119" s="940">
        <v>42573957</v>
      </c>
      <c r="E119" s="941" t="s">
        <v>1076</v>
      </c>
      <c r="F119" s="941" t="s">
        <v>1077</v>
      </c>
      <c r="G119" s="941" t="s">
        <v>1078</v>
      </c>
      <c r="H119" s="941" t="s">
        <v>1083</v>
      </c>
      <c r="I119" s="941">
        <v>2000</v>
      </c>
      <c r="J119" s="944">
        <v>46223</v>
      </c>
      <c r="K119" s="944">
        <v>46219</v>
      </c>
      <c r="L119" s="941" t="s">
        <v>1250</v>
      </c>
      <c r="M119" s="941"/>
      <c r="N119" s="941" t="s">
        <v>1251</v>
      </c>
      <c r="O119" s="941" t="s">
        <v>1122</v>
      </c>
      <c r="P119" s="941" t="s">
        <v>1252</v>
      </c>
    </row>
    <row r="120" spans="1:16">
      <c r="A120" s="937"/>
      <c r="B120" s="937" t="str" cm="1">
        <f t="array" ref="B120">IF(P120="","",_xlfn.XLOOKUP(P120&amp;"",'Units Data'!$I$6:$I$10000&amp;"",'Units Data'!$C$6:$C$10000,"غير موجود",0))</f>
        <v>غير موجود</v>
      </c>
      <c r="C120" s="937" t="str" cm="1">
        <f t="array" ref="C120">IF(P120="","",_xlfn.XLOOKUP(P120&amp;"",'Units Data'!$I$6:$I$10000&amp;"",'Units Data'!$B$6:$B$10000,"غير موجود",0))</f>
        <v>غير موجود</v>
      </c>
      <c r="D120" s="940">
        <v>42572934</v>
      </c>
      <c r="E120" s="941" t="s">
        <v>1076</v>
      </c>
      <c r="F120" s="941" t="s">
        <v>1077</v>
      </c>
      <c r="G120" s="941" t="s">
        <v>1078</v>
      </c>
      <c r="H120" s="941" t="s">
        <v>1083</v>
      </c>
      <c r="I120" s="941">
        <v>1000</v>
      </c>
      <c r="J120" s="944">
        <v>46223</v>
      </c>
      <c r="K120" s="944">
        <v>46219</v>
      </c>
      <c r="L120" s="941" t="s">
        <v>1120</v>
      </c>
      <c r="M120" s="941"/>
      <c r="N120" s="941" t="s">
        <v>1121</v>
      </c>
      <c r="O120" s="941" t="s">
        <v>1122</v>
      </c>
      <c r="P120" s="941" t="s">
        <v>1123</v>
      </c>
    </row>
    <row r="121" spans="1:16">
      <c r="A121" s="937"/>
      <c r="B121" s="937" t="str" cm="1">
        <f t="array" ref="B121">IF(P121="","",_xlfn.XLOOKUP(P121&amp;"",'Units Data'!$I$6:$I$10000&amp;"",'Units Data'!$C$6:$C$10000,"غير موجود",0))</f>
        <v>غير موجود</v>
      </c>
      <c r="C121" s="937" t="str" cm="1">
        <f t="array" ref="C121">IF(P121="","",_xlfn.XLOOKUP(P121&amp;"",'Units Data'!$I$6:$I$10000&amp;"",'Units Data'!$B$6:$B$10000,"غير موجود",0))</f>
        <v>غير موجود</v>
      </c>
      <c r="D121" s="940">
        <v>42565179</v>
      </c>
      <c r="E121" s="941" t="s">
        <v>1076</v>
      </c>
      <c r="F121" s="941" t="s">
        <v>1077</v>
      </c>
      <c r="G121" s="941" t="s">
        <v>1078</v>
      </c>
      <c r="H121" s="941" t="s">
        <v>1079</v>
      </c>
      <c r="I121" s="941">
        <v>1000</v>
      </c>
      <c r="J121" s="944">
        <v>46221</v>
      </c>
      <c r="K121" s="944">
        <v>46219</v>
      </c>
      <c r="L121" s="941" t="s">
        <v>1196</v>
      </c>
      <c r="M121" s="941"/>
      <c r="N121" s="941" t="s">
        <v>1253</v>
      </c>
      <c r="O121" s="941" t="s">
        <v>1118</v>
      </c>
      <c r="P121" s="941" t="s">
        <v>1198</v>
      </c>
    </row>
    <row r="122" spans="1:16">
      <c r="A122" s="937"/>
      <c r="B122" s="937" t="str" cm="1">
        <f t="array" ref="B122">IF(P122="","",_xlfn.XLOOKUP(P122&amp;"",'Units Data'!$I$6:$I$10000&amp;"",'Units Data'!$C$6:$C$10000,"غير موجود",0))</f>
        <v>غير موجود</v>
      </c>
      <c r="C122" s="937" t="str" cm="1">
        <f t="array" ref="C122">IF(P122="","",_xlfn.XLOOKUP(P122&amp;"",'Units Data'!$I$6:$I$10000&amp;"",'Units Data'!$B$6:$B$10000,"غير موجود",0))</f>
        <v>غير موجود</v>
      </c>
      <c r="D122" s="940">
        <v>42558575</v>
      </c>
      <c r="E122" s="941" t="s">
        <v>1076</v>
      </c>
      <c r="F122" s="941" t="s">
        <v>1077</v>
      </c>
      <c r="G122" s="941" t="s">
        <v>1078</v>
      </c>
      <c r="H122" s="941" t="s">
        <v>1083</v>
      </c>
      <c r="I122" s="941">
        <v>1000</v>
      </c>
      <c r="J122" s="944">
        <v>46223</v>
      </c>
      <c r="K122" s="944">
        <v>46219</v>
      </c>
      <c r="L122" s="941" t="s">
        <v>1254</v>
      </c>
      <c r="M122" s="941"/>
      <c r="N122" s="941" t="s">
        <v>1255</v>
      </c>
      <c r="O122" s="941" t="s">
        <v>1118</v>
      </c>
      <c r="P122" s="941" t="s">
        <v>1256</v>
      </c>
    </row>
    <row r="123" spans="1:16">
      <c r="A123" s="937"/>
      <c r="B123" s="937" t="str" cm="1">
        <f t="array" ref="B123">IF(P123="","",_xlfn.XLOOKUP(P123&amp;"",'Units Data'!$I$6:$I$10000&amp;"",'Units Data'!$C$6:$C$10000,"غير موجود",0))</f>
        <v>غير موجود</v>
      </c>
      <c r="C123" s="937" t="str" cm="1">
        <f t="array" ref="C123">IF(P123="","",_xlfn.XLOOKUP(P123&amp;"",'Units Data'!$I$6:$I$10000&amp;"",'Units Data'!$B$6:$B$10000,"غير موجود",0))</f>
        <v>غير موجود</v>
      </c>
      <c r="D123" s="940">
        <v>42558506</v>
      </c>
      <c r="E123" s="941" t="s">
        <v>1076</v>
      </c>
      <c r="F123" s="941" t="s">
        <v>1077</v>
      </c>
      <c r="G123" s="941" t="s">
        <v>1078</v>
      </c>
      <c r="H123" s="941" t="s">
        <v>1083</v>
      </c>
      <c r="I123" s="941">
        <v>2000</v>
      </c>
      <c r="J123" s="944">
        <v>46223</v>
      </c>
      <c r="K123" s="944">
        <v>46219</v>
      </c>
      <c r="L123" s="941" t="s">
        <v>1227</v>
      </c>
      <c r="M123" s="941"/>
      <c r="N123" s="941" t="s">
        <v>1228</v>
      </c>
      <c r="O123" s="941" t="s">
        <v>1122</v>
      </c>
      <c r="P123" s="941" t="s">
        <v>1229</v>
      </c>
    </row>
    <row r="124" spans="1:16">
      <c r="A124" s="937"/>
      <c r="B124" s="937" t="str" cm="1">
        <f t="array" ref="B124">IF(P124="","",_xlfn.XLOOKUP(P124&amp;"",'Units Data'!$I$6:$I$10000&amp;"",'Units Data'!$C$6:$C$10000,"غير موجود",0))</f>
        <v>غير موجود</v>
      </c>
      <c r="C124" s="937" t="str" cm="1">
        <f t="array" ref="C124">IF(P124="","",_xlfn.XLOOKUP(P124&amp;"",'Units Data'!$I$6:$I$10000&amp;"",'Units Data'!$B$6:$B$10000,"غير موجود",0))</f>
        <v>غير موجود</v>
      </c>
      <c r="D124" s="940">
        <v>42516693</v>
      </c>
      <c r="E124" s="941" t="s">
        <v>1076</v>
      </c>
      <c r="F124" s="941" t="s">
        <v>1077</v>
      </c>
      <c r="G124" s="941" t="s">
        <v>1078</v>
      </c>
      <c r="H124" s="941" t="s">
        <v>1079</v>
      </c>
      <c r="I124" s="941">
        <v>2000</v>
      </c>
      <c r="J124" s="944">
        <v>46220</v>
      </c>
      <c r="K124" s="944">
        <v>46218</v>
      </c>
      <c r="L124" s="941" t="s">
        <v>1196</v>
      </c>
      <c r="M124" s="941"/>
      <c r="N124" s="941" t="s">
        <v>1225</v>
      </c>
      <c r="O124" s="941" t="s">
        <v>1118</v>
      </c>
      <c r="P124" s="941" t="s">
        <v>1198</v>
      </c>
    </row>
    <row r="125" spans="1:16">
      <c r="A125" s="937"/>
      <c r="B125" s="937" t="str" cm="1">
        <f t="array" ref="B125">IF(P125="","",_xlfn.XLOOKUP(P125&amp;"",'Units Data'!$I$6:$I$10000&amp;"",'Units Data'!$C$6:$C$10000,"غير موجود",0))</f>
        <v>غير موجود</v>
      </c>
      <c r="C125" s="937" t="str" cm="1">
        <f t="array" ref="C125">IF(P125="","",_xlfn.XLOOKUP(P125&amp;"",'Units Data'!$I$6:$I$10000&amp;"",'Units Data'!$B$6:$B$10000,"غير موجود",0))</f>
        <v>غير موجود</v>
      </c>
      <c r="D125" s="940">
        <v>42513830</v>
      </c>
      <c r="E125" s="941" t="s">
        <v>1076</v>
      </c>
      <c r="F125" s="941" t="s">
        <v>1077</v>
      </c>
      <c r="G125" s="941" t="s">
        <v>1078</v>
      </c>
      <c r="H125" s="941" t="s">
        <v>1083</v>
      </c>
      <c r="I125" s="941">
        <v>4500</v>
      </c>
      <c r="J125" s="944">
        <v>46221</v>
      </c>
      <c r="K125" s="944">
        <v>46218</v>
      </c>
      <c r="L125" s="941" t="s">
        <v>1109</v>
      </c>
      <c r="M125" s="941"/>
      <c r="N125" s="941" t="s">
        <v>1110</v>
      </c>
      <c r="O125" s="941" t="s">
        <v>1111</v>
      </c>
      <c r="P125" s="941" t="s">
        <v>1112</v>
      </c>
    </row>
    <row r="126" spans="1:16">
      <c r="A126" s="937"/>
      <c r="B126" s="937" t="str" cm="1">
        <f t="array" ref="B126">IF(P126="","",_xlfn.XLOOKUP(P126&amp;"",'Units Data'!$I$6:$I$10000&amp;"",'Units Data'!$C$6:$C$10000,"غير موجود",0))</f>
        <v>غير موجود</v>
      </c>
      <c r="C126" s="937" t="str" cm="1">
        <f t="array" ref="C126">IF(P126="","",_xlfn.XLOOKUP(P126&amp;"",'Units Data'!$I$6:$I$10000&amp;"",'Units Data'!$B$6:$B$10000,"غير موجود",0))</f>
        <v>غير موجود</v>
      </c>
      <c r="D126" s="940">
        <v>42499778</v>
      </c>
      <c r="E126" s="941" t="s">
        <v>1076</v>
      </c>
      <c r="F126" s="941" t="s">
        <v>1077</v>
      </c>
      <c r="G126" s="941" t="s">
        <v>1078</v>
      </c>
      <c r="H126" s="941" t="s">
        <v>1083</v>
      </c>
      <c r="I126" s="941">
        <v>1000</v>
      </c>
      <c r="J126" s="944">
        <v>46219</v>
      </c>
      <c r="K126" s="944">
        <v>46217</v>
      </c>
      <c r="L126" s="941" t="s">
        <v>1153</v>
      </c>
      <c r="M126" s="941"/>
      <c r="N126" s="941" t="s">
        <v>1154</v>
      </c>
      <c r="O126" s="941" t="s">
        <v>1122</v>
      </c>
      <c r="P126" s="941" t="s">
        <v>1155</v>
      </c>
    </row>
    <row r="127" spans="1:16">
      <c r="A127" s="937"/>
      <c r="B127" s="937" t="str" cm="1">
        <f t="array" ref="B127">IF(P127="","",_xlfn.XLOOKUP(P127&amp;"",'Units Data'!$I$6:$I$10000&amp;"",'Units Data'!$C$6:$C$10000,"غير موجود",0))</f>
        <v>غير موجود</v>
      </c>
      <c r="C127" s="937" t="str" cm="1">
        <f t="array" ref="C127">IF(P127="","",_xlfn.XLOOKUP(P127&amp;"",'Units Data'!$I$6:$I$10000&amp;"",'Units Data'!$B$6:$B$10000,"غير موجود",0))</f>
        <v>غير موجود</v>
      </c>
      <c r="D127" s="940">
        <v>42490140</v>
      </c>
      <c r="E127" s="941" t="s">
        <v>1076</v>
      </c>
      <c r="F127" s="941" t="s">
        <v>1077</v>
      </c>
      <c r="G127" s="941" t="s">
        <v>1078</v>
      </c>
      <c r="H127" s="941" t="s">
        <v>1083</v>
      </c>
      <c r="I127" s="941">
        <v>1000</v>
      </c>
      <c r="J127" s="944">
        <v>46219</v>
      </c>
      <c r="K127" s="944">
        <v>46217</v>
      </c>
      <c r="L127" s="941" t="s">
        <v>1120</v>
      </c>
      <c r="M127" s="941"/>
      <c r="N127" s="941" t="s">
        <v>1121</v>
      </c>
      <c r="O127" s="941" t="s">
        <v>1122</v>
      </c>
      <c r="P127" s="941" t="s">
        <v>1123</v>
      </c>
    </row>
    <row r="128" spans="1:16">
      <c r="A128" s="937"/>
      <c r="B128" s="937" cm="1">
        <f t="array" ref="B128">IF(P128="","",_xlfn.XLOOKUP(P128&amp;"",'Units Data'!$I$6:$I$10000&amp;"",'Units Data'!$C$6:$C$10000,"غير موجود",0))</f>
        <v>102</v>
      </c>
      <c r="C128" s="937" t="str" cm="1">
        <f t="array" ref="C128">IF(P128="","",_xlfn.XLOOKUP(P128&amp;"",'Units Data'!$I$6:$I$10000&amp;"",'Units Data'!$B$6:$B$10000,"غير موجود",0))</f>
        <v>S6</v>
      </c>
      <c r="D128" s="940">
        <v>42378160</v>
      </c>
      <c r="E128" s="941" t="s">
        <v>1076</v>
      </c>
      <c r="F128" s="941" t="s">
        <v>1077</v>
      </c>
      <c r="G128" s="941" t="s">
        <v>1078</v>
      </c>
      <c r="H128" s="941" t="s">
        <v>1083</v>
      </c>
      <c r="I128" s="941">
        <v>4000</v>
      </c>
      <c r="J128" s="944">
        <v>46216</v>
      </c>
      <c r="K128" s="944">
        <v>46214</v>
      </c>
      <c r="L128" s="941" t="s">
        <v>1052</v>
      </c>
      <c r="M128" s="941"/>
      <c r="N128" s="941" t="s">
        <v>1257</v>
      </c>
      <c r="O128" s="941" t="s">
        <v>1081</v>
      </c>
      <c r="P128" s="941" t="s">
        <v>1258</v>
      </c>
    </row>
    <row r="129" spans="1:16">
      <c r="A129" s="937"/>
      <c r="B129" s="937" t="str" cm="1">
        <f t="array" ref="B129">IF(P129="","",_xlfn.XLOOKUP(P129&amp;"",'Units Data'!$I$6:$I$10000&amp;"",'Units Data'!$C$6:$C$10000,"غير موجود",0))</f>
        <v>غير موجود</v>
      </c>
      <c r="C129" s="937" t="str" cm="1">
        <f t="array" ref="C129">IF(P129="","",_xlfn.XLOOKUP(P129&amp;"",'Units Data'!$I$6:$I$10000&amp;"",'Units Data'!$B$6:$B$10000,"غير موجود",0))</f>
        <v>غير موجود</v>
      </c>
      <c r="D129" s="940">
        <v>42333639</v>
      </c>
      <c r="E129" s="941" t="s">
        <v>1076</v>
      </c>
      <c r="F129" s="941" t="s">
        <v>1077</v>
      </c>
      <c r="G129" s="941" t="s">
        <v>1078</v>
      </c>
      <c r="H129" s="941" t="s">
        <v>1083</v>
      </c>
      <c r="I129" s="941">
        <v>2875</v>
      </c>
      <c r="J129" s="944">
        <v>46216</v>
      </c>
      <c r="K129" s="944">
        <v>46212</v>
      </c>
      <c r="L129" s="941" t="s">
        <v>1205</v>
      </c>
      <c r="M129" s="941"/>
      <c r="N129" s="941" t="s">
        <v>1206</v>
      </c>
      <c r="O129" s="941" t="s">
        <v>1161</v>
      </c>
      <c r="P129" s="941" t="s">
        <v>1207</v>
      </c>
    </row>
    <row r="130" spans="1:16">
      <c r="A130" s="937"/>
      <c r="B130" s="937" cm="1">
        <f t="array" ref="B130">IF(P130="","",_xlfn.XLOOKUP(P130&amp;"",'Units Data'!$I$6:$I$10000&amp;"",'Units Data'!$C$6:$C$10000,"غير موجود",0))</f>
        <v>102</v>
      </c>
      <c r="C130" s="937" t="str" cm="1">
        <f t="array" ref="C130">IF(P130="","",_xlfn.XLOOKUP(P130&amp;"",'Units Data'!$I$6:$I$10000&amp;"",'Units Data'!$B$6:$B$10000,"غير موجود",0))</f>
        <v>F6</v>
      </c>
      <c r="D130" s="940">
        <v>42142743</v>
      </c>
      <c r="E130" s="941" t="s">
        <v>1076</v>
      </c>
      <c r="F130" s="941" t="s">
        <v>1077</v>
      </c>
      <c r="G130" s="941" t="s">
        <v>1078</v>
      </c>
      <c r="H130" s="941" t="s">
        <v>1079</v>
      </c>
      <c r="I130" s="941">
        <v>3500</v>
      </c>
      <c r="J130" s="944">
        <v>46211</v>
      </c>
      <c r="K130" s="944">
        <v>46209</v>
      </c>
      <c r="L130" s="941" t="s">
        <v>1044</v>
      </c>
      <c r="M130" s="941"/>
      <c r="N130" s="941" t="s">
        <v>1208</v>
      </c>
      <c r="O130" s="941" t="s">
        <v>1081</v>
      </c>
      <c r="P130" s="941" t="s">
        <v>1130</v>
      </c>
    </row>
    <row r="131" spans="1:16">
      <c r="A131" s="937"/>
      <c r="B131" s="937" t="str" cm="1">
        <f t="array" ref="B131">IF(P131="","",_xlfn.XLOOKUP(P131&amp;"",'Units Data'!$I$6:$I$10000&amp;"",'Units Data'!$C$6:$C$10000,"غير موجود",0))</f>
        <v>غير موجود</v>
      </c>
      <c r="C131" s="937" t="str" cm="1">
        <f t="array" ref="C131">IF(P131="","",_xlfn.XLOOKUP(P131&amp;"",'Units Data'!$I$6:$I$10000&amp;"",'Units Data'!$B$6:$B$10000,"غير موجود",0))</f>
        <v>غير موجود</v>
      </c>
      <c r="D131" s="940">
        <v>42122100</v>
      </c>
      <c r="E131" s="941" t="s">
        <v>1076</v>
      </c>
      <c r="F131" s="941" t="s">
        <v>1077</v>
      </c>
      <c r="G131" s="941" t="s">
        <v>1078</v>
      </c>
      <c r="H131" s="941" t="s">
        <v>1083</v>
      </c>
      <c r="I131" s="941">
        <v>1000</v>
      </c>
      <c r="J131" s="944">
        <v>46210</v>
      </c>
      <c r="K131" s="944">
        <v>46208</v>
      </c>
      <c r="L131" s="941" t="s">
        <v>1156</v>
      </c>
      <c r="M131" s="941"/>
      <c r="N131" s="941" t="s">
        <v>1259</v>
      </c>
      <c r="O131" s="941" t="s">
        <v>1118</v>
      </c>
      <c r="P131" s="941" t="s">
        <v>1260</v>
      </c>
    </row>
    <row r="132" spans="1:16">
      <c r="A132" s="937"/>
      <c r="B132" s="937" t="str" cm="1">
        <f t="array" ref="B132">IF(P132="","",_xlfn.XLOOKUP(P132&amp;"",'Units Data'!$I$6:$I$10000&amp;"",'Units Data'!$C$6:$C$10000,"غير موجود",0))</f>
        <v>غير موجود</v>
      </c>
      <c r="C132" s="937" t="str" cm="1">
        <f t="array" ref="C132">IF(P132="","",_xlfn.XLOOKUP(P132&amp;"",'Units Data'!$I$6:$I$10000&amp;"",'Units Data'!$B$6:$B$10000,"غير موجود",0))</f>
        <v>غير موجود</v>
      </c>
      <c r="D132" s="940">
        <v>42077813</v>
      </c>
      <c r="E132" s="941" t="s">
        <v>1076</v>
      </c>
      <c r="F132" s="941" t="s">
        <v>1077</v>
      </c>
      <c r="G132" s="941" t="s">
        <v>1078</v>
      </c>
      <c r="H132" s="941" t="s">
        <v>1083</v>
      </c>
      <c r="I132" s="941">
        <v>1000</v>
      </c>
      <c r="J132" s="944">
        <v>46210</v>
      </c>
      <c r="K132" s="944">
        <v>46207</v>
      </c>
      <c r="L132" s="941" t="s">
        <v>1191</v>
      </c>
      <c r="M132" s="941"/>
      <c r="N132" s="941" t="s">
        <v>1192</v>
      </c>
      <c r="O132" s="941" t="s">
        <v>1122</v>
      </c>
      <c r="P132" s="941" t="s">
        <v>1193</v>
      </c>
    </row>
    <row r="133" spans="1:16">
      <c r="A133" s="937"/>
      <c r="B133" s="937" cm="1">
        <f t="array" ref="B133">IF(P133="","",_xlfn.XLOOKUP(P133&amp;"",'Units Data'!$I$6:$I$10000&amp;"",'Units Data'!$C$6:$C$10000,"غير موجود",0))</f>
        <v>102</v>
      </c>
      <c r="C133" s="937" t="str" cm="1">
        <f t="array" ref="C133">IF(P133="","",_xlfn.XLOOKUP(P133&amp;"",'Units Data'!$I$6:$I$10000&amp;"",'Units Data'!$B$6:$B$10000,"غير موجود",0))</f>
        <v>S3</v>
      </c>
      <c r="D133" s="940">
        <v>42073148</v>
      </c>
      <c r="E133" s="941" t="s">
        <v>1076</v>
      </c>
      <c r="F133" s="941" t="s">
        <v>1077</v>
      </c>
      <c r="G133" s="941" t="s">
        <v>1078</v>
      </c>
      <c r="H133" s="941" t="s">
        <v>1083</v>
      </c>
      <c r="I133" s="941">
        <v>3200</v>
      </c>
      <c r="J133" s="944">
        <v>46210</v>
      </c>
      <c r="K133" s="944">
        <v>46207</v>
      </c>
      <c r="L133" s="941" t="s">
        <v>1046</v>
      </c>
      <c r="M133" s="941"/>
      <c r="N133" s="941" t="s">
        <v>1136</v>
      </c>
      <c r="O133" s="941" t="s">
        <v>1095</v>
      </c>
      <c r="P133" s="941" t="s">
        <v>1137</v>
      </c>
    </row>
    <row r="134" spans="1:16">
      <c r="A134" s="937"/>
      <c r="B134" s="937" cm="1">
        <f t="array" ref="B134">IF(P134="","",_xlfn.XLOOKUP(P134&amp;"",'Units Data'!$I$6:$I$10000&amp;"",'Units Data'!$C$6:$C$10000,"غير موجود",0))</f>
        <v>102</v>
      </c>
      <c r="C134" s="937" t="str" cm="1">
        <f t="array" ref="C134">IF(P134="","",_xlfn.XLOOKUP(P134&amp;"",'Units Data'!$I$6:$I$10000&amp;"",'Units Data'!$B$6:$B$10000,"غير موجود",0))</f>
        <v>S7</v>
      </c>
      <c r="D134" s="940">
        <v>42036978</v>
      </c>
      <c r="E134" s="941" t="s">
        <v>1076</v>
      </c>
      <c r="F134" s="941" t="s">
        <v>1077</v>
      </c>
      <c r="G134" s="941" t="s">
        <v>1078</v>
      </c>
      <c r="H134" s="941" t="s">
        <v>1079</v>
      </c>
      <c r="I134" s="941">
        <v>4000</v>
      </c>
      <c r="J134" s="944">
        <v>46208</v>
      </c>
      <c r="K134" s="944">
        <v>46206</v>
      </c>
      <c r="L134" s="941" t="s">
        <v>1053</v>
      </c>
      <c r="M134" s="941"/>
      <c r="N134" s="941" t="s">
        <v>1261</v>
      </c>
      <c r="O134" s="941" t="s">
        <v>1095</v>
      </c>
      <c r="P134" s="941" t="s">
        <v>1262</v>
      </c>
    </row>
    <row r="135" spans="1:16">
      <c r="A135" s="937"/>
      <c r="B135" s="937" cm="1">
        <f t="array" ref="B135">IF(P135="","",_xlfn.XLOOKUP(P135&amp;"",'Units Data'!$I$6:$I$10000&amp;"",'Units Data'!$C$6:$C$10000,"غير موجود",0))</f>
        <v>102</v>
      </c>
      <c r="C135" s="937" t="str" cm="1">
        <f t="array" ref="C135">IF(P135="","",_xlfn.XLOOKUP(P135&amp;"",'Units Data'!$I$6:$I$10000&amp;"",'Units Data'!$B$6:$B$10000,"غير موجود",0))</f>
        <v>F8</v>
      </c>
      <c r="D135" s="940">
        <v>42025664</v>
      </c>
      <c r="E135" s="941" t="s">
        <v>1076</v>
      </c>
      <c r="F135" s="941" t="s">
        <v>1077</v>
      </c>
      <c r="G135" s="941" t="s">
        <v>1078</v>
      </c>
      <c r="H135" s="941" t="s">
        <v>1079</v>
      </c>
      <c r="I135" s="941">
        <v>3500</v>
      </c>
      <c r="J135" s="944">
        <v>46208</v>
      </c>
      <c r="K135" s="944">
        <v>46206</v>
      </c>
      <c r="L135" s="941" t="s">
        <v>1043</v>
      </c>
      <c r="M135" s="941"/>
      <c r="N135" s="941" t="s">
        <v>1209</v>
      </c>
      <c r="O135" s="941" t="s">
        <v>1081</v>
      </c>
      <c r="P135" s="941" t="s">
        <v>1150</v>
      </c>
    </row>
    <row r="136" spans="1:16">
      <c r="A136" s="937"/>
      <c r="B136" s="937" cm="1">
        <f t="array" ref="B136">IF(P136="","",_xlfn.XLOOKUP(P136&amp;"",'Units Data'!$I$6:$I$10000&amp;"",'Units Data'!$C$6:$C$10000,"غير موجود",0))</f>
        <v>102</v>
      </c>
      <c r="C136" s="937" t="str" cm="1">
        <f t="array" ref="C136">IF(P136="","",_xlfn.XLOOKUP(P136&amp;"",'Units Data'!$I$6:$I$10000&amp;"",'Units Data'!$B$6:$B$10000,"غير موجود",0))</f>
        <v>F1</v>
      </c>
      <c r="D136" s="940">
        <v>41973163</v>
      </c>
      <c r="E136" s="941" t="s">
        <v>1076</v>
      </c>
      <c r="F136" s="941" t="s">
        <v>1077</v>
      </c>
      <c r="G136" s="941" t="s">
        <v>1078</v>
      </c>
      <c r="H136" s="941" t="s">
        <v>1083</v>
      </c>
      <c r="I136" s="941">
        <v>3500</v>
      </c>
      <c r="J136" s="944">
        <v>46210</v>
      </c>
      <c r="K136" s="944">
        <v>46205</v>
      </c>
      <c r="L136" s="941" t="s">
        <v>81</v>
      </c>
      <c r="M136" s="941"/>
      <c r="N136" s="941" t="s">
        <v>1094</v>
      </c>
      <c r="O136" s="941" t="s">
        <v>1095</v>
      </c>
      <c r="P136" s="941" t="s">
        <v>1096</v>
      </c>
    </row>
    <row r="137" spans="1:16">
      <c r="A137" s="937"/>
      <c r="B137" s="937" t="str" cm="1">
        <f t="array" ref="B137">IF(P137="","",_xlfn.XLOOKUP(P137&amp;"",'Units Data'!$I$6:$I$10000&amp;"",'Units Data'!$C$6:$C$10000,"غير موجود",0))</f>
        <v>غير موجود</v>
      </c>
      <c r="C137" s="937" t="str" cm="1">
        <f t="array" ref="C137">IF(P137="","",_xlfn.XLOOKUP(P137&amp;"",'Units Data'!$I$6:$I$10000&amp;"",'Units Data'!$B$6:$B$10000,"غير موجود",0))</f>
        <v>غير موجود</v>
      </c>
      <c r="D137" s="940">
        <v>41752141</v>
      </c>
      <c r="E137" s="941" t="s">
        <v>1076</v>
      </c>
      <c r="F137" s="941" t="s">
        <v>1077</v>
      </c>
      <c r="G137" s="941" t="s">
        <v>1078</v>
      </c>
      <c r="H137" s="941" t="s">
        <v>1083</v>
      </c>
      <c r="I137" s="941">
        <v>1000</v>
      </c>
      <c r="J137" s="944">
        <v>46206</v>
      </c>
      <c r="K137" s="944">
        <v>46203</v>
      </c>
      <c r="L137" s="941" t="s">
        <v>1116</v>
      </c>
      <c r="M137" s="941"/>
      <c r="N137" s="941" t="s">
        <v>1117</v>
      </c>
      <c r="O137" s="941" t="s">
        <v>1118</v>
      </c>
      <c r="P137" s="941" t="s">
        <v>1119</v>
      </c>
    </row>
    <row r="138" spans="1:16">
      <c r="A138" s="937"/>
      <c r="B138" s="937" cm="1">
        <f t="array" ref="B138">IF(P138="","",_xlfn.XLOOKUP(P138&amp;"",'Units Data'!$I$6:$I$10000&amp;"",'Units Data'!$C$6:$C$10000,"غير موجود",0))</f>
        <v>102</v>
      </c>
      <c r="C138" s="937" t="str" cm="1">
        <f t="array" ref="C138">IF(P138="","",_xlfn.XLOOKUP(P138&amp;"",'Units Data'!$I$6:$I$10000&amp;"",'Units Data'!$B$6:$B$10000,"غير موجود",0))</f>
        <v>F7</v>
      </c>
      <c r="D138" s="940">
        <v>41560049</v>
      </c>
      <c r="E138" s="941" t="s">
        <v>1076</v>
      </c>
      <c r="F138" s="941" t="s">
        <v>1077</v>
      </c>
      <c r="G138" s="941" t="s">
        <v>1078</v>
      </c>
      <c r="H138" s="941" t="s">
        <v>1079</v>
      </c>
      <c r="I138" s="941">
        <v>3800</v>
      </c>
      <c r="J138" s="944">
        <v>46203</v>
      </c>
      <c r="K138" s="944">
        <v>46201</v>
      </c>
      <c r="L138" s="941" t="s">
        <v>1050</v>
      </c>
      <c r="M138" s="941"/>
      <c r="N138" s="941" t="s">
        <v>1241</v>
      </c>
      <c r="O138" s="941" t="s">
        <v>1081</v>
      </c>
      <c r="P138" s="941" t="s">
        <v>1242</v>
      </c>
    </row>
    <row r="139" spans="1:16">
      <c r="A139" s="937"/>
      <c r="B139" s="937" t="str" cm="1">
        <f t="array" ref="B139">IF(P139="","",_xlfn.XLOOKUP(P139&amp;"",'Units Data'!$I$6:$I$10000&amp;"",'Units Data'!$C$6:$C$10000,"غير موجود",0))</f>
        <v>غير موجود</v>
      </c>
      <c r="C139" s="937" t="str" cm="1">
        <f t="array" ref="C139">IF(P139="","",_xlfn.XLOOKUP(P139&amp;"",'Units Data'!$I$6:$I$10000&amp;"",'Units Data'!$B$6:$B$10000,"غير موجود",0))</f>
        <v>غير موجود</v>
      </c>
      <c r="D139" s="940">
        <v>41532942</v>
      </c>
      <c r="E139" s="941" t="s">
        <v>1076</v>
      </c>
      <c r="F139" s="941" t="s">
        <v>1077</v>
      </c>
      <c r="G139" s="941" t="s">
        <v>1078</v>
      </c>
      <c r="H139" s="941" t="s">
        <v>1083</v>
      </c>
      <c r="I139" s="941">
        <v>3000</v>
      </c>
      <c r="J139" s="944">
        <v>46204</v>
      </c>
      <c r="K139" s="944">
        <v>46201</v>
      </c>
      <c r="L139" s="941" t="s">
        <v>1179</v>
      </c>
      <c r="M139" s="941"/>
      <c r="N139" s="941" t="s">
        <v>1240</v>
      </c>
      <c r="O139" s="941" t="s">
        <v>1161</v>
      </c>
      <c r="P139" s="941" t="s">
        <v>1181</v>
      </c>
    </row>
    <row r="140" spans="1:16">
      <c r="A140" s="937"/>
      <c r="B140" s="937" cm="1">
        <f t="array" ref="B140">IF(P140="","",_xlfn.XLOOKUP(P140&amp;"",'Units Data'!$I$6:$I$10000&amp;"",'Units Data'!$C$6:$C$10000,"غير موجود",0))</f>
        <v>102</v>
      </c>
      <c r="C140" s="937" t="str" cm="1">
        <f t="array" ref="C140">IF(P140="","",_xlfn.XLOOKUP(P140&amp;"",'Units Data'!$I$6:$I$10000&amp;"",'Units Data'!$B$6:$B$10000,"غير موجود",0))</f>
        <v>S2</v>
      </c>
      <c r="D140" s="940">
        <v>41527001</v>
      </c>
      <c r="E140" s="941" t="s">
        <v>1076</v>
      </c>
      <c r="F140" s="941" t="s">
        <v>1077</v>
      </c>
      <c r="G140" s="941" t="s">
        <v>1078</v>
      </c>
      <c r="H140" s="941" t="s">
        <v>1083</v>
      </c>
      <c r="I140" s="941">
        <v>4000</v>
      </c>
      <c r="J140" s="944">
        <v>46204</v>
      </c>
      <c r="K140" s="944">
        <v>46201</v>
      </c>
      <c r="L140" s="941" t="s">
        <v>1045</v>
      </c>
      <c r="M140" s="941"/>
      <c r="N140" s="941" t="s">
        <v>1186</v>
      </c>
      <c r="O140" s="941" t="s">
        <v>1081</v>
      </c>
      <c r="P140" s="941" t="s">
        <v>1187</v>
      </c>
    </row>
    <row r="141" spans="1:16">
      <c r="A141" s="937"/>
      <c r="B141" s="937" cm="1">
        <f t="array" ref="B141">IF(P141="","",_xlfn.XLOOKUP(P141&amp;"",'Units Data'!$I$6:$I$10000&amp;"",'Units Data'!$C$6:$C$10000,"غير موجود",0))</f>
        <v>102</v>
      </c>
      <c r="C141" s="937" t="str" cm="1">
        <f t="array" ref="C141">IF(P141="","",_xlfn.XLOOKUP(P141&amp;"",'Units Data'!$I$6:$I$10000&amp;"",'Units Data'!$B$6:$B$10000,"غير موجود",0))</f>
        <v>F4</v>
      </c>
      <c r="D141" s="940">
        <v>41472769</v>
      </c>
      <c r="E141" s="941" t="s">
        <v>1076</v>
      </c>
      <c r="F141" s="941" t="s">
        <v>1077</v>
      </c>
      <c r="G141" s="941" t="s">
        <v>1078</v>
      </c>
      <c r="H141" s="941" t="s">
        <v>1083</v>
      </c>
      <c r="I141" s="941">
        <v>3500</v>
      </c>
      <c r="J141" s="944">
        <v>46202</v>
      </c>
      <c r="K141" s="944">
        <v>46199</v>
      </c>
      <c r="L141" s="941" t="s">
        <v>1058</v>
      </c>
      <c r="M141" s="941"/>
      <c r="N141" s="941" t="s">
        <v>1238</v>
      </c>
      <c r="O141" s="941" t="s">
        <v>1081</v>
      </c>
      <c r="P141" s="941" t="s">
        <v>1239</v>
      </c>
    </row>
    <row r="142" spans="1:16">
      <c r="A142" s="937"/>
      <c r="B142" s="937" cm="1">
        <f t="array" ref="B142">IF(P142="","",_xlfn.XLOOKUP(P142&amp;"",'Units Data'!$I$6:$I$10000&amp;"",'Units Data'!$C$6:$C$10000,"غير موجود",0))</f>
        <v>102</v>
      </c>
      <c r="C142" s="937" t="str" cm="1">
        <f t="array" ref="C142">IF(P142="","",_xlfn.XLOOKUP(P142&amp;"",'Units Data'!$I$6:$I$10000&amp;"",'Units Data'!$B$6:$B$10000,"غير موجود",0))</f>
        <v>F2</v>
      </c>
      <c r="D142" s="940">
        <v>41466595</v>
      </c>
      <c r="E142" s="941" t="s">
        <v>1076</v>
      </c>
      <c r="F142" s="941" t="s">
        <v>1077</v>
      </c>
      <c r="G142" s="941" t="s">
        <v>1078</v>
      </c>
      <c r="H142" s="941" t="s">
        <v>1079</v>
      </c>
      <c r="I142" s="941">
        <v>3500</v>
      </c>
      <c r="J142" s="944">
        <v>46202</v>
      </c>
      <c r="K142" s="944">
        <v>46199</v>
      </c>
      <c r="L142" s="941" t="s">
        <v>1039</v>
      </c>
      <c r="M142" s="941"/>
      <c r="N142" s="941" t="s">
        <v>1237</v>
      </c>
      <c r="O142" s="941" t="s">
        <v>1081</v>
      </c>
      <c r="P142" s="941" t="s">
        <v>1174</v>
      </c>
    </row>
    <row r="143" spans="1:16">
      <c r="A143" s="937"/>
      <c r="B143" s="937" t="str" cm="1">
        <f t="array" ref="B143">IF(P143="","",_xlfn.XLOOKUP(P143&amp;"",'Units Data'!$I$6:$I$10000&amp;"",'Units Data'!$C$6:$C$10000,"غير موجود",0))</f>
        <v>غير موجود</v>
      </c>
      <c r="C143" s="937" t="str" cm="1">
        <f t="array" ref="C143">IF(P143="","",_xlfn.XLOOKUP(P143&amp;"",'Units Data'!$I$6:$I$10000&amp;"",'Units Data'!$B$6:$B$10000,"غير موجود",0))</f>
        <v>غير موجود</v>
      </c>
      <c r="D143" s="940">
        <v>41447119</v>
      </c>
      <c r="E143" s="941" t="s">
        <v>1076</v>
      </c>
      <c r="F143" s="941" t="s">
        <v>1077</v>
      </c>
      <c r="G143" s="941" t="s">
        <v>1078</v>
      </c>
      <c r="H143" s="941" t="s">
        <v>1083</v>
      </c>
      <c r="I143" s="941">
        <v>3000</v>
      </c>
      <c r="J143" s="944">
        <v>46202</v>
      </c>
      <c r="K143" s="944">
        <v>46198</v>
      </c>
      <c r="L143" s="941" t="s">
        <v>1159</v>
      </c>
      <c r="M143" s="941"/>
      <c r="N143" s="941" t="s">
        <v>1160</v>
      </c>
      <c r="O143" s="941" t="s">
        <v>1161</v>
      </c>
      <c r="P143" s="941" t="s">
        <v>1162</v>
      </c>
    </row>
    <row r="144" spans="1:16">
      <c r="A144" s="937"/>
      <c r="B144" s="937" t="str" cm="1">
        <f t="array" ref="B144">IF(P144="","",_xlfn.XLOOKUP(P144&amp;"",'Units Data'!$I$6:$I$10000&amp;"",'Units Data'!$C$6:$C$10000,"غير موجود",0))</f>
        <v>غير موجود</v>
      </c>
      <c r="C144" s="937" t="str" cm="1">
        <f t="array" ref="C144">IF(P144="","",_xlfn.XLOOKUP(P144&amp;"",'Units Data'!$I$6:$I$10000&amp;"",'Units Data'!$B$6:$B$10000,"غير موجود",0))</f>
        <v>غير موجود</v>
      </c>
      <c r="D144" s="940">
        <v>41408862</v>
      </c>
      <c r="E144" s="941" t="s">
        <v>1076</v>
      </c>
      <c r="F144" s="941" t="s">
        <v>1077</v>
      </c>
      <c r="G144" s="941" t="s">
        <v>1078</v>
      </c>
      <c r="H144" s="941" t="s">
        <v>1083</v>
      </c>
      <c r="I144" s="941">
        <v>1000</v>
      </c>
      <c r="J144" s="944">
        <v>46200</v>
      </c>
      <c r="K144" s="944">
        <v>46197</v>
      </c>
      <c r="L144" s="941" t="s">
        <v>1263</v>
      </c>
      <c r="M144" s="941"/>
      <c r="N144" s="941" t="s">
        <v>1264</v>
      </c>
      <c r="O144" s="941" t="s">
        <v>1122</v>
      </c>
      <c r="P144" s="941" t="s">
        <v>1265</v>
      </c>
    </row>
    <row r="145" spans="1:16">
      <c r="A145" s="937"/>
      <c r="B145" s="937" cm="1">
        <f t="array" ref="B145">IF(P145="","",_xlfn.XLOOKUP(P145&amp;"",'Units Data'!$I$6:$I$10000&amp;"",'Units Data'!$C$6:$C$10000,"غير موجود",0))</f>
        <v>102</v>
      </c>
      <c r="C145" s="937" t="str" cm="1">
        <f t="array" ref="C145">IF(P145="","",_xlfn.XLOOKUP(P145&amp;"",'Units Data'!$I$6:$I$10000&amp;"",'Units Data'!$B$6:$B$10000,"غير موجود",0))</f>
        <v>F5</v>
      </c>
      <c r="D145" s="940">
        <v>41324093</v>
      </c>
      <c r="E145" s="941" t="s">
        <v>1076</v>
      </c>
      <c r="F145" s="941" t="s">
        <v>1077</v>
      </c>
      <c r="G145" s="941" t="s">
        <v>1078</v>
      </c>
      <c r="H145" s="941" t="s">
        <v>1079</v>
      </c>
      <c r="I145" s="941">
        <v>3999</v>
      </c>
      <c r="J145" s="944">
        <v>46196</v>
      </c>
      <c r="K145" s="944">
        <v>46194</v>
      </c>
      <c r="L145" s="941" t="s">
        <v>1104</v>
      </c>
      <c r="M145" s="941"/>
      <c r="N145" s="941" t="s">
        <v>1266</v>
      </c>
      <c r="O145" s="941" t="s">
        <v>1081</v>
      </c>
      <c r="P145" s="941" t="s">
        <v>1139</v>
      </c>
    </row>
    <row r="146" spans="1:16">
      <c r="A146" s="937"/>
      <c r="B146" s="937" cm="1">
        <f t="array" ref="B146">IF(P146="","",_xlfn.XLOOKUP(P146&amp;"",'Units Data'!$I$6:$I$10000&amp;"",'Units Data'!$C$6:$C$10000,"غير موجود",0))</f>
        <v>102</v>
      </c>
      <c r="C146" s="937" t="str" cm="1">
        <f t="array" ref="C146">IF(P146="","",_xlfn.XLOOKUP(P146&amp;"",'Units Data'!$I$6:$I$10000&amp;"",'Units Data'!$B$6:$B$10000,"غير موجود",0))</f>
        <v>F6</v>
      </c>
      <c r="D146" s="940">
        <v>41244834</v>
      </c>
      <c r="E146" s="941" t="s">
        <v>1076</v>
      </c>
      <c r="F146" s="941" t="s">
        <v>1077</v>
      </c>
      <c r="G146" s="941" t="s">
        <v>1078</v>
      </c>
      <c r="H146" s="941" t="s">
        <v>1083</v>
      </c>
      <c r="I146" s="941">
        <v>3500</v>
      </c>
      <c r="J146" s="944">
        <v>46195</v>
      </c>
      <c r="K146" s="944">
        <v>46191</v>
      </c>
      <c r="L146" s="941" t="s">
        <v>1044</v>
      </c>
      <c r="M146" s="941"/>
      <c r="N146" s="941" t="s">
        <v>1208</v>
      </c>
      <c r="O146" s="941" t="s">
        <v>1081</v>
      </c>
      <c r="P146" s="941" t="s">
        <v>1130</v>
      </c>
    </row>
    <row r="147" spans="1:16">
      <c r="A147" s="937"/>
      <c r="B147" s="937" cm="1">
        <f t="array" ref="B147">IF(P147="","",_xlfn.XLOOKUP(P147&amp;"",'Units Data'!$I$6:$I$10000&amp;"",'Units Data'!$C$6:$C$10000,"غير موجود",0))</f>
        <v>102</v>
      </c>
      <c r="C147" s="937" t="str" cm="1">
        <f t="array" ref="C147">IF(P147="","",_xlfn.XLOOKUP(P147&amp;"",'Units Data'!$I$6:$I$10000&amp;"",'Units Data'!$B$6:$B$10000,"غير موجود",0))</f>
        <v>S7</v>
      </c>
      <c r="D147" s="940">
        <v>41191969</v>
      </c>
      <c r="E147" s="941" t="s">
        <v>1076</v>
      </c>
      <c r="F147" s="941" t="s">
        <v>1077</v>
      </c>
      <c r="G147" s="941" t="s">
        <v>1078</v>
      </c>
      <c r="H147" s="941" t="s">
        <v>1079</v>
      </c>
      <c r="I147" s="941">
        <v>4000</v>
      </c>
      <c r="J147" s="944">
        <v>46191</v>
      </c>
      <c r="K147" s="944">
        <v>46189</v>
      </c>
      <c r="L147" s="941" t="s">
        <v>1028</v>
      </c>
      <c r="M147" s="941"/>
      <c r="N147" s="941" t="s">
        <v>1267</v>
      </c>
      <c r="O147" s="941" t="s">
        <v>1095</v>
      </c>
      <c r="P147" s="941" t="s">
        <v>1268</v>
      </c>
    </row>
    <row r="148" spans="1:16">
      <c r="A148" s="937"/>
      <c r="B148" s="937" t="str" cm="1">
        <f t="array" ref="B148">IF(P148="","",_xlfn.XLOOKUP(P148&amp;"",'Units Data'!$I$6:$I$10000&amp;"",'Units Data'!$C$6:$C$10000,"غير موجود",0))</f>
        <v>غير موجود</v>
      </c>
      <c r="C148" s="937" t="str" cm="1">
        <f t="array" ref="C148">IF(P148="","",_xlfn.XLOOKUP(P148&amp;"",'Units Data'!$I$6:$I$10000&amp;"",'Units Data'!$B$6:$B$10000,"غير موجود",0))</f>
        <v>غير موجود</v>
      </c>
      <c r="D148" s="940">
        <v>41144622</v>
      </c>
      <c r="E148" s="941" t="s">
        <v>1076</v>
      </c>
      <c r="F148" s="941" t="s">
        <v>1077</v>
      </c>
      <c r="G148" s="941" t="s">
        <v>1078</v>
      </c>
      <c r="H148" s="941" t="s">
        <v>1083</v>
      </c>
      <c r="I148" s="941">
        <v>1000</v>
      </c>
      <c r="J148" s="944">
        <v>46190</v>
      </c>
      <c r="K148" s="944">
        <v>46188</v>
      </c>
      <c r="L148" s="941" t="s">
        <v>1250</v>
      </c>
      <c r="M148" s="941"/>
      <c r="N148" s="941" t="s">
        <v>1251</v>
      </c>
      <c r="O148" s="941" t="s">
        <v>1122</v>
      </c>
      <c r="P148" s="941" t="s">
        <v>1252</v>
      </c>
    </row>
    <row r="149" spans="1:16">
      <c r="A149" s="937"/>
      <c r="B149" s="937" cm="1">
        <f t="array" ref="B149">IF(P149="","",_xlfn.XLOOKUP(P149&amp;"",'Units Data'!$I$6:$I$10000&amp;"",'Units Data'!$C$6:$C$10000,"غير موجود",0))</f>
        <v>102</v>
      </c>
      <c r="C149" s="937" t="str" cm="1">
        <f t="array" ref="C149">IF(P149="","",_xlfn.XLOOKUP(P149&amp;"",'Units Data'!$I$6:$I$10000&amp;"",'Units Data'!$B$6:$B$10000,"غير موجود",0))</f>
        <v>F1</v>
      </c>
      <c r="D149" s="940">
        <v>41125263</v>
      </c>
      <c r="E149" s="941" t="s">
        <v>1076</v>
      </c>
      <c r="F149" s="941" t="s">
        <v>1077</v>
      </c>
      <c r="G149" s="941" t="s">
        <v>1078</v>
      </c>
      <c r="H149" s="941" t="s">
        <v>1083</v>
      </c>
      <c r="I149" s="941">
        <v>7000</v>
      </c>
      <c r="J149" s="944">
        <v>46189</v>
      </c>
      <c r="K149" s="944">
        <v>46187</v>
      </c>
      <c r="L149" s="941" t="s">
        <v>81</v>
      </c>
      <c r="M149" s="941"/>
      <c r="N149" s="941" t="s">
        <v>1094</v>
      </c>
      <c r="O149" s="941" t="s">
        <v>1095</v>
      </c>
      <c r="P149" s="941" t="s">
        <v>1096</v>
      </c>
    </row>
    <row r="150" spans="1:16">
      <c r="A150" s="937"/>
      <c r="B150" s="937" cm="1">
        <f t="array" ref="B150">IF(P150="","",_xlfn.XLOOKUP(P150&amp;"",'Units Data'!$I$6:$I$10000&amp;"",'Units Data'!$C$6:$C$10000,"غير موجود",0))</f>
        <v>102</v>
      </c>
      <c r="C150" s="937" t="str" cm="1">
        <f t="array" ref="C150">IF(P150="","",_xlfn.XLOOKUP(P150&amp;"",'Units Data'!$I$6:$I$10000&amp;"",'Units Data'!$B$6:$B$10000,"غير موجود",0))</f>
        <v>F9</v>
      </c>
      <c r="D150" s="940">
        <v>41115937</v>
      </c>
      <c r="E150" s="941" t="s">
        <v>1076</v>
      </c>
      <c r="F150" s="941" t="s">
        <v>1077</v>
      </c>
      <c r="G150" s="941" t="s">
        <v>1078</v>
      </c>
      <c r="H150" s="941" t="s">
        <v>1083</v>
      </c>
      <c r="I150" s="941">
        <v>1000</v>
      </c>
      <c r="J150" s="944">
        <v>46189</v>
      </c>
      <c r="K150" s="944">
        <v>46187</v>
      </c>
      <c r="L150" s="941" t="s">
        <v>1269</v>
      </c>
      <c r="M150" s="941"/>
      <c r="N150" s="941" t="s">
        <v>1270</v>
      </c>
      <c r="O150" s="941" t="s">
        <v>1081</v>
      </c>
      <c r="P150" s="941" t="s">
        <v>1271</v>
      </c>
    </row>
    <row r="151" spans="1:16">
      <c r="A151" s="937"/>
      <c r="B151" s="937" cm="1">
        <f t="array" ref="B151">IF(P151="","",_xlfn.XLOOKUP(P151&amp;"",'Units Data'!$I$6:$I$10000&amp;"",'Units Data'!$C$6:$C$10000,"غير موجود",0))</f>
        <v>102</v>
      </c>
      <c r="C151" s="937" t="str" cm="1">
        <f t="array" ref="C151">IF(P151="","",_xlfn.XLOOKUP(P151&amp;"",'Units Data'!$I$6:$I$10000&amp;"",'Units Data'!$B$6:$B$10000,"غير موجود",0))</f>
        <v>F2</v>
      </c>
      <c r="D151" s="940">
        <v>41111955</v>
      </c>
      <c r="E151" s="941" t="s">
        <v>1076</v>
      </c>
      <c r="F151" s="941" t="s">
        <v>1077</v>
      </c>
      <c r="G151" s="941" t="s">
        <v>1078</v>
      </c>
      <c r="H151" s="941" t="s">
        <v>1079</v>
      </c>
      <c r="I151" s="941">
        <v>3500</v>
      </c>
      <c r="J151" s="944">
        <v>46189</v>
      </c>
      <c r="K151" s="944">
        <v>46187</v>
      </c>
      <c r="L151" s="941" t="s">
        <v>1039</v>
      </c>
      <c r="M151" s="941"/>
      <c r="N151" s="941" t="s">
        <v>1237</v>
      </c>
      <c r="O151" s="941" t="s">
        <v>1081</v>
      </c>
      <c r="P151" s="941" t="s">
        <v>1174</v>
      </c>
    </row>
    <row r="152" spans="1:16">
      <c r="A152" s="937"/>
      <c r="B152" s="937" cm="1">
        <f t="array" ref="B152">IF(P152="","",_xlfn.XLOOKUP(P152&amp;"",'Units Data'!$I$6:$I$10000&amp;"",'Units Data'!$C$6:$C$10000,"غير موجود",0))</f>
        <v>102</v>
      </c>
      <c r="C152" s="937" t="str" cm="1">
        <f t="array" ref="C152">IF(P152="","",_xlfn.XLOOKUP(P152&amp;"",'Units Data'!$I$6:$I$10000&amp;"",'Units Data'!$B$6:$B$10000,"غير موجود",0))</f>
        <v>F6</v>
      </c>
      <c r="D152" s="940">
        <v>41048217</v>
      </c>
      <c r="E152" s="941" t="s">
        <v>1076</v>
      </c>
      <c r="F152" s="941" t="s">
        <v>1077</v>
      </c>
      <c r="G152" s="941" t="s">
        <v>1078</v>
      </c>
      <c r="H152" s="941" t="s">
        <v>1079</v>
      </c>
      <c r="I152" s="941">
        <v>3500</v>
      </c>
      <c r="J152" s="944">
        <v>46186</v>
      </c>
      <c r="K152" s="944">
        <v>46184</v>
      </c>
      <c r="L152" s="941" t="s">
        <v>1044</v>
      </c>
      <c r="M152" s="941"/>
      <c r="N152" s="941" t="s">
        <v>1208</v>
      </c>
      <c r="O152" s="941" t="s">
        <v>1081</v>
      </c>
      <c r="P152" s="941" t="s">
        <v>1130</v>
      </c>
    </row>
    <row r="153" spans="1:16">
      <c r="A153" s="937"/>
      <c r="B153" s="937" cm="1">
        <f t="array" ref="B153">IF(P153="","",_xlfn.XLOOKUP(P153&amp;"",'Units Data'!$I$6:$I$10000&amp;"",'Units Data'!$C$6:$C$10000,"غير موجود",0))</f>
        <v>102</v>
      </c>
      <c r="C153" s="937" t="str" cm="1">
        <f t="array" ref="C153">IF(P153="","",_xlfn.XLOOKUP(P153&amp;"",'Units Data'!$I$6:$I$10000&amp;"",'Units Data'!$B$6:$B$10000,"غير موجود",0))</f>
        <v>F6</v>
      </c>
      <c r="D153" s="940">
        <v>41047668</v>
      </c>
      <c r="E153" s="941" t="s">
        <v>1076</v>
      </c>
      <c r="F153" s="941" t="s">
        <v>1077</v>
      </c>
      <c r="G153" s="941" t="s">
        <v>1078</v>
      </c>
      <c r="H153" s="941" t="s">
        <v>1079</v>
      </c>
      <c r="I153" s="941">
        <v>3500</v>
      </c>
      <c r="J153" s="944">
        <v>46186</v>
      </c>
      <c r="K153" s="944">
        <v>46184</v>
      </c>
      <c r="L153" s="941" t="s">
        <v>1044</v>
      </c>
      <c r="M153" s="941"/>
      <c r="N153" s="941" t="s">
        <v>1208</v>
      </c>
      <c r="O153" s="941" t="s">
        <v>1081</v>
      </c>
      <c r="P153" s="941" t="s">
        <v>1130</v>
      </c>
    </row>
    <row r="154" spans="1:16">
      <c r="A154" s="937"/>
      <c r="B154" s="937" t="str" cm="1">
        <f t="array" ref="B154">IF(P154="","",_xlfn.XLOOKUP(P154&amp;"",'Units Data'!$I$6:$I$10000&amp;"",'Units Data'!$C$6:$C$10000,"غير موجود",0))</f>
        <v>غير موجود</v>
      </c>
      <c r="C154" s="937" t="str" cm="1">
        <f t="array" ref="C154">IF(P154="","",_xlfn.XLOOKUP(P154&amp;"",'Units Data'!$I$6:$I$10000&amp;"",'Units Data'!$B$6:$B$10000,"غير موجود",0))</f>
        <v>غير موجود</v>
      </c>
      <c r="D154" s="940">
        <v>40980780</v>
      </c>
      <c r="E154" s="941" t="s">
        <v>1076</v>
      </c>
      <c r="F154" s="941" t="s">
        <v>1077</v>
      </c>
      <c r="G154" s="941" t="s">
        <v>1078</v>
      </c>
      <c r="H154" s="941" t="s">
        <v>1083</v>
      </c>
      <c r="I154" s="941">
        <v>3000</v>
      </c>
      <c r="J154" s="944">
        <v>46187</v>
      </c>
      <c r="K154" s="944">
        <v>46183</v>
      </c>
      <c r="L154" s="941" t="s">
        <v>1205</v>
      </c>
      <c r="M154" s="941"/>
      <c r="N154" s="941" t="s">
        <v>1206</v>
      </c>
      <c r="O154" s="941" t="s">
        <v>1161</v>
      </c>
      <c r="P154" s="941" t="s">
        <v>1207</v>
      </c>
    </row>
    <row r="155" spans="1:16">
      <c r="A155" s="937"/>
      <c r="B155" s="937" cm="1">
        <f t="array" ref="B155">IF(P155="","",_xlfn.XLOOKUP(P155&amp;"",'Units Data'!$I$6:$I$10000&amp;"",'Units Data'!$C$6:$C$10000,"غير موجود",0))</f>
        <v>102</v>
      </c>
      <c r="C155" s="937" t="str" cm="1">
        <f t="array" ref="C155">IF(P155="","",_xlfn.XLOOKUP(P155&amp;"",'Units Data'!$I$6:$I$10000&amp;"",'Units Data'!$B$6:$B$10000,"غير موجود",0))</f>
        <v>F8</v>
      </c>
      <c r="D155" s="940">
        <v>40738689</v>
      </c>
      <c r="E155" s="941" t="s">
        <v>1076</v>
      </c>
      <c r="F155" s="941" t="s">
        <v>1077</v>
      </c>
      <c r="G155" s="941" t="s">
        <v>1078</v>
      </c>
      <c r="H155" s="941" t="s">
        <v>1079</v>
      </c>
      <c r="I155" s="941">
        <v>3500</v>
      </c>
      <c r="J155" s="944">
        <v>46177</v>
      </c>
      <c r="K155" s="944">
        <v>46176</v>
      </c>
      <c r="L155" s="941" t="s">
        <v>1043</v>
      </c>
      <c r="M155" s="941"/>
      <c r="N155" s="941" t="s">
        <v>1209</v>
      </c>
      <c r="O155" s="941" t="s">
        <v>1081</v>
      </c>
      <c r="P155" s="941" t="s">
        <v>1150</v>
      </c>
    </row>
    <row r="156" spans="1:16">
      <c r="A156" s="937"/>
      <c r="B156" s="937" t="str" cm="1">
        <f t="array" ref="B156">IF(P156="","",_xlfn.XLOOKUP(P156&amp;"",'Units Data'!$I$6:$I$10000&amp;"",'Units Data'!$C$6:$C$10000,"غير موجود",0))</f>
        <v>غير موجود</v>
      </c>
      <c r="C156" s="937" t="str" cm="1">
        <f t="array" ref="C156">IF(P156="","",_xlfn.XLOOKUP(P156&amp;"",'Units Data'!$I$6:$I$10000&amp;"",'Units Data'!$B$6:$B$10000,"غير موجود",0))</f>
        <v>غير موجود</v>
      </c>
      <c r="D156" s="940">
        <v>40695164</v>
      </c>
      <c r="E156" s="941" t="s">
        <v>1076</v>
      </c>
      <c r="F156" s="941" t="s">
        <v>1077</v>
      </c>
      <c r="G156" s="941" t="s">
        <v>1078</v>
      </c>
      <c r="H156" s="941" t="s">
        <v>1083</v>
      </c>
      <c r="I156" s="941">
        <v>1000</v>
      </c>
      <c r="J156" s="944">
        <v>46177</v>
      </c>
      <c r="K156" s="944">
        <v>46175</v>
      </c>
      <c r="L156" s="941" t="s">
        <v>1263</v>
      </c>
      <c r="M156" s="941"/>
      <c r="N156" s="941" t="s">
        <v>1264</v>
      </c>
      <c r="O156" s="941" t="s">
        <v>1122</v>
      </c>
      <c r="P156" s="941" t="s">
        <v>1265</v>
      </c>
    </row>
    <row r="157" spans="1:16">
      <c r="A157" s="937"/>
      <c r="B157" s="937" t="str" cm="1">
        <f t="array" ref="B157">IF(P157="","",_xlfn.XLOOKUP(P157&amp;"",'Units Data'!$I$6:$I$10000&amp;"",'Units Data'!$C$6:$C$10000,"غير موجود",0))</f>
        <v>غير موجود</v>
      </c>
      <c r="C157" s="937" t="str" cm="1">
        <f t="array" ref="C157">IF(P157="","",_xlfn.XLOOKUP(P157&amp;"",'Units Data'!$I$6:$I$10000&amp;"",'Units Data'!$B$6:$B$10000,"غير موجود",0))</f>
        <v>غير موجود</v>
      </c>
      <c r="D157" s="940">
        <v>40639415</v>
      </c>
      <c r="E157" s="941" t="s">
        <v>1076</v>
      </c>
      <c r="F157" s="941" t="s">
        <v>1077</v>
      </c>
      <c r="G157" s="941" t="s">
        <v>1078</v>
      </c>
      <c r="H157" s="941" t="s">
        <v>1083</v>
      </c>
      <c r="I157" s="941">
        <v>1000</v>
      </c>
      <c r="J157" s="944">
        <v>46177</v>
      </c>
      <c r="K157" s="944">
        <v>46174</v>
      </c>
      <c r="L157" s="941" t="s">
        <v>1191</v>
      </c>
      <c r="M157" s="941"/>
      <c r="N157" s="941" t="s">
        <v>1192</v>
      </c>
      <c r="O157" s="941" t="s">
        <v>1122</v>
      </c>
      <c r="P157" s="941" t="s">
        <v>1193</v>
      </c>
    </row>
    <row r="158" spans="1:16">
      <c r="A158" s="937"/>
      <c r="B158" s="937" t="str" cm="1">
        <f t="array" ref="B158">IF(P158="","",_xlfn.XLOOKUP(P158&amp;"",'Units Data'!$I$6:$I$10000&amp;"",'Units Data'!$C$6:$C$10000,"غير موجود",0))</f>
        <v>غير موجود</v>
      </c>
      <c r="C158" s="937" t="str" cm="1">
        <f t="array" ref="C158">IF(P158="","",_xlfn.XLOOKUP(P158&amp;"",'Units Data'!$I$6:$I$10000&amp;"",'Units Data'!$B$6:$B$10000,"غير موجود",0))</f>
        <v>غير موجود</v>
      </c>
      <c r="D158" s="940">
        <v>40444924</v>
      </c>
      <c r="E158" s="941" t="s">
        <v>1076</v>
      </c>
      <c r="F158" s="941" t="s">
        <v>1077</v>
      </c>
      <c r="G158" s="941" t="s">
        <v>1078</v>
      </c>
      <c r="H158" s="941" t="s">
        <v>1083</v>
      </c>
      <c r="I158" s="941">
        <v>1000</v>
      </c>
      <c r="J158" s="944">
        <v>46175</v>
      </c>
      <c r="K158" s="944">
        <v>46171</v>
      </c>
      <c r="L158" s="941" t="s">
        <v>1153</v>
      </c>
      <c r="M158" s="941"/>
      <c r="N158" s="941" t="s">
        <v>1154</v>
      </c>
      <c r="O158" s="941" t="s">
        <v>1122</v>
      </c>
      <c r="P158" s="941" t="s">
        <v>1155</v>
      </c>
    </row>
    <row r="159" spans="1:16">
      <c r="A159" s="937"/>
      <c r="B159" s="937" t="str" cm="1">
        <f t="array" ref="B159">IF(P159="","",_xlfn.XLOOKUP(P159&amp;"",'Units Data'!$I$6:$I$10000&amp;"",'Units Data'!$C$6:$C$10000,"غير موجود",0))</f>
        <v>غير موجود</v>
      </c>
      <c r="C159" s="937" t="str" cm="1">
        <f t="array" ref="C159">IF(P159="","",_xlfn.XLOOKUP(P159&amp;"",'Units Data'!$I$6:$I$10000&amp;"",'Units Data'!$B$6:$B$10000,"غير موجود",0))</f>
        <v>غير موجود</v>
      </c>
      <c r="D159" s="940">
        <v>40347197</v>
      </c>
      <c r="E159" s="941" t="s">
        <v>1076</v>
      </c>
      <c r="F159" s="941" t="s">
        <v>1077</v>
      </c>
      <c r="G159" s="941" t="s">
        <v>1078</v>
      </c>
      <c r="H159" s="941" t="s">
        <v>1083</v>
      </c>
      <c r="I159" s="941">
        <v>2875</v>
      </c>
      <c r="J159" s="944">
        <v>46175</v>
      </c>
      <c r="K159" s="944">
        <v>46167</v>
      </c>
      <c r="L159" s="941" t="s">
        <v>1159</v>
      </c>
      <c r="M159" s="941"/>
      <c r="N159" s="941" t="s">
        <v>1160</v>
      </c>
      <c r="O159" s="941" t="s">
        <v>1161</v>
      </c>
      <c r="P159" s="941" t="s">
        <v>1162</v>
      </c>
    </row>
    <row r="160" spans="1:16">
      <c r="A160" s="937"/>
      <c r="B160" s="937" t="str" cm="1">
        <f t="array" ref="B160">IF(P160="","",_xlfn.XLOOKUP(P160&amp;"",'Units Data'!$I$6:$I$10000&amp;"",'Units Data'!$C$6:$C$10000,"غير موجود",0))</f>
        <v>غير موجود</v>
      </c>
      <c r="C160" s="937" t="str" cm="1">
        <f t="array" ref="C160">IF(P160="","",_xlfn.XLOOKUP(P160&amp;"",'Units Data'!$I$6:$I$10000&amp;"",'Units Data'!$B$6:$B$10000,"غير موجود",0))</f>
        <v>غير موجود</v>
      </c>
      <c r="D160" s="940">
        <v>40266383</v>
      </c>
      <c r="E160" s="941" t="s">
        <v>1076</v>
      </c>
      <c r="F160" s="941" t="s">
        <v>1077</v>
      </c>
      <c r="G160" s="941" t="s">
        <v>1078</v>
      </c>
      <c r="H160" s="941" t="s">
        <v>1083</v>
      </c>
      <c r="I160" s="941">
        <v>3000</v>
      </c>
      <c r="J160" s="944">
        <v>46168</v>
      </c>
      <c r="K160" s="944">
        <v>46166</v>
      </c>
      <c r="L160" s="941" t="s">
        <v>1179</v>
      </c>
      <c r="M160" s="941"/>
      <c r="N160" s="941" t="s">
        <v>1240</v>
      </c>
      <c r="O160" s="941" t="s">
        <v>1161</v>
      </c>
      <c r="P160" s="941" t="s">
        <v>1181</v>
      </c>
    </row>
    <row r="161" spans="1:16">
      <c r="A161" s="937"/>
      <c r="B161" s="937" cm="1">
        <f t="array" ref="B161">IF(P161="","",_xlfn.XLOOKUP(P161&amp;"",'Units Data'!$I$6:$I$10000&amp;"",'Units Data'!$C$6:$C$10000,"غير موجود",0))</f>
        <v>102</v>
      </c>
      <c r="C161" s="937" t="str" cm="1">
        <f t="array" ref="C161">IF(P161="","",_xlfn.XLOOKUP(P161&amp;"",'Units Data'!$I$6:$I$10000&amp;"",'Units Data'!$B$6:$B$10000,"غير موجود",0))</f>
        <v>S2</v>
      </c>
      <c r="D161" s="940">
        <v>40239639</v>
      </c>
      <c r="E161" s="941" t="s">
        <v>1076</v>
      </c>
      <c r="F161" s="941" t="s">
        <v>1077</v>
      </c>
      <c r="G161" s="941" t="s">
        <v>1078</v>
      </c>
      <c r="H161" s="941" t="s">
        <v>1083</v>
      </c>
      <c r="I161" s="941">
        <v>2000</v>
      </c>
      <c r="J161" s="944">
        <v>46168</v>
      </c>
      <c r="K161" s="944">
        <v>46166</v>
      </c>
      <c r="L161" s="941" t="s">
        <v>1045</v>
      </c>
      <c r="M161" s="941"/>
      <c r="N161" s="941" t="s">
        <v>1186</v>
      </c>
      <c r="O161" s="941" t="s">
        <v>1081</v>
      </c>
      <c r="P161" s="941" t="s">
        <v>1187</v>
      </c>
    </row>
    <row r="162" spans="1:16">
      <c r="A162" s="937"/>
      <c r="B162" s="937" cm="1">
        <f t="array" ref="B162">IF(P162="","",_xlfn.XLOOKUP(P162&amp;"",'Units Data'!$I$6:$I$10000&amp;"",'Units Data'!$C$6:$C$10000,"غير موجود",0))</f>
        <v>102</v>
      </c>
      <c r="C162" s="937" t="str" cm="1">
        <f t="array" ref="C162">IF(P162="","",_xlfn.XLOOKUP(P162&amp;"",'Units Data'!$I$6:$I$10000&amp;"",'Units Data'!$B$6:$B$10000,"غير موجود",0))</f>
        <v>F3</v>
      </c>
      <c r="D162" s="940">
        <v>40195863</v>
      </c>
      <c r="E162" s="941" t="s">
        <v>1076</v>
      </c>
      <c r="F162" s="941" t="s">
        <v>1077</v>
      </c>
      <c r="G162" s="941" t="s">
        <v>1078</v>
      </c>
      <c r="H162" s="941" t="s">
        <v>1079</v>
      </c>
      <c r="I162" s="941">
        <v>3500</v>
      </c>
      <c r="J162" s="944">
        <v>46167</v>
      </c>
      <c r="K162" s="944">
        <v>46164</v>
      </c>
      <c r="L162" s="941" t="s">
        <v>1040</v>
      </c>
      <c r="M162" s="941"/>
      <c r="N162" s="941" t="s">
        <v>1272</v>
      </c>
      <c r="O162" s="941" t="s">
        <v>1081</v>
      </c>
      <c r="P162" s="941" t="s">
        <v>1195</v>
      </c>
    </row>
    <row r="163" spans="1:16">
      <c r="A163" s="937"/>
      <c r="B163" s="937" cm="1">
        <f t="array" ref="B163">IF(P163="","",_xlfn.XLOOKUP(P163&amp;"",'Units Data'!$I$6:$I$10000&amp;"",'Units Data'!$C$6:$C$10000,"غير موجود",0))</f>
        <v>102</v>
      </c>
      <c r="C163" s="937" t="str" cm="1">
        <f t="array" ref="C163">IF(P163="","",_xlfn.XLOOKUP(P163&amp;"",'Units Data'!$I$6:$I$10000&amp;"",'Units Data'!$B$6:$B$10000,"غير موجود",0))</f>
        <v>S3</v>
      </c>
      <c r="D163" s="940">
        <v>40084314</v>
      </c>
      <c r="E163" s="941" t="s">
        <v>1076</v>
      </c>
      <c r="F163" s="941" t="s">
        <v>1077</v>
      </c>
      <c r="G163" s="941" t="s">
        <v>1078</v>
      </c>
      <c r="H163" s="941" t="s">
        <v>1083</v>
      </c>
      <c r="I163" s="941">
        <v>3200</v>
      </c>
      <c r="J163" s="944">
        <v>46162</v>
      </c>
      <c r="K163" s="944">
        <v>46160</v>
      </c>
      <c r="L163" s="941" t="s">
        <v>1046</v>
      </c>
      <c r="M163" s="941"/>
      <c r="N163" s="941" t="s">
        <v>1136</v>
      </c>
      <c r="O163" s="941" t="s">
        <v>1095</v>
      </c>
      <c r="P163" s="941" t="s">
        <v>1137</v>
      </c>
    </row>
    <row r="164" spans="1:16">
      <c r="A164" s="937"/>
      <c r="B164" s="937" t="str" cm="1">
        <f t="array" ref="B164">IF(P164="","",_xlfn.XLOOKUP(P164&amp;"",'Units Data'!$I$6:$I$10000&amp;"",'Units Data'!$C$6:$C$10000,"غير موجود",0))</f>
        <v>غير موجود</v>
      </c>
      <c r="C164" s="937" t="str" cm="1">
        <f t="array" ref="C164">IF(P164="","",_xlfn.XLOOKUP(P164&amp;"",'Units Data'!$I$6:$I$10000&amp;"",'Units Data'!$B$6:$B$10000,"غير موجود",0))</f>
        <v>غير موجود</v>
      </c>
      <c r="D164" s="940">
        <v>39957368</v>
      </c>
      <c r="E164" s="941" t="s">
        <v>1076</v>
      </c>
      <c r="F164" s="941" t="s">
        <v>1077</v>
      </c>
      <c r="G164" s="941" t="s">
        <v>1078</v>
      </c>
      <c r="H164" s="941" t="s">
        <v>1083</v>
      </c>
      <c r="I164" s="941">
        <v>1000</v>
      </c>
      <c r="J164" s="944">
        <v>46159</v>
      </c>
      <c r="K164" s="944">
        <v>46155</v>
      </c>
      <c r="L164" s="941" t="s">
        <v>1273</v>
      </c>
      <c r="M164" s="941"/>
      <c r="N164" s="941" t="s">
        <v>1274</v>
      </c>
      <c r="O164" s="941" t="s">
        <v>1118</v>
      </c>
      <c r="P164" s="941" t="s">
        <v>1275</v>
      </c>
    </row>
    <row r="165" spans="1:16">
      <c r="A165" s="937"/>
      <c r="B165" s="937" cm="1">
        <f t="array" ref="B165">IF(P165="","",_xlfn.XLOOKUP(P165&amp;"",'Units Data'!$I$6:$I$10000&amp;"",'Units Data'!$C$6:$C$10000,"غير موجود",0))</f>
        <v>102</v>
      </c>
      <c r="C165" s="937" t="str" cm="1">
        <f t="array" ref="C165">IF(P165="","",_xlfn.XLOOKUP(P165&amp;"",'Units Data'!$I$6:$I$10000&amp;"",'Units Data'!$B$6:$B$10000,"غير موجود",0))</f>
        <v>S2</v>
      </c>
      <c r="D165" s="940">
        <v>39946628</v>
      </c>
      <c r="E165" s="941" t="s">
        <v>1076</v>
      </c>
      <c r="F165" s="941" t="s">
        <v>1077</v>
      </c>
      <c r="G165" s="941" t="s">
        <v>1078</v>
      </c>
      <c r="H165" s="941" t="s">
        <v>1083</v>
      </c>
      <c r="I165" s="941">
        <v>1000</v>
      </c>
      <c r="J165" s="944">
        <v>46159</v>
      </c>
      <c r="K165" s="944">
        <v>46155</v>
      </c>
      <c r="L165" s="941" t="s">
        <v>1045</v>
      </c>
      <c r="M165" s="941"/>
      <c r="N165" s="941" t="s">
        <v>1186</v>
      </c>
      <c r="O165" s="941" t="s">
        <v>1081</v>
      </c>
      <c r="P165" s="941" t="s">
        <v>1187</v>
      </c>
    </row>
    <row r="166" spans="1:16">
      <c r="A166" s="937"/>
      <c r="B166" s="937" cm="1">
        <f t="array" ref="B166">IF(P166="","",_xlfn.XLOOKUP(P166&amp;"",'Units Data'!$I$6:$I$10000&amp;"",'Units Data'!$C$6:$C$10000,"غير موجود",0))</f>
        <v>102</v>
      </c>
      <c r="C166" s="937" t="str" cm="1">
        <f t="array" ref="C166">IF(P166="","",_xlfn.XLOOKUP(P166&amp;"",'Units Data'!$I$6:$I$10000&amp;"",'Units Data'!$B$6:$B$10000,"غير موجود",0))</f>
        <v>F5</v>
      </c>
      <c r="D166" s="940">
        <v>39918855</v>
      </c>
      <c r="E166" s="941" t="s">
        <v>1076</v>
      </c>
      <c r="F166" s="941" t="s">
        <v>1077</v>
      </c>
      <c r="G166" s="941" t="s">
        <v>1078</v>
      </c>
      <c r="H166" s="941" t="s">
        <v>1079</v>
      </c>
      <c r="I166" s="941">
        <v>4000</v>
      </c>
      <c r="J166" s="944">
        <v>46156</v>
      </c>
      <c r="K166" s="944">
        <v>46154</v>
      </c>
      <c r="L166" s="941" t="s">
        <v>1104</v>
      </c>
      <c r="M166" s="941"/>
      <c r="N166" s="941" t="s">
        <v>1266</v>
      </c>
      <c r="O166" s="941" t="s">
        <v>1081</v>
      </c>
      <c r="P166" s="941" t="s">
        <v>1139</v>
      </c>
    </row>
    <row r="167" spans="1:16">
      <c r="A167" s="937"/>
      <c r="B167" s="937" t="str" cm="1">
        <f t="array" ref="B167">IF(P167="","",_xlfn.XLOOKUP(P167&amp;"",'Units Data'!$I$6:$I$10000&amp;"",'Units Data'!$C$6:$C$10000,"غير موجود",0))</f>
        <v>غير موجود</v>
      </c>
      <c r="C167" s="937" t="str" cm="1">
        <f t="array" ref="C167">IF(P167="","",_xlfn.XLOOKUP(P167&amp;"",'Units Data'!$I$6:$I$10000&amp;"",'Units Data'!$B$6:$B$10000,"غير موجود",0))</f>
        <v>غير موجود</v>
      </c>
      <c r="D167" s="940">
        <v>39875666</v>
      </c>
      <c r="E167" s="941" t="s">
        <v>1076</v>
      </c>
      <c r="F167" s="941" t="s">
        <v>1077</v>
      </c>
      <c r="G167" s="941" t="s">
        <v>1078</v>
      </c>
      <c r="H167" s="941" t="s">
        <v>1079</v>
      </c>
      <c r="I167" s="941">
        <v>4500</v>
      </c>
      <c r="J167" s="944">
        <v>46154</v>
      </c>
      <c r="K167" s="944">
        <v>46153</v>
      </c>
      <c r="L167" s="941" t="s">
        <v>1276</v>
      </c>
      <c r="M167" s="941"/>
      <c r="N167" s="941" t="s">
        <v>1277</v>
      </c>
      <c r="O167" s="941" t="s">
        <v>1111</v>
      </c>
      <c r="P167" s="941" t="s">
        <v>1278</v>
      </c>
    </row>
    <row r="168" spans="1:16">
      <c r="A168" s="937"/>
      <c r="B168" s="937" cm="1">
        <f t="array" ref="B168">IF(P168="","",_xlfn.XLOOKUP(P168&amp;"",'Units Data'!$I$6:$I$10000&amp;"",'Units Data'!$C$6:$C$10000,"غير موجود",0))</f>
        <v>102</v>
      </c>
      <c r="C168" s="937" t="str" cm="1">
        <f t="array" ref="C168">IF(P168="","",_xlfn.XLOOKUP(P168&amp;"",'Units Data'!$I$6:$I$10000&amp;"",'Units Data'!$B$6:$B$10000,"غير موجود",0))</f>
        <v>S7</v>
      </c>
      <c r="D168" s="940">
        <v>39875571</v>
      </c>
      <c r="E168" s="941" t="s">
        <v>1076</v>
      </c>
      <c r="F168" s="941" t="s">
        <v>1077</v>
      </c>
      <c r="G168" s="941" t="s">
        <v>1078</v>
      </c>
      <c r="H168" s="941" t="s">
        <v>1083</v>
      </c>
      <c r="I168" s="941">
        <v>4000</v>
      </c>
      <c r="J168" s="944">
        <v>46155</v>
      </c>
      <c r="K168" s="944">
        <v>46153</v>
      </c>
      <c r="L168" s="941" t="s">
        <v>1028</v>
      </c>
      <c r="M168" s="941"/>
      <c r="N168" s="941" t="s">
        <v>1267</v>
      </c>
      <c r="O168" s="941" t="s">
        <v>1095</v>
      </c>
      <c r="P168" s="941" t="s">
        <v>1268</v>
      </c>
    </row>
    <row r="169" spans="1:16">
      <c r="A169" s="937"/>
      <c r="B169" s="937" t="str" cm="1">
        <f t="array" ref="B169">IF(P169="","",_xlfn.XLOOKUP(P169&amp;"",'Units Data'!$I$6:$I$10000&amp;"",'Units Data'!$C$6:$C$10000,"غير موجود",0))</f>
        <v>غير موجود</v>
      </c>
      <c r="C169" s="937" t="str" cm="1">
        <f t="array" ref="C169">IF(P169="","",_xlfn.XLOOKUP(P169&amp;"",'Units Data'!$I$6:$I$10000&amp;"",'Units Data'!$B$6:$B$10000,"غير موجود",0))</f>
        <v>غير موجود</v>
      </c>
      <c r="D169" s="940">
        <v>39852039</v>
      </c>
      <c r="E169" s="941" t="s">
        <v>1076</v>
      </c>
      <c r="F169" s="941" t="s">
        <v>1077</v>
      </c>
      <c r="G169" s="941" t="s">
        <v>1078</v>
      </c>
      <c r="H169" s="941" t="s">
        <v>1083</v>
      </c>
      <c r="I169" s="941">
        <v>1000</v>
      </c>
      <c r="J169" s="944">
        <v>46154</v>
      </c>
      <c r="K169" s="944">
        <v>46152</v>
      </c>
      <c r="L169" s="941" t="s">
        <v>1120</v>
      </c>
      <c r="M169" s="941"/>
      <c r="N169" s="941" t="s">
        <v>1121</v>
      </c>
      <c r="O169" s="941" t="s">
        <v>1122</v>
      </c>
      <c r="P169" s="941" t="s">
        <v>1123</v>
      </c>
    </row>
    <row r="170" spans="1:16">
      <c r="A170" s="937"/>
      <c r="B170" s="937" t="str" cm="1">
        <f t="array" ref="B170">IF(P170="","",_xlfn.XLOOKUP(P170&amp;"",'Units Data'!$I$6:$I$10000&amp;"",'Units Data'!$C$6:$C$10000,"غير موجود",0))</f>
        <v>غير موجود</v>
      </c>
      <c r="C170" s="937" t="str" cm="1">
        <f t="array" ref="C170">IF(P170="","",_xlfn.XLOOKUP(P170&amp;"",'Units Data'!$I$6:$I$10000&amp;"",'Units Data'!$B$6:$B$10000,"غير موجود",0))</f>
        <v>غير موجود</v>
      </c>
      <c r="D170" s="940">
        <v>39819163</v>
      </c>
      <c r="E170" s="941" t="s">
        <v>1076</v>
      </c>
      <c r="F170" s="941" t="s">
        <v>1077</v>
      </c>
      <c r="G170" s="941" t="s">
        <v>1078</v>
      </c>
      <c r="H170" s="941" t="s">
        <v>1083</v>
      </c>
      <c r="I170" s="941">
        <v>2875</v>
      </c>
      <c r="J170" s="944">
        <v>46154</v>
      </c>
      <c r="K170" s="944">
        <v>46152</v>
      </c>
      <c r="L170" s="941" t="s">
        <v>1205</v>
      </c>
      <c r="M170" s="941"/>
      <c r="N170" s="941" t="s">
        <v>1206</v>
      </c>
      <c r="O170" s="941" t="s">
        <v>1161</v>
      </c>
      <c r="P170" s="941" t="s">
        <v>1207</v>
      </c>
    </row>
    <row r="171" spans="1:16">
      <c r="A171" s="937"/>
      <c r="B171" s="937" t="str" cm="1">
        <f t="array" ref="B171">IF(P171="","",_xlfn.XLOOKUP(P171&amp;"",'Units Data'!$I$6:$I$10000&amp;"",'Units Data'!$C$6:$C$10000,"غير موجود",0))</f>
        <v>غير موجود</v>
      </c>
      <c r="C171" s="937" t="str" cm="1">
        <f t="array" ref="C171">IF(P171="","",_xlfn.XLOOKUP(P171&amp;"",'Units Data'!$I$6:$I$10000&amp;"",'Units Data'!$B$6:$B$10000,"غير موجود",0))</f>
        <v>غير موجود</v>
      </c>
      <c r="D171" s="940">
        <v>39751946</v>
      </c>
      <c r="E171" s="941" t="s">
        <v>1076</v>
      </c>
      <c r="F171" s="941" t="s">
        <v>1077</v>
      </c>
      <c r="G171" s="941" t="s">
        <v>1078</v>
      </c>
      <c r="H171" s="941" t="s">
        <v>1083</v>
      </c>
      <c r="I171" s="941">
        <v>1000</v>
      </c>
      <c r="J171" s="944">
        <v>46153</v>
      </c>
      <c r="K171" s="944">
        <v>46149</v>
      </c>
      <c r="L171" s="941" t="s">
        <v>1263</v>
      </c>
      <c r="M171" s="941"/>
      <c r="N171" s="941" t="s">
        <v>1264</v>
      </c>
      <c r="O171" s="941" t="s">
        <v>1122</v>
      </c>
      <c r="P171" s="941" t="s">
        <v>1265</v>
      </c>
    </row>
    <row r="172" spans="1:16">
      <c r="A172" s="937"/>
      <c r="B172" s="937" cm="1">
        <f t="array" ref="B172">IF(P172="","",_xlfn.XLOOKUP(P172&amp;"",'Units Data'!$I$6:$I$10000&amp;"",'Units Data'!$C$6:$C$10000,"غير موجود",0))</f>
        <v>102</v>
      </c>
      <c r="C172" s="937" t="str" cm="1">
        <f t="array" ref="C172">IF(P172="","",_xlfn.XLOOKUP(P172&amp;"",'Units Data'!$I$6:$I$10000&amp;"",'Units Data'!$B$6:$B$10000,"غير موجود",0))</f>
        <v>F9</v>
      </c>
      <c r="D172" s="940">
        <v>39715851</v>
      </c>
      <c r="E172" s="941" t="s">
        <v>1076</v>
      </c>
      <c r="F172" s="941" t="s">
        <v>1077</v>
      </c>
      <c r="G172" s="941" t="s">
        <v>1078</v>
      </c>
      <c r="H172" s="941" t="s">
        <v>1083</v>
      </c>
      <c r="I172" s="941">
        <v>4000</v>
      </c>
      <c r="J172" s="944">
        <v>46151</v>
      </c>
      <c r="K172" s="944">
        <v>46148</v>
      </c>
      <c r="L172" s="941" t="s">
        <v>1269</v>
      </c>
      <c r="M172" s="941"/>
      <c r="N172" s="941" t="s">
        <v>1279</v>
      </c>
      <c r="O172" s="941" t="s">
        <v>1081</v>
      </c>
      <c r="P172" s="941" t="s">
        <v>1280</v>
      </c>
    </row>
    <row r="173" spans="1:16">
      <c r="A173" s="937"/>
      <c r="B173" s="937" t="str" cm="1">
        <f t="array" ref="B173">IF(P173="","",_xlfn.XLOOKUP(P173&amp;"",'Units Data'!$I$6:$I$10000&amp;"",'Units Data'!$C$6:$C$10000,"غير موجود",0))</f>
        <v>غير موجود</v>
      </c>
      <c r="C173" s="937" t="str" cm="1">
        <f t="array" ref="C173">IF(P173="","",_xlfn.XLOOKUP(P173&amp;"",'Units Data'!$I$6:$I$10000&amp;"",'Units Data'!$B$6:$B$10000,"غير موجود",0))</f>
        <v>غير موجود</v>
      </c>
      <c r="D173" s="940">
        <v>39711487</v>
      </c>
      <c r="E173" s="941" t="s">
        <v>1076</v>
      </c>
      <c r="F173" s="941" t="s">
        <v>1077</v>
      </c>
      <c r="G173" s="941" t="s">
        <v>1078</v>
      </c>
      <c r="H173" s="941" t="s">
        <v>1083</v>
      </c>
      <c r="I173" s="941">
        <v>1000</v>
      </c>
      <c r="J173" s="944">
        <v>46151</v>
      </c>
      <c r="K173" s="944">
        <v>46148</v>
      </c>
      <c r="L173" s="941" t="s">
        <v>1250</v>
      </c>
      <c r="M173" s="941"/>
      <c r="N173" s="941" t="s">
        <v>1251</v>
      </c>
      <c r="O173" s="941" t="s">
        <v>1122</v>
      </c>
      <c r="P173" s="941" t="s">
        <v>1252</v>
      </c>
    </row>
    <row r="174" spans="1:16">
      <c r="A174" s="937"/>
      <c r="B174" s="937" t="str" cm="1">
        <f t="array" ref="B174">IF(P174="","",_xlfn.XLOOKUP(P174&amp;"",'Units Data'!$I$6:$I$10000&amp;"",'Units Data'!$C$6:$C$10000,"غير موجود",0))</f>
        <v>غير موجود</v>
      </c>
      <c r="C174" s="937" t="str" cm="1">
        <f t="array" ref="C174">IF(P174="","",_xlfn.XLOOKUP(P174&amp;"",'Units Data'!$I$6:$I$10000&amp;"",'Units Data'!$B$6:$B$10000,"غير موجود",0))</f>
        <v>غير موجود</v>
      </c>
      <c r="D174" s="940">
        <v>39705289</v>
      </c>
      <c r="E174" s="941" t="s">
        <v>1076</v>
      </c>
      <c r="F174" s="941" t="s">
        <v>1077</v>
      </c>
      <c r="G174" s="941" t="s">
        <v>1078</v>
      </c>
      <c r="H174" s="941" t="s">
        <v>1079</v>
      </c>
      <c r="I174" s="941">
        <v>1000</v>
      </c>
      <c r="J174" s="944">
        <v>46152</v>
      </c>
      <c r="K174" s="944">
        <v>46148</v>
      </c>
      <c r="L174" s="941" t="s">
        <v>1196</v>
      </c>
      <c r="M174" s="941"/>
      <c r="N174" s="941" t="s">
        <v>1253</v>
      </c>
      <c r="O174" s="941" t="s">
        <v>1118</v>
      </c>
      <c r="P174" s="941" t="s">
        <v>1198</v>
      </c>
    </row>
    <row r="175" spans="1:16">
      <c r="A175" s="937"/>
      <c r="B175" s="937" cm="1">
        <f t="array" ref="B175">IF(P175="","",_xlfn.XLOOKUP(P175&amp;"",'Units Data'!$I$6:$I$10000&amp;"",'Units Data'!$C$6:$C$10000,"غير موجود",0))</f>
        <v>102</v>
      </c>
      <c r="C175" s="937" t="str" cm="1">
        <f t="array" ref="C175">IF(P175="","",_xlfn.XLOOKUP(P175&amp;"",'Units Data'!$I$6:$I$10000&amp;"",'Units Data'!$B$6:$B$10000,"غير موجود",0))</f>
        <v>F1</v>
      </c>
      <c r="D175" s="940">
        <v>39636892</v>
      </c>
      <c r="E175" s="941" t="s">
        <v>1076</v>
      </c>
      <c r="F175" s="941" t="s">
        <v>1077</v>
      </c>
      <c r="G175" s="941" t="s">
        <v>1078</v>
      </c>
      <c r="H175" s="941" t="s">
        <v>1079</v>
      </c>
      <c r="I175" s="941">
        <v>3500</v>
      </c>
      <c r="J175" s="944">
        <v>46149</v>
      </c>
      <c r="K175" s="944">
        <v>46146</v>
      </c>
      <c r="L175" s="941" t="s">
        <v>81</v>
      </c>
      <c r="M175" s="941"/>
      <c r="N175" s="941" t="s">
        <v>1094</v>
      </c>
      <c r="O175" s="941" t="s">
        <v>1095</v>
      </c>
      <c r="P175" s="941" t="s">
        <v>1096</v>
      </c>
    </row>
    <row r="176" spans="1:16">
      <c r="A176" s="937"/>
      <c r="B176" s="937" cm="1">
        <f t="array" ref="B176">IF(P176="","",_xlfn.XLOOKUP(P176&amp;"",'Units Data'!$I$6:$I$10000&amp;"",'Units Data'!$C$6:$C$10000,"غير موجود",0))</f>
        <v>102</v>
      </c>
      <c r="C176" s="937" t="str" cm="1">
        <f t="array" ref="C176">IF(P176="","",_xlfn.XLOOKUP(P176&amp;"",'Units Data'!$I$6:$I$10000&amp;"",'Units Data'!$B$6:$B$10000,"غير موجود",0))</f>
        <v>S4</v>
      </c>
      <c r="D176" s="940">
        <v>39595241</v>
      </c>
      <c r="E176" s="941" t="s">
        <v>1076</v>
      </c>
      <c r="F176" s="941" t="s">
        <v>1077</v>
      </c>
      <c r="G176" s="941" t="s">
        <v>1078</v>
      </c>
      <c r="H176" s="941" t="s">
        <v>1083</v>
      </c>
      <c r="I176" s="941">
        <v>4000</v>
      </c>
      <c r="J176" s="944">
        <v>46149</v>
      </c>
      <c r="K176" s="944">
        <v>46146</v>
      </c>
      <c r="L176" s="941" t="s">
        <v>1281</v>
      </c>
      <c r="M176" s="941"/>
      <c r="N176" s="941" t="s">
        <v>1282</v>
      </c>
      <c r="O176" s="941" t="s">
        <v>1081</v>
      </c>
      <c r="P176" s="941" t="s">
        <v>1283</v>
      </c>
    </row>
    <row r="177" spans="1:16">
      <c r="A177" s="937"/>
      <c r="B177" s="937" t="str" cm="1">
        <f t="array" ref="B177">IF(P177="","",_xlfn.XLOOKUP(P177&amp;"",'Units Data'!$I$6:$I$10000&amp;"",'Units Data'!$C$6:$C$10000,"غير موجود",0))</f>
        <v>غير موجود</v>
      </c>
      <c r="C177" s="937" t="str" cm="1">
        <f t="array" ref="C177">IF(P177="","",_xlfn.XLOOKUP(P177&amp;"",'Units Data'!$I$6:$I$10000&amp;"",'Units Data'!$B$6:$B$10000,"غير موجود",0))</f>
        <v>غير موجود</v>
      </c>
      <c r="D177" s="940">
        <v>39592347</v>
      </c>
      <c r="E177" s="941" t="s">
        <v>1076</v>
      </c>
      <c r="F177" s="941" t="s">
        <v>1077</v>
      </c>
      <c r="G177" s="941" t="s">
        <v>1078</v>
      </c>
      <c r="H177" s="941" t="s">
        <v>1083</v>
      </c>
      <c r="I177" s="941">
        <v>18000</v>
      </c>
      <c r="J177" s="944">
        <v>46149</v>
      </c>
      <c r="K177" s="944">
        <v>46146</v>
      </c>
      <c r="L177" s="941" t="s">
        <v>1284</v>
      </c>
      <c r="M177" s="941"/>
      <c r="N177" s="941" t="s">
        <v>1285</v>
      </c>
      <c r="O177" s="941" t="s">
        <v>1111</v>
      </c>
      <c r="P177" s="941" t="s">
        <v>1286</v>
      </c>
    </row>
    <row r="178" spans="1:16">
      <c r="A178" s="937"/>
      <c r="B178" s="937" t="str" cm="1">
        <f t="array" ref="B178">IF(P178="","",_xlfn.XLOOKUP(P178&amp;"",'Units Data'!$I$6:$I$10000&amp;"",'Units Data'!$C$6:$C$10000,"غير موجود",0))</f>
        <v>غير موجود</v>
      </c>
      <c r="C178" s="937" t="str" cm="1">
        <f t="array" ref="C178">IF(P178="","",_xlfn.XLOOKUP(P178&amp;"",'Units Data'!$I$6:$I$10000&amp;"",'Units Data'!$B$6:$B$10000,"غير موجود",0))</f>
        <v>غير موجود</v>
      </c>
      <c r="D178" s="940">
        <v>39567452</v>
      </c>
      <c r="E178" s="941" t="s">
        <v>1076</v>
      </c>
      <c r="F178" s="941" t="s">
        <v>1077</v>
      </c>
      <c r="G178" s="941" t="s">
        <v>1078</v>
      </c>
      <c r="H178" s="941" t="s">
        <v>1083</v>
      </c>
      <c r="I178" s="941">
        <v>1000</v>
      </c>
      <c r="J178" s="944">
        <v>46149</v>
      </c>
      <c r="K178" s="944">
        <v>46145</v>
      </c>
      <c r="L178" s="941" t="s">
        <v>1191</v>
      </c>
      <c r="M178" s="941"/>
      <c r="N178" s="941" t="s">
        <v>1192</v>
      </c>
      <c r="O178" s="941" t="s">
        <v>1122</v>
      </c>
      <c r="P178" s="941" t="s">
        <v>1193</v>
      </c>
    </row>
    <row r="179" spans="1:16">
      <c r="A179" s="937"/>
      <c r="B179" s="937" cm="1">
        <f t="array" ref="B179">IF(P179="","",_xlfn.XLOOKUP(P179&amp;"",'Units Data'!$I$6:$I$10000&amp;"",'Units Data'!$C$6:$C$10000,"غير موجود",0))</f>
        <v>102</v>
      </c>
      <c r="C179" s="937" t="str" cm="1">
        <f t="array" ref="C179">IF(P179="","",_xlfn.XLOOKUP(P179&amp;"",'Units Data'!$I$6:$I$10000&amp;"",'Units Data'!$B$6:$B$10000,"غير موجود",0))</f>
        <v>F8</v>
      </c>
      <c r="D179" s="940">
        <v>39558116</v>
      </c>
      <c r="E179" s="941" t="s">
        <v>1076</v>
      </c>
      <c r="F179" s="941" t="s">
        <v>1077</v>
      </c>
      <c r="G179" s="941" t="s">
        <v>1078</v>
      </c>
      <c r="H179" s="941" t="s">
        <v>1079</v>
      </c>
      <c r="I179" s="941">
        <v>3500</v>
      </c>
      <c r="J179" s="944">
        <v>46148</v>
      </c>
      <c r="K179" s="944">
        <v>46145</v>
      </c>
      <c r="L179" s="941" t="s">
        <v>1043</v>
      </c>
      <c r="M179" s="941"/>
      <c r="N179" s="941" t="s">
        <v>1209</v>
      </c>
      <c r="O179" s="941" t="s">
        <v>1081</v>
      </c>
      <c r="P179" s="941" t="s">
        <v>1150</v>
      </c>
    </row>
    <row r="180" spans="1:16">
      <c r="A180" s="937"/>
      <c r="B180" s="937" cm="1">
        <f t="array" ref="B180">IF(P180="","",_xlfn.XLOOKUP(P180&amp;"",'Units Data'!$I$6:$I$10000&amp;"",'Units Data'!$C$6:$C$10000,"غير موجود",0))</f>
        <v>102</v>
      </c>
      <c r="C180" s="937" t="str" cm="1">
        <f t="array" ref="C180">IF(P180="","",_xlfn.XLOOKUP(P180&amp;"",'Units Data'!$I$6:$I$10000&amp;"",'Units Data'!$B$6:$B$10000,"غير موجود",0))</f>
        <v>S2</v>
      </c>
      <c r="D180" s="940">
        <v>39436553</v>
      </c>
      <c r="E180" s="941" t="s">
        <v>1076</v>
      </c>
      <c r="F180" s="941" t="s">
        <v>1077</v>
      </c>
      <c r="G180" s="941" t="s">
        <v>1078</v>
      </c>
      <c r="H180" s="941" t="s">
        <v>1083</v>
      </c>
      <c r="I180" s="941">
        <v>1000</v>
      </c>
      <c r="J180" s="944">
        <v>46148</v>
      </c>
      <c r="K180" s="944">
        <v>46143</v>
      </c>
      <c r="L180" s="941" t="s">
        <v>1045</v>
      </c>
      <c r="M180" s="941"/>
      <c r="N180" s="941" t="s">
        <v>1186</v>
      </c>
      <c r="O180" s="941" t="s">
        <v>1081</v>
      </c>
      <c r="P180" s="941" t="s">
        <v>1187</v>
      </c>
    </row>
    <row r="181" spans="1:16">
      <c r="A181" s="937"/>
      <c r="B181" s="937" cm="1">
        <f t="array" ref="B181">IF(P181="","",_xlfn.XLOOKUP(P181&amp;"",'Units Data'!$I$6:$I$10000&amp;"",'Units Data'!$C$6:$C$10000,"غير موجود",0))</f>
        <v>102</v>
      </c>
      <c r="C181" s="937" t="str" cm="1">
        <f t="array" ref="C181">IF(P181="","",_xlfn.XLOOKUP(P181&amp;"",'Units Data'!$I$6:$I$10000&amp;"",'Units Data'!$B$6:$B$10000,"غير موجود",0))</f>
        <v>S5</v>
      </c>
      <c r="D181" s="940">
        <v>39375544</v>
      </c>
      <c r="E181" s="941" t="s">
        <v>1076</v>
      </c>
      <c r="F181" s="941" t="s">
        <v>1077</v>
      </c>
      <c r="G181" s="941" t="s">
        <v>1078</v>
      </c>
      <c r="H181" s="941" t="s">
        <v>1079</v>
      </c>
      <c r="I181" s="941">
        <v>4000</v>
      </c>
      <c r="J181" s="944">
        <v>46147</v>
      </c>
      <c r="K181" s="944">
        <v>46142</v>
      </c>
      <c r="L181" s="941" t="s">
        <v>1287</v>
      </c>
      <c r="M181" s="941"/>
      <c r="N181" s="941" t="s">
        <v>1288</v>
      </c>
      <c r="O181" s="941" t="s">
        <v>1095</v>
      </c>
      <c r="P181" s="941" t="s">
        <v>1289</v>
      </c>
    </row>
    <row r="182" spans="1:16">
      <c r="A182" s="937"/>
      <c r="B182" s="937" t="str" cm="1">
        <f t="array" ref="B182">IF(P182="","",_xlfn.XLOOKUP(P182&amp;"",'Units Data'!$I$6:$I$10000&amp;"",'Units Data'!$C$6:$C$10000,"غير موجود",0))</f>
        <v>غير موجود</v>
      </c>
      <c r="C182" s="937" t="str" cm="1">
        <f t="array" ref="C182">IF(P182="","",_xlfn.XLOOKUP(P182&amp;"",'Units Data'!$I$6:$I$10000&amp;"",'Units Data'!$B$6:$B$10000,"غير موجود",0))</f>
        <v>غير موجود</v>
      </c>
      <c r="D182" s="940">
        <v>39344988</v>
      </c>
      <c r="E182" s="941" t="s">
        <v>1076</v>
      </c>
      <c r="F182" s="941" t="s">
        <v>1077</v>
      </c>
      <c r="G182" s="941" t="s">
        <v>1078</v>
      </c>
      <c r="H182" s="941" t="s">
        <v>1083</v>
      </c>
      <c r="I182" s="941">
        <v>3000</v>
      </c>
      <c r="J182" s="944">
        <v>46148</v>
      </c>
      <c r="K182" s="944">
        <v>46142</v>
      </c>
      <c r="L182" s="941" t="s">
        <v>1159</v>
      </c>
      <c r="M182" s="941"/>
      <c r="N182" s="941" t="s">
        <v>1160</v>
      </c>
      <c r="O182" s="941" t="s">
        <v>1161</v>
      </c>
      <c r="P182" s="941" t="s">
        <v>1162</v>
      </c>
    </row>
    <row r="183" spans="1:16">
      <c r="A183" s="937"/>
      <c r="B183" s="937" t="str" cm="1">
        <f t="array" ref="B183">IF(P183="","",_xlfn.XLOOKUP(P183&amp;"",'Units Data'!$I$6:$I$10000&amp;"",'Units Data'!$C$6:$C$10000,"غير موجود",0))</f>
        <v>غير موجود</v>
      </c>
      <c r="C183" s="937" t="str" cm="1">
        <f t="array" ref="C183">IF(P183="","",_xlfn.XLOOKUP(P183&amp;"",'Units Data'!$I$6:$I$10000&amp;"",'Units Data'!$B$6:$B$10000,"غير موجود",0))</f>
        <v>غير موجود</v>
      </c>
      <c r="D183" s="940">
        <v>39291107</v>
      </c>
      <c r="E183" s="941" t="s">
        <v>1076</v>
      </c>
      <c r="F183" s="941" t="s">
        <v>1077</v>
      </c>
      <c r="G183" s="941" t="s">
        <v>1078</v>
      </c>
      <c r="H183" s="941" t="s">
        <v>1079</v>
      </c>
      <c r="I183" s="941">
        <v>3000</v>
      </c>
      <c r="J183" s="944">
        <v>46145</v>
      </c>
      <c r="K183" s="944">
        <v>46142</v>
      </c>
      <c r="L183" s="941" t="s">
        <v>1284</v>
      </c>
      <c r="M183" s="941"/>
      <c r="N183" s="941" t="s">
        <v>1290</v>
      </c>
      <c r="O183" s="941" t="s">
        <v>1111</v>
      </c>
      <c r="P183" s="941" t="s">
        <v>1286</v>
      </c>
    </row>
    <row r="184" spans="1:16">
      <c r="A184" s="937"/>
      <c r="B184" s="937" cm="1">
        <f t="array" ref="B184">IF(P184="","",_xlfn.XLOOKUP(P184&amp;"",'Units Data'!$I$6:$I$10000&amp;"",'Units Data'!$C$6:$C$10000,"غير موجود",0))</f>
        <v>102</v>
      </c>
      <c r="C184" s="937" t="str" cm="1">
        <f t="array" ref="C184">IF(P184="","",_xlfn.XLOOKUP(P184&amp;"",'Units Data'!$I$6:$I$10000&amp;"",'Units Data'!$B$6:$B$10000,"غير موجود",0))</f>
        <v>S6</v>
      </c>
      <c r="D184" s="940">
        <v>39287004</v>
      </c>
      <c r="E184" s="941" t="s">
        <v>1076</v>
      </c>
      <c r="F184" s="941" t="s">
        <v>1077</v>
      </c>
      <c r="G184" s="941" t="s">
        <v>1078</v>
      </c>
      <c r="H184" s="941" t="s">
        <v>1079</v>
      </c>
      <c r="I184" s="941">
        <v>3800</v>
      </c>
      <c r="J184" s="944">
        <v>46143</v>
      </c>
      <c r="K184" s="944">
        <v>46141</v>
      </c>
      <c r="L184" s="941" t="s">
        <v>1291</v>
      </c>
      <c r="M184" s="941"/>
      <c r="N184" s="941" t="s">
        <v>1292</v>
      </c>
      <c r="O184" s="941" t="s">
        <v>1095</v>
      </c>
      <c r="P184" s="941" t="s">
        <v>1293</v>
      </c>
    </row>
    <row r="185" spans="1:16">
      <c r="A185" s="937"/>
      <c r="B185" s="937" cm="1">
        <f t="array" ref="B185">IF(P185="","",_xlfn.XLOOKUP(P185&amp;"",'Units Data'!$I$6:$I$10000&amp;"",'Units Data'!$C$6:$C$10000,"غير موجود",0))</f>
        <v>102</v>
      </c>
      <c r="C185" s="937" t="str" cm="1">
        <f t="array" ref="C185">IF(P185="","",_xlfn.XLOOKUP(P185&amp;"",'Units Data'!$I$6:$I$10000&amp;"",'Units Data'!$B$6:$B$10000,"غير موجود",0))</f>
        <v>S1</v>
      </c>
      <c r="D185" s="940">
        <v>39286581</v>
      </c>
      <c r="E185" s="941" t="s">
        <v>1076</v>
      </c>
      <c r="F185" s="941" t="s">
        <v>1077</v>
      </c>
      <c r="G185" s="941" t="s">
        <v>1078</v>
      </c>
      <c r="H185" s="941" t="s">
        <v>1079</v>
      </c>
      <c r="I185" s="941">
        <v>10000</v>
      </c>
      <c r="J185" s="944">
        <v>46143</v>
      </c>
      <c r="K185" s="944">
        <v>46141</v>
      </c>
      <c r="L185" s="941" t="s">
        <v>1291</v>
      </c>
      <c r="M185" s="941"/>
      <c r="N185" s="941" t="s">
        <v>1294</v>
      </c>
      <c r="O185" s="941" t="s">
        <v>1095</v>
      </c>
      <c r="P185" s="941" t="s">
        <v>1295</v>
      </c>
    </row>
    <row r="186" spans="1:16">
      <c r="A186" s="937"/>
      <c r="B186" s="937" cm="1">
        <f t="array" ref="B186">IF(P186="","",_xlfn.XLOOKUP(P186&amp;"",'Units Data'!$I$6:$I$10000&amp;"",'Units Data'!$C$6:$C$10000,"غير موجود",0))</f>
        <v>102</v>
      </c>
      <c r="C186" s="937" t="str" cm="1">
        <f t="array" ref="C186">IF(P186="","",_xlfn.XLOOKUP(P186&amp;"",'Units Data'!$I$6:$I$10000&amp;"",'Units Data'!$B$6:$B$10000,"غير موجود",0))</f>
        <v>S1</v>
      </c>
      <c r="D186" s="940">
        <v>39203169</v>
      </c>
      <c r="E186" s="941" t="s">
        <v>1076</v>
      </c>
      <c r="F186" s="941" t="s">
        <v>1077</v>
      </c>
      <c r="G186" s="941" t="s">
        <v>1078</v>
      </c>
      <c r="H186" s="941" t="s">
        <v>1079</v>
      </c>
      <c r="I186" s="941">
        <v>3250</v>
      </c>
      <c r="J186" s="944">
        <v>46142</v>
      </c>
      <c r="K186" s="944">
        <v>46140</v>
      </c>
      <c r="L186" s="941" t="s">
        <v>1291</v>
      </c>
      <c r="M186" s="941"/>
      <c r="N186" s="941" t="s">
        <v>1294</v>
      </c>
      <c r="O186" s="941" t="s">
        <v>1095</v>
      </c>
      <c r="P186" s="941" t="s">
        <v>1295</v>
      </c>
    </row>
    <row r="187" spans="1:16">
      <c r="A187" s="937"/>
      <c r="B187" s="937" cm="1">
        <f t="array" ref="B187">IF(P187="","",_xlfn.XLOOKUP(P187&amp;"",'Units Data'!$I$6:$I$10000&amp;"",'Units Data'!$C$6:$C$10000,"غير موجود",0))</f>
        <v>102</v>
      </c>
      <c r="C187" s="937" t="str" cm="1">
        <f t="array" ref="C187">IF(P187="","",_xlfn.XLOOKUP(P187&amp;"",'Units Data'!$I$6:$I$10000&amp;"",'Units Data'!$B$6:$B$10000,"غير موجود",0))</f>
        <v>S1</v>
      </c>
      <c r="D187" s="940">
        <v>39202930</v>
      </c>
      <c r="E187" s="941" t="s">
        <v>1076</v>
      </c>
      <c r="F187" s="941" t="s">
        <v>1077</v>
      </c>
      <c r="G187" s="941" t="s">
        <v>1078</v>
      </c>
      <c r="H187" s="941" t="s">
        <v>1079</v>
      </c>
      <c r="I187" s="941">
        <v>2900</v>
      </c>
      <c r="J187" s="944">
        <v>46142</v>
      </c>
      <c r="K187" s="944">
        <v>46140</v>
      </c>
      <c r="L187" s="941" t="s">
        <v>1291</v>
      </c>
      <c r="M187" s="941"/>
      <c r="N187" s="941" t="s">
        <v>1294</v>
      </c>
      <c r="O187" s="941" t="s">
        <v>1095</v>
      </c>
      <c r="P187" s="941" t="s">
        <v>1295</v>
      </c>
    </row>
    <row r="188" spans="1:16">
      <c r="A188" s="937"/>
      <c r="B188" s="937" cm="1">
        <f t="array" ref="B188">IF(P188="","",_xlfn.XLOOKUP(P188&amp;"",'Units Data'!$I$6:$I$10000&amp;"",'Units Data'!$C$6:$C$10000,"غير موجود",0))</f>
        <v>102</v>
      </c>
      <c r="C188" s="937" t="str" cm="1">
        <f t="array" ref="C188">IF(P188="","",_xlfn.XLOOKUP(P188&amp;"",'Units Data'!$I$6:$I$10000&amp;"",'Units Data'!$B$6:$B$10000,"غير موجود",0))</f>
        <v>S1</v>
      </c>
      <c r="D188" s="940">
        <v>39202419</v>
      </c>
      <c r="E188" s="941" t="s">
        <v>1076</v>
      </c>
      <c r="F188" s="941" t="s">
        <v>1077</v>
      </c>
      <c r="G188" s="941" t="s">
        <v>1078</v>
      </c>
      <c r="H188" s="941" t="s">
        <v>1079</v>
      </c>
      <c r="I188" s="941">
        <v>2100</v>
      </c>
      <c r="J188" s="944">
        <v>46142</v>
      </c>
      <c r="K188" s="944">
        <v>46140</v>
      </c>
      <c r="L188" s="941" t="s">
        <v>1291</v>
      </c>
      <c r="M188" s="941"/>
      <c r="N188" s="941" t="s">
        <v>1294</v>
      </c>
      <c r="O188" s="941" t="s">
        <v>1095</v>
      </c>
      <c r="P188" s="941" t="s">
        <v>1295</v>
      </c>
    </row>
    <row r="189" spans="1:16">
      <c r="A189" s="937"/>
      <c r="B189" s="937" cm="1">
        <f t="array" ref="B189">IF(P189="","",_xlfn.XLOOKUP(P189&amp;"",'Units Data'!$I$6:$I$10000&amp;"",'Units Data'!$C$6:$C$10000,"غير موجود",0))</f>
        <v>102</v>
      </c>
      <c r="C189" s="937" t="str" cm="1">
        <f t="array" ref="C189">IF(P189="","",_xlfn.XLOOKUP(P189&amp;"",'Units Data'!$I$6:$I$10000&amp;"",'Units Data'!$B$6:$B$10000,"غير موجود",0))</f>
        <v>F4</v>
      </c>
      <c r="D189" s="940">
        <v>39150521</v>
      </c>
      <c r="E189" s="941" t="s">
        <v>1076</v>
      </c>
      <c r="F189" s="941" t="s">
        <v>1077</v>
      </c>
      <c r="G189" s="941" t="s">
        <v>1078</v>
      </c>
      <c r="H189" s="941" t="s">
        <v>1083</v>
      </c>
      <c r="I189" s="941">
        <v>3400</v>
      </c>
      <c r="J189" s="944">
        <v>46141</v>
      </c>
      <c r="K189" s="944">
        <v>46139</v>
      </c>
      <c r="L189" s="941" t="s">
        <v>1296</v>
      </c>
      <c r="M189" s="941"/>
      <c r="N189" s="941" t="s">
        <v>1297</v>
      </c>
      <c r="O189" s="941" t="s">
        <v>1095</v>
      </c>
      <c r="P189" s="941" t="s">
        <v>1298</v>
      </c>
    </row>
    <row r="190" spans="1:16">
      <c r="A190" s="937"/>
      <c r="B190" s="937" t="str" cm="1">
        <f t="array" ref="B190">IF(P190="","",_xlfn.XLOOKUP(P190&amp;"",'Units Data'!$I$6:$I$10000&amp;"",'Units Data'!$C$6:$C$10000,"غير موجود",0))</f>
        <v>غير موجود</v>
      </c>
      <c r="C190" s="937" t="str" cm="1">
        <f t="array" ref="C190">IF(P190="","",_xlfn.XLOOKUP(P190&amp;"",'Units Data'!$I$6:$I$10000&amp;"",'Units Data'!$B$6:$B$10000,"غير موجود",0))</f>
        <v>غير موجود</v>
      </c>
      <c r="D190" s="940">
        <v>39142464</v>
      </c>
      <c r="E190" s="941" t="s">
        <v>1076</v>
      </c>
      <c r="F190" s="941" t="s">
        <v>1077</v>
      </c>
      <c r="G190" s="941" t="s">
        <v>1078</v>
      </c>
      <c r="H190" s="941" t="s">
        <v>1083</v>
      </c>
      <c r="I190" s="941">
        <v>2000</v>
      </c>
      <c r="J190" s="944">
        <v>46141</v>
      </c>
      <c r="K190" s="944">
        <v>46139</v>
      </c>
      <c r="L190" s="941" t="s">
        <v>1299</v>
      </c>
      <c r="M190" s="941"/>
      <c r="N190" s="941" t="s">
        <v>1300</v>
      </c>
      <c r="O190" s="941" t="s">
        <v>1118</v>
      </c>
      <c r="P190" s="941" t="s">
        <v>1301</v>
      </c>
    </row>
    <row r="191" spans="1:16">
      <c r="A191" s="937"/>
      <c r="B191" s="937" t="str" cm="1">
        <f t="array" ref="B191">IF(P191="","",_xlfn.XLOOKUP(P191&amp;"",'Units Data'!$I$6:$I$10000&amp;"",'Units Data'!$C$6:$C$10000,"غير موجود",0))</f>
        <v>غير موجود</v>
      </c>
      <c r="C191" s="937" t="str" cm="1">
        <f t="array" ref="C191">IF(P191="","",_xlfn.XLOOKUP(P191&amp;"",'Units Data'!$I$6:$I$10000&amp;"",'Units Data'!$B$6:$B$10000,"غير موجود",0))</f>
        <v>غير موجود</v>
      </c>
      <c r="D191" s="940">
        <v>39064419</v>
      </c>
      <c r="E191" s="941" t="s">
        <v>1076</v>
      </c>
      <c r="F191" s="941" t="s">
        <v>1077</v>
      </c>
      <c r="G191" s="941" t="s">
        <v>1078</v>
      </c>
      <c r="H191" s="941" t="s">
        <v>1083</v>
      </c>
      <c r="I191" s="941">
        <v>3000</v>
      </c>
      <c r="J191" s="944">
        <v>46141</v>
      </c>
      <c r="K191" s="944">
        <v>46139</v>
      </c>
      <c r="L191" s="941" t="s">
        <v>1179</v>
      </c>
      <c r="M191" s="941"/>
      <c r="N191" s="941" t="s">
        <v>1240</v>
      </c>
      <c r="O191" s="941" t="s">
        <v>1161</v>
      </c>
      <c r="P191" s="941" t="s">
        <v>1181</v>
      </c>
    </row>
    <row r="192" spans="1:16">
      <c r="A192" s="937"/>
      <c r="B192" s="937" cm="1">
        <f t="array" ref="B192">IF(P192="","",_xlfn.XLOOKUP(P192&amp;"",'Units Data'!$I$6:$I$10000&amp;"",'Units Data'!$C$6:$C$10000,"غير موجود",0))</f>
        <v>102</v>
      </c>
      <c r="C192" s="937" t="str" cm="1">
        <f t="array" ref="C192">IF(P192="","",_xlfn.XLOOKUP(P192&amp;"",'Units Data'!$I$6:$I$10000&amp;"",'Units Data'!$B$6:$B$10000,"غير موجود",0))</f>
        <v>F2</v>
      </c>
      <c r="D192" s="940">
        <v>39057961</v>
      </c>
      <c r="E192" s="941" t="s">
        <v>1076</v>
      </c>
      <c r="F192" s="941" t="s">
        <v>1077</v>
      </c>
      <c r="G192" s="941" t="s">
        <v>1078</v>
      </c>
      <c r="H192" s="941" t="s">
        <v>1079</v>
      </c>
      <c r="I192" s="941">
        <v>3375</v>
      </c>
      <c r="J192" s="944">
        <v>46139</v>
      </c>
      <c r="K192" s="944">
        <v>46138</v>
      </c>
      <c r="L192" s="941" t="s">
        <v>1039</v>
      </c>
      <c r="M192" s="941"/>
      <c r="N192" s="941" t="s">
        <v>1302</v>
      </c>
      <c r="O192" s="941" t="s">
        <v>1081</v>
      </c>
      <c r="P192" s="941" t="s">
        <v>1303</v>
      </c>
    </row>
    <row r="193" spans="1:16">
      <c r="A193" s="937"/>
      <c r="B193" s="937" t="str" cm="1">
        <f t="array" ref="B193">IF(P193="","",_xlfn.XLOOKUP(P193&amp;"",'Units Data'!$I$6:$I$10000&amp;"",'Units Data'!$C$6:$C$10000,"غير موجود",0))</f>
        <v>غير موجود</v>
      </c>
      <c r="C193" s="937" t="str" cm="1">
        <f t="array" ref="C193">IF(P193="","",_xlfn.XLOOKUP(P193&amp;"",'Units Data'!$I$6:$I$10000&amp;"",'Units Data'!$B$6:$B$10000,"غير موجود",0))</f>
        <v>غير موجود</v>
      </c>
      <c r="D193" s="940">
        <v>38984175</v>
      </c>
      <c r="E193" s="941" t="s">
        <v>1076</v>
      </c>
      <c r="F193" s="941" t="s">
        <v>1077</v>
      </c>
      <c r="G193" s="941" t="s">
        <v>1078</v>
      </c>
      <c r="H193" s="941" t="s">
        <v>1083</v>
      </c>
      <c r="I193" s="941">
        <v>1000</v>
      </c>
      <c r="J193" s="944">
        <v>46139</v>
      </c>
      <c r="K193" s="944">
        <v>46135</v>
      </c>
      <c r="L193" s="941" t="s">
        <v>1153</v>
      </c>
      <c r="M193" s="941"/>
      <c r="N193" s="941" t="s">
        <v>1154</v>
      </c>
      <c r="O193" s="941" t="s">
        <v>1122</v>
      </c>
      <c r="P193" s="941" t="s">
        <v>1155</v>
      </c>
    </row>
    <row r="194" spans="1:16">
      <c r="A194" s="937"/>
      <c r="B194" s="937" t="str" cm="1">
        <f t="array" ref="B194">IF(P194="","",_xlfn.XLOOKUP(P194&amp;"",'Units Data'!$I$6:$I$10000&amp;"",'Units Data'!$C$6:$C$10000,"غير موجود",0))</f>
        <v>غير موجود</v>
      </c>
      <c r="C194" s="937" t="str" cm="1">
        <f t="array" ref="C194">IF(P194="","",_xlfn.XLOOKUP(P194&amp;"",'Units Data'!$I$6:$I$10000&amp;"",'Units Data'!$B$6:$B$10000,"غير موجود",0))</f>
        <v>غير موجود</v>
      </c>
      <c r="D194" s="940">
        <v>38949776</v>
      </c>
      <c r="E194" s="941" t="s">
        <v>1076</v>
      </c>
      <c r="F194" s="941" t="s">
        <v>1077</v>
      </c>
      <c r="G194" s="941" t="s">
        <v>1078</v>
      </c>
      <c r="H194" s="941" t="s">
        <v>1083</v>
      </c>
      <c r="I194" s="941">
        <v>1000</v>
      </c>
      <c r="J194" s="944">
        <v>46137</v>
      </c>
      <c r="K194" s="944">
        <v>46134</v>
      </c>
      <c r="L194" s="941" t="s">
        <v>1304</v>
      </c>
      <c r="M194" s="941"/>
      <c r="N194" s="941" t="s">
        <v>1305</v>
      </c>
      <c r="O194" s="941" t="s">
        <v>1122</v>
      </c>
      <c r="P194" s="941" t="s">
        <v>1306</v>
      </c>
    </row>
    <row r="195" spans="1:16">
      <c r="A195" s="937"/>
      <c r="B195" s="937" cm="1">
        <f t="array" ref="B195">IF(P195="","",_xlfn.XLOOKUP(P195&amp;"",'Units Data'!$I$6:$I$10000&amp;"",'Units Data'!$C$6:$C$10000,"غير موجود",0))</f>
        <v>102</v>
      </c>
      <c r="C195" s="937" t="str" cm="1">
        <f t="array" ref="C195">IF(P195="","",_xlfn.XLOOKUP(P195&amp;"",'Units Data'!$I$6:$I$10000&amp;"",'Units Data'!$B$6:$B$10000,"غير موجود",0))</f>
        <v>S7</v>
      </c>
      <c r="D195" s="940">
        <v>38729730</v>
      </c>
      <c r="E195" s="941" t="s">
        <v>1076</v>
      </c>
      <c r="F195" s="941" t="s">
        <v>1077</v>
      </c>
      <c r="G195" s="941" t="s">
        <v>1078</v>
      </c>
      <c r="H195" s="941" t="s">
        <v>1083</v>
      </c>
      <c r="I195" s="941">
        <v>4000</v>
      </c>
      <c r="J195" s="944">
        <v>46128</v>
      </c>
      <c r="K195" s="944">
        <v>46126</v>
      </c>
      <c r="L195" s="941" t="s">
        <v>1028</v>
      </c>
      <c r="M195" s="941"/>
      <c r="N195" s="941" t="s">
        <v>1267</v>
      </c>
      <c r="O195" s="941" t="s">
        <v>1095</v>
      </c>
      <c r="P195" s="941" t="s">
        <v>1268</v>
      </c>
    </row>
    <row r="196" spans="1:16">
      <c r="A196" s="937"/>
      <c r="B196" s="937" t="str" cm="1">
        <f t="array" ref="B196">IF(P196="","",_xlfn.XLOOKUP(P196&amp;"",'Units Data'!$I$6:$I$10000&amp;"",'Units Data'!$C$6:$C$10000,"غير موجود",0))</f>
        <v>غير موجود</v>
      </c>
      <c r="C196" s="937" t="str" cm="1">
        <f t="array" ref="C196">IF(P196="","",_xlfn.XLOOKUP(P196&amp;"",'Units Data'!$I$6:$I$10000&amp;"",'Units Data'!$B$6:$B$10000,"غير موجود",0))</f>
        <v>غير موجود</v>
      </c>
      <c r="D196" s="940">
        <v>38727561</v>
      </c>
      <c r="E196" s="941" t="s">
        <v>1076</v>
      </c>
      <c r="F196" s="941" t="s">
        <v>1077</v>
      </c>
      <c r="G196" s="941" t="s">
        <v>1078</v>
      </c>
      <c r="H196" s="941" t="s">
        <v>1083</v>
      </c>
      <c r="I196" s="941">
        <v>1000</v>
      </c>
      <c r="J196" s="944">
        <v>46128</v>
      </c>
      <c r="K196" s="944">
        <v>46126</v>
      </c>
      <c r="L196" s="941" t="s">
        <v>1120</v>
      </c>
      <c r="M196" s="941"/>
      <c r="N196" s="941" t="s">
        <v>1121</v>
      </c>
      <c r="O196" s="941" t="s">
        <v>1122</v>
      </c>
      <c r="P196" s="941" t="s">
        <v>1123</v>
      </c>
    </row>
    <row r="197" spans="1:16">
      <c r="A197" s="937"/>
      <c r="B197" s="937" t="str" cm="1">
        <f t="array" ref="B197">IF(P197="","",_xlfn.XLOOKUP(P197&amp;"",'Units Data'!$I$6:$I$10000&amp;"",'Units Data'!$C$6:$C$10000,"غير موجود",0))</f>
        <v>غير موجود</v>
      </c>
      <c r="C197" s="937" t="str" cm="1">
        <f t="array" ref="C197">IF(P197="","",_xlfn.XLOOKUP(P197&amp;"",'Units Data'!$I$6:$I$10000&amp;"",'Units Data'!$B$6:$B$10000,"غير موجود",0))</f>
        <v>غير موجود</v>
      </c>
      <c r="D197" s="940">
        <v>38697753</v>
      </c>
      <c r="E197" s="941" t="s">
        <v>1076</v>
      </c>
      <c r="F197" s="941" t="s">
        <v>1077</v>
      </c>
      <c r="G197" s="941" t="s">
        <v>1078</v>
      </c>
      <c r="H197" s="941" t="s">
        <v>1079</v>
      </c>
      <c r="I197" s="941">
        <v>4500</v>
      </c>
      <c r="J197" s="944">
        <v>46126</v>
      </c>
      <c r="K197" s="944">
        <v>46125</v>
      </c>
      <c r="L197" s="941" t="s">
        <v>1276</v>
      </c>
      <c r="M197" s="941"/>
      <c r="N197" s="941" t="s">
        <v>1277</v>
      </c>
      <c r="O197" s="941" t="s">
        <v>1111</v>
      </c>
      <c r="P197" s="941" t="s">
        <v>1278</v>
      </c>
    </row>
    <row r="198" spans="1:16">
      <c r="A198" s="937"/>
      <c r="B198" s="937" t="str" cm="1">
        <f t="array" ref="B198">IF(P198="","",_xlfn.XLOOKUP(P198&amp;"",'Units Data'!$I$6:$I$10000&amp;"",'Units Data'!$C$6:$C$10000,"غير موجود",0))</f>
        <v>غير موجود</v>
      </c>
      <c r="C198" s="937" t="str" cm="1">
        <f t="array" ref="C198">IF(P198="","",_xlfn.XLOOKUP(P198&amp;"",'Units Data'!$I$6:$I$10000&amp;"",'Units Data'!$B$6:$B$10000,"غير موجود",0))</f>
        <v>غير موجود</v>
      </c>
      <c r="D198" s="940">
        <v>38608083</v>
      </c>
      <c r="E198" s="941" t="s">
        <v>1076</v>
      </c>
      <c r="F198" s="941" t="s">
        <v>1077</v>
      </c>
      <c r="G198" s="941" t="s">
        <v>1078</v>
      </c>
      <c r="H198" s="941" t="s">
        <v>1083</v>
      </c>
      <c r="I198" s="941">
        <v>2875</v>
      </c>
      <c r="J198" s="944">
        <v>46125</v>
      </c>
      <c r="K198" s="944">
        <v>46122</v>
      </c>
      <c r="L198" s="941" t="s">
        <v>1205</v>
      </c>
      <c r="M198" s="941"/>
      <c r="N198" s="941" t="s">
        <v>1206</v>
      </c>
      <c r="O198" s="941" t="s">
        <v>1161</v>
      </c>
      <c r="P198" s="941" t="s">
        <v>1207</v>
      </c>
    </row>
    <row r="199" spans="1:16">
      <c r="A199" s="937"/>
      <c r="B199" s="937" cm="1">
        <f t="array" ref="B199">IF(P199="","",_xlfn.XLOOKUP(P199&amp;"",'Units Data'!$I$6:$I$10000&amp;"",'Units Data'!$C$6:$C$10000,"غير موجود",0))</f>
        <v>102</v>
      </c>
      <c r="C199" s="937" t="str" cm="1">
        <f t="array" ref="C199">IF(P199="","",_xlfn.XLOOKUP(P199&amp;"",'Units Data'!$I$6:$I$10000&amp;"",'Units Data'!$B$6:$B$10000,"غير موجود",0))</f>
        <v>F5</v>
      </c>
      <c r="D199" s="940">
        <v>38503813</v>
      </c>
      <c r="E199" s="941" t="s">
        <v>1076</v>
      </c>
      <c r="F199" s="941" t="s">
        <v>1077</v>
      </c>
      <c r="G199" s="941" t="s">
        <v>1078</v>
      </c>
      <c r="H199" s="941" t="s">
        <v>1079</v>
      </c>
      <c r="I199" s="941">
        <v>4000</v>
      </c>
      <c r="J199" s="944">
        <v>46120</v>
      </c>
      <c r="K199" s="944">
        <v>46119</v>
      </c>
      <c r="L199" s="941" t="s">
        <v>1104</v>
      </c>
      <c r="M199" s="941"/>
      <c r="N199" s="941" t="s">
        <v>1266</v>
      </c>
      <c r="O199" s="941" t="s">
        <v>1081</v>
      </c>
      <c r="P199" s="941" t="s">
        <v>1139</v>
      </c>
    </row>
    <row r="200" spans="1:16">
      <c r="A200" s="937"/>
      <c r="B200" s="937" t="str" cm="1">
        <f t="array" ref="B200">IF(P200="","",_xlfn.XLOOKUP(P200&amp;"",'Units Data'!$I$6:$I$10000&amp;"",'Units Data'!$C$6:$C$10000,"غير موجود",0))</f>
        <v>غير موجود</v>
      </c>
      <c r="C200" s="937" t="str" cm="1">
        <f t="array" ref="C200">IF(P200="","",_xlfn.XLOOKUP(P200&amp;"",'Units Data'!$I$6:$I$10000&amp;"",'Units Data'!$B$6:$B$10000,"غير موجود",0))</f>
        <v>غير موجود</v>
      </c>
      <c r="D200" s="940">
        <v>38501821</v>
      </c>
      <c r="E200" s="941" t="s">
        <v>1076</v>
      </c>
      <c r="F200" s="941" t="s">
        <v>1077</v>
      </c>
      <c r="G200" s="941" t="s">
        <v>1078</v>
      </c>
      <c r="H200" s="941" t="s">
        <v>1083</v>
      </c>
      <c r="I200" s="941">
        <v>1000</v>
      </c>
      <c r="J200" s="944">
        <v>46121</v>
      </c>
      <c r="K200" s="944">
        <v>46119</v>
      </c>
      <c r="L200" s="941" t="s">
        <v>1227</v>
      </c>
      <c r="M200" s="941"/>
      <c r="N200" s="941" t="s">
        <v>1228</v>
      </c>
      <c r="O200" s="941" t="s">
        <v>1122</v>
      </c>
      <c r="P200" s="941" t="s">
        <v>1229</v>
      </c>
    </row>
    <row r="201" spans="1:16">
      <c r="A201" s="937"/>
      <c r="B201" s="937" t="str" cm="1">
        <f t="array" ref="B201">IF(P201="","",_xlfn.XLOOKUP(P201&amp;"",'Units Data'!$I$6:$I$10000&amp;"",'Units Data'!$C$6:$C$10000,"غير موجود",0))</f>
        <v>غير موجود</v>
      </c>
      <c r="C201" s="937" t="str" cm="1">
        <f t="array" ref="C201">IF(P201="","",_xlfn.XLOOKUP(P201&amp;"",'Units Data'!$I$6:$I$10000&amp;"",'Units Data'!$B$6:$B$10000,"غير موجود",0))</f>
        <v>غير موجود</v>
      </c>
      <c r="D201" s="940">
        <v>38501780</v>
      </c>
      <c r="E201" s="941" t="s">
        <v>1076</v>
      </c>
      <c r="F201" s="941" t="s">
        <v>1077</v>
      </c>
      <c r="G201" s="941" t="s">
        <v>1078</v>
      </c>
      <c r="H201" s="941" t="s">
        <v>1083</v>
      </c>
      <c r="I201" s="941">
        <v>1000</v>
      </c>
      <c r="J201" s="944">
        <v>46121</v>
      </c>
      <c r="K201" s="944">
        <v>46119</v>
      </c>
      <c r="L201" s="941" t="s">
        <v>1304</v>
      </c>
      <c r="M201" s="941"/>
      <c r="N201" s="941" t="s">
        <v>1305</v>
      </c>
      <c r="O201" s="941" t="s">
        <v>1122</v>
      </c>
      <c r="P201" s="941" t="s">
        <v>1306</v>
      </c>
    </row>
    <row r="202" spans="1:16">
      <c r="A202" s="937"/>
      <c r="B202" s="937" cm="1">
        <f t="array" ref="B202">IF(P202="","",_xlfn.XLOOKUP(P202&amp;"",'Units Data'!$I$6:$I$10000&amp;"",'Units Data'!$C$6:$C$10000,"غير موجود",0))</f>
        <v>102</v>
      </c>
      <c r="C202" s="937" t="str" cm="1">
        <f t="array" ref="C202">IF(P202="","",_xlfn.XLOOKUP(P202&amp;"",'Units Data'!$I$6:$I$10000&amp;"",'Units Data'!$B$6:$B$10000,"غير موجود",0))</f>
        <v>F8</v>
      </c>
      <c r="D202" s="940">
        <v>38495730</v>
      </c>
      <c r="E202" s="941" t="s">
        <v>1076</v>
      </c>
      <c r="F202" s="941" t="s">
        <v>1077</v>
      </c>
      <c r="G202" s="941" t="s">
        <v>1078</v>
      </c>
      <c r="H202" s="941" t="s">
        <v>1083</v>
      </c>
      <c r="I202" s="941">
        <v>3500</v>
      </c>
      <c r="J202" s="944">
        <v>46121</v>
      </c>
      <c r="K202" s="944">
        <v>46119</v>
      </c>
      <c r="L202" s="941" t="s">
        <v>1043</v>
      </c>
      <c r="M202" s="941"/>
      <c r="N202" s="941" t="s">
        <v>1209</v>
      </c>
      <c r="O202" s="941" t="s">
        <v>1081</v>
      </c>
      <c r="P202" s="941" t="s">
        <v>1150</v>
      </c>
    </row>
    <row r="203" spans="1:16">
      <c r="A203" s="937"/>
      <c r="B203" s="937" t="str" cm="1">
        <f t="array" ref="B203">IF(P203="","",_xlfn.XLOOKUP(P203&amp;"",'Units Data'!$I$6:$I$10000&amp;"",'Units Data'!$C$6:$C$10000,"غير موجود",0))</f>
        <v>غير موجود</v>
      </c>
      <c r="C203" s="937" t="str" cm="1">
        <f t="array" ref="C203">IF(P203="","",_xlfn.XLOOKUP(P203&amp;"",'Units Data'!$I$6:$I$10000&amp;"",'Units Data'!$B$6:$B$10000,"غير موجود",0))</f>
        <v>غير موجود</v>
      </c>
      <c r="D203" s="940">
        <v>38494807</v>
      </c>
      <c r="E203" s="941" t="s">
        <v>1076</v>
      </c>
      <c r="F203" s="941" t="s">
        <v>1077</v>
      </c>
      <c r="G203" s="941" t="s">
        <v>1078</v>
      </c>
      <c r="H203" s="941" t="s">
        <v>1083</v>
      </c>
      <c r="I203" s="941">
        <v>1000</v>
      </c>
      <c r="J203" s="944">
        <v>46121</v>
      </c>
      <c r="K203" s="944">
        <v>46119</v>
      </c>
      <c r="L203" s="941" t="s">
        <v>1263</v>
      </c>
      <c r="M203" s="941"/>
      <c r="N203" s="941" t="s">
        <v>1264</v>
      </c>
      <c r="O203" s="941" t="s">
        <v>1122</v>
      </c>
      <c r="P203" s="941" t="s">
        <v>1265</v>
      </c>
    </row>
    <row r="204" spans="1:16">
      <c r="A204" s="937"/>
      <c r="B204" s="937" t="str" cm="1">
        <f t="array" ref="B204">IF(P204="","",_xlfn.XLOOKUP(P204&amp;"",'Units Data'!$I$6:$I$10000&amp;"",'Units Data'!$C$6:$C$10000,"غير موجود",0))</f>
        <v>غير موجود</v>
      </c>
      <c r="C204" s="937" t="str" cm="1">
        <f t="array" ref="C204">IF(P204="","",_xlfn.XLOOKUP(P204&amp;"",'Units Data'!$I$6:$I$10000&amp;"",'Units Data'!$B$6:$B$10000,"غير موجود",0))</f>
        <v>غير موجود</v>
      </c>
      <c r="D204" s="940">
        <v>38494700</v>
      </c>
      <c r="E204" s="941" t="s">
        <v>1076</v>
      </c>
      <c r="F204" s="941" t="s">
        <v>1077</v>
      </c>
      <c r="G204" s="941" t="s">
        <v>1078</v>
      </c>
      <c r="H204" s="941" t="s">
        <v>1083</v>
      </c>
      <c r="I204" s="941">
        <v>1000</v>
      </c>
      <c r="J204" s="944">
        <v>46121</v>
      </c>
      <c r="K204" s="944">
        <v>46119</v>
      </c>
      <c r="L204" s="941" t="s">
        <v>1153</v>
      </c>
      <c r="M204" s="941"/>
      <c r="N204" s="941" t="s">
        <v>1154</v>
      </c>
      <c r="O204" s="941" t="s">
        <v>1122</v>
      </c>
      <c r="P204" s="941" t="s">
        <v>1155</v>
      </c>
    </row>
    <row r="205" spans="1:16">
      <c r="A205" s="937"/>
      <c r="B205" s="937" cm="1">
        <f t="array" ref="B205">IF(P205="","",_xlfn.XLOOKUP(P205&amp;"",'Units Data'!$I$6:$I$10000&amp;"",'Units Data'!$C$6:$C$10000,"غير موجود",0))</f>
        <v>102</v>
      </c>
      <c r="C205" s="937" t="str" cm="1">
        <f t="array" ref="C205">IF(P205="","",_xlfn.XLOOKUP(P205&amp;"",'Units Data'!$I$6:$I$10000&amp;"",'Units Data'!$B$6:$B$10000,"غير موجود",0))</f>
        <v>S5</v>
      </c>
      <c r="D205" s="940">
        <v>38493520</v>
      </c>
      <c r="E205" s="941" t="s">
        <v>1076</v>
      </c>
      <c r="F205" s="941" t="s">
        <v>1077</v>
      </c>
      <c r="G205" s="941" t="s">
        <v>1078</v>
      </c>
      <c r="H205" s="941" t="s">
        <v>1083</v>
      </c>
      <c r="I205" s="941">
        <v>3875</v>
      </c>
      <c r="J205" s="944">
        <v>46121</v>
      </c>
      <c r="K205" s="944">
        <v>46119</v>
      </c>
      <c r="L205" s="941" t="s">
        <v>1287</v>
      </c>
      <c r="M205" s="941"/>
      <c r="N205" s="941" t="s">
        <v>1288</v>
      </c>
      <c r="O205" s="941" t="s">
        <v>1095</v>
      </c>
      <c r="P205" s="941" t="s">
        <v>1289</v>
      </c>
    </row>
    <row r="206" spans="1:16">
      <c r="A206" s="937"/>
      <c r="B206" s="937" cm="1">
        <f t="array" ref="B206">IF(P206="","",_xlfn.XLOOKUP(P206&amp;"",'Units Data'!$I$6:$I$10000&amp;"",'Units Data'!$C$6:$C$10000,"غير موجود",0))</f>
        <v>102</v>
      </c>
      <c r="C206" s="937" t="str" cm="1">
        <f t="array" ref="C206">IF(P206="","",_xlfn.XLOOKUP(P206&amp;"",'Units Data'!$I$6:$I$10000&amp;"",'Units Data'!$B$6:$B$10000,"غير موجود",0))</f>
        <v>S4</v>
      </c>
      <c r="D206" s="940">
        <v>38467067</v>
      </c>
      <c r="E206" s="941" t="s">
        <v>1076</v>
      </c>
      <c r="F206" s="941" t="s">
        <v>1077</v>
      </c>
      <c r="G206" s="941" t="s">
        <v>1078</v>
      </c>
      <c r="H206" s="941" t="s">
        <v>1079</v>
      </c>
      <c r="I206" s="941">
        <v>3469</v>
      </c>
      <c r="J206" s="944">
        <v>46119</v>
      </c>
      <c r="K206" s="944">
        <v>46118</v>
      </c>
      <c r="L206" s="941" t="s">
        <v>1307</v>
      </c>
      <c r="M206" s="941"/>
      <c r="N206" s="941" t="s">
        <v>1308</v>
      </c>
      <c r="O206" s="941" t="s">
        <v>1095</v>
      </c>
      <c r="P206" s="941" t="s">
        <v>1309</v>
      </c>
    </row>
    <row r="207" spans="1:16">
      <c r="A207" s="937"/>
      <c r="B207" s="937" cm="1">
        <f t="array" ref="B207">IF(P207="","",_xlfn.XLOOKUP(P207&amp;"",'Units Data'!$I$6:$I$10000&amp;"",'Units Data'!$C$6:$C$10000,"غير موجود",0))</f>
        <v>102</v>
      </c>
      <c r="C207" s="937" t="str" cm="1">
        <f t="array" ref="C207">IF(P207="","",_xlfn.XLOOKUP(P207&amp;"",'Units Data'!$I$6:$I$10000&amp;"",'Units Data'!$B$6:$B$10000,"غير موجود",0))</f>
        <v>F1</v>
      </c>
      <c r="D207" s="940">
        <v>38427902</v>
      </c>
      <c r="E207" s="941" t="s">
        <v>1076</v>
      </c>
      <c r="F207" s="941" t="s">
        <v>1077</v>
      </c>
      <c r="G207" s="941" t="s">
        <v>1078</v>
      </c>
      <c r="H207" s="941" t="s">
        <v>1083</v>
      </c>
      <c r="I207" s="941">
        <v>3500</v>
      </c>
      <c r="J207" s="944">
        <v>46119</v>
      </c>
      <c r="K207" s="944">
        <v>46117</v>
      </c>
      <c r="L207" s="941" t="s">
        <v>81</v>
      </c>
      <c r="M207" s="941"/>
      <c r="N207" s="941" t="s">
        <v>1310</v>
      </c>
      <c r="O207" s="941" t="s">
        <v>1095</v>
      </c>
      <c r="P207" s="941" t="s">
        <v>1096</v>
      </c>
    </row>
    <row r="208" spans="1:16">
      <c r="A208" s="937"/>
      <c r="B208" s="937" t="str" cm="1">
        <f t="array" ref="B208">IF(P208="","",_xlfn.XLOOKUP(P208&amp;"",'Units Data'!$I$6:$I$10000&amp;"",'Units Data'!$C$6:$C$10000,"غير موجود",0))</f>
        <v>غير موجود</v>
      </c>
      <c r="C208" s="937" t="str" cm="1">
        <f t="array" ref="C208">IF(P208="","",_xlfn.XLOOKUP(P208&amp;"",'Units Data'!$I$6:$I$10000&amp;"",'Units Data'!$B$6:$B$10000,"غير موجود",0))</f>
        <v>غير موجود</v>
      </c>
      <c r="D208" s="940">
        <v>38383172</v>
      </c>
      <c r="E208" s="941" t="s">
        <v>1076</v>
      </c>
      <c r="F208" s="941" t="s">
        <v>1077</v>
      </c>
      <c r="G208" s="941" t="s">
        <v>1078</v>
      </c>
      <c r="H208" s="941" t="s">
        <v>1083</v>
      </c>
      <c r="I208" s="941">
        <v>1000</v>
      </c>
      <c r="J208" s="944">
        <v>46119</v>
      </c>
      <c r="K208" s="944">
        <v>46116</v>
      </c>
      <c r="L208" s="941" t="s">
        <v>1250</v>
      </c>
      <c r="M208" s="941"/>
      <c r="N208" s="941" t="s">
        <v>1251</v>
      </c>
      <c r="O208" s="941" t="s">
        <v>1122</v>
      </c>
      <c r="P208" s="941" t="s">
        <v>1252</v>
      </c>
    </row>
    <row r="209" spans="1:16">
      <c r="A209" s="937"/>
      <c r="B209" s="937" t="str" cm="1">
        <f t="array" ref="B209">IF(P209="","",_xlfn.XLOOKUP(P209&amp;"",'Units Data'!$I$6:$I$10000&amp;"",'Units Data'!$C$6:$C$10000,"غير موجود",0))</f>
        <v>غير موجود</v>
      </c>
      <c r="C209" s="937" t="str" cm="1">
        <f t="array" ref="C209">IF(P209="","",_xlfn.XLOOKUP(P209&amp;"",'Units Data'!$I$6:$I$10000&amp;"",'Units Data'!$B$6:$B$10000,"غير موجود",0))</f>
        <v>غير موجود</v>
      </c>
      <c r="D209" s="940">
        <v>38137250</v>
      </c>
      <c r="E209" s="941" t="s">
        <v>1076</v>
      </c>
      <c r="F209" s="941" t="s">
        <v>1077</v>
      </c>
      <c r="G209" s="941" t="s">
        <v>1078</v>
      </c>
      <c r="H209" s="941" t="s">
        <v>1079</v>
      </c>
      <c r="I209" s="941">
        <v>3000</v>
      </c>
      <c r="J209" s="944">
        <v>46117</v>
      </c>
      <c r="K209" s="944">
        <v>46113</v>
      </c>
      <c r="L209" s="941" t="s">
        <v>1284</v>
      </c>
      <c r="M209" s="941"/>
      <c r="N209" s="941" t="s">
        <v>1290</v>
      </c>
      <c r="O209" s="941" t="s">
        <v>1111</v>
      </c>
      <c r="P209" s="941" t="s">
        <v>1286</v>
      </c>
    </row>
    <row r="210" spans="1:16">
      <c r="A210" s="937"/>
      <c r="B210" s="937" t="str" cm="1">
        <f t="array" ref="B210">IF(P210="","",_xlfn.XLOOKUP(P210&amp;"",'Units Data'!$I$6:$I$10000&amp;"",'Units Data'!$C$6:$C$10000,"غير موجود",0))</f>
        <v>غير موجود</v>
      </c>
      <c r="C210" s="937" t="str" cm="1">
        <f t="array" ref="C210">IF(P210="","",_xlfn.XLOOKUP(P210&amp;"",'Units Data'!$I$6:$I$10000&amp;"",'Units Data'!$B$6:$B$10000,"غير موجود",0))</f>
        <v>غير موجود</v>
      </c>
      <c r="D210" s="940">
        <v>37978044</v>
      </c>
      <c r="E210" s="941" t="s">
        <v>1076</v>
      </c>
      <c r="F210" s="941" t="s">
        <v>1077</v>
      </c>
      <c r="G210" s="941" t="s">
        <v>1078</v>
      </c>
      <c r="H210" s="941" t="s">
        <v>1083</v>
      </c>
      <c r="I210" s="941">
        <v>1000</v>
      </c>
      <c r="J210" s="944">
        <v>46111</v>
      </c>
      <c r="K210" s="944">
        <v>46109</v>
      </c>
      <c r="L210" s="941" t="s">
        <v>1191</v>
      </c>
      <c r="M210" s="941"/>
      <c r="N210" s="941" t="s">
        <v>1192</v>
      </c>
      <c r="O210" s="941" t="s">
        <v>1122</v>
      </c>
      <c r="P210" s="941" t="s">
        <v>1193</v>
      </c>
    </row>
    <row r="211" spans="1:16">
      <c r="A211" s="937"/>
      <c r="B211" s="937" t="str" cm="1">
        <f t="array" ref="B211">IF(P211="","",_xlfn.XLOOKUP(P211&amp;"",'Units Data'!$I$6:$I$10000&amp;"",'Units Data'!$C$6:$C$10000,"غير موجود",0))</f>
        <v>غير موجود</v>
      </c>
      <c r="C211" s="937" t="str" cm="1">
        <f t="array" ref="C211">IF(P211="","",_xlfn.XLOOKUP(P211&amp;"",'Units Data'!$I$6:$I$10000&amp;"",'Units Data'!$B$6:$B$10000,"غير موجود",0))</f>
        <v>غير موجود</v>
      </c>
      <c r="D211" s="940">
        <v>37919632</v>
      </c>
      <c r="E211" s="941" t="s">
        <v>1076</v>
      </c>
      <c r="F211" s="941" t="s">
        <v>1077</v>
      </c>
      <c r="G211" s="941" t="s">
        <v>1078</v>
      </c>
      <c r="H211" s="941" t="s">
        <v>1083</v>
      </c>
      <c r="I211" s="941">
        <v>3000</v>
      </c>
      <c r="J211" s="944">
        <v>46111</v>
      </c>
      <c r="K211" s="944">
        <v>46108</v>
      </c>
      <c r="L211" s="941" t="s">
        <v>1159</v>
      </c>
      <c r="M211" s="941"/>
      <c r="N211" s="941" t="s">
        <v>1160</v>
      </c>
      <c r="O211" s="941" t="s">
        <v>1161</v>
      </c>
      <c r="P211" s="941" t="s">
        <v>1162</v>
      </c>
    </row>
    <row r="212" spans="1:16">
      <c r="A212" s="937"/>
      <c r="B212" s="937" cm="1">
        <f t="array" ref="B212">IF(P212="","",_xlfn.XLOOKUP(P212&amp;"",'Units Data'!$I$6:$I$10000&amp;"",'Units Data'!$C$6:$C$10000,"غير موجود",0))</f>
        <v>102</v>
      </c>
      <c r="C212" s="937" t="str" cm="1">
        <f t="array" ref="C212">IF(P212="","",_xlfn.XLOOKUP(P212&amp;"",'Units Data'!$I$6:$I$10000&amp;"",'Units Data'!$B$6:$B$10000,"غير موجود",0))</f>
        <v>F3</v>
      </c>
      <c r="D212" s="940">
        <v>37820762</v>
      </c>
      <c r="E212" s="941" t="s">
        <v>1076</v>
      </c>
      <c r="F212" s="941" t="s">
        <v>1077</v>
      </c>
      <c r="G212" s="941" t="s">
        <v>1078</v>
      </c>
      <c r="H212" s="941" t="s">
        <v>1079</v>
      </c>
      <c r="I212" s="941">
        <v>3500</v>
      </c>
      <c r="J212" s="944">
        <v>46108</v>
      </c>
      <c r="K212" s="944">
        <v>46106</v>
      </c>
      <c r="L212" s="941" t="s">
        <v>1040</v>
      </c>
      <c r="M212" s="941"/>
      <c r="N212" s="941" t="s">
        <v>1272</v>
      </c>
      <c r="O212" s="941" t="s">
        <v>1081</v>
      </c>
      <c r="P212" s="941" t="s">
        <v>1195</v>
      </c>
    </row>
    <row r="213" spans="1:16">
      <c r="A213" s="937"/>
      <c r="B213" s="937" cm="1">
        <f t="array" ref="B213">IF(P213="","",_xlfn.XLOOKUP(P213&amp;"",'Units Data'!$I$6:$I$10000&amp;"",'Units Data'!$C$6:$C$10000,"غير موجود",0))</f>
        <v>102</v>
      </c>
      <c r="C213" s="937" t="str" cm="1">
        <f t="array" ref="C213">IF(P213="","",_xlfn.XLOOKUP(P213&amp;"",'Units Data'!$I$6:$I$10000&amp;"",'Units Data'!$B$6:$B$10000,"غير موجود",0))</f>
        <v>F2</v>
      </c>
      <c r="D213" s="940">
        <v>37798726</v>
      </c>
      <c r="E213" s="941" t="s">
        <v>1076</v>
      </c>
      <c r="F213" s="941" t="s">
        <v>1077</v>
      </c>
      <c r="G213" s="941" t="s">
        <v>1078</v>
      </c>
      <c r="H213" s="941" t="s">
        <v>1079</v>
      </c>
      <c r="I213" s="941">
        <v>3500</v>
      </c>
      <c r="J213" s="944">
        <v>46106</v>
      </c>
      <c r="K213" s="944">
        <v>46104</v>
      </c>
      <c r="L213" s="941" t="s">
        <v>1039</v>
      </c>
      <c r="M213" s="941"/>
      <c r="N213" s="941" t="s">
        <v>1311</v>
      </c>
      <c r="O213" s="941" t="s">
        <v>1081</v>
      </c>
      <c r="P213" s="941" t="s">
        <v>1312</v>
      </c>
    </row>
    <row r="214" spans="1:16">
      <c r="A214" s="937"/>
      <c r="B214" s="937" t="str" cm="1">
        <f t="array" ref="B214">IF(P214="","",_xlfn.XLOOKUP(P214&amp;"",'Units Data'!$I$6:$I$10000&amp;"",'Units Data'!$C$6:$C$10000,"غير موجود",0))</f>
        <v>غير موجود</v>
      </c>
      <c r="C214" s="937" t="str" cm="1">
        <f t="array" ref="C214">IF(P214="","",_xlfn.XLOOKUP(P214&amp;"",'Units Data'!$I$6:$I$10000&amp;"",'Units Data'!$B$6:$B$10000,"غير موجود",0))</f>
        <v>غير موجود</v>
      </c>
      <c r="D214" s="940">
        <v>37763721</v>
      </c>
      <c r="E214" s="941" t="s">
        <v>1076</v>
      </c>
      <c r="F214" s="941" t="s">
        <v>1077</v>
      </c>
      <c r="G214" s="941" t="s">
        <v>1078</v>
      </c>
      <c r="H214" s="941" t="s">
        <v>1083</v>
      </c>
      <c r="I214" s="941">
        <v>1000</v>
      </c>
      <c r="J214" s="944">
        <v>46106</v>
      </c>
      <c r="K214" s="944">
        <v>46099</v>
      </c>
      <c r="L214" s="941" t="s">
        <v>1304</v>
      </c>
      <c r="M214" s="941"/>
      <c r="N214" s="941" t="s">
        <v>1305</v>
      </c>
      <c r="O214" s="941" t="s">
        <v>1122</v>
      </c>
      <c r="P214" s="941" t="s">
        <v>1306</v>
      </c>
    </row>
    <row r="215" spans="1:16">
      <c r="A215" s="937"/>
      <c r="B215" s="937" cm="1">
        <f t="array" ref="B215">IF(P215="","",_xlfn.XLOOKUP(P215&amp;"",'Units Data'!$I$6:$I$10000&amp;"",'Units Data'!$C$6:$C$10000,"غير موجود",0))</f>
        <v>102</v>
      </c>
      <c r="C215" s="937" t="str" cm="1">
        <f t="array" ref="C215">IF(P215="","",_xlfn.XLOOKUP(P215&amp;"",'Units Data'!$I$6:$I$10000&amp;"",'Units Data'!$B$6:$B$10000,"غير موجود",0))</f>
        <v>S2</v>
      </c>
      <c r="D215" s="940">
        <v>37666478</v>
      </c>
      <c r="E215" s="941" t="s">
        <v>1076</v>
      </c>
      <c r="F215" s="941" t="s">
        <v>1077</v>
      </c>
      <c r="G215" s="941" t="s">
        <v>1078</v>
      </c>
      <c r="H215" s="941" t="s">
        <v>1083</v>
      </c>
      <c r="I215" s="941">
        <v>4000</v>
      </c>
      <c r="J215" s="944">
        <v>46097</v>
      </c>
      <c r="K215" s="944">
        <v>46095</v>
      </c>
      <c r="L215" s="941" t="s">
        <v>1041</v>
      </c>
      <c r="M215" s="941"/>
      <c r="N215" s="941" t="s">
        <v>1313</v>
      </c>
      <c r="O215" s="941" t="s">
        <v>1081</v>
      </c>
      <c r="P215" s="941" t="s">
        <v>1314</v>
      </c>
    </row>
    <row r="216" spans="1:16">
      <c r="A216" s="937"/>
      <c r="B216" s="937" t="str" cm="1">
        <f t="array" ref="B216">IF(P216="","",_xlfn.XLOOKUP(P216&amp;"",'Units Data'!$I$6:$I$10000&amp;"",'Units Data'!$C$6:$C$10000,"غير موجود",0))</f>
        <v>غير موجود</v>
      </c>
      <c r="C216" s="937" t="str" cm="1">
        <f t="array" ref="C216">IF(P216="","",_xlfn.XLOOKUP(P216&amp;"",'Units Data'!$I$6:$I$10000&amp;"",'Units Data'!$B$6:$B$10000,"غير موجود",0))</f>
        <v>غير موجود</v>
      </c>
      <c r="D216" s="940">
        <v>37562892</v>
      </c>
      <c r="E216" s="941" t="s">
        <v>1076</v>
      </c>
      <c r="F216" s="941" t="s">
        <v>1077</v>
      </c>
      <c r="G216" s="941" t="s">
        <v>1078</v>
      </c>
      <c r="H216" s="941" t="s">
        <v>1083</v>
      </c>
      <c r="I216" s="941">
        <v>2875</v>
      </c>
      <c r="J216" s="944">
        <v>46093</v>
      </c>
      <c r="K216" s="944">
        <v>46091</v>
      </c>
      <c r="L216" s="941" t="s">
        <v>1205</v>
      </c>
      <c r="M216" s="941"/>
      <c r="N216" s="941" t="s">
        <v>1206</v>
      </c>
      <c r="O216" s="941" t="s">
        <v>1161</v>
      </c>
      <c r="P216" s="941" t="s">
        <v>1207</v>
      </c>
    </row>
    <row r="217" spans="1:16">
      <c r="A217" s="937"/>
      <c r="B217" s="937" cm="1">
        <f t="array" ref="B217">IF(P217="","",_xlfn.XLOOKUP(P217&amp;"",'Units Data'!$I$6:$I$10000&amp;"",'Units Data'!$C$6:$C$10000,"غير موجود",0))</f>
        <v>102</v>
      </c>
      <c r="C217" s="937" t="str" cm="1">
        <f t="array" ref="C217">IF(P217="","",_xlfn.XLOOKUP(P217&amp;"",'Units Data'!$I$6:$I$10000&amp;"",'Units Data'!$B$6:$B$10000,"غير موجود",0))</f>
        <v>S7</v>
      </c>
      <c r="D217" s="940">
        <v>37523873</v>
      </c>
      <c r="E217" s="941" t="s">
        <v>1076</v>
      </c>
      <c r="F217" s="941" t="s">
        <v>1077</v>
      </c>
      <c r="G217" s="941" t="s">
        <v>1078</v>
      </c>
      <c r="H217" s="941" t="s">
        <v>1079</v>
      </c>
      <c r="I217" s="941">
        <v>4000</v>
      </c>
      <c r="J217" s="944">
        <v>46091</v>
      </c>
      <c r="K217" s="944">
        <v>46090</v>
      </c>
      <c r="L217" s="941" t="s">
        <v>1315</v>
      </c>
      <c r="M217" s="941"/>
      <c r="N217" s="941" t="s">
        <v>1316</v>
      </c>
      <c r="O217" s="941" t="s">
        <v>1095</v>
      </c>
      <c r="P217" s="941" t="s">
        <v>1268</v>
      </c>
    </row>
    <row r="218" spans="1:16">
      <c r="A218" s="937"/>
      <c r="B218" s="937" t="str" cm="1">
        <f t="array" ref="B218">IF(P218="","",_xlfn.XLOOKUP(P218&amp;"",'Units Data'!$I$6:$I$10000&amp;"",'Units Data'!$C$6:$C$10000,"غير موجود",0))</f>
        <v>غير موجود</v>
      </c>
      <c r="C218" s="937" t="str" cm="1">
        <f t="array" ref="C218">IF(P218="","",_xlfn.XLOOKUP(P218&amp;"",'Units Data'!$I$6:$I$10000&amp;"",'Units Data'!$B$6:$B$10000,"غير موجود",0))</f>
        <v>غير موجود</v>
      </c>
      <c r="D218" s="940">
        <v>37507705</v>
      </c>
      <c r="E218" s="941" t="s">
        <v>1076</v>
      </c>
      <c r="F218" s="941" t="s">
        <v>1077</v>
      </c>
      <c r="G218" s="941" t="s">
        <v>1078</v>
      </c>
      <c r="H218" s="941" t="s">
        <v>1079</v>
      </c>
      <c r="I218" s="941">
        <v>4500</v>
      </c>
      <c r="J218" s="944">
        <v>46091</v>
      </c>
      <c r="K218" s="944">
        <v>46089</v>
      </c>
      <c r="L218" s="941" t="s">
        <v>1276</v>
      </c>
      <c r="M218" s="941"/>
      <c r="N218" s="941" t="s">
        <v>1277</v>
      </c>
      <c r="O218" s="941" t="s">
        <v>1111</v>
      </c>
      <c r="P218" s="941" t="s">
        <v>1278</v>
      </c>
    </row>
    <row r="219" spans="1:16">
      <c r="A219" s="937"/>
      <c r="B219" s="937" t="str" cm="1">
        <f t="array" ref="B219">IF(P219="","",_xlfn.XLOOKUP(P219&amp;"",'Units Data'!$I$6:$I$10000&amp;"",'Units Data'!$C$6:$C$10000,"غير موجود",0))</f>
        <v>غير موجود</v>
      </c>
      <c r="C219" s="937" t="str" cm="1">
        <f t="array" ref="C219">IF(P219="","",_xlfn.XLOOKUP(P219&amp;"",'Units Data'!$I$6:$I$10000&amp;"",'Units Data'!$B$6:$B$10000,"غير موجود",0))</f>
        <v>غير موجود</v>
      </c>
      <c r="D219" s="940">
        <v>37493630</v>
      </c>
      <c r="E219" s="941" t="s">
        <v>1076</v>
      </c>
      <c r="F219" s="941" t="s">
        <v>1077</v>
      </c>
      <c r="G219" s="941" t="s">
        <v>1078</v>
      </c>
      <c r="H219" s="941" t="s">
        <v>1083</v>
      </c>
      <c r="I219" s="941">
        <v>1000</v>
      </c>
      <c r="J219" s="944">
        <v>46091</v>
      </c>
      <c r="K219" s="944">
        <v>46089</v>
      </c>
      <c r="L219" s="941" t="s">
        <v>1304</v>
      </c>
      <c r="M219" s="941"/>
      <c r="N219" s="941" t="s">
        <v>1305</v>
      </c>
      <c r="O219" s="941" t="s">
        <v>1122</v>
      </c>
      <c r="P219" s="941" t="s">
        <v>1306</v>
      </c>
    </row>
    <row r="220" spans="1:16">
      <c r="A220" s="937"/>
      <c r="B220" s="937" t="str" cm="1">
        <f t="array" ref="B220">IF(P220="","",_xlfn.XLOOKUP(P220&amp;"",'Units Data'!$I$6:$I$10000&amp;"",'Units Data'!$C$6:$C$10000,"غير موجود",0))</f>
        <v>غير موجود</v>
      </c>
      <c r="C220" s="937" t="str" cm="1">
        <f t="array" ref="C220">IF(P220="","",_xlfn.XLOOKUP(P220&amp;"",'Units Data'!$I$6:$I$10000&amp;"",'Units Data'!$B$6:$B$10000,"غير موجود",0))</f>
        <v>غير موجود</v>
      </c>
      <c r="D220" s="940">
        <v>37465206</v>
      </c>
      <c r="E220" s="941" t="s">
        <v>1076</v>
      </c>
      <c r="F220" s="941" t="s">
        <v>1077</v>
      </c>
      <c r="G220" s="941" t="s">
        <v>1078</v>
      </c>
      <c r="H220" s="941" t="s">
        <v>1083</v>
      </c>
      <c r="I220" s="941">
        <v>1000</v>
      </c>
      <c r="J220" s="944">
        <v>46091</v>
      </c>
      <c r="K220" s="944">
        <v>46088</v>
      </c>
      <c r="L220" s="941" t="s">
        <v>1120</v>
      </c>
      <c r="M220" s="941"/>
      <c r="N220" s="941" t="s">
        <v>1121</v>
      </c>
      <c r="O220" s="941" t="s">
        <v>1122</v>
      </c>
      <c r="P220" s="941" t="s">
        <v>1123</v>
      </c>
    </row>
    <row r="221" spans="1:16">
      <c r="A221" s="937"/>
      <c r="B221" s="937" cm="1">
        <f t="array" ref="B221">IF(P221="","",_xlfn.XLOOKUP(P221&amp;"",'Units Data'!$I$6:$I$10000&amp;"",'Units Data'!$C$6:$C$10000,"غير موجود",0))</f>
        <v>102</v>
      </c>
      <c r="C221" s="937" t="str" cm="1">
        <f t="array" ref="C221">IF(P221="","",_xlfn.XLOOKUP(P221&amp;"",'Units Data'!$I$6:$I$10000&amp;"",'Units Data'!$B$6:$B$10000,"غير موجود",0))</f>
        <v>F1</v>
      </c>
      <c r="D221" s="940">
        <v>37424366</v>
      </c>
      <c r="E221" s="941" t="s">
        <v>1076</v>
      </c>
      <c r="F221" s="941" t="s">
        <v>1077</v>
      </c>
      <c r="G221" s="941" t="s">
        <v>1078</v>
      </c>
      <c r="H221" s="941" t="s">
        <v>1083</v>
      </c>
      <c r="I221" s="941">
        <v>3500</v>
      </c>
      <c r="J221" s="944">
        <v>46091</v>
      </c>
      <c r="K221" s="944">
        <v>46086</v>
      </c>
      <c r="L221" s="941" t="s">
        <v>81</v>
      </c>
      <c r="M221" s="941"/>
      <c r="N221" s="941" t="s">
        <v>1310</v>
      </c>
      <c r="O221" s="941" t="s">
        <v>1095</v>
      </c>
      <c r="P221" s="941" t="s">
        <v>1096</v>
      </c>
    </row>
    <row r="222" spans="1:16">
      <c r="A222" s="937"/>
      <c r="B222" s="937" t="str" cm="1">
        <f t="array" ref="B222">IF(P222="","",_xlfn.XLOOKUP(P222&amp;"",'Units Data'!$I$6:$I$10000&amp;"",'Units Data'!$C$6:$C$10000,"غير موجود",0))</f>
        <v>غير موجود</v>
      </c>
      <c r="C222" s="937" t="str" cm="1">
        <f t="array" ref="C222">IF(P222="","",_xlfn.XLOOKUP(P222&amp;"",'Units Data'!$I$6:$I$10000&amp;"",'Units Data'!$B$6:$B$10000,"غير موجود",0))</f>
        <v>غير موجود</v>
      </c>
      <c r="D222" s="940">
        <v>37422347</v>
      </c>
      <c r="E222" s="941" t="s">
        <v>1076</v>
      </c>
      <c r="F222" s="941" t="s">
        <v>1077</v>
      </c>
      <c r="G222" s="941" t="s">
        <v>1078</v>
      </c>
      <c r="H222" s="941" t="s">
        <v>1079</v>
      </c>
      <c r="I222" s="941">
        <v>1000</v>
      </c>
      <c r="J222" s="944">
        <v>46088</v>
      </c>
      <c r="K222" s="944">
        <v>46086</v>
      </c>
      <c r="L222" s="941" t="s">
        <v>1196</v>
      </c>
      <c r="M222" s="941"/>
      <c r="N222" s="941" t="s">
        <v>1253</v>
      </c>
      <c r="O222" s="941" t="s">
        <v>1118</v>
      </c>
      <c r="P222" s="941" t="s">
        <v>1198</v>
      </c>
    </row>
    <row r="223" spans="1:16">
      <c r="A223" s="937"/>
      <c r="B223" s="937" t="str" cm="1">
        <f t="array" ref="B223">IF(P223="","",_xlfn.XLOOKUP(P223&amp;"",'Units Data'!$I$6:$I$10000&amp;"",'Units Data'!$C$6:$C$10000,"غير موجود",0))</f>
        <v>غير موجود</v>
      </c>
      <c r="C223" s="937" t="str" cm="1">
        <f t="array" ref="C223">IF(P223="","",_xlfn.XLOOKUP(P223&amp;"",'Units Data'!$I$6:$I$10000&amp;"",'Units Data'!$B$6:$B$10000,"غير موجود",0))</f>
        <v>غير موجود</v>
      </c>
      <c r="D223" s="940">
        <v>37411417</v>
      </c>
      <c r="E223" s="941" t="s">
        <v>1076</v>
      </c>
      <c r="F223" s="941" t="s">
        <v>1077</v>
      </c>
      <c r="G223" s="941" t="s">
        <v>1078</v>
      </c>
      <c r="H223" s="941" t="s">
        <v>1083</v>
      </c>
      <c r="I223" s="941">
        <v>1000</v>
      </c>
      <c r="J223" s="944">
        <v>46091</v>
      </c>
      <c r="K223" s="944">
        <v>46086</v>
      </c>
      <c r="L223" s="941" t="s">
        <v>1299</v>
      </c>
      <c r="M223" s="941"/>
      <c r="N223" s="941" t="s">
        <v>1300</v>
      </c>
      <c r="O223" s="941" t="s">
        <v>1118</v>
      </c>
      <c r="P223" s="941" t="s">
        <v>1301</v>
      </c>
    </row>
    <row r="224" spans="1:16">
      <c r="A224" s="937"/>
      <c r="B224" s="937" t="str" cm="1">
        <f t="array" ref="B224">IF(P224="","",_xlfn.XLOOKUP(P224&amp;"",'Units Data'!$I$6:$I$10000&amp;"",'Units Data'!$C$6:$C$10000,"غير موجود",0))</f>
        <v>غير موجود</v>
      </c>
      <c r="C224" s="937" t="str" cm="1">
        <f t="array" ref="C224">IF(P224="","",_xlfn.XLOOKUP(P224&amp;"",'Units Data'!$I$6:$I$10000&amp;"",'Units Data'!$B$6:$B$10000,"غير موجود",0))</f>
        <v>غير موجود</v>
      </c>
      <c r="D224" s="940">
        <v>37411394</v>
      </c>
      <c r="E224" s="941" t="s">
        <v>1076</v>
      </c>
      <c r="F224" s="941" t="s">
        <v>1077</v>
      </c>
      <c r="G224" s="941" t="s">
        <v>1078</v>
      </c>
      <c r="H224" s="941" t="s">
        <v>1083</v>
      </c>
      <c r="I224" s="941">
        <v>1000</v>
      </c>
      <c r="J224" s="944">
        <v>46091</v>
      </c>
      <c r="K224" s="944">
        <v>46086</v>
      </c>
      <c r="L224" s="941" t="s">
        <v>1153</v>
      </c>
      <c r="M224" s="941"/>
      <c r="N224" s="941" t="s">
        <v>1154</v>
      </c>
      <c r="O224" s="941" t="s">
        <v>1122</v>
      </c>
      <c r="P224" s="941" t="s">
        <v>1155</v>
      </c>
    </row>
    <row r="225" spans="1:16">
      <c r="A225" s="937"/>
      <c r="B225" s="937" t="str" cm="1">
        <f t="array" ref="B225">IF(P225="","",_xlfn.XLOOKUP(P225&amp;"",'Units Data'!$I$6:$I$10000&amp;"",'Units Data'!$C$6:$C$10000,"غير موجود",0))</f>
        <v>غير موجود</v>
      </c>
      <c r="C225" s="937" t="str" cm="1">
        <f t="array" ref="C225">IF(P225="","",_xlfn.XLOOKUP(P225&amp;"",'Units Data'!$I$6:$I$10000&amp;"",'Units Data'!$B$6:$B$10000,"غير موجود",0))</f>
        <v>غير موجود</v>
      </c>
      <c r="D225" s="940">
        <v>37411341</v>
      </c>
      <c r="E225" s="941" t="s">
        <v>1076</v>
      </c>
      <c r="F225" s="941" t="s">
        <v>1077</v>
      </c>
      <c r="G225" s="941" t="s">
        <v>1078</v>
      </c>
      <c r="H225" s="941" t="s">
        <v>1083</v>
      </c>
      <c r="I225" s="941">
        <v>1000</v>
      </c>
      <c r="J225" s="944">
        <v>46091</v>
      </c>
      <c r="K225" s="944">
        <v>46086</v>
      </c>
      <c r="L225" s="941" t="s">
        <v>1227</v>
      </c>
      <c r="M225" s="941"/>
      <c r="N225" s="941" t="s">
        <v>1228</v>
      </c>
      <c r="O225" s="941" t="s">
        <v>1122</v>
      </c>
      <c r="P225" s="941" t="s">
        <v>1229</v>
      </c>
    </row>
    <row r="226" spans="1:16">
      <c r="A226" s="937"/>
      <c r="B226" s="937" t="str" cm="1">
        <f t="array" ref="B226">IF(P226="","",_xlfn.XLOOKUP(P226&amp;"",'Units Data'!$I$6:$I$10000&amp;"",'Units Data'!$C$6:$C$10000,"غير موجود",0))</f>
        <v>غير موجود</v>
      </c>
      <c r="C226" s="937" t="str" cm="1">
        <f t="array" ref="C226">IF(P226="","",_xlfn.XLOOKUP(P226&amp;"",'Units Data'!$I$6:$I$10000&amp;"",'Units Data'!$B$6:$B$10000,"غير موجود",0))</f>
        <v>غير موجود</v>
      </c>
      <c r="D226" s="940">
        <v>37411267</v>
      </c>
      <c r="E226" s="941" t="s">
        <v>1076</v>
      </c>
      <c r="F226" s="941" t="s">
        <v>1077</v>
      </c>
      <c r="G226" s="941" t="s">
        <v>1078</v>
      </c>
      <c r="H226" s="941" t="s">
        <v>1083</v>
      </c>
      <c r="I226" s="941">
        <v>1000</v>
      </c>
      <c r="J226" s="944">
        <v>46091</v>
      </c>
      <c r="K226" s="944">
        <v>46086</v>
      </c>
      <c r="L226" s="941" t="s">
        <v>1317</v>
      </c>
      <c r="M226" s="941"/>
      <c r="N226" s="941" t="s">
        <v>1318</v>
      </c>
      <c r="O226" s="941" t="s">
        <v>1122</v>
      </c>
      <c r="P226" s="941" t="s">
        <v>1319</v>
      </c>
    </row>
    <row r="227" spans="1:16">
      <c r="A227" s="937"/>
      <c r="B227" s="937" t="str" cm="1">
        <f t="array" ref="B227">IF(P227="","",_xlfn.XLOOKUP(P227&amp;"",'Units Data'!$I$6:$I$10000&amp;"",'Units Data'!$C$6:$C$10000,"غير موجود",0))</f>
        <v>غير موجود</v>
      </c>
      <c r="C227" s="937" t="str" cm="1">
        <f t="array" ref="C227">IF(P227="","",_xlfn.XLOOKUP(P227&amp;"",'Units Data'!$I$6:$I$10000&amp;"",'Units Data'!$B$6:$B$10000,"غير موجود",0))</f>
        <v>غير موجود</v>
      </c>
      <c r="D227" s="940">
        <v>37411245</v>
      </c>
      <c r="E227" s="941" t="s">
        <v>1076</v>
      </c>
      <c r="F227" s="941" t="s">
        <v>1077</v>
      </c>
      <c r="G227" s="941" t="s">
        <v>1078</v>
      </c>
      <c r="H227" s="941" t="s">
        <v>1083</v>
      </c>
      <c r="I227" s="941">
        <v>2476</v>
      </c>
      <c r="J227" s="944">
        <v>46091</v>
      </c>
      <c r="K227" s="944">
        <v>46086</v>
      </c>
      <c r="L227" s="941" t="s">
        <v>1317</v>
      </c>
      <c r="M227" s="941"/>
      <c r="N227" s="941" t="s">
        <v>1320</v>
      </c>
      <c r="O227" s="941" t="s">
        <v>1122</v>
      </c>
      <c r="P227" s="941" t="s">
        <v>1319</v>
      </c>
    </row>
    <row r="228" spans="1:16">
      <c r="A228" s="937"/>
      <c r="B228" s="937" cm="1">
        <f t="array" ref="B228">IF(P228="","",_xlfn.XLOOKUP(P228&amp;"",'Units Data'!$I$6:$I$10000&amp;"",'Units Data'!$C$6:$C$10000,"غير موجود",0))</f>
        <v>102</v>
      </c>
      <c r="C228" s="937" t="str" cm="1">
        <f t="array" ref="C228">IF(P228="","",_xlfn.XLOOKUP(P228&amp;"",'Units Data'!$I$6:$I$10000&amp;"",'Units Data'!$B$6:$B$10000,"غير موجود",0))</f>
        <v>F8</v>
      </c>
      <c r="D228" s="940">
        <v>37409142</v>
      </c>
      <c r="E228" s="941" t="s">
        <v>1076</v>
      </c>
      <c r="F228" s="941" t="s">
        <v>1077</v>
      </c>
      <c r="G228" s="941" t="s">
        <v>1078</v>
      </c>
      <c r="H228" s="941" t="s">
        <v>1083</v>
      </c>
      <c r="I228" s="941">
        <v>4000</v>
      </c>
      <c r="J228" s="944">
        <v>46091</v>
      </c>
      <c r="K228" s="944">
        <v>46086</v>
      </c>
      <c r="L228" s="941" t="s">
        <v>1037</v>
      </c>
      <c r="M228" s="941"/>
      <c r="N228" s="941" t="s">
        <v>1321</v>
      </c>
      <c r="O228" s="941" t="s">
        <v>1081</v>
      </c>
      <c r="P228" s="941" t="s">
        <v>1322</v>
      </c>
    </row>
    <row r="229" spans="1:16">
      <c r="A229" s="937"/>
      <c r="B229" s="937" cm="1">
        <f t="array" ref="B229">IF(P229="","",_xlfn.XLOOKUP(P229&amp;"",'Units Data'!$I$6:$I$10000&amp;"",'Units Data'!$C$6:$C$10000,"غير موجود",0))</f>
        <v>102</v>
      </c>
      <c r="C229" s="937" t="str" cm="1">
        <f t="array" ref="C229">IF(P229="","",_xlfn.XLOOKUP(P229&amp;"",'Units Data'!$I$6:$I$10000&amp;"",'Units Data'!$B$6:$B$10000,"غير موجود",0))</f>
        <v>F9</v>
      </c>
      <c r="D229" s="940">
        <v>37390594</v>
      </c>
      <c r="E229" s="941" t="s">
        <v>1076</v>
      </c>
      <c r="F229" s="941" t="s">
        <v>1077</v>
      </c>
      <c r="G229" s="941" t="s">
        <v>1078</v>
      </c>
      <c r="H229" s="941" t="s">
        <v>1083</v>
      </c>
      <c r="I229" s="941">
        <v>4000</v>
      </c>
      <c r="J229" s="944">
        <v>46088</v>
      </c>
      <c r="K229" s="944">
        <v>46085</v>
      </c>
      <c r="L229" s="941" t="s">
        <v>1269</v>
      </c>
      <c r="M229" s="941"/>
      <c r="N229" s="941" t="s">
        <v>1279</v>
      </c>
      <c r="O229" s="941" t="s">
        <v>1081</v>
      </c>
      <c r="P229" s="941" t="s">
        <v>1280</v>
      </c>
    </row>
    <row r="230" spans="1:16">
      <c r="A230" s="937"/>
      <c r="B230" s="937" cm="1">
        <f t="array" ref="B230">IF(P230="","",_xlfn.XLOOKUP(P230&amp;"",'Units Data'!$I$6:$I$10000&amp;"",'Units Data'!$C$6:$C$10000,"غير موجود",0))</f>
        <v>102</v>
      </c>
      <c r="C230" s="937" t="str" cm="1">
        <f t="array" ref="C230">IF(P230="","",_xlfn.XLOOKUP(P230&amp;"",'Units Data'!$I$6:$I$10000&amp;"",'Units Data'!$B$6:$B$10000,"غير موجود",0))</f>
        <v>F5</v>
      </c>
      <c r="D230" s="940">
        <v>37364310</v>
      </c>
      <c r="E230" s="941" t="s">
        <v>1076</v>
      </c>
      <c r="F230" s="941" t="s">
        <v>1077</v>
      </c>
      <c r="G230" s="941" t="s">
        <v>1078</v>
      </c>
      <c r="H230" s="941" t="s">
        <v>1079</v>
      </c>
      <c r="I230" s="941">
        <v>3999</v>
      </c>
      <c r="J230" s="944">
        <v>46088</v>
      </c>
      <c r="K230" s="944">
        <v>46085</v>
      </c>
      <c r="L230" s="941" t="s">
        <v>1104</v>
      </c>
      <c r="M230" s="941"/>
      <c r="N230" s="941" t="s">
        <v>1323</v>
      </c>
      <c r="O230" s="941" t="s">
        <v>1081</v>
      </c>
      <c r="P230" s="941" t="s">
        <v>1139</v>
      </c>
    </row>
    <row r="231" spans="1:16">
      <c r="A231" s="937"/>
      <c r="B231" s="937" t="str" cm="1">
        <f t="array" ref="B231">IF(P231="","",_xlfn.XLOOKUP(P231&amp;"",'Units Data'!$I$6:$I$10000&amp;"",'Units Data'!$C$6:$C$10000,"غير موجود",0))</f>
        <v>غير موجود</v>
      </c>
      <c r="C231" s="937" t="str" cm="1">
        <f t="array" ref="C231">IF(P231="","",_xlfn.XLOOKUP(P231&amp;"",'Units Data'!$I$6:$I$10000&amp;"",'Units Data'!$B$6:$B$10000,"غير موجود",0))</f>
        <v>غير موجود</v>
      </c>
      <c r="D231" s="940">
        <v>37288120</v>
      </c>
      <c r="E231" s="941" t="s">
        <v>1076</v>
      </c>
      <c r="F231" s="941" t="s">
        <v>1077</v>
      </c>
      <c r="G231" s="941" t="s">
        <v>1078</v>
      </c>
      <c r="H231" s="941" t="s">
        <v>1083</v>
      </c>
      <c r="I231" s="941">
        <v>1000</v>
      </c>
      <c r="J231" s="944">
        <v>46085</v>
      </c>
      <c r="K231" s="944">
        <v>46083</v>
      </c>
      <c r="L231" s="941" t="s">
        <v>1250</v>
      </c>
      <c r="M231" s="941"/>
      <c r="N231" s="941" t="s">
        <v>1251</v>
      </c>
      <c r="O231" s="941" t="s">
        <v>1122</v>
      </c>
      <c r="P231" s="941" t="s">
        <v>1252</v>
      </c>
    </row>
    <row r="232" spans="1:16">
      <c r="A232" s="937"/>
      <c r="B232" s="937" t="str" cm="1">
        <f t="array" ref="B232">IF(P232="","",_xlfn.XLOOKUP(P232&amp;"",'Units Data'!$I$6:$I$10000&amp;"",'Units Data'!$C$6:$C$10000,"غير موجود",0))</f>
        <v>غير موجود</v>
      </c>
      <c r="C232" s="937" t="str" cm="1">
        <f t="array" ref="C232">IF(P232="","",_xlfn.XLOOKUP(P232&amp;"",'Units Data'!$I$6:$I$10000&amp;"",'Units Data'!$B$6:$B$10000,"غير موجود",0))</f>
        <v>غير موجود</v>
      </c>
      <c r="D232" s="940">
        <v>37267985</v>
      </c>
      <c r="E232" s="941" t="s">
        <v>1076</v>
      </c>
      <c r="F232" s="941" t="s">
        <v>1077</v>
      </c>
      <c r="G232" s="941" t="s">
        <v>1078</v>
      </c>
      <c r="H232" s="941" t="s">
        <v>1083</v>
      </c>
      <c r="I232" s="941">
        <v>1000</v>
      </c>
      <c r="J232" s="944">
        <v>46085</v>
      </c>
      <c r="K232" s="944">
        <v>46083</v>
      </c>
      <c r="L232" s="941" t="s">
        <v>1191</v>
      </c>
      <c r="M232" s="941"/>
      <c r="N232" s="941" t="s">
        <v>1192</v>
      </c>
      <c r="O232" s="941" t="s">
        <v>1122</v>
      </c>
      <c r="P232" s="941" t="s">
        <v>1193</v>
      </c>
    </row>
    <row r="233" spans="1:16">
      <c r="A233" s="937"/>
      <c r="B233" s="937" t="str" cm="1">
        <f t="array" ref="B233">IF(P233="","",_xlfn.XLOOKUP(P233&amp;"",'Units Data'!$I$6:$I$10000&amp;"",'Units Data'!$C$6:$C$10000,"غير موجود",0))</f>
        <v>غير موجود</v>
      </c>
      <c r="C233" s="937" t="str" cm="1">
        <f t="array" ref="C233">IF(P233="","",_xlfn.XLOOKUP(P233&amp;"",'Units Data'!$I$6:$I$10000&amp;"",'Units Data'!$B$6:$B$10000,"غير موجود",0))</f>
        <v>غير موجود</v>
      </c>
      <c r="D233" s="940">
        <v>37161500</v>
      </c>
      <c r="E233" s="941" t="s">
        <v>1076</v>
      </c>
      <c r="F233" s="941" t="s">
        <v>1077</v>
      </c>
      <c r="G233" s="941" t="s">
        <v>1078</v>
      </c>
      <c r="H233" s="941" t="s">
        <v>1079</v>
      </c>
      <c r="I233" s="941">
        <v>3000</v>
      </c>
      <c r="J233" s="944">
        <v>46087</v>
      </c>
      <c r="K233" s="944">
        <v>46082</v>
      </c>
      <c r="L233" s="941" t="s">
        <v>1284</v>
      </c>
      <c r="M233" s="941"/>
      <c r="N233" s="941" t="s">
        <v>1290</v>
      </c>
      <c r="O233" s="941" t="s">
        <v>1111</v>
      </c>
      <c r="P233" s="941" t="s">
        <v>1286</v>
      </c>
    </row>
    <row r="234" spans="1:16">
      <c r="A234" s="937"/>
      <c r="B234" s="937" cm="1">
        <f t="array" ref="B234">IF(P234="","",_xlfn.XLOOKUP(P234&amp;"",'Units Data'!$I$6:$I$10000&amp;"",'Units Data'!$C$6:$C$10000,"غير موجود",0))</f>
        <v>102</v>
      </c>
      <c r="C234" s="937" t="str" cm="1">
        <f t="array" ref="C234">IF(P234="","",_xlfn.XLOOKUP(P234&amp;"",'Units Data'!$I$6:$I$10000&amp;"",'Units Data'!$B$6:$B$10000,"غير موجود",0))</f>
        <v>S4</v>
      </c>
      <c r="D234" s="940">
        <v>37093602</v>
      </c>
      <c r="E234" s="941" t="s">
        <v>1076</v>
      </c>
      <c r="F234" s="941" t="s">
        <v>1077</v>
      </c>
      <c r="G234" s="941" t="s">
        <v>1078</v>
      </c>
      <c r="H234" s="941" t="s">
        <v>1079</v>
      </c>
      <c r="I234" s="941">
        <v>3469</v>
      </c>
      <c r="J234" s="944">
        <v>46083</v>
      </c>
      <c r="K234" s="944">
        <v>46081</v>
      </c>
      <c r="L234" s="941" t="s">
        <v>1307</v>
      </c>
      <c r="M234" s="941"/>
      <c r="N234" s="941" t="s">
        <v>1324</v>
      </c>
      <c r="O234" s="941" t="s">
        <v>1095</v>
      </c>
      <c r="P234" s="941" t="s">
        <v>1325</v>
      </c>
    </row>
    <row r="235" spans="1:16">
      <c r="A235" s="937"/>
      <c r="B235" s="937" t="str" cm="1">
        <f t="array" ref="B235">IF(P235="","",_xlfn.XLOOKUP(P235&amp;"",'Units Data'!$I$6:$I$10000&amp;"",'Units Data'!$C$6:$C$10000,"غير موجود",0))</f>
        <v>غير موجود</v>
      </c>
      <c r="C235" s="937" t="str" cm="1">
        <f t="array" ref="C235">IF(P235="","",_xlfn.XLOOKUP(P235&amp;"",'Units Data'!$I$6:$I$10000&amp;"",'Units Data'!$B$6:$B$10000,"غير موجود",0))</f>
        <v>غير موجود</v>
      </c>
      <c r="D235" s="940">
        <v>36984660</v>
      </c>
      <c r="E235" s="941" t="s">
        <v>1076</v>
      </c>
      <c r="F235" s="941" t="s">
        <v>1077</v>
      </c>
      <c r="G235" s="941" t="s">
        <v>1078</v>
      </c>
      <c r="H235" s="941" t="s">
        <v>1079</v>
      </c>
      <c r="I235" s="941">
        <v>3000</v>
      </c>
      <c r="J235" s="944">
        <v>46081</v>
      </c>
      <c r="K235" s="944">
        <v>46079</v>
      </c>
      <c r="L235" s="941" t="s">
        <v>1326</v>
      </c>
      <c r="M235" s="941"/>
      <c r="N235" s="941" t="s">
        <v>1327</v>
      </c>
      <c r="O235" s="941" t="s">
        <v>1161</v>
      </c>
      <c r="P235" s="941" t="s">
        <v>1328</v>
      </c>
    </row>
    <row r="236" spans="1:16">
      <c r="A236" s="937"/>
      <c r="B236" s="937" t="str" cm="1">
        <f t="array" ref="B236">IF(P236="","",_xlfn.XLOOKUP(P236&amp;"",'Units Data'!$I$6:$I$10000&amp;"",'Units Data'!$C$6:$C$10000,"غير موجود",0))</f>
        <v>غير موجود</v>
      </c>
      <c r="C236" s="937" t="str" cm="1">
        <f t="array" ref="C236">IF(P236="","",_xlfn.XLOOKUP(P236&amp;"",'Units Data'!$I$6:$I$10000&amp;"",'Units Data'!$B$6:$B$10000,"غير موجود",0))</f>
        <v>غير موجود</v>
      </c>
      <c r="D236" s="940">
        <v>37004855</v>
      </c>
      <c r="E236" s="941" t="s">
        <v>1076</v>
      </c>
      <c r="F236" s="941" t="s">
        <v>1077</v>
      </c>
      <c r="G236" s="941" t="s">
        <v>1078</v>
      </c>
      <c r="H236" s="941" t="s">
        <v>1083</v>
      </c>
      <c r="I236" s="941">
        <v>3000</v>
      </c>
      <c r="J236" s="944">
        <v>46084</v>
      </c>
      <c r="K236" s="944">
        <v>46079</v>
      </c>
      <c r="L236" s="941" t="s">
        <v>1159</v>
      </c>
      <c r="M236" s="941"/>
      <c r="N236" s="941" t="s">
        <v>1160</v>
      </c>
      <c r="O236" s="941" t="s">
        <v>1161</v>
      </c>
      <c r="P236" s="941" t="s">
        <v>1162</v>
      </c>
    </row>
    <row r="237" spans="1:16">
      <c r="A237" s="937"/>
      <c r="B237" s="937" t="str" cm="1">
        <f t="array" ref="B237">IF(P237="","",_xlfn.XLOOKUP(P237&amp;"",'Units Data'!$I$6:$I$10000&amp;"",'Units Data'!$C$6:$C$10000,"غير موجود",0))</f>
        <v>غير موجود</v>
      </c>
      <c r="C237" s="937" t="str" cm="1">
        <f t="array" ref="C237">IF(P237="","",_xlfn.XLOOKUP(P237&amp;"",'Units Data'!$I$6:$I$10000&amp;"",'Units Data'!$B$6:$B$10000,"غير موجود",0))</f>
        <v>غير موجود</v>
      </c>
      <c r="D237" s="940">
        <v>36996573</v>
      </c>
      <c r="E237" s="941" t="s">
        <v>1076</v>
      </c>
      <c r="F237" s="941" t="s">
        <v>1077</v>
      </c>
      <c r="G237" s="941" t="s">
        <v>1078</v>
      </c>
      <c r="H237" s="941" t="s">
        <v>1083</v>
      </c>
      <c r="I237" s="941">
        <v>1000</v>
      </c>
      <c r="J237" s="944">
        <v>46084</v>
      </c>
      <c r="K237" s="944">
        <v>46079</v>
      </c>
      <c r="L237" s="941" t="s">
        <v>1263</v>
      </c>
      <c r="M237" s="941"/>
      <c r="N237" s="941" t="s">
        <v>1264</v>
      </c>
      <c r="O237" s="941" t="s">
        <v>1122</v>
      </c>
      <c r="P237" s="941" t="s">
        <v>1265</v>
      </c>
    </row>
    <row r="238" spans="1:16">
      <c r="A238" s="937"/>
      <c r="B238" s="937" t="str" cm="1">
        <f t="array" ref="B238">IF(P238="","",_xlfn.XLOOKUP(P238&amp;"",'Units Data'!$I$6:$I$10000&amp;"",'Units Data'!$C$6:$C$10000,"غير موجود",0))</f>
        <v>غير موجود</v>
      </c>
      <c r="C238" s="937" t="str" cm="1">
        <f t="array" ref="C238">IF(P238="","",_xlfn.XLOOKUP(P238&amp;"",'Units Data'!$I$6:$I$10000&amp;"",'Units Data'!$B$6:$B$10000,"غير موجود",0))</f>
        <v>غير موجود</v>
      </c>
      <c r="D238" s="940">
        <v>36956556</v>
      </c>
      <c r="E238" s="941" t="s">
        <v>1076</v>
      </c>
      <c r="F238" s="941" t="s">
        <v>1077</v>
      </c>
      <c r="G238" s="941" t="s">
        <v>1078</v>
      </c>
      <c r="H238" s="941" t="s">
        <v>1079</v>
      </c>
      <c r="I238" s="941">
        <v>2750</v>
      </c>
      <c r="J238" s="944">
        <v>46081</v>
      </c>
      <c r="K238" s="944">
        <v>46079</v>
      </c>
      <c r="L238" s="941" t="s">
        <v>1329</v>
      </c>
      <c r="M238" s="941"/>
      <c r="N238" s="941" t="s">
        <v>1330</v>
      </c>
      <c r="O238" s="941" t="s">
        <v>1161</v>
      </c>
      <c r="P238" s="941" t="s">
        <v>1331</v>
      </c>
    </row>
    <row r="239" spans="1:16">
      <c r="A239" s="937"/>
      <c r="B239" s="937" cm="1">
        <f t="array" ref="B239">IF(P239="","",_xlfn.XLOOKUP(P239&amp;"",'Units Data'!$I$6:$I$10000&amp;"",'Units Data'!$C$6:$C$10000,"غير موجود",0))</f>
        <v>102</v>
      </c>
      <c r="C239" s="937" t="str" cm="1">
        <f t="array" ref="C239">IF(P239="","",_xlfn.XLOOKUP(P239&amp;"",'Units Data'!$I$6:$I$10000&amp;"",'Units Data'!$B$6:$B$10000,"غير موجود",0))</f>
        <v>F3</v>
      </c>
      <c r="D239" s="940">
        <v>36811276</v>
      </c>
      <c r="E239" s="941" t="s">
        <v>1076</v>
      </c>
      <c r="F239" s="941" t="s">
        <v>1077</v>
      </c>
      <c r="G239" s="941" t="s">
        <v>1078</v>
      </c>
      <c r="H239" s="941" t="s">
        <v>1079</v>
      </c>
      <c r="I239" s="941">
        <v>3500</v>
      </c>
      <c r="J239" s="944">
        <v>46076</v>
      </c>
      <c r="K239" s="944">
        <v>46075</v>
      </c>
      <c r="L239" s="941" t="s">
        <v>1040</v>
      </c>
      <c r="M239" s="941"/>
      <c r="N239" s="941" t="s">
        <v>1272</v>
      </c>
      <c r="O239" s="941" t="s">
        <v>1081</v>
      </c>
      <c r="P239" s="941" t="s">
        <v>1195</v>
      </c>
    </row>
    <row r="240" spans="1:16">
      <c r="A240" s="937"/>
      <c r="B240" s="937" cm="1">
        <f t="array" ref="B240">IF(P240="","",_xlfn.XLOOKUP(P240&amp;"",'Units Data'!$I$6:$I$10000&amp;"",'Units Data'!$C$6:$C$10000,"غير موجود",0))</f>
        <v>102</v>
      </c>
      <c r="C240" s="937" t="str" cm="1">
        <f t="array" ref="C240">IF(P240="","",_xlfn.XLOOKUP(P240&amp;"",'Units Data'!$I$6:$I$10000&amp;"",'Units Data'!$B$6:$B$10000,"غير موجود",0))</f>
        <v>F2</v>
      </c>
      <c r="D240" s="940">
        <v>36804434</v>
      </c>
      <c r="E240" s="941" t="s">
        <v>1076</v>
      </c>
      <c r="F240" s="941" t="s">
        <v>1077</v>
      </c>
      <c r="G240" s="941" t="s">
        <v>1078</v>
      </c>
      <c r="H240" s="941" t="s">
        <v>1079</v>
      </c>
      <c r="I240" s="941">
        <v>3500</v>
      </c>
      <c r="J240" s="944">
        <v>46076</v>
      </c>
      <c r="K240" s="944">
        <v>46074</v>
      </c>
      <c r="L240" s="941" t="s">
        <v>1039</v>
      </c>
      <c r="M240" s="941"/>
      <c r="N240" s="941" t="s">
        <v>1332</v>
      </c>
      <c r="O240" s="941" t="s">
        <v>1081</v>
      </c>
      <c r="P240" s="941" t="s">
        <v>1333</v>
      </c>
    </row>
    <row r="241" spans="1:16">
      <c r="A241" s="937"/>
      <c r="B241" s="937" cm="1">
        <f t="array" ref="B241">IF(P241="","",_xlfn.XLOOKUP(P241&amp;"",'Units Data'!$I$6:$I$10000&amp;"",'Units Data'!$C$6:$C$10000,"غير موجود",0))</f>
        <v>102</v>
      </c>
      <c r="C241" s="937" t="str" cm="1">
        <f t="array" ref="C241">IF(P241="","",_xlfn.XLOOKUP(P241&amp;"",'Units Data'!$I$6:$I$10000&amp;"",'Units Data'!$B$6:$B$10000,"غير موجود",0))</f>
        <v>F3</v>
      </c>
      <c r="D241" s="940">
        <v>36740365</v>
      </c>
      <c r="E241" s="941" t="s">
        <v>1076</v>
      </c>
      <c r="F241" s="941" t="s">
        <v>1077</v>
      </c>
      <c r="G241" s="941" t="s">
        <v>1078</v>
      </c>
      <c r="H241" s="941" t="s">
        <v>1079</v>
      </c>
      <c r="I241" s="941">
        <v>5125</v>
      </c>
      <c r="J241" s="944">
        <v>46074</v>
      </c>
      <c r="K241" s="944">
        <v>46072</v>
      </c>
      <c r="L241" s="941" t="s">
        <v>1291</v>
      </c>
      <c r="M241" s="941"/>
      <c r="N241" s="941" t="s">
        <v>1334</v>
      </c>
      <c r="O241" s="941" t="s">
        <v>1095</v>
      </c>
      <c r="P241" s="941" t="s">
        <v>1335</v>
      </c>
    </row>
    <row r="242" spans="1:16">
      <c r="A242" s="937"/>
      <c r="B242" s="937" t="str" cm="1">
        <f t="array" ref="B242">IF(P242="","",_xlfn.XLOOKUP(P242&amp;"",'Units Data'!$I$6:$I$10000&amp;"",'Units Data'!$C$6:$C$10000,"غير موجود",0))</f>
        <v>غير موجود</v>
      </c>
      <c r="C242" s="937" t="str" cm="1">
        <f t="array" ref="C242">IF(P242="","",_xlfn.XLOOKUP(P242&amp;"",'Units Data'!$I$6:$I$10000&amp;"",'Units Data'!$B$6:$B$10000,"غير موجود",0))</f>
        <v>غير موجود</v>
      </c>
      <c r="D242" s="940">
        <v>36565747</v>
      </c>
      <c r="E242" s="941" t="s">
        <v>1076</v>
      </c>
      <c r="F242" s="941" t="s">
        <v>1077</v>
      </c>
      <c r="G242" s="941" t="s">
        <v>1078</v>
      </c>
      <c r="H242" s="941" t="s">
        <v>1083</v>
      </c>
      <c r="I242" s="941">
        <v>1000</v>
      </c>
      <c r="J242" s="944">
        <v>46069</v>
      </c>
      <c r="K242" s="944">
        <v>46066</v>
      </c>
      <c r="L242" s="941" t="s">
        <v>1120</v>
      </c>
      <c r="M242" s="941"/>
      <c r="N242" s="941" t="s">
        <v>1121</v>
      </c>
      <c r="O242" s="941" t="s">
        <v>1122</v>
      </c>
      <c r="P242" s="941" t="s">
        <v>1123</v>
      </c>
    </row>
    <row r="243" spans="1:16">
      <c r="A243" s="937"/>
      <c r="B243" s="937" t="str" cm="1">
        <f t="array" ref="B243">IF(P243="","",_xlfn.XLOOKUP(P243&amp;"",'Units Data'!$I$6:$I$10000&amp;"",'Units Data'!$C$6:$C$10000,"غير موجود",0))</f>
        <v>غير موجود</v>
      </c>
      <c r="C243" s="937" t="str" cm="1">
        <f t="array" ref="C243">IF(P243="","",_xlfn.XLOOKUP(P243&amp;"",'Units Data'!$I$6:$I$10000&amp;"",'Units Data'!$B$6:$B$10000,"غير موجود",0))</f>
        <v>غير موجود</v>
      </c>
      <c r="D243" s="940">
        <v>36538980</v>
      </c>
      <c r="E243" s="941" t="s">
        <v>1076</v>
      </c>
      <c r="F243" s="941" t="s">
        <v>1077</v>
      </c>
      <c r="G243" s="941" t="s">
        <v>1078</v>
      </c>
      <c r="H243" s="941" t="s">
        <v>1079</v>
      </c>
      <c r="I243" s="941">
        <v>4500</v>
      </c>
      <c r="J243" s="944">
        <v>46067</v>
      </c>
      <c r="K243" s="944">
        <v>46065</v>
      </c>
      <c r="L243" s="941" t="s">
        <v>1276</v>
      </c>
      <c r="M243" s="941"/>
      <c r="N243" s="941" t="s">
        <v>1277</v>
      </c>
      <c r="O243" s="941" t="s">
        <v>1111</v>
      </c>
      <c r="P243" s="941" t="s">
        <v>1278</v>
      </c>
    </row>
    <row r="244" spans="1:16">
      <c r="A244" s="937"/>
      <c r="B244" s="937" cm="1">
        <f t="array" ref="B244">IF(P244="","",_xlfn.XLOOKUP(P244&amp;"",'Units Data'!$I$6:$I$10000&amp;"",'Units Data'!$C$6:$C$10000,"غير موجود",0))</f>
        <v>102</v>
      </c>
      <c r="C244" s="937" t="str" cm="1">
        <f t="array" ref="C244">IF(P244="","",_xlfn.XLOOKUP(P244&amp;"",'Units Data'!$I$6:$I$10000&amp;"",'Units Data'!$B$6:$B$10000,"غير موجود",0))</f>
        <v>S7</v>
      </c>
      <c r="D244" s="940">
        <v>36537329</v>
      </c>
      <c r="E244" s="941" t="s">
        <v>1076</v>
      </c>
      <c r="F244" s="941" t="s">
        <v>1077</v>
      </c>
      <c r="G244" s="941" t="s">
        <v>1078</v>
      </c>
      <c r="H244" s="941" t="s">
        <v>1079</v>
      </c>
      <c r="I244" s="941">
        <v>2800</v>
      </c>
      <c r="J244" s="944">
        <v>46067</v>
      </c>
      <c r="K244" s="944">
        <v>46065</v>
      </c>
      <c r="L244" s="941" t="s">
        <v>1315</v>
      </c>
      <c r="M244" s="941"/>
      <c r="N244" s="941" t="s">
        <v>1316</v>
      </c>
      <c r="O244" s="941" t="s">
        <v>1095</v>
      </c>
      <c r="P244" s="941" t="s">
        <v>1268</v>
      </c>
    </row>
    <row r="245" spans="1:16">
      <c r="A245" s="937"/>
      <c r="B245" s="937" t="str" cm="1">
        <f t="array" ref="B245">IF(P245="","",_xlfn.XLOOKUP(P245&amp;"",'Units Data'!$I$6:$I$10000&amp;"",'Units Data'!$C$6:$C$10000,"غير موجود",0))</f>
        <v>غير موجود</v>
      </c>
      <c r="C245" s="937" t="str" cm="1">
        <f t="array" ref="C245">IF(P245="","",_xlfn.XLOOKUP(P245&amp;"",'Units Data'!$I$6:$I$10000&amp;"",'Units Data'!$B$6:$B$10000,"غير موجود",0))</f>
        <v>غير موجود</v>
      </c>
      <c r="D245" s="940">
        <v>36492335</v>
      </c>
      <c r="E245" s="941" t="s">
        <v>1076</v>
      </c>
      <c r="F245" s="941" t="s">
        <v>1077</v>
      </c>
      <c r="G245" s="941" t="s">
        <v>1078</v>
      </c>
      <c r="H245" s="941" t="s">
        <v>1083</v>
      </c>
      <c r="I245" s="941">
        <v>1000</v>
      </c>
      <c r="J245" s="944">
        <v>46065</v>
      </c>
      <c r="K245" s="944">
        <v>46063</v>
      </c>
      <c r="L245" s="941" t="s">
        <v>1196</v>
      </c>
      <c r="M245" s="941"/>
      <c r="N245" s="941" t="s">
        <v>1336</v>
      </c>
      <c r="O245" s="941" t="s">
        <v>1122</v>
      </c>
      <c r="P245" s="941" t="s">
        <v>1337</v>
      </c>
    </row>
    <row r="246" spans="1:16">
      <c r="A246" s="937"/>
      <c r="B246" s="937" t="str" cm="1">
        <f t="array" ref="B246">IF(P246="","",_xlfn.XLOOKUP(P246&amp;"",'Units Data'!$I$6:$I$10000&amp;"",'Units Data'!$C$6:$C$10000,"غير موجود",0))</f>
        <v>غير موجود</v>
      </c>
      <c r="C246" s="937" t="str" cm="1">
        <f t="array" ref="C246">IF(P246="","",_xlfn.XLOOKUP(P246&amp;"",'Units Data'!$I$6:$I$10000&amp;"",'Units Data'!$B$6:$B$10000,"غير موجود",0))</f>
        <v>غير موجود</v>
      </c>
      <c r="D246" s="940">
        <v>36451175</v>
      </c>
      <c r="E246" s="941" t="s">
        <v>1076</v>
      </c>
      <c r="F246" s="941" t="s">
        <v>1077</v>
      </c>
      <c r="G246" s="941" t="s">
        <v>1078</v>
      </c>
      <c r="H246" s="941" t="s">
        <v>1083</v>
      </c>
      <c r="I246" s="941">
        <v>3000</v>
      </c>
      <c r="J246" s="944">
        <v>46065</v>
      </c>
      <c r="K246" s="944">
        <v>46063</v>
      </c>
      <c r="L246" s="941" t="s">
        <v>1205</v>
      </c>
      <c r="M246" s="941"/>
      <c r="N246" s="941" t="s">
        <v>1206</v>
      </c>
      <c r="O246" s="941" t="s">
        <v>1161</v>
      </c>
      <c r="P246" s="941" t="s">
        <v>1207</v>
      </c>
    </row>
    <row r="247" spans="1:16">
      <c r="A247" s="937"/>
      <c r="B247" s="937" cm="1">
        <f t="array" ref="B247">IF(P247="","",_xlfn.XLOOKUP(P247&amp;"",'Units Data'!$I$6:$I$10000&amp;"",'Units Data'!$C$6:$C$10000,"غير موجود",0))</f>
        <v>102</v>
      </c>
      <c r="C247" s="937" t="str" cm="1">
        <f t="array" ref="C247">IF(P247="","",_xlfn.XLOOKUP(P247&amp;"",'Units Data'!$I$6:$I$10000&amp;"",'Units Data'!$B$6:$B$10000,"غير موجود",0))</f>
        <v>F5</v>
      </c>
      <c r="D247" s="940">
        <v>36422545</v>
      </c>
      <c r="E247" s="941" t="s">
        <v>1076</v>
      </c>
      <c r="F247" s="941" t="s">
        <v>1077</v>
      </c>
      <c r="G247" s="941" t="s">
        <v>1078</v>
      </c>
      <c r="H247" s="941" t="s">
        <v>1079</v>
      </c>
      <c r="I247" s="941">
        <v>4000</v>
      </c>
      <c r="J247" s="944">
        <v>46063</v>
      </c>
      <c r="K247" s="944">
        <v>46062</v>
      </c>
      <c r="L247" s="941" t="s">
        <v>1104</v>
      </c>
      <c r="M247" s="941"/>
      <c r="N247" s="941" t="s">
        <v>1323</v>
      </c>
      <c r="O247" s="941" t="s">
        <v>1081</v>
      </c>
      <c r="P247" s="941" t="s">
        <v>1139</v>
      </c>
    </row>
    <row r="248" spans="1:16">
      <c r="A248" s="937"/>
      <c r="B248" s="937" cm="1">
        <f t="array" ref="B248">IF(P248="","",_xlfn.XLOOKUP(P248&amp;"",'Units Data'!$I$6:$I$10000&amp;"",'Units Data'!$C$6:$C$10000,"غير موجود",0))</f>
        <v>102</v>
      </c>
      <c r="C248" s="937" t="str" cm="1">
        <f t="array" ref="C248">IF(P248="","",_xlfn.XLOOKUP(P248&amp;"",'Units Data'!$I$6:$I$10000&amp;"",'Units Data'!$B$6:$B$10000,"غير موجود",0))</f>
        <v>F9</v>
      </c>
      <c r="D248" s="940">
        <v>36391149</v>
      </c>
      <c r="E248" s="941" t="s">
        <v>1076</v>
      </c>
      <c r="F248" s="941" t="s">
        <v>1077</v>
      </c>
      <c r="G248" s="941" t="s">
        <v>1078</v>
      </c>
      <c r="H248" s="941" t="s">
        <v>1083</v>
      </c>
      <c r="I248" s="941">
        <v>4000</v>
      </c>
      <c r="J248" s="944">
        <v>46063</v>
      </c>
      <c r="K248" s="944">
        <v>46061</v>
      </c>
      <c r="L248" s="941" t="s">
        <v>1269</v>
      </c>
      <c r="M248" s="941"/>
      <c r="N248" s="941" t="s">
        <v>1279</v>
      </c>
      <c r="O248" s="941" t="s">
        <v>1081</v>
      </c>
      <c r="P248" s="941" t="s">
        <v>1280</v>
      </c>
    </row>
    <row r="249" spans="1:16">
      <c r="A249" s="937"/>
      <c r="B249" s="937" t="str" cm="1">
        <f t="array" ref="B249">IF(P249="","",_xlfn.XLOOKUP(P249&amp;"",'Units Data'!$I$6:$I$10000&amp;"",'Units Data'!$C$6:$C$10000,"غير موجود",0))</f>
        <v>غير موجود</v>
      </c>
      <c r="C249" s="937" t="str" cm="1">
        <f t="array" ref="C249">IF(P249="","",_xlfn.XLOOKUP(P249&amp;"",'Units Data'!$I$6:$I$10000&amp;"",'Units Data'!$B$6:$B$10000,"غير موجود",0))</f>
        <v>غير موجود</v>
      </c>
      <c r="D249" s="940">
        <v>36346151</v>
      </c>
      <c r="E249" s="941" t="s">
        <v>1076</v>
      </c>
      <c r="F249" s="941" t="s">
        <v>1077</v>
      </c>
      <c r="G249" s="941" t="s">
        <v>1078</v>
      </c>
      <c r="H249" s="941" t="s">
        <v>1083</v>
      </c>
      <c r="I249" s="941">
        <v>1000</v>
      </c>
      <c r="J249" s="944">
        <v>46062</v>
      </c>
      <c r="K249" s="944">
        <v>46060</v>
      </c>
      <c r="L249" s="941" t="s">
        <v>1338</v>
      </c>
      <c r="M249" s="941"/>
      <c r="N249" s="941" t="s">
        <v>1339</v>
      </c>
      <c r="O249" s="941" t="s">
        <v>1122</v>
      </c>
      <c r="P249" s="941" t="s">
        <v>1340</v>
      </c>
    </row>
    <row r="250" spans="1:16">
      <c r="A250" s="937"/>
      <c r="B250" s="937" t="str" cm="1">
        <f t="array" ref="B250">IF(P250="","",_xlfn.XLOOKUP(P250&amp;"",'Units Data'!$I$6:$I$10000&amp;"",'Units Data'!$C$6:$C$10000,"غير موجود",0))</f>
        <v>غير موجود</v>
      </c>
      <c r="C250" s="937" t="str" cm="1">
        <f t="array" ref="C250">IF(P250="","",_xlfn.XLOOKUP(P250&amp;"",'Units Data'!$I$6:$I$10000&amp;"",'Units Data'!$B$6:$B$10000,"غير موجود",0))</f>
        <v>غير موجود</v>
      </c>
      <c r="D250" s="940">
        <v>36346128</v>
      </c>
      <c r="E250" s="941" t="s">
        <v>1076</v>
      </c>
      <c r="F250" s="941" t="s">
        <v>1077</v>
      </c>
      <c r="G250" s="941" t="s">
        <v>1078</v>
      </c>
      <c r="H250" s="941" t="s">
        <v>1083</v>
      </c>
      <c r="I250" s="941">
        <v>875</v>
      </c>
      <c r="J250" s="944">
        <v>46062</v>
      </c>
      <c r="K250" s="944">
        <v>46060</v>
      </c>
      <c r="L250" s="941" t="s">
        <v>1227</v>
      </c>
      <c r="M250" s="941"/>
      <c r="N250" s="941" t="s">
        <v>1228</v>
      </c>
      <c r="O250" s="941" t="s">
        <v>1122</v>
      </c>
      <c r="P250" s="941" t="s">
        <v>1229</v>
      </c>
    </row>
    <row r="251" spans="1:16">
      <c r="A251" s="937"/>
      <c r="B251" s="937" t="str" cm="1">
        <f t="array" ref="B251">IF(P251="","",_xlfn.XLOOKUP(P251&amp;"",'Units Data'!$I$6:$I$10000&amp;"",'Units Data'!$C$6:$C$10000,"غير موجود",0))</f>
        <v>غير موجود</v>
      </c>
      <c r="C251" s="937" t="str" cm="1">
        <f t="array" ref="C251">IF(P251="","",_xlfn.XLOOKUP(P251&amp;"",'Units Data'!$I$6:$I$10000&amp;"",'Units Data'!$B$6:$B$10000,"غير موجود",0))</f>
        <v>غير موجود</v>
      </c>
      <c r="D251" s="940">
        <v>35987667</v>
      </c>
      <c r="E251" s="941" t="s">
        <v>1076</v>
      </c>
      <c r="F251" s="941" t="s">
        <v>1077</v>
      </c>
      <c r="G251" s="941" t="s">
        <v>1078</v>
      </c>
      <c r="H251" s="941" t="s">
        <v>1079</v>
      </c>
      <c r="I251" s="941">
        <v>3000</v>
      </c>
      <c r="J251" s="944">
        <v>46056</v>
      </c>
      <c r="K251" s="944">
        <v>46054</v>
      </c>
      <c r="L251" s="941" t="s">
        <v>1284</v>
      </c>
      <c r="M251" s="941"/>
      <c r="N251" s="941" t="s">
        <v>1290</v>
      </c>
      <c r="O251" s="941" t="s">
        <v>1111</v>
      </c>
      <c r="P251" s="941" t="s">
        <v>1286</v>
      </c>
    </row>
    <row r="252" spans="1:16">
      <c r="A252" s="937"/>
      <c r="B252" s="937" t="str" cm="1">
        <f t="array" ref="B252">IF(P252="","",_xlfn.XLOOKUP(P252&amp;"",'Units Data'!$I$6:$I$10000&amp;"",'Units Data'!$C$6:$C$10000,"غير موجود",0))</f>
        <v>غير موجود</v>
      </c>
      <c r="C252" s="937" t="str" cm="1">
        <f t="array" ref="C252">IF(P252="","",_xlfn.XLOOKUP(P252&amp;"",'Units Data'!$I$6:$I$10000&amp;"",'Units Data'!$B$6:$B$10000,"غير موجود",0))</f>
        <v>غير موجود</v>
      </c>
      <c r="D252" s="940">
        <v>35957369</v>
      </c>
      <c r="E252" s="941" t="s">
        <v>1076</v>
      </c>
      <c r="F252" s="941" t="s">
        <v>1077</v>
      </c>
      <c r="G252" s="941" t="s">
        <v>1078</v>
      </c>
      <c r="H252" s="941" t="s">
        <v>1083</v>
      </c>
      <c r="I252" s="941">
        <v>1000</v>
      </c>
      <c r="J252" s="944">
        <v>46055</v>
      </c>
      <c r="K252" s="944">
        <v>46053</v>
      </c>
      <c r="L252" s="941" t="s">
        <v>1153</v>
      </c>
      <c r="M252" s="941"/>
      <c r="N252" s="941" t="s">
        <v>1154</v>
      </c>
      <c r="O252" s="941" t="s">
        <v>1122</v>
      </c>
      <c r="P252" s="941" t="s">
        <v>1155</v>
      </c>
    </row>
    <row r="253" spans="1:16">
      <c r="A253" s="937"/>
      <c r="B253" s="937" cm="1">
        <f t="array" ref="B253">IF(P253="","",_xlfn.XLOOKUP(P253&amp;"",'Units Data'!$I$6:$I$10000&amp;"",'Units Data'!$C$6:$C$10000,"غير موجود",0))</f>
        <v>102</v>
      </c>
      <c r="C253" s="937" t="str" cm="1">
        <f t="array" ref="C253">IF(P253="","",_xlfn.XLOOKUP(P253&amp;"",'Units Data'!$I$6:$I$10000&amp;"",'Units Data'!$B$6:$B$10000,"غير موجود",0))</f>
        <v>S4</v>
      </c>
      <c r="D253" s="940">
        <v>35880153</v>
      </c>
      <c r="E253" s="941" t="s">
        <v>1076</v>
      </c>
      <c r="F253" s="941" t="s">
        <v>1077</v>
      </c>
      <c r="G253" s="941" t="s">
        <v>1078</v>
      </c>
      <c r="H253" s="941" t="s">
        <v>1083</v>
      </c>
      <c r="I253" s="941">
        <v>3800</v>
      </c>
      <c r="J253" s="944">
        <v>46055</v>
      </c>
      <c r="K253" s="944">
        <v>46051</v>
      </c>
      <c r="L253" s="941" t="s">
        <v>1307</v>
      </c>
      <c r="M253" s="941"/>
      <c r="N253" s="941" t="s">
        <v>1341</v>
      </c>
      <c r="O253" s="941" t="s">
        <v>1095</v>
      </c>
      <c r="P253" s="941" t="s">
        <v>1342</v>
      </c>
    </row>
    <row r="254" spans="1:16">
      <c r="A254" s="937"/>
      <c r="B254" s="937" t="str" cm="1">
        <f t="array" ref="B254">IF(P254="","",_xlfn.XLOOKUP(P254&amp;"",'Units Data'!$I$6:$I$10000&amp;"",'Units Data'!$C$6:$C$10000,"غير موجود",0))</f>
        <v>غير موجود</v>
      </c>
      <c r="C254" s="937" t="str" cm="1">
        <f t="array" ref="C254">IF(P254="","",_xlfn.XLOOKUP(P254&amp;"",'Units Data'!$I$6:$I$10000&amp;"",'Units Data'!$B$6:$B$10000,"غير موجود",0))</f>
        <v>غير موجود</v>
      </c>
      <c r="D254" s="940">
        <v>35830975</v>
      </c>
      <c r="E254" s="941" t="s">
        <v>1076</v>
      </c>
      <c r="F254" s="941" t="s">
        <v>1077</v>
      </c>
      <c r="G254" s="941" t="s">
        <v>1078</v>
      </c>
      <c r="H254" s="941" t="s">
        <v>1079</v>
      </c>
      <c r="I254" s="941">
        <v>3000</v>
      </c>
      <c r="J254" s="944">
        <v>46052</v>
      </c>
      <c r="K254" s="944">
        <v>46050</v>
      </c>
      <c r="L254" s="941" t="s">
        <v>1326</v>
      </c>
      <c r="M254" s="941"/>
      <c r="N254" s="941" t="s">
        <v>1327</v>
      </c>
      <c r="O254" s="941" t="s">
        <v>1161</v>
      </c>
      <c r="P254" s="941" t="s">
        <v>1328</v>
      </c>
    </row>
    <row r="255" spans="1:16">
      <c r="A255" s="937"/>
      <c r="B255" s="937" cm="1">
        <f t="array" ref="B255">IF(P255="","",_xlfn.XLOOKUP(P255&amp;"",'Units Data'!$I$6:$I$10000&amp;"",'Units Data'!$C$6:$C$10000,"غير موجود",0))</f>
        <v>102</v>
      </c>
      <c r="C255" s="937" t="str" cm="1">
        <f t="array" ref="C255">IF(P255="","",_xlfn.XLOOKUP(P255&amp;"",'Units Data'!$I$6:$I$10000&amp;"",'Units Data'!$B$6:$B$10000,"غير موجود",0))</f>
        <v>F4</v>
      </c>
      <c r="D255" s="940">
        <v>35817476</v>
      </c>
      <c r="E255" s="941" t="s">
        <v>1076</v>
      </c>
      <c r="F255" s="941" t="s">
        <v>1077</v>
      </c>
      <c r="G255" s="941" t="s">
        <v>1078</v>
      </c>
      <c r="H255" s="941" t="s">
        <v>1083</v>
      </c>
      <c r="I255" s="941">
        <v>7000</v>
      </c>
      <c r="J255" s="944">
        <v>46053</v>
      </c>
      <c r="K255" s="944">
        <v>46050</v>
      </c>
      <c r="L255" s="941" t="s">
        <v>1296</v>
      </c>
      <c r="M255" s="941"/>
      <c r="N255" s="941" t="s">
        <v>1297</v>
      </c>
      <c r="O255" s="941" t="s">
        <v>1095</v>
      </c>
      <c r="P255" s="941" t="s">
        <v>1298</v>
      </c>
    </row>
    <row r="256" spans="1:16">
      <c r="A256" s="937"/>
      <c r="B256" s="937" cm="1">
        <f t="array" ref="B256">IF(P256="","",_xlfn.XLOOKUP(P256&amp;"",'Units Data'!$I$6:$I$10000&amp;"",'Units Data'!$C$6:$C$10000,"غير موجود",0))</f>
        <v>102</v>
      </c>
      <c r="C256" s="937" t="str" cm="1">
        <f t="array" ref="C256">IF(P256="","",_xlfn.XLOOKUP(P256&amp;"",'Units Data'!$I$6:$I$10000&amp;"",'Units Data'!$B$6:$B$10000,"غير موجود",0))</f>
        <v>F2</v>
      </c>
      <c r="D256" s="940">
        <v>35814022</v>
      </c>
      <c r="E256" s="941" t="s">
        <v>1076</v>
      </c>
      <c r="F256" s="941" t="s">
        <v>1077</v>
      </c>
      <c r="G256" s="941" t="s">
        <v>1078</v>
      </c>
      <c r="H256" s="941" t="s">
        <v>1079</v>
      </c>
      <c r="I256" s="941">
        <v>3500</v>
      </c>
      <c r="J256" s="944">
        <v>46052</v>
      </c>
      <c r="K256" s="944">
        <v>46050</v>
      </c>
      <c r="L256" s="941" t="s">
        <v>1039</v>
      </c>
      <c r="M256" s="941"/>
      <c r="N256" s="941" t="s">
        <v>1343</v>
      </c>
      <c r="O256" s="941" t="s">
        <v>1095</v>
      </c>
      <c r="P256" s="941" t="s">
        <v>1344</v>
      </c>
    </row>
    <row r="257" spans="1:16">
      <c r="A257" s="937"/>
      <c r="B257" s="937" t="str" cm="1">
        <f t="array" ref="B257">IF(P257="","",_xlfn.XLOOKUP(P257&amp;"",'Units Data'!$I$6:$I$10000&amp;"",'Units Data'!$C$6:$C$10000,"غير موجود",0))</f>
        <v>غير موجود</v>
      </c>
      <c r="C257" s="937" t="str" cm="1">
        <f t="array" ref="C257">IF(P257="","",_xlfn.XLOOKUP(P257&amp;"",'Units Data'!$I$6:$I$10000&amp;"",'Units Data'!$B$6:$B$10000,"غير موجود",0))</f>
        <v>غير موجود</v>
      </c>
      <c r="D257" s="940">
        <v>35793916</v>
      </c>
      <c r="E257" s="941" t="s">
        <v>1076</v>
      </c>
      <c r="F257" s="941" t="s">
        <v>1077</v>
      </c>
      <c r="G257" s="941" t="s">
        <v>1078</v>
      </c>
      <c r="H257" s="941" t="s">
        <v>1083</v>
      </c>
      <c r="I257" s="941">
        <v>3000</v>
      </c>
      <c r="J257" s="944">
        <v>46053</v>
      </c>
      <c r="K257" s="944">
        <v>46050</v>
      </c>
      <c r="L257" s="941" t="s">
        <v>1159</v>
      </c>
      <c r="M257" s="941"/>
      <c r="N257" s="941" t="s">
        <v>1160</v>
      </c>
      <c r="O257" s="941" t="s">
        <v>1161</v>
      </c>
      <c r="P257" s="941" t="s">
        <v>1162</v>
      </c>
    </row>
    <row r="258" spans="1:16">
      <c r="A258" s="937"/>
      <c r="B258" s="937" cm="1">
        <f t="array" ref="B258">IF(P258="","",_xlfn.XLOOKUP(P258&amp;"",'Units Data'!$I$6:$I$10000&amp;"",'Units Data'!$C$6:$C$10000,"غير موجود",0))</f>
        <v>102</v>
      </c>
      <c r="C258" s="937" t="str" cm="1">
        <f t="array" ref="C258">IF(P258="","",_xlfn.XLOOKUP(P258&amp;"",'Units Data'!$I$6:$I$10000&amp;"",'Units Data'!$B$6:$B$10000,"غير موجود",0))</f>
        <v>S6</v>
      </c>
      <c r="D258" s="940">
        <v>35732787</v>
      </c>
      <c r="E258" s="941" t="s">
        <v>1076</v>
      </c>
      <c r="F258" s="941" t="s">
        <v>1077</v>
      </c>
      <c r="G258" s="941" t="s">
        <v>1078</v>
      </c>
      <c r="H258" s="941" t="s">
        <v>1083</v>
      </c>
      <c r="I258" s="941">
        <v>1500</v>
      </c>
      <c r="J258" s="944">
        <v>46052</v>
      </c>
      <c r="K258" s="944">
        <v>46049</v>
      </c>
      <c r="L258" s="941" t="s">
        <v>1038</v>
      </c>
      <c r="M258" s="941"/>
      <c r="N258" s="941" t="s">
        <v>1345</v>
      </c>
      <c r="O258" s="941" t="s">
        <v>1081</v>
      </c>
      <c r="P258" s="941" t="s">
        <v>1346</v>
      </c>
    </row>
    <row r="259" spans="1:16">
      <c r="A259" s="937"/>
      <c r="B259" s="937" t="str" cm="1">
        <f t="array" ref="B259">IF(P259="","",_xlfn.XLOOKUP(P259&amp;"",'Units Data'!$I$6:$I$10000&amp;"",'Units Data'!$C$6:$C$10000,"غير موجود",0))</f>
        <v>غير موجود</v>
      </c>
      <c r="C259" s="937" t="str" cm="1">
        <f t="array" ref="C259">IF(P259="","",_xlfn.XLOOKUP(P259&amp;"",'Units Data'!$I$6:$I$10000&amp;"",'Units Data'!$B$6:$B$10000,"غير موجود",0))</f>
        <v>غير موجود</v>
      </c>
      <c r="D259" s="940">
        <v>35709309</v>
      </c>
      <c r="E259" s="941" t="s">
        <v>1076</v>
      </c>
      <c r="F259" s="941" t="s">
        <v>1077</v>
      </c>
      <c r="G259" s="941" t="s">
        <v>1078</v>
      </c>
      <c r="H259" s="941" t="s">
        <v>1079</v>
      </c>
      <c r="I259" s="941">
        <v>3000</v>
      </c>
      <c r="J259" s="944">
        <v>46050</v>
      </c>
      <c r="K259" s="944">
        <v>46049</v>
      </c>
      <c r="L259" s="941" t="s">
        <v>1329</v>
      </c>
      <c r="M259" s="941"/>
      <c r="N259" s="941" t="s">
        <v>1330</v>
      </c>
      <c r="O259" s="941" t="s">
        <v>1161</v>
      </c>
      <c r="P259" s="941" t="s">
        <v>1331</v>
      </c>
    </row>
    <row r="260" spans="1:16">
      <c r="A260" s="937"/>
      <c r="B260" s="937" cm="1">
        <f t="array" ref="B260">IF(P260="","",_xlfn.XLOOKUP(P260&amp;"",'Units Data'!$I$6:$I$10000&amp;"",'Units Data'!$C$6:$C$10000,"غير موجود",0))</f>
        <v>102</v>
      </c>
      <c r="C260" s="937" t="str" cm="1">
        <f t="array" ref="C260">IF(P260="","",_xlfn.XLOOKUP(P260&amp;"",'Units Data'!$I$6:$I$10000&amp;"",'Units Data'!$B$6:$B$10000,"غير موجود",0))</f>
        <v>S5</v>
      </c>
      <c r="D260" s="940">
        <v>35708345</v>
      </c>
      <c r="E260" s="941" t="s">
        <v>1076</v>
      </c>
      <c r="F260" s="941" t="s">
        <v>1077</v>
      </c>
      <c r="G260" s="941" t="s">
        <v>1078</v>
      </c>
      <c r="H260" s="941" t="s">
        <v>1079</v>
      </c>
      <c r="I260" s="941">
        <v>3800</v>
      </c>
      <c r="J260" s="944">
        <v>46050</v>
      </c>
      <c r="K260" s="944">
        <v>46049</v>
      </c>
      <c r="L260" s="941" t="s">
        <v>1347</v>
      </c>
      <c r="M260" s="941"/>
      <c r="N260" s="941" t="s">
        <v>1348</v>
      </c>
      <c r="O260" s="941" t="s">
        <v>1095</v>
      </c>
      <c r="P260" s="941" t="s">
        <v>1349</v>
      </c>
    </row>
    <row r="261" spans="1:16">
      <c r="A261" s="937"/>
      <c r="B261" s="937" cm="1">
        <f t="array" ref="B261">IF(P261="","",_xlfn.XLOOKUP(P261&amp;"",'Units Data'!$I$6:$I$10000&amp;"",'Units Data'!$C$6:$C$10000,"غير موجود",0))</f>
        <v>102</v>
      </c>
      <c r="C261" s="937" t="str" cm="1">
        <f t="array" ref="C261">IF(P261="","",_xlfn.XLOOKUP(P261&amp;"",'Units Data'!$I$6:$I$10000&amp;"",'Units Data'!$B$6:$B$10000,"غير موجود",0))</f>
        <v>F8</v>
      </c>
      <c r="D261" s="940">
        <v>35640407</v>
      </c>
      <c r="E261" s="941" t="s">
        <v>1076</v>
      </c>
      <c r="F261" s="941" t="s">
        <v>1077</v>
      </c>
      <c r="G261" s="941" t="s">
        <v>1078</v>
      </c>
      <c r="H261" s="941" t="s">
        <v>1079</v>
      </c>
      <c r="I261" s="941">
        <v>4000</v>
      </c>
      <c r="J261" s="944">
        <v>46048</v>
      </c>
      <c r="K261" s="944">
        <v>46047</v>
      </c>
      <c r="L261" s="941" t="s">
        <v>1037</v>
      </c>
      <c r="M261" s="941"/>
      <c r="N261" s="941" t="s">
        <v>1321</v>
      </c>
      <c r="O261" s="941" t="s">
        <v>1081</v>
      </c>
      <c r="P261" s="941" t="s">
        <v>1322</v>
      </c>
    </row>
    <row r="262" spans="1:16">
      <c r="A262" s="937"/>
      <c r="B262" s="937" cm="1">
        <f t="array" ref="B262">IF(P262="","",_xlfn.XLOOKUP(P262&amp;"",'Units Data'!$I$6:$I$10000&amp;"",'Units Data'!$C$6:$C$10000,"غير موجود",0))</f>
        <v>102</v>
      </c>
      <c r="C262" s="937" t="str" cm="1">
        <f t="array" ref="C262">IF(P262="","",_xlfn.XLOOKUP(P262&amp;"",'Units Data'!$I$6:$I$10000&amp;"",'Units Data'!$B$6:$B$10000,"غير موجود",0))</f>
        <v>F1</v>
      </c>
      <c r="D262" s="940">
        <v>35597616</v>
      </c>
      <c r="E262" s="941" t="s">
        <v>1076</v>
      </c>
      <c r="F262" s="941" t="s">
        <v>1077</v>
      </c>
      <c r="G262" s="941" t="s">
        <v>1078</v>
      </c>
      <c r="H262" s="941" t="s">
        <v>1079</v>
      </c>
      <c r="I262" s="941">
        <v>3500</v>
      </c>
      <c r="J262" s="944">
        <v>46047</v>
      </c>
      <c r="K262" s="944">
        <v>46045</v>
      </c>
      <c r="L262" s="941" t="s">
        <v>81</v>
      </c>
      <c r="M262" s="941"/>
      <c r="N262" s="941" t="s">
        <v>1310</v>
      </c>
      <c r="O262" s="941" t="s">
        <v>1095</v>
      </c>
      <c r="P262" s="941" t="s">
        <v>1096</v>
      </c>
    </row>
    <row r="263" spans="1:16">
      <c r="A263" s="937"/>
      <c r="B263" s="937" t="str" cm="1">
        <f t="array" ref="B263">IF(P263="","",_xlfn.XLOOKUP(P263&amp;"",'Units Data'!$I$6:$I$10000&amp;"",'Units Data'!$C$6:$C$10000,"غير موجود",0))</f>
        <v>غير موجود</v>
      </c>
      <c r="C263" s="937" t="str" cm="1">
        <f t="array" ref="C263">IF(P263="","",_xlfn.XLOOKUP(P263&amp;"",'Units Data'!$I$6:$I$10000&amp;"",'Units Data'!$B$6:$B$10000,"غير موجود",0))</f>
        <v>غير موجود</v>
      </c>
      <c r="D263" s="940">
        <v>35526471</v>
      </c>
      <c r="E263" s="941" t="s">
        <v>1076</v>
      </c>
      <c r="F263" s="941" t="s">
        <v>1077</v>
      </c>
      <c r="G263" s="941" t="s">
        <v>1078</v>
      </c>
      <c r="H263" s="941" t="s">
        <v>1083</v>
      </c>
      <c r="I263" s="941">
        <v>10332</v>
      </c>
      <c r="J263" s="944">
        <v>46044</v>
      </c>
      <c r="K263" s="944">
        <v>46042</v>
      </c>
      <c r="L263" s="941" t="s">
        <v>1284</v>
      </c>
      <c r="M263" s="941"/>
      <c r="N263" s="941" t="s">
        <v>1290</v>
      </c>
      <c r="O263" s="941" t="s">
        <v>1111</v>
      </c>
      <c r="P263" s="941" t="s">
        <v>1286</v>
      </c>
    </row>
    <row r="264" spans="1:16">
      <c r="A264" s="937"/>
      <c r="B264" s="937" t="str" cm="1">
        <f t="array" ref="B264">IF(P264="","",_xlfn.XLOOKUP(P264&amp;"",'Units Data'!$I$6:$I$10000&amp;"",'Units Data'!$C$6:$C$10000,"غير موجود",0))</f>
        <v>غير موجود</v>
      </c>
      <c r="C264" s="937" t="str" cm="1">
        <f t="array" ref="C264">IF(P264="","",_xlfn.XLOOKUP(P264&amp;"",'Units Data'!$I$6:$I$10000&amp;"",'Units Data'!$B$6:$B$10000,"غير موجود",0))</f>
        <v>غير موجود</v>
      </c>
      <c r="D264" s="940">
        <v>35522200</v>
      </c>
      <c r="E264" s="941" t="s">
        <v>1076</v>
      </c>
      <c r="F264" s="941" t="s">
        <v>1077</v>
      </c>
      <c r="G264" s="941" t="s">
        <v>1078</v>
      </c>
      <c r="H264" s="941" t="s">
        <v>1083</v>
      </c>
      <c r="I264" s="941">
        <v>2550</v>
      </c>
      <c r="J264" s="944">
        <v>46044</v>
      </c>
      <c r="K264" s="944">
        <v>46042</v>
      </c>
      <c r="L264" s="941" t="s">
        <v>1276</v>
      </c>
      <c r="M264" s="941"/>
      <c r="N264" s="941" t="s">
        <v>1277</v>
      </c>
      <c r="O264" s="941" t="s">
        <v>1111</v>
      </c>
      <c r="P264" s="941" t="s">
        <v>1278</v>
      </c>
    </row>
    <row r="265" spans="1:16">
      <c r="A265" s="937"/>
      <c r="B265" s="937" t="str" cm="1">
        <f t="array" ref="B265">IF(P265="","",_xlfn.XLOOKUP(P265&amp;"",'Units Data'!$I$6:$I$10000&amp;"",'Units Data'!$C$6:$C$10000,"غير موجود",0))</f>
        <v>غير موجود</v>
      </c>
      <c r="C265" s="937" t="str" cm="1">
        <f t="array" ref="C265">IF(P265="","",_xlfn.XLOOKUP(P265&amp;"",'Units Data'!$I$6:$I$10000&amp;"",'Units Data'!$B$6:$B$10000,"غير موجود",0))</f>
        <v>غير موجود</v>
      </c>
      <c r="D265" s="940">
        <v>35471402</v>
      </c>
      <c r="E265" s="941" t="s">
        <v>1076</v>
      </c>
      <c r="F265" s="941" t="s">
        <v>1077</v>
      </c>
      <c r="G265" s="941" t="s">
        <v>1078</v>
      </c>
      <c r="H265" s="941" t="s">
        <v>1083</v>
      </c>
      <c r="I265" s="941">
        <v>1000</v>
      </c>
      <c r="J265" s="944">
        <v>46043</v>
      </c>
      <c r="K265" s="944">
        <v>46041</v>
      </c>
      <c r="L265" s="941" t="s">
        <v>1263</v>
      </c>
      <c r="M265" s="941"/>
      <c r="N265" s="941" t="s">
        <v>1264</v>
      </c>
      <c r="O265" s="941" t="s">
        <v>1122</v>
      </c>
      <c r="P265" s="941" t="s">
        <v>1265</v>
      </c>
    </row>
    <row r="266" spans="1:16">
      <c r="A266" s="937"/>
      <c r="B266" s="937" t="str" cm="1">
        <f t="array" ref="B266">IF(P266="","",_xlfn.XLOOKUP(P266&amp;"",'Units Data'!$I$6:$I$10000&amp;"",'Units Data'!$C$6:$C$10000,"غير موجود",0))</f>
        <v>غير موجود</v>
      </c>
      <c r="C266" s="937" t="str" cm="1">
        <f t="array" ref="C266">IF(P266="","",_xlfn.XLOOKUP(P266&amp;"",'Units Data'!$I$6:$I$10000&amp;"",'Units Data'!$B$6:$B$10000,"غير موجود",0))</f>
        <v>غير موجود</v>
      </c>
      <c r="D266" s="940">
        <v>35417295</v>
      </c>
      <c r="E266" s="941" t="s">
        <v>1076</v>
      </c>
      <c r="F266" s="941" t="s">
        <v>1077</v>
      </c>
      <c r="G266" s="941" t="s">
        <v>1078</v>
      </c>
      <c r="H266" s="941" t="s">
        <v>1083</v>
      </c>
      <c r="I266" s="941">
        <v>1000</v>
      </c>
      <c r="J266" s="944">
        <v>46041</v>
      </c>
      <c r="K266" s="944">
        <v>46039</v>
      </c>
      <c r="L266" s="941" t="s">
        <v>1191</v>
      </c>
      <c r="M266" s="941"/>
      <c r="N266" s="941" t="s">
        <v>1192</v>
      </c>
      <c r="O266" s="941" t="s">
        <v>1122</v>
      </c>
      <c r="P266" s="941" t="s">
        <v>1193</v>
      </c>
    </row>
    <row r="267" spans="1:16">
      <c r="A267" s="937"/>
      <c r="B267" s="937" cm="1">
        <f t="array" ref="B267">IF(P267="","",_xlfn.XLOOKUP(P267&amp;"",'Units Data'!$I$6:$I$10000&amp;"",'Units Data'!$C$6:$C$10000,"غير موجود",0))</f>
        <v>102</v>
      </c>
      <c r="C267" s="937" t="str" cm="1">
        <f t="array" ref="C267">IF(P267="","",_xlfn.XLOOKUP(P267&amp;"",'Units Data'!$I$6:$I$10000&amp;"",'Units Data'!$B$6:$B$10000,"غير موجود",0))</f>
        <v>S6</v>
      </c>
      <c r="D267" s="940">
        <v>35408480</v>
      </c>
      <c r="E267" s="941" t="s">
        <v>1076</v>
      </c>
      <c r="F267" s="941" t="s">
        <v>1077</v>
      </c>
      <c r="G267" s="941" t="s">
        <v>1078</v>
      </c>
      <c r="H267" s="941" t="s">
        <v>1083</v>
      </c>
      <c r="I267" s="941">
        <v>2500</v>
      </c>
      <c r="J267" s="944">
        <v>46041</v>
      </c>
      <c r="K267" s="944">
        <v>46039</v>
      </c>
      <c r="L267" s="941" t="s">
        <v>1038</v>
      </c>
      <c r="M267" s="941"/>
      <c r="N267" s="941" t="s">
        <v>1345</v>
      </c>
      <c r="O267" s="941" t="s">
        <v>1081</v>
      </c>
      <c r="P267" s="941" t="s">
        <v>1346</v>
      </c>
    </row>
    <row r="268" spans="1:16">
      <c r="A268" s="937"/>
      <c r="B268" s="937" t="str" cm="1">
        <f t="array" ref="B268">IF(P268="","",_xlfn.XLOOKUP(P268&amp;"",'Units Data'!$I$6:$I$10000&amp;"",'Units Data'!$C$6:$C$10000,"غير موجود",0))</f>
        <v>غير موجود</v>
      </c>
      <c r="C268" s="937" t="str" cm="1">
        <f t="array" ref="C268">IF(P268="","",_xlfn.XLOOKUP(P268&amp;"",'Units Data'!$I$6:$I$10000&amp;"",'Units Data'!$B$6:$B$10000,"غير موجود",0))</f>
        <v>غير موجود</v>
      </c>
      <c r="D268" s="940">
        <v>35325044</v>
      </c>
      <c r="E268" s="941" t="s">
        <v>1076</v>
      </c>
      <c r="F268" s="941" t="s">
        <v>1077</v>
      </c>
      <c r="G268" s="941" t="s">
        <v>1078</v>
      </c>
      <c r="H268" s="941" t="s">
        <v>1079</v>
      </c>
      <c r="I268" s="941">
        <v>4500</v>
      </c>
      <c r="J268" s="944">
        <v>46036</v>
      </c>
      <c r="K268" s="944">
        <v>46035</v>
      </c>
      <c r="L268" s="941" t="s">
        <v>1276</v>
      </c>
      <c r="M268" s="941"/>
      <c r="N268" s="941" t="s">
        <v>1277</v>
      </c>
      <c r="O268" s="941" t="s">
        <v>1111</v>
      </c>
      <c r="P268" s="941" t="s">
        <v>1278</v>
      </c>
    </row>
    <row r="269" spans="1:16">
      <c r="A269" s="937"/>
      <c r="B269" s="937" cm="1">
        <f t="array" ref="B269">IF(P269="","",_xlfn.XLOOKUP(P269&amp;"",'Units Data'!$I$6:$I$10000&amp;"",'Units Data'!$C$6:$C$10000,"غير موجود",0))</f>
        <v>102</v>
      </c>
      <c r="C269" s="937" t="str" cm="1">
        <f t="array" ref="C269">IF(P269="","",_xlfn.XLOOKUP(P269&amp;"",'Units Data'!$I$6:$I$10000&amp;"",'Units Data'!$B$6:$B$10000,"غير موجود",0))</f>
        <v>S7</v>
      </c>
      <c r="D269" s="940">
        <v>35306309</v>
      </c>
      <c r="E269" s="941" t="s">
        <v>1076</v>
      </c>
      <c r="F269" s="941" t="s">
        <v>1077</v>
      </c>
      <c r="G269" s="941" t="s">
        <v>1078</v>
      </c>
      <c r="H269" s="941" t="s">
        <v>1079</v>
      </c>
      <c r="I269" s="941">
        <v>4000</v>
      </c>
      <c r="J269" s="944">
        <v>46036</v>
      </c>
      <c r="K269" s="944">
        <v>46035</v>
      </c>
      <c r="L269" s="941" t="s">
        <v>1315</v>
      </c>
      <c r="M269" s="941"/>
      <c r="N269" s="941" t="s">
        <v>1316</v>
      </c>
      <c r="O269" s="941" t="s">
        <v>1095</v>
      </c>
      <c r="P269" s="941" t="s">
        <v>1268</v>
      </c>
    </row>
    <row r="270" spans="1:16">
      <c r="A270" s="937"/>
      <c r="B270" s="937" t="str" cm="1">
        <f t="array" ref="B270">IF(P270="","",_xlfn.XLOOKUP(P270&amp;"",'Units Data'!$I$6:$I$10000&amp;"",'Units Data'!$C$6:$C$10000,"غير موجود",0))</f>
        <v>غير موجود</v>
      </c>
      <c r="C270" s="937" t="str" cm="1">
        <f t="array" ref="C270">IF(P270="","",_xlfn.XLOOKUP(P270&amp;"",'Units Data'!$I$6:$I$10000&amp;"",'Units Data'!$B$6:$B$10000,"غير موجود",0))</f>
        <v>غير موجود</v>
      </c>
      <c r="D270" s="940">
        <v>35217288</v>
      </c>
      <c r="E270" s="941" t="s">
        <v>1076</v>
      </c>
      <c r="F270" s="941" t="s">
        <v>1077</v>
      </c>
      <c r="G270" s="941" t="s">
        <v>1078</v>
      </c>
      <c r="H270" s="941" t="s">
        <v>1083</v>
      </c>
      <c r="I270" s="941">
        <v>3000</v>
      </c>
      <c r="J270" s="944">
        <v>46035</v>
      </c>
      <c r="K270" s="944">
        <v>46033</v>
      </c>
      <c r="L270" s="941" t="s">
        <v>1205</v>
      </c>
      <c r="M270" s="941"/>
      <c r="N270" s="941" t="s">
        <v>1206</v>
      </c>
      <c r="O270" s="941" t="s">
        <v>1161</v>
      </c>
      <c r="P270" s="941" t="s">
        <v>1207</v>
      </c>
    </row>
    <row r="271" spans="1:16">
      <c r="A271" s="937"/>
      <c r="B271" s="937" cm="1">
        <f t="array" ref="B271">IF(P271="","",_xlfn.XLOOKUP(P271&amp;"",'Units Data'!$I$6:$I$10000&amp;"",'Units Data'!$C$6:$C$10000,"غير موجود",0))</f>
        <v>102</v>
      </c>
      <c r="C271" s="937" t="str" cm="1">
        <f t="array" ref="C271">IF(P271="","",_xlfn.XLOOKUP(P271&amp;"",'Units Data'!$I$6:$I$10000&amp;"",'Units Data'!$B$6:$B$10000,"غير موجود",0))</f>
        <v>F5</v>
      </c>
      <c r="D271" s="940">
        <v>35203693</v>
      </c>
      <c r="E271" s="941" t="s">
        <v>1076</v>
      </c>
      <c r="F271" s="941" t="s">
        <v>1077</v>
      </c>
      <c r="G271" s="941" t="s">
        <v>1078</v>
      </c>
      <c r="H271" s="941" t="s">
        <v>1079</v>
      </c>
      <c r="I271" s="941">
        <v>4000</v>
      </c>
      <c r="J271" s="944">
        <v>46034</v>
      </c>
      <c r="K271" s="944">
        <v>46032</v>
      </c>
      <c r="L271" s="941" t="s">
        <v>1104</v>
      </c>
      <c r="M271" s="941"/>
      <c r="N271" s="941" t="s">
        <v>1323</v>
      </c>
      <c r="O271" s="941" t="s">
        <v>1081</v>
      </c>
      <c r="P271" s="941" t="s">
        <v>1139</v>
      </c>
    </row>
    <row r="272" spans="1:16">
      <c r="A272" s="937"/>
      <c r="B272" s="937" t="str" cm="1">
        <f t="array" ref="B272">IF(P272="","",_xlfn.XLOOKUP(P272&amp;"",'Units Data'!$I$6:$I$10000&amp;"",'Units Data'!$C$6:$C$10000,"غير موجود",0))</f>
        <v>غير موجود</v>
      </c>
      <c r="C272" s="937" t="str" cm="1">
        <f t="array" ref="C272">IF(P272="","",_xlfn.XLOOKUP(P272&amp;"",'Units Data'!$I$6:$I$10000&amp;"",'Units Data'!$B$6:$B$10000,"غير موجود",0))</f>
        <v>غير موجود</v>
      </c>
      <c r="D272" s="940">
        <v>35176276</v>
      </c>
      <c r="E272" s="941" t="s">
        <v>1076</v>
      </c>
      <c r="F272" s="941" t="s">
        <v>1077</v>
      </c>
      <c r="G272" s="941" t="s">
        <v>1078</v>
      </c>
      <c r="H272" s="941" t="s">
        <v>1083</v>
      </c>
      <c r="I272" s="941">
        <v>1000</v>
      </c>
      <c r="J272" s="944">
        <v>46034</v>
      </c>
      <c r="K272" s="944">
        <v>46031</v>
      </c>
      <c r="L272" s="941" t="s">
        <v>1250</v>
      </c>
      <c r="M272" s="941"/>
      <c r="N272" s="941" t="s">
        <v>1350</v>
      </c>
      <c r="O272" s="941" t="s">
        <v>1122</v>
      </c>
      <c r="P272" s="941" t="s">
        <v>1252</v>
      </c>
    </row>
    <row r="273" spans="1:16">
      <c r="A273" s="937"/>
      <c r="B273" s="937" t="str" cm="1">
        <f t="array" ref="B273">IF(P273="","",_xlfn.XLOOKUP(P273&amp;"",'Units Data'!$I$6:$I$10000&amp;"",'Units Data'!$C$6:$C$10000,"غير موجود",0))</f>
        <v>غير موجود</v>
      </c>
      <c r="C273" s="937" t="str" cm="1">
        <f t="array" ref="C273">IF(P273="","",_xlfn.XLOOKUP(P273&amp;"",'Units Data'!$I$6:$I$10000&amp;"",'Units Data'!$B$6:$B$10000,"غير موجود",0))</f>
        <v>غير موجود</v>
      </c>
      <c r="D273" s="940">
        <v>35046309</v>
      </c>
      <c r="E273" s="941" t="s">
        <v>1076</v>
      </c>
      <c r="F273" s="941" t="s">
        <v>1077</v>
      </c>
      <c r="G273" s="941" t="s">
        <v>1078</v>
      </c>
      <c r="H273" s="941" t="s">
        <v>1083</v>
      </c>
      <c r="I273" s="941">
        <v>1000</v>
      </c>
      <c r="J273" s="944">
        <v>46029</v>
      </c>
      <c r="K273" s="944">
        <v>46027</v>
      </c>
      <c r="L273" s="941" t="s">
        <v>1196</v>
      </c>
      <c r="M273" s="941"/>
      <c r="N273" s="941" t="s">
        <v>1336</v>
      </c>
      <c r="O273" s="941" t="s">
        <v>1122</v>
      </c>
      <c r="P273" s="941" t="s">
        <v>1337</v>
      </c>
    </row>
    <row r="274" spans="1:16">
      <c r="A274" s="937"/>
      <c r="B274" s="937" cm="1">
        <f t="array" ref="B274">IF(P274="","",_xlfn.XLOOKUP(P274&amp;"",'Units Data'!$I$6:$I$10000&amp;"",'Units Data'!$C$6:$C$10000,"غير موجود",0))</f>
        <v>102</v>
      </c>
      <c r="C274" s="937" t="str" cm="1">
        <f t="array" ref="C274">IF(P274="","",_xlfn.XLOOKUP(P274&amp;"",'Units Data'!$I$6:$I$10000&amp;"",'Units Data'!$B$6:$B$10000,"غير موجود",0))</f>
        <v>S4</v>
      </c>
      <c r="D274" s="940">
        <v>35012287</v>
      </c>
      <c r="E274" s="941" t="s">
        <v>1076</v>
      </c>
      <c r="F274" s="941" t="s">
        <v>1077</v>
      </c>
      <c r="G274" s="941" t="s">
        <v>1078</v>
      </c>
      <c r="H274" s="941" t="s">
        <v>1079</v>
      </c>
      <c r="I274" s="941">
        <v>3800</v>
      </c>
      <c r="J274" s="944">
        <v>46029</v>
      </c>
      <c r="K274" s="944">
        <v>46027</v>
      </c>
      <c r="L274" s="941" t="s">
        <v>1307</v>
      </c>
      <c r="M274" s="941"/>
      <c r="N274" s="941" t="s">
        <v>1341</v>
      </c>
      <c r="O274" s="941" t="s">
        <v>1095</v>
      </c>
      <c r="P274" s="941" t="s">
        <v>1342</v>
      </c>
    </row>
    <row r="275" spans="1:16">
      <c r="A275" s="937"/>
      <c r="B275" s="937" t="str" cm="1">
        <f t="array" ref="B275">IF(P275="","",_xlfn.XLOOKUP(P275&amp;"",'Units Data'!$I$6:$I$10000&amp;"",'Units Data'!$C$6:$C$10000,"غير موجود",0))</f>
        <v>غير موجود</v>
      </c>
      <c r="C275" s="937" t="str" cm="1">
        <f t="array" ref="C275">IF(P275="","",_xlfn.XLOOKUP(P275&amp;"",'Units Data'!$I$6:$I$10000&amp;"",'Units Data'!$B$6:$B$10000,"غير موجود",0))</f>
        <v>غير موجود</v>
      </c>
      <c r="D275" s="940">
        <v>35006617</v>
      </c>
      <c r="E275" s="941" t="s">
        <v>1076</v>
      </c>
      <c r="F275" s="941" t="s">
        <v>1077</v>
      </c>
      <c r="G275" s="941" t="s">
        <v>1078</v>
      </c>
      <c r="H275" s="941" t="s">
        <v>1083</v>
      </c>
      <c r="I275" s="941">
        <v>875</v>
      </c>
      <c r="J275" s="944">
        <v>46029</v>
      </c>
      <c r="K275" s="944">
        <v>46027</v>
      </c>
      <c r="L275" s="941" t="s">
        <v>1250</v>
      </c>
      <c r="M275" s="941"/>
      <c r="N275" s="941" t="s">
        <v>1350</v>
      </c>
      <c r="O275" s="941" t="s">
        <v>1122</v>
      </c>
      <c r="P275" s="941" t="s">
        <v>1252</v>
      </c>
    </row>
    <row r="276" spans="1:16">
      <c r="A276" s="937"/>
      <c r="B276" s="937" t="str" cm="1">
        <f t="array" ref="B276">IF(P276="","",_xlfn.XLOOKUP(P276&amp;"",'Units Data'!$I$6:$I$10000&amp;"",'Units Data'!$C$6:$C$10000,"غير موجود",0))</f>
        <v>غير موجود</v>
      </c>
      <c r="C276" s="937" t="str" cm="1">
        <f t="array" ref="C276">IF(P276="","",_xlfn.XLOOKUP(P276&amp;"",'Units Data'!$I$6:$I$10000&amp;"",'Units Data'!$B$6:$B$10000,"غير موجود",0))</f>
        <v>غير موجود</v>
      </c>
      <c r="D276" s="940">
        <v>34978677</v>
      </c>
      <c r="E276" s="941" t="s">
        <v>1076</v>
      </c>
      <c r="F276" s="941" t="s">
        <v>1077</v>
      </c>
      <c r="G276" s="941" t="s">
        <v>1078</v>
      </c>
      <c r="H276" s="941" t="s">
        <v>1083</v>
      </c>
      <c r="I276" s="941">
        <v>1000</v>
      </c>
      <c r="J276" s="944">
        <v>46028</v>
      </c>
      <c r="K276" s="944">
        <v>46026</v>
      </c>
      <c r="L276" s="941" t="s">
        <v>1120</v>
      </c>
      <c r="M276" s="941"/>
      <c r="N276" s="941" t="s">
        <v>1121</v>
      </c>
      <c r="O276" s="941" t="s">
        <v>1122</v>
      </c>
      <c r="P276" s="941" t="s">
        <v>1123</v>
      </c>
    </row>
    <row r="277" spans="1:16">
      <c r="A277" s="937"/>
      <c r="B277" s="937" cm="1">
        <f t="array" ref="B277">IF(P277="","",_xlfn.XLOOKUP(P277&amp;"",'Units Data'!$I$6:$I$10000&amp;"",'Units Data'!$C$6:$C$10000,"غير موجود",0))</f>
        <v>102</v>
      </c>
      <c r="C277" s="937" t="str" cm="1">
        <f t="array" ref="C277">IF(P277="","",_xlfn.XLOOKUP(P277&amp;"",'Units Data'!$I$6:$I$10000&amp;"",'Units Data'!$B$6:$B$10000,"غير موجود",0))</f>
        <v>F3</v>
      </c>
      <c r="D277" s="940">
        <v>34910004</v>
      </c>
      <c r="E277" s="941" t="s">
        <v>1076</v>
      </c>
      <c r="F277" s="941" t="s">
        <v>1077</v>
      </c>
      <c r="G277" s="941" t="s">
        <v>1078</v>
      </c>
      <c r="H277" s="941" t="s">
        <v>1079</v>
      </c>
      <c r="I277" s="941">
        <v>3500</v>
      </c>
      <c r="J277" s="944">
        <v>46026</v>
      </c>
      <c r="K277" s="944">
        <v>46025</v>
      </c>
      <c r="L277" s="941" t="s">
        <v>1291</v>
      </c>
      <c r="M277" s="941"/>
      <c r="N277" s="941" t="s">
        <v>1334</v>
      </c>
      <c r="O277" s="941" t="s">
        <v>1095</v>
      </c>
      <c r="P277" s="941" t="s">
        <v>1335</v>
      </c>
    </row>
    <row r="278" spans="1:16">
      <c r="A278" s="937"/>
      <c r="B278" s="937" t="str" cm="1">
        <f t="array" ref="B278">IF(P278="","",_xlfn.XLOOKUP(P278&amp;"",'Units Data'!$I$6:$I$10000&amp;"",'Units Data'!$C$6:$C$10000,"غير موجود",0))</f>
        <v>غير موجود</v>
      </c>
      <c r="C278" s="937" t="str" cm="1">
        <f t="array" ref="C278">IF(P278="","",_xlfn.XLOOKUP(P278&amp;"",'Units Data'!$I$6:$I$10000&amp;"",'Units Data'!$B$6:$B$10000,"غير موجود",0))</f>
        <v>غير موجود</v>
      </c>
      <c r="D278" s="940">
        <v>34884562</v>
      </c>
      <c r="E278" s="941" t="s">
        <v>1076</v>
      </c>
      <c r="F278" s="941" t="s">
        <v>1077</v>
      </c>
      <c r="G278" s="941" t="s">
        <v>1078</v>
      </c>
      <c r="H278" s="941" t="s">
        <v>1083</v>
      </c>
      <c r="I278" s="941">
        <v>1000</v>
      </c>
      <c r="J278" s="944">
        <v>46027</v>
      </c>
      <c r="K278" s="944">
        <v>46024</v>
      </c>
      <c r="L278" s="941" t="s">
        <v>1304</v>
      </c>
      <c r="M278" s="941"/>
      <c r="N278" s="941" t="s">
        <v>1351</v>
      </c>
      <c r="O278" s="941" t="s">
        <v>1122</v>
      </c>
      <c r="P278" s="941" t="s">
        <v>1306</v>
      </c>
    </row>
    <row r="279" spans="1:16">
      <c r="A279" s="937"/>
      <c r="B279" s="937" cm="1">
        <f t="array" ref="B279">IF(P279="","",_xlfn.XLOOKUP(P279&amp;"",'Units Data'!$I$6:$I$10000&amp;"",'Units Data'!$C$6:$C$10000,"غير موجود",0))</f>
        <v>102</v>
      </c>
      <c r="C279" s="937" t="str" cm="1">
        <f t="array" ref="C279">IF(P279="","",_xlfn.XLOOKUP(P279&amp;"",'Units Data'!$I$6:$I$10000&amp;"",'Units Data'!$B$6:$B$10000,"غير موجود",0))</f>
        <v>F5</v>
      </c>
      <c r="D279" s="940">
        <v>34859597</v>
      </c>
      <c r="E279" s="941" t="s">
        <v>1076</v>
      </c>
      <c r="F279" s="941" t="s">
        <v>1077</v>
      </c>
      <c r="G279" s="941" t="s">
        <v>1078</v>
      </c>
      <c r="H279" s="941" t="s">
        <v>1083</v>
      </c>
      <c r="I279" s="941">
        <v>3375</v>
      </c>
      <c r="J279" s="944">
        <v>46027</v>
      </c>
      <c r="K279" s="944">
        <v>46024</v>
      </c>
      <c r="L279" s="941" t="s">
        <v>1352</v>
      </c>
      <c r="M279" s="941"/>
      <c r="N279" s="941" t="s">
        <v>1353</v>
      </c>
      <c r="O279" s="941" t="s">
        <v>1081</v>
      </c>
      <c r="P279" s="941" t="s">
        <v>1354</v>
      </c>
    </row>
    <row r="280" spans="1:16">
      <c r="A280" s="937"/>
      <c r="B280" s="937" t="str" cm="1">
        <f t="array" ref="B280">IF(P280="","",_xlfn.XLOOKUP(P280&amp;"",'Units Data'!$I$6:$I$10000&amp;"",'Units Data'!$C$6:$C$10000,"غير موجود",0))</f>
        <v>غير موجود</v>
      </c>
      <c r="C280" s="937" t="str" cm="1">
        <f t="array" ref="C280">IF(P280="","",_xlfn.XLOOKUP(P280&amp;"",'Units Data'!$I$6:$I$10000&amp;"",'Units Data'!$B$6:$B$10000,"غير موجود",0))</f>
        <v>غير موجود</v>
      </c>
      <c r="D280" s="940">
        <v>34751396</v>
      </c>
      <c r="E280" s="941" t="s">
        <v>1076</v>
      </c>
      <c r="F280" s="941" t="s">
        <v>1077</v>
      </c>
      <c r="G280" s="941" t="s">
        <v>1078</v>
      </c>
      <c r="H280" s="941" t="s">
        <v>1079</v>
      </c>
      <c r="I280" s="941">
        <v>3000</v>
      </c>
      <c r="J280" s="944">
        <v>46026</v>
      </c>
      <c r="K280" s="944">
        <v>46023</v>
      </c>
      <c r="L280" s="941" t="s">
        <v>1284</v>
      </c>
      <c r="M280" s="941"/>
      <c r="N280" s="941" t="s">
        <v>1290</v>
      </c>
      <c r="O280" s="941" t="s">
        <v>1111</v>
      </c>
      <c r="P280" s="941" t="s">
        <v>1286</v>
      </c>
    </row>
    <row r="281" spans="1:16">
      <c r="A281" s="937"/>
      <c r="B281" s="937" t="str" cm="1">
        <f t="array" ref="B281">IF(P281="","",_xlfn.XLOOKUP(P281&amp;"",'Units Data'!$I$6:$I$10000&amp;"",'Units Data'!$C$6:$C$10000,"غير موجود",0))</f>
        <v>غير موجود</v>
      </c>
      <c r="C281" s="937" t="str" cm="1">
        <f t="array" ref="C281">IF(P281="","",_xlfn.XLOOKUP(P281&amp;"",'Units Data'!$I$6:$I$10000&amp;"",'Units Data'!$B$6:$B$10000,"غير موجود",0))</f>
        <v>غير موجود</v>
      </c>
      <c r="D281" s="940">
        <v>34677789</v>
      </c>
      <c r="E281" s="941" t="s">
        <v>1076</v>
      </c>
      <c r="F281" s="941" t="s">
        <v>1077</v>
      </c>
      <c r="G281" s="941" t="s">
        <v>1078</v>
      </c>
      <c r="H281" s="941" t="s">
        <v>1083</v>
      </c>
      <c r="I281" s="941">
        <v>1000</v>
      </c>
      <c r="J281" s="944">
        <v>46023</v>
      </c>
      <c r="K281" s="944">
        <v>46021</v>
      </c>
      <c r="L281" s="941" t="s">
        <v>1153</v>
      </c>
      <c r="M281" s="941"/>
      <c r="N281" s="941" t="s">
        <v>1355</v>
      </c>
      <c r="O281" s="941" t="s">
        <v>1122</v>
      </c>
      <c r="P281" s="941" t="s">
        <v>1155</v>
      </c>
    </row>
    <row r="282" spans="1:16">
      <c r="A282" s="937"/>
      <c r="B282" s="937" t="str" cm="1">
        <f t="array" ref="B282">IF(P282="","",_xlfn.XLOOKUP(P282&amp;"",'Units Data'!$I$6:$I$10000&amp;"",'Units Data'!$C$6:$C$10000,"غير موجود",0))</f>
        <v>غير موجود</v>
      </c>
      <c r="C282" s="937" t="str" cm="1">
        <f t="array" ref="C282">IF(P282="","",_xlfn.XLOOKUP(P282&amp;"",'Units Data'!$I$6:$I$10000&amp;"",'Units Data'!$B$6:$B$10000,"غير موجود",0))</f>
        <v>غير موجود</v>
      </c>
      <c r="D282" s="940">
        <v>34677775</v>
      </c>
      <c r="E282" s="941" t="s">
        <v>1076</v>
      </c>
      <c r="F282" s="941" t="s">
        <v>1077</v>
      </c>
      <c r="G282" s="941" t="s">
        <v>1078</v>
      </c>
      <c r="H282" s="941" t="s">
        <v>1083</v>
      </c>
      <c r="I282" s="941">
        <v>1000</v>
      </c>
      <c r="J282" s="944">
        <v>46023</v>
      </c>
      <c r="K282" s="944">
        <v>46021</v>
      </c>
      <c r="L282" s="941" t="s">
        <v>1191</v>
      </c>
      <c r="M282" s="941"/>
      <c r="N282" s="941" t="s">
        <v>1356</v>
      </c>
      <c r="O282" s="941" t="s">
        <v>1122</v>
      </c>
      <c r="P282" s="941" t="s">
        <v>1193</v>
      </c>
    </row>
    <row r="283" spans="1:16">
      <c r="A283" s="937"/>
      <c r="B283" s="937" t="str" cm="1">
        <f t="array" ref="B283">IF(P283="","",_xlfn.XLOOKUP(P283&amp;"",'Units Data'!$I$6:$I$10000&amp;"",'Units Data'!$C$6:$C$10000,"غير موجود",0))</f>
        <v>غير موجود</v>
      </c>
      <c r="C283" s="937" t="str" cm="1">
        <f t="array" ref="C283">IF(P283="","",_xlfn.XLOOKUP(P283&amp;"",'Units Data'!$I$6:$I$10000&amp;"",'Units Data'!$B$6:$B$10000,"غير موجود",0))</f>
        <v>غير موجود</v>
      </c>
      <c r="D283" s="940">
        <v>34677772</v>
      </c>
      <c r="E283" s="941" t="s">
        <v>1076</v>
      </c>
      <c r="F283" s="941" t="s">
        <v>1077</v>
      </c>
      <c r="G283" s="941" t="s">
        <v>1078</v>
      </c>
      <c r="H283" s="941" t="s">
        <v>1083</v>
      </c>
      <c r="I283" s="941">
        <v>1000</v>
      </c>
      <c r="J283" s="944">
        <v>46023</v>
      </c>
      <c r="K283" s="944">
        <v>46021</v>
      </c>
      <c r="L283" s="941" t="s">
        <v>1263</v>
      </c>
      <c r="M283" s="941"/>
      <c r="N283" s="941" t="s">
        <v>1264</v>
      </c>
      <c r="O283" s="941" t="s">
        <v>1122</v>
      </c>
      <c r="P283" s="941" t="s">
        <v>1265</v>
      </c>
    </row>
    <row r="284" spans="1:16">
      <c r="A284" s="937"/>
      <c r="B284" s="937" t="str" cm="1">
        <f t="array" ref="B284">IF(P284="","",_xlfn.XLOOKUP(P284&amp;"",'Units Data'!$I$6:$I$10000&amp;"",'Units Data'!$C$6:$C$10000,"غير موجود",0))</f>
        <v>غير موجود</v>
      </c>
      <c r="C284" s="937" t="str" cm="1">
        <f t="array" ref="C284">IF(P284="","",_xlfn.XLOOKUP(P284&amp;"",'Units Data'!$I$6:$I$10000&amp;"",'Units Data'!$B$6:$B$10000,"غير موجود",0))</f>
        <v>غير موجود</v>
      </c>
      <c r="D284" s="940">
        <v>34582904</v>
      </c>
      <c r="E284" s="941" t="s">
        <v>1076</v>
      </c>
      <c r="F284" s="941" t="s">
        <v>1077</v>
      </c>
      <c r="G284" s="941" t="s">
        <v>1078</v>
      </c>
      <c r="H284" s="941" t="s">
        <v>1083</v>
      </c>
      <c r="I284" s="941">
        <v>3000</v>
      </c>
      <c r="J284" s="944">
        <v>46022</v>
      </c>
      <c r="K284" s="944">
        <v>46020</v>
      </c>
      <c r="L284" s="941" t="s">
        <v>1159</v>
      </c>
      <c r="M284" s="941"/>
      <c r="N284" s="941" t="s">
        <v>1160</v>
      </c>
      <c r="O284" s="941" t="s">
        <v>1161</v>
      </c>
      <c r="P284" s="941" t="s">
        <v>1162</v>
      </c>
    </row>
    <row r="285" spans="1:16">
      <c r="A285" s="937"/>
      <c r="B285" s="937" t="str" cm="1">
        <f t="array" ref="B285">IF(P285="","",_xlfn.XLOOKUP(P285&amp;"",'Units Data'!$I$6:$I$10000&amp;"",'Units Data'!$C$6:$C$10000,"غير موجود",0))</f>
        <v>غير موجود</v>
      </c>
      <c r="C285" s="937" t="str" cm="1">
        <f t="array" ref="C285">IF(P285="","",_xlfn.XLOOKUP(P285&amp;"",'Units Data'!$I$6:$I$10000&amp;"",'Units Data'!$B$6:$B$10000,"غير موجود",0))</f>
        <v>غير موجود</v>
      </c>
      <c r="D285" s="940">
        <v>34563548</v>
      </c>
      <c r="E285" s="941" t="s">
        <v>1076</v>
      </c>
      <c r="F285" s="941" t="s">
        <v>1077</v>
      </c>
      <c r="G285" s="941" t="s">
        <v>1078</v>
      </c>
      <c r="H285" s="941" t="s">
        <v>1079</v>
      </c>
      <c r="I285" s="941">
        <v>3000</v>
      </c>
      <c r="J285" s="944">
        <v>46022</v>
      </c>
      <c r="K285" s="944">
        <v>46020</v>
      </c>
      <c r="L285" s="941" t="s">
        <v>1326</v>
      </c>
      <c r="M285" s="941"/>
      <c r="N285" s="941" t="s">
        <v>1327</v>
      </c>
      <c r="O285" s="941" t="s">
        <v>1161</v>
      </c>
      <c r="P285" s="941" t="s">
        <v>1328</v>
      </c>
    </row>
    <row r="286" spans="1:16">
      <c r="A286" s="937"/>
      <c r="B286" s="937" t="str" cm="1">
        <f t="array" ref="B286">IF(P286="","",_xlfn.XLOOKUP(P286&amp;"",'Units Data'!$I$6:$I$10000&amp;"",'Units Data'!$C$6:$C$10000,"غير موجود",0))</f>
        <v>غير موجود</v>
      </c>
      <c r="C286" s="937" t="str" cm="1">
        <f t="array" ref="C286">IF(P286="","",_xlfn.XLOOKUP(P286&amp;"",'Units Data'!$I$6:$I$10000&amp;"",'Units Data'!$B$6:$B$10000,"غير موجود",0))</f>
        <v>غير موجود</v>
      </c>
      <c r="D286" s="940">
        <v>34491525</v>
      </c>
      <c r="E286" s="941" t="s">
        <v>1076</v>
      </c>
      <c r="F286" s="941" t="s">
        <v>1077</v>
      </c>
      <c r="G286" s="941" t="s">
        <v>1078</v>
      </c>
      <c r="H286" s="941" t="s">
        <v>1079</v>
      </c>
      <c r="I286" s="941">
        <v>3000</v>
      </c>
      <c r="J286" s="944">
        <v>46020</v>
      </c>
      <c r="K286" s="944">
        <v>46019</v>
      </c>
      <c r="L286" s="941" t="s">
        <v>1329</v>
      </c>
      <c r="M286" s="941"/>
      <c r="N286" s="941" t="s">
        <v>1330</v>
      </c>
      <c r="O286" s="941" t="s">
        <v>1161</v>
      </c>
      <c r="P286" s="941" t="s">
        <v>1331</v>
      </c>
    </row>
    <row r="287" spans="1:16">
      <c r="A287" s="937"/>
      <c r="B287" s="937" cm="1">
        <f t="array" ref="B287">IF(P287="","",_xlfn.XLOOKUP(P287&amp;"",'Units Data'!$I$6:$I$10000&amp;"",'Units Data'!$C$6:$C$10000,"غير موجود",0))</f>
        <v>102</v>
      </c>
      <c r="C287" s="937" t="str" cm="1">
        <f t="array" ref="C287">IF(P287="","",_xlfn.XLOOKUP(P287&amp;"",'Units Data'!$I$6:$I$10000&amp;"",'Units Data'!$B$6:$B$10000,"غير موجود",0))</f>
        <v>F6</v>
      </c>
      <c r="D287" s="940">
        <v>34393608</v>
      </c>
      <c r="E287" s="941" t="s">
        <v>1076</v>
      </c>
      <c r="F287" s="941" t="s">
        <v>1077</v>
      </c>
      <c r="G287" s="941" t="s">
        <v>1078</v>
      </c>
      <c r="H287" s="941" t="s">
        <v>1083</v>
      </c>
      <c r="I287" s="941">
        <v>12000</v>
      </c>
      <c r="J287" s="944">
        <v>46020</v>
      </c>
      <c r="K287" s="944">
        <v>46016</v>
      </c>
      <c r="L287" s="941" t="s">
        <v>1030</v>
      </c>
      <c r="M287" s="941"/>
      <c r="N287" s="941" t="s">
        <v>1357</v>
      </c>
      <c r="O287" s="941" t="s">
        <v>1081</v>
      </c>
      <c r="P287" s="941" t="s">
        <v>1358</v>
      </c>
    </row>
    <row r="288" spans="1:16">
      <c r="A288" s="937"/>
      <c r="B288" s="937" cm="1">
        <f t="array" ref="B288">IF(P288="","",_xlfn.XLOOKUP(P288&amp;"",'Units Data'!$I$6:$I$10000&amp;"",'Units Data'!$C$6:$C$10000,"غير موجود",0))</f>
        <v>102</v>
      </c>
      <c r="C288" s="937" t="str" cm="1">
        <f t="array" ref="C288">IF(P288="","",_xlfn.XLOOKUP(P288&amp;"",'Units Data'!$I$6:$I$10000&amp;"",'Units Data'!$B$6:$B$10000,"غير موجود",0))</f>
        <v>S5</v>
      </c>
      <c r="D288" s="940">
        <v>34386352</v>
      </c>
      <c r="E288" s="941" t="s">
        <v>1076</v>
      </c>
      <c r="F288" s="941" t="s">
        <v>1077</v>
      </c>
      <c r="G288" s="941" t="s">
        <v>1078</v>
      </c>
      <c r="H288" s="941" t="s">
        <v>1083</v>
      </c>
      <c r="I288" s="941">
        <v>3800</v>
      </c>
      <c r="J288" s="944">
        <v>46020</v>
      </c>
      <c r="K288" s="944">
        <v>46016</v>
      </c>
      <c r="L288" s="941" t="s">
        <v>1347</v>
      </c>
      <c r="M288" s="941"/>
      <c r="N288" s="941" t="s">
        <v>1359</v>
      </c>
      <c r="O288" s="941" t="s">
        <v>1095</v>
      </c>
      <c r="P288" s="941" t="s">
        <v>1360</v>
      </c>
    </row>
    <row r="289" spans="1:16">
      <c r="A289" s="937"/>
      <c r="B289" s="937" t="str" cm="1">
        <f t="array" ref="B289">IF(P289="","",_xlfn.XLOOKUP(P289&amp;"",'Units Data'!$I$6:$I$10000&amp;"",'Units Data'!$C$6:$C$10000,"غير موجود",0))</f>
        <v>غير موجود</v>
      </c>
      <c r="C289" s="937" t="str" cm="1">
        <f t="array" ref="C289">IF(P289="","",_xlfn.XLOOKUP(P289&amp;"",'Units Data'!$I$6:$I$10000&amp;"",'Units Data'!$B$6:$B$10000,"غير موجود",0))</f>
        <v>غير موجود</v>
      </c>
      <c r="D289" s="940">
        <v>34252744</v>
      </c>
      <c r="E289" s="941" t="s">
        <v>1076</v>
      </c>
      <c r="F289" s="941" t="s">
        <v>1077</v>
      </c>
      <c r="G289" s="941" t="s">
        <v>1078</v>
      </c>
      <c r="H289" s="941" t="s">
        <v>1079</v>
      </c>
      <c r="I289" s="941">
        <v>1000</v>
      </c>
      <c r="J289" s="944">
        <v>46012</v>
      </c>
      <c r="K289" s="944">
        <v>46011</v>
      </c>
      <c r="L289" s="941" t="s">
        <v>1338</v>
      </c>
      <c r="M289" s="941"/>
      <c r="N289" s="941" t="s">
        <v>1339</v>
      </c>
      <c r="O289" s="941" t="s">
        <v>1122</v>
      </c>
      <c r="P289" s="941" t="s">
        <v>1340</v>
      </c>
    </row>
    <row r="290" spans="1:16">
      <c r="A290" s="937"/>
      <c r="B290" s="937" cm="1">
        <f t="array" ref="B290">IF(P290="","",_xlfn.XLOOKUP(P290&amp;"",'Units Data'!$I$6:$I$10000&amp;"",'Units Data'!$C$6:$C$10000,"غير موجود",0))</f>
        <v>102</v>
      </c>
      <c r="C290" s="937" t="str" cm="1">
        <f t="array" ref="C290">IF(P290="","",_xlfn.XLOOKUP(P290&amp;"",'Units Data'!$I$6:$I$10000&amp;"",'Units Data'!$B$6:$B$10000,"غير موجود",0))</f>
        <v>F2</v>
      </c>
      <c r="D290" s="940">
        <v>34251483</v>
      </c>
      <c r="E290" s="941" t="s">
        <v>1076</v>
      </c>
      <c r="F290" s="941" t="s">
        <v>1077</v>
      </c>
      <c r="G290" s="941" t="s">
        <v>1078</v>
      </c>
      <c r="H290" s="941" t="s">
        <v>1079</v>
      </c>
      <c r="I290" s="941">
        <v>3500</v>
      </c>
      <c r="J290" s="944">
        <v>46012</v>
      </c>
      <c r="K290" s="944">
        <v>46011</v>
      </c>
      <c r="L290" s="941" t="s">
        <v>1039</v>
      </c>
      <c r="M290" s="941"/>
      <c r="N290" s="941" t="s">
        <v>1361</v>
      </c>
      <c r="O290" s="941" t="s">
        <v>1095</v>
      </c>
      <c r="P290" s="941" t="s">
        <v>1362</v>
      </c>
    </row>
    <row r="291" spans="1:16">
      <c r="A291" s="937"/>
      <c r="B291" s="937" cm="1">
        <f t="array" ref="B291">IF(P291="","",_xlfn.XLOOKUP(P291&amp;"",'Units Data'!$I$6:$I$10000&amp;"",'Units Data'!$C$6:$C$10000,"غير موجود",0))</f>
        <v>102</v>
      </c>
      <c r="C291" s="937" t="str" cm="1">
        <f t="array" ref="C291">IF(P291="","",_xlfn.XLOOKUP(P291&amp;"",'Units Data'!$I$6:$I$10000&amp;"",'Units Data'!$B$6:$B$10000,"غير موجود",0))</f>
        <v>F1</v>
      </c>
      <c r="D291" s="940">
        <v>34245078</v>
      </c>
      <c r="E291" s="941" t="s">
        <v>1076</v>
      </c>
      <c r="F291" s="941" t="s">
        <v>1077</v>
      </c>
      <c r="G291" s="941" t="s">
        <v>1078</v>
      </c>
      <c r="H291" s="941" t="s">
        <v>1079</v>
      </c>
      <c r="I291" s="941">
        <v>3500</v>
      </c>
      <c r="J291" s="944">
        <v>46012</v>
      </c>
      <c r="K291" s="944">
        <v>46010</v>
      </c>
      <c r="L291" s="941" t="s">
        <v>81</v>
      </c>
      <c r="M291" s="941"/>
      <c r="N291" s="941" t="s">
        <v>1310</v>
      </c>
      <c r="O291" s="941" t="s">
        <v>1095</v>
      </c>
      <c r="P291" s="941" t="s">
        <v>1096</v>
      </c>
    </row>
    <row r="292" spans="1:16">
      <c r="A292" s="937"/>
      <c r="B292" s="937" t="str" cm="1">
        <f t="array" ref="B292">IF(P292="","",_xlfn.XLOOKUP(P292&amp;"",'Units Data'!$I$6:$I$10000&amp;"",'Units Data'!$C$6:$C$10000,"غير موجود",0))</f>
        <v>غير موجود</v>
      </c>
      <c r="C292" s="937" t="str" cm="1">
        <f t="array" ref="C292">IF(P292="","",_xlfn.XLOOKUP(P292&amp;"",'Units Data'!$I$6:$I$10000&amp;"",'Units Data'!$B$6:$B$10000,"غير موجود",0))</f>
        <v>غير موجود</v>
      </c>
      <c r="D292" s="940">
        <v>34196963</v>
      </c>
      <c r="E292" s="941" t="s">
        <v>1076</v>
      </c>
      <c r="F292" s="941" t="s">
        <v>1077</v>
      </c>
      <c r="G292" s="941" t="s">
        <v>1078</v>
      </c>
      <c r="H292" s="941" t="s">
        <v>1083</v>
      </c>
      <c r="I292" s="941">
        <v>1000</v>
      </c>
      <c r="J292" s="944">
        <v>46011</v>
      </c>
      <c r="K292" s="944">
        <v>46008</v>
      </c>
      <c r="L292" s="941" t="s">
        <v>1227</v>
      </c>
      <c r="M292" s="941"/>
      <c r="N292" s="941" t="s">
        <v>1363</v>
      </c>
      <c r="O292" s="941" t="s">
        <v>1122</v>
      </c>
      <c r="P292" s="941" t="s">
        <v>1229</v>
      </c>
    </row>
    <row r="293" spans="1:16">
      <c r="A293" s="937"/>
      <c r="B293" s="937" t="str" cm="1">
        <f t="array" ref="B293">IF(P293="","",_xlfn.XLOOKUP(P293&amp;"",'Units Data'!$I$6:$I$10000&amp;"",'Units Data'!$C$6:$C$10000,"غير موجود",0))</f>
        <v>غير موجود</v>
      </c>
      <c r="C293" s="937" t="str" cm="1">
        <f t="array" ref="C293">IF(P293="","",_xlfn.XLOOKUP(P293&amp;"",'Units Data'!$I$6:$I$10000&amp;"",'Units Data'!$B$6:$B$10000,"غير موجود",0))</f>
        <v>غير موجود</v>
      </c>
      <c r="D293" s="940">
        <v>34196837</v>
      </c>
      <c r="E293" s="941" t="s">
        <v>1076</v>
      </c>
      <c r="F293" s="941" t="s">
        <v>1077</v>
      </c>
      <c r="G293" s="941" t="s">
        <v>1078</v>
      </c>
      <c r="H293" s="941" t="s">
        <v>1083</v>
      </c>
      <c r="I293" s="941">
        <v>1000</v>
      </c>
      <c r="J293" s="944">
        <v>46011</v>
      </c>
      <c r="K293" s="944">
        <v>46008</v>
      </c>
      <c r="L293" s="941" t="s">
        <v>1317</v>
      </c>
      <c r="M293" s="941"/>
      <c r="N293" s="941" t="s">
        <v>1320</v>
      </c>
      <c r="O293" s="941" t="s">
        <v>1122</v>
      </c>
      <c r="P293" s="941" t="s">
        <v>1319</v>
      </c>
    </row>
    <row r="294" spans="1:16">
      <c r="A294" s="937"/>
      <c r="B294" s="937" cm="1">
        <f t="array" ref="B294">IF(P294="","",_xlfn.XLOOKUP(P294&amp;"",'Units Data'!$I$6:$I$10000&amp;"",'Units Data'!$C$6:$C$10000,"غير موجود",0))</f>
        <v>102</v>
      </c>
      <c r="C294" s="937" t="str" cm="1">
        <f t="array" ref="C294">IF(P294="","",_xlfn.XLOOKUP(P294&amp;"",'Units Data'!$I$6:$I$10000&amp;"",'Units Data'!$B$6:$B$10000,"غير موجود",0))</f>
        <v>S7</v>
      </c>
      <c r="D294" s="940">
        <v>34104266</v>
      </c>
      <c r="E294" s="941" t="s">
        <v>1076</v>
      </c>
      <c r="F294" s="941" t="s">
        <v>1077</v>
      </c>
      <c r="G294" s="941" t="s">
        <v>1078</v>
      </c>
      <c r="H294" s="941" t="s">
        <v>1083</v>
      </c>
      <c r="I294" s="941">
        <v>4000</v>
      </c>
      <c r="J294" s="944">
        <v>46007</v>
      </c>
      <c r="K294" s="944">
        <v>46005</v>
      </c>
      <c r="L294" s="941" t="s">
        <v>1315</v>
      </c>
      <c r="M294" s="941"/>
      <c r="N294" s="941" t="s">
        <v>1316</v>
      </c>
      <c r="O294" s="941" t="s">
        <v>1095</v>
      </c>
      <c r="P294" s="941" t="s">
        <v>1268</v>
      </c>
    </row>
    <row r="295" spans="1:16">
      <c r="A295" s="937"/>
      <c r="B295" s="937" t="str" cm="1">
        <f t="array" ref="B295">IF(P295="","",_xlfn.XLOOKUP(P295&amp;"",'Units Data'!$I$6:$I$10000&amp;"",'Units Data'!$C$6:$C$10000,"غير موجود",0))</f>
        <v>غير موجود</v>
      </c>
      <c r="C295" s="937" t="str" cm="1">
        <f t="array" ref="C295">IF(P295="","",_xlfn.XLOOKUP(P295&amp;"",'Units Data'!$I$6:$I$10000&amp;"",'Units Data'!$B$6:$B$10000,"غير موجود",0))</f>
        <v>غير موجود</v>
      </c>
      <c r="D295" s="940">
        <v>34103827</v>
      </c>
      <c r="E295" s="941" t="s">
        <v>1076</v>
      </c>
      <c r="F295" s="941" t="s">
        <v>1077</v>
      </c>
      <c r="G295" s="941" t="s">
        <v>1078</v>
      </c>
      <c r="H295" s="941" t="s">
        <v>1083</v>
      </c>
      <c r="I295" s="941">
        <v>4500</v>
      </c>
      <c r="J295" s="944">
        <v>46007</v>
      </c>
      <c r="K295" s="944">
        <v>46005</v>
      </c>
      <c r="L295" s="941" t="s">
        <v>1276</v>
      </c>
      <c r="M295" s="941"/>
      <c r="N295" s="941" t="s">
        <v>1277</v>
      </c>
      <c r="O295" s="941" t="s">
        <v>1111</v>
      </c>
      <c r="P295" s="941" t="s">
        <v>1278</v>
      </c>
    </row>
    <row r="296" spans="1:16">
      <c r="A296" s="937"/>
      <c r="B296" s="937" t="str" cm="1">
        <f t="array" ref="B296">IF(P296="","",_xlfn.XLOOKUP(P296&amp;"",'Units Data'!$I$6:$I$10000&amp;"",'Units Data'!$C$6:$C$10000,"غير موجود",0))</f>
        <v>غير موجود</v>
      </c>
      <c r="C296" s="937" t="str" cm="1">
        <f t="array" ref="C296">IF(P296="","",_xlfn.XLOOKUP(P296&amp;"",'Units Data'!$I$6:$I$10000&amp;"",'Units Data'!$B$6:$B$10000,"غير موجود",0))</f>
        <v>غير موجود</v>
      </c>
      <c r="D296" s="940">
        <v>34073349</v>
      </c>
      <c r="E296" s="941" t="s">
        <v>1076</v>
      </c>
      <c r="F296" s="941" t="s">
        <v>1077</v>
      </c>
      <c r="G296" s="941" t="s">
        <v>1078</v>
      </c>
      <c r="H296" s="941" t="s">
        <v>1083</v>
      </c>
      <c r="I296" s="941">
        <v>3000</v>
      </c>
      <c r="J296" s="944">
        <v>46006</v>
      </c>
      <c r="K296" s="944">
        <v>46003</v>
      </c>
      <c r="L296" s="941" t="s">
        <v>1205</v>
      </c>
      <c r="M296" s="941"/>
      <c r="N296" s="941" t="s">
        <v>1206</v>
      </c>
      <c r="O296" s="941" t="s">
        <v>1161</v>
      </c>
      <c r="P296" s="941" t="s">
        <v>1207</v>
      </c>
    </row>
    <row r="297" spans="1:16">
      <c r="A297" s="937"/>
      <c r="B297" s="937" t="str" cm="1">
        <f t="array" ref="B297">IF(P297="","",_xlfn.XLOOKUP(P297&amp;"",'Units Data'!$I$6:$I$10000&amp;"",'Units Data'!$C$6:$C$10000,"غير موجود",0))</f>
        <v>غير موجود</v>
      </c>
      <c r="C297" s="937" t="str" cm="1">
        <f t="array" ref="C297">IF(P297="","",_xlfn.XLOOKUP(P297&amp;"",'Units Data'!$I$6:$I$10000&amp;"",'Units Data'!$B$6:$B$10000,"غير موجود",0))</f>
        <v>غير موجود</v>
      </c>
      <c r="D297" s="940">
        <v>33960049</v>
      </c>
      <c r="E297" s="941" t="s">
        <v>1076</v>
      </c>
      <c r="F297" s="941" t="s">
        <v>1077</v>
      </c>
      <c r="G297" s="941" t="s">
        <v>1078</v>
      </c>
      <c r="H297" s="941" t="s">
        <v>1083</v>
      </c>
      <c r="I297" s="941">
        <v>1000</v>
      </c>
      <c r="J297" s="944">
        <v>46001</v>
      </c>
      <c r="K297" s="944">
        <v>45999</v>
      </c>
      <c r="L297" s="941" t="s">
        <v>1120</v>
      </c>
      <c r="M297" s="941"/>
      <c r="N297" s="941" t="s">
        <v>1364</v>
      </c>
      <c r="O297" s="941" t="s">
        <v>1122</v>
      </c>
      <c r="P297" s="941" t="s">
        <v>1123</v>
      </c>
    </row>
    <row r="298" spans="1:16">
      <c r="A298" s="937"/>
      <c r="B298" s="937" cm="1">
        <f t="array" ref="B298">IF(P298="","",_xlfn.XLOOKUP(P298&amp;"",'Units Data'!$I$6:$I$10000&amp;"",'Units Data'!$C$6:$C$10000,"غير موجود",0))</f>
        <v>102</v>
      </c>
      <c r="C298" s="937" t="str" cm="1">
        <f t="array" ref="C298">IF(P298="","",_xlfn.XLOOKUP(P298&amp;"",'Units Data'!$I$6:$I$10000&amp;"",'Units Data'!$B$6:$B$10000,"غير موجود",0))</f>
        <v>F4</v>
      </c>
      <c r="D298" s="940">
        <v>33944311</v>
      </c>
      <c r="E298" s="941" t="s">
        <v>1076</v>
      </c>
      <c r="F298" s="941" t="s">
        <v>1077</v>
      </c>
      <c r="G298" s="941" t="s">
        <v>1078</v>
      </c>
      <c r="H298" s="941" t="s">
        <v>1083</v>
      </c>
      <c r="I298" s="941">
        <v>3500</v>
      </c>
      <c r="J298" s="944">
        <v>46001</v>
      </c>
      <c r="K298" s="944">
        <v>45999</v>
      </c>
      <c r="L298" s="941" t="s">
        <v>1296</v>
      </c>
      <c r="M298" s="941"/>
      <c r="N298" s="941" t="s">
        <v>1297</v>
      </c>
      <c r="O298" s="941" t="s">
        <v>1095</v>
      </c>
      <c r="P298" s="941" t="s">
        <v>1298</v>
      </c>
    </row>
    <row r="299" spans="1:16">
      <c r="A299" s="937"/>
      <c r="B299" s="937" t="str" cm="1">
        <f t="array" ref="B299">IF(P299="","",_xlfn.XLOOKUP(P299&amp;"",'Units Data'!$I$6:$I$10000&amp;"",'Units Data'!$C$6:$C$10000,"غير موجود",0))</f>
        <v>غير موجود</v>
      </c>
      <c r="C299" s="937" t="str" cm="1">
        <f t="array" ref="C299">IF(P299="","",_xlfn.XLOOKUP(P299&amp;"",'Units Data'!$I$6:$I$10000&amp;"",'Units Data'!$B$6:$B$10000,"غير موجود",0))</f>
        <v>غير موجود</v>
      </c>
      <c r="D299" s="940">
        <v>33896727</v>
      </c>
      <c r="E299" s="941" t="s">
        <v>1076</v>
      </c>
      <c r="F299" s="941" t="s">
        <v>1077</v>
      </c>
      <c r="G299" s="941" t="s">
        <v>1078</v>
      </c>
      <c r="H299" s="941" t="s">
        <v>1083</v>
      </c>
      <c r="I299" s="941">
        <v>1000</v>
      </c>
      <c r="J299" s="944">
        <v>46000</v>
      </c>
      <c r="K299" s="944">
        <v>45998</v>
      </c>
      <c r="L299" s="941" t="s">
        <v>1196</v>
      </c>
      <c r="M299" s="941"/>
      <c r="N299" s="941" t="s">
        <v>1336</v>
      </c>
      <c r="O299" s="941" t="s">
        <v>1122</v>
      </c>
      <c r="P299" s="941" t="s">
        <v>1337</v>
      </c>
    </row>
    <row r="300" spans="1:16">
      <c r="A300" s="937"/>
      <c r="B300" s="937" t="str" cm="1">
        <f t="array" ref="B300">IF(P300="","",_xlfn.XLOOKUP(P300&amp;"",'Units Data'!$I$6:$I$10000&amp;"",'Units Data'!$C$6:$C$10000,"غير موجود",0))</f>
        <v>غير موجود</v>
      </c>
      <c r="C300" s="937" t="str" cm="1">
        <f t="array" ref="C300">IF(P300="","",_xlfn.XLOOKUP(P300&amp;"",'Units Data'!$I$6:$I$10000&amp;"",'Units Data'!$B$6:$B$10000,"غير موجود",0))</f>
        <v>غير موجود</v>
      </c>
      <c r="D300" s="940">
        <v>33868120</v>
      </c>
      <c r="E300" s="941" t="s">
        <v>1076</v>
      </c>
      <c r="F300" s="941" t="s">
        <v>1077</v>
      </c>
      <c r="G300" s="941" t="s">
        <v>1078</v>
      </c>
      <c r="H300" s="941" t="s">
        <v>1083</v>
      </c>
      <c r="I300" s="941">
        <v>1000</v>
      </c>
      <c r="J300" s="944">
        <v>45999</v>
      </c>
      <c r="K300" s="944">
        <v>45997</v>
      </c>
      <c r="L300" s="941" t="s">
        <v>1365</v>
      </c>
      <c r="M300" s="941"/>
      <c r="N300" s="941" t="s">
        <v>1366</v>
      </c>
      <c r="O300" s="941" t="s">
        <v>1122</v>
      </c>
      <c r="P300" s="941" t="s">
        <v>1367</v>
      </c>
    </row>
    <row r="301" spans="1:16">
      <c r="A301" s="937"/>
      <c r="B301" s="937" t="str" cm="1">
        <f t="array" ref="B301">IF(P301="","",_xlfn.XLOOKUP(P301&amp;"",'Units Data'!$I$6:$I$10000&amp;"",'Units Data'!$C$6:$C$10000,"غير موجود",0))</f>
        <v>غير موجود</v>
      </c>
      <c r="C301" s="937" t="str" cm="1">
        <f t="array" ref="C301">IF(P301="","",_xlfn.XLOOKUP(P301&amp;"",'Units Data'!$I$6:$I$10000&amp;"",'Units Data'!$B$6:$B$10000,"غير موجود",0))</f>
        <v>غير موجود</v>
      </c>
      <c r="D301" s="940">
        <v>33868106</v>
      </c>
      <c r="E301" s="941" t="s">
        <v>1076</v>
      </c>
      <c r="F301" s="941" t="s">
        <v>1077</v>
      </c>
      <c r="G301" s="941" t="s">
        <v>1078</v>
      </c>
      <c r="H301" s="941" t="s">
        <v>1083</v>
      </c>
      <c r="I301" s="941">
        <v>1000</v>
      </c>
      <c r="J301" s="944">
        <v>45999</v>
      </c>
      <c r="K301" s="944">
        <v>45997</v>
      </c>
      <c r="L301" s="941" t="s">
        <v>1153</v>
      </c>
      <c r="M301" s="941"/>
      <c r="N301" s="941" t="s">
        <v>1355</v>
      </c>
      <c r="O301" s="941" t="s">
        <v>1122</v>
      </c>
      <c r="P301" s="941" t="s">
        <v>1155</v>
      </c>
    </row>
    <row r="302" spans="1:16">
      <c r="A302" s="937"/>
      <c r="B302" s="937" t="str" cm="1">
        <f t="array" ref="B302">IF(P302="","",_xlfn.XLOOKUP(P302&amp;"",'Units Data'!$I$6:$I$10000&amp;"",'Units Data'!$C$6:$C$10000,"غير موجود",0))</f>
        <v>غير موجود</v>
      </c>
      <c r="C302" s="937" t="str" cm="1">
        <f t="array" ref="C302">IF(P302="","",_xlfn.XLOOKUP(P302&amp;"",'Units Data'!$I$6:$I$10000&amp;"",'Units Data'!$B$6:$B$10000,"غير موجود",0))</f>
        <v>غير موجود</v>
      </c>
      <c r="D302" s="940">
        <v>33797916</v>
      </c>
      <c r="E302" s="941" t="s">
        <v>1076</v>
      </c>
      <c r="F302" s="941" t="s">
        <v>1077</v>
      </c>
      <c r="G302" s="941" t="s">
        <v>1078</v>
      </c>
      <c r="H302" s="941" t="s">
        <v>1083</v>
      </c>
      <c r="I302" s="941">
        <v>1000</v>
      </c>
      <c r="J302" s="944">
        <v>45997</v>
      </c>
      <c r="K302" s="944">
        <v>45994</v>
      </c>
      <c r="L302" s="941" t="s">
        <v>1304</v>
      </c>
      <c r="M302" s="941"/>
      <c r="N302" s="941" t="s">
        <v>1351</v>
      </c>
      <c r="O302" s="941" t="s">
        <v>1122</v>
      </c>
      <c r="P302" s="941" t="s">
        <v>1306</v>
      </c>
    </row>
    <row r="303" spans="1:16">
      <c r="A303" s="937"/>
      <c r="B303" s="937" t="str" cm="1">
        <f t="array" ref="B303">IF(P303="","",_xlfn.XLOOKUP(P303&amp;"",'Units Data'!$I$6:$I$10000&amp;"",'Units Data'!$C$6:$C$10000,"غير موجود",0))</f>
        <v>غير موجود</v>
      </c>
      <c r="C303" s="937" t="str" cm="1">
        <f t="array" ref="C303">IF(P303="","",_xlfn.XLOOKUP(P303&amp;"",'Units Data'!$I$6:$I$10000&amp;"",'Units Data'!$B$6:$B$10000,"غير موجود",0))</f>
        <v>غير موجود</v>
      </c>
      <c r="D303" s="940">
        <v>33586078</v>
      </c>
      <c r="E303" s="941" t="s">
        <v>1076</v>
      </c>
      <c r="F303" s="941" t="s">
        <v>1077</v>
      </c>
      <c r="G303" s="941" t="s">
        <v>1078</v>
      </c>
      <c r="H303" s="941" t="s">
        <v>1079</v>
      </c>
      <c r="I303" s="941">
        <v>3000</v>
      </c>
      <c r="J303" s="944">
        <v>45994</v>
      </c>
      <c r="K303" s="944">
        <v>45992</v>
      </c>
      <c r="L303" s="941" t="s">
        <v>1284</v>
      </c>
      <c r="M303" s="941"/>
      <c r="N303" s="941" t="s">
        <v>1290</v>
      </c>
      <c r="O303" s="941" t="s">
        <v>1111</v>
      </c>
      <c r="P303" s="941" t="s">
        <v>1286</v>
      </c>
    </row>
    <row r="304" spans="1:16">
      <c r="A304" s="937"/>
      <c r="B304" s="937" t="str" cm="1">
        <f t="array" ref="B304">IF(P304="","",_xlfn.XLOOKUP(P304&amp;"",'Units Data'!$I$6:$I$10000&amp;"",'Units Data'!$C$6:$C$10000,"غير موجود",0))</f>
        <v>غير موجود</v>
      </c>
      <c r="C304" s="937" t="str" cm="1">
        <f t="array" ref="C304">IF(P304="","",_xlfn.XLOOKUP(P304&amp;"",'Units Data'!$I$6:$I$10000&amp;"",'Units Data'!$B$6:$B$10000,"غير موجود",0))</f>
        <v>غير موجود</v>
      </c>
      <c r="D304" s="940">
        <v>33512370</v>
      </c>
      <c r="E304" s="941" t="s">
        <v>1076</v>
      </c>
      <c r="F304" s="941" t="s">
        <v>1077</v>
      </c>
      <c r="G304" s="941" t="s">
        <v>1078</v>
      </c>
      <c r="H304" s="941" t="s">
        <v>1083</v>
      </c>
      <c r="I304" s="941">
        <v>2875</v>
      </c>
      <c r="J304" s="944">
        <v>45993</v>
      </c>
      <c r="K304" s="944">
        <v>45990</v>
      </c>
      <c r="L304" s="941" t="s">
        <v>1159</v>
      </c>
      <c r="M304" s="941"/>
      <c r="N304" s="941" t="s">
        <v>1160</v>
      </c>
      <c r="O304" s="941" t="s">
        <v>1161</v>
      </c>
      <c r="P304" s="941" t="s">
        <v>1162</v>
      </c>
    </row>
    <row r="305" spans="1:16">
      <c r="A305" s="937"/>
      <c r="B305" s="937" cm="1">
        <f t="array" ref="B305">IF(P305="","",_xlfn.XLOOKUP(P305&amp;"",'Units Data'!$I$6:$I$10000&amp;"",'Units Data'!$C$6:$C$10000,"غير موجود",0))</f>
        <v>102</v>
      </c>
      <c r="C305" s="937" t="str" cm="1">
        <f t="array" ref="C305">IF(P305="","",_xlfn.XLOOKUP(P305&amp;"",'Units Data'!$I$6:$I$10000&amp;"",'Units Data'!$B$6:$B$10000,"غير موجود",0))</f>
        <v>S4</v>
      </c>
      <c r="D305" s="940">
        <v>33442649</v>
      </c>
      <c r="E305" s="941" t="s">
        <v>1076</v>
      </c>
      <c r="F305" s="941" t="s">
        <v>1077</v>
      </c>
      <c r="G305" s="941" t="s">
        <v>1078</v>
      </c>
      <c r="H305" s="941" t="s">
        <v>1079</v>
      </c>
      <c r="I305" s="941">
        <v>3800</v>
      </c>
      <c r="J305" s="944">
        <v>45992</v>
      </c>
      <c r="K305" s="944">
        <v>45988</v>
      </c>
      <c r="L305" s="941" t="s">
        <v>1307</v>
      </c>
      <c r="M305" s="941"/>
      <c r="N305" s="941" t="s">
        <v>1341</v>
      </c>
      <c r="O305" s="941" t="s">
        <v>1095</v>
      </c>
      <c r="P305" s="941" t="s">
        <v>1342</v>
      </c>
    </row>
    <row r="306" spans="1:16">
      <c r="A306" s="937"/>
      <c r="B306" s="937" t="str" cm="1">
        <f t="array" ref="B306">IF(P306="","",_xlfn.XLOOKUP(P306&amp;"",'Units Data'!$I$6:$I$10000&amp;"",'Units Data'!$C$6:$C$10000,"غير موجود",0))</f>
        <v>غير موجود</v>
      </c>
      <c r="C306" s="937" t="str" cm="1">
        <f t="array" ref="C306">IF(P306="","",_xlfn.XLOOKUP(P306&amp;"",'Units Data'!$I$6:$I$10000&amp;"",'Units Data'!$B$6:$B$10000,"غير موجود",0))</f>
        <v>غير موجود</v>
      </c>
      <c r="D306" s="940">
        <v>33439595</v>
      </c>
      <c r="E306" s="941" t="s">
        <v>1076</v>
      </c>
      <c r="F306" s="941" t="s">
        <v>1077</v>
      </c>
      <c r="G306" s="941" t="s">
        <v>1078</v>
      </c>
      <c r="H306" s="941" t="s">
        <v>1083</v>
      </c>
      <c r="I306" s="941">
        <v>1000</v>
      </c>
      <c r="J306" s="944">
        <v>45993</v>
      </c>
      <c r="K306" s="944">
        <v>45988</v>
      </c>
      <c r="L306" s="941" t="s">
        <v>1227</v>
      </c>
      <c r="M306" s="941"/>
      <c r="N306" s="941" t="s">
        <v>1363</v>
      </c>
      <c r="O306" s="941" t="s">
        <v>1122</v>
      </c>
      <c r="P306" s="941" t="s">
        <v>1229</v>
      </c>
    </row>
    <row r="307" spans="1:16">
      <c r="A307" s="937"/>
      <c r="B307" s="937" t="str" cm="1">
        <f t="array" ref="B307">IF(P307="","",_xlfn.XLOOKUP(P307&amp;"",'Units Data'!$I$6:$I$10000&amp;"",'Units Data'!$C$6:$C$10000,"غير موجود",0))</f>
        <v>غير موجود</v>
      </c>
      <c r="C307" s="937" t="str" cm="1">
        <f t="array" ref="C307">IF(P307="","",_xlfn.XLOOKUP(P307&amp;"",'Units Data'!$I$6:$I$10000&amp;"",'Units Data'!$B$6:$B$10000,"غير موجود",0))</f>
        <v>غير موجود</v>
      </c>
      <c r="D307" s="940">
        <v>33439522</v>
      </c>
      <c r="E307" s="941" t="s">
        <v>1076</v>
      </c>
      <c r="F307" s="941" t="s">
        <v>1077</v>
      </c>
      <c r="G307" s="941" t="s">
        <v>1078</v>
      </c>
      <c r="H307" s="941" t="s">
        <v>1083</v>
      </c>
      <c r="I307" s="941">
        <v>3000</v>
      </c>
      <c r="J307" s="944">
        <v>45993</v>
      </c>
      <c r="K307" s="944">
        <v>45988</v>
      </c>
      <c r="L307" s="941" t="s">
        <v>1191</v>
      </c>
      <c r="M307" s="941"/>
      <c r="N307" s="941" t="s">
        <v>1356</v>
      </c>
      <c r="O307" s="941" t="s">
        <v>1122</v>
      </c>
      <c r="P307" s="941" t="s">
        <v>1193</v>
      </c>
    </row>
    <row r="308" spans="1:16">
      <c r="A308" s="937"/>
      <c r="B308" s="937" t="str" cm="1">
        <f t="array" ref="B308">IF(P308="","",_xlfn.XLOOKUP(P308&amp;"",'Units Data'!$I$6:$I$10000&amp;"",'Units Data'!$C$6:$C$10000,"غير موجود",0))</f>
        <v>غير موجود</v>
      </c>
      <c r="C308" s="937" t="str" cm="1">
        <f t="array" ref="C308">IF(P308="","",_xlfn.XLOOKUP(P308&amp;"",'Units Data'!$I$6:$I$10000&amp;"",'Units Data'!$B$6:$B$10000,"غير موجود",0))</f>
        <v>غير موجود</v>
      </c>
      <c r="D308" s="940">
        <v>33426148</v>
      </c>
      <c r="E308" s="941" t="s">
        <v>1076</v>
      </c>
      <c r="F308" s="941" t="s">
        <v>1077</v>
      </c>
      <c r="G308" s="941" t="s">
        <v>1078</v>
      </c>
      <c r="H308" s="941" t="s">
        <v>1079</v>
      </c>
      <c r="I308" s="941">
        <v>3000</v>
      </c>
      <c r="J308" s="944">
        <v>45992</v>
      </c>
      <c r="K308" s="944">
        <v>45988</v>
      </c>
      <c r="L308" s="941" t="s">
        <v>1329</v>
      </c>
      <c r="M308" s="941"/>
      <c r="N308" s="941" t="s">
        <v>1330</v>
      </c>
      <c r="O308" s="941" t="s">
        <v>1161</v>
      </c>
      <c r="P308" s="941" t="s">
        <v>1331</v>
      </c>
    </row>
    <row r="309" spans="1:16">
      <c r="A309" s="937"/>
      <c r="B309" s="937" t="str" cm="1">
        <f t="array" ref="B309">IF(P309="","",_xlfn.XLOOKUP(P309&amp;"",'Units Data'!$I$6:$I$10000&amp;"",'Units Data'!$C$6:$C$10000,"غير موجود",0))</f>
        <v>غير موجود</v>
      </c>
      <c r="C309" s="937" t="str" cm="1">
        <f t="array" ref="C309">IF(P309="","",_xlfn.XLOOKUP(P309&amp;"",'Units Data'!$I$6:$I$10000&amp;"",'Units Data'!$B$6:$B$10000,"غير موجود",0))</f>
        <v>غير موجود</v>
      </c>
      <c r="D309" s="940">
        <v>33395072</v>
      </c>
      <c r="E309" s="941" t="s">
        <v>1076</v>
      </c>
      <c r="F309" s="941" t="s">
        <v>1077</v>
      </c>
      <c r="G309" s="941" t="s">
        <v>1078</v>
      </c>
      <c r="H309" s="941" t="s">
        <v>1079</v>
      </c>
      <c r="I309" s="941">
        <v>24750</v>
      </c>
      <c r="J309" s="944">
        <v>45991</v>
      </c>
      <c r="K309" s="944">
        <v>45988</v>
      </c>
      <c r="L309" s="941" t="s">
        <v>1368</v>
      </c>
      <c r="M309" s="941"/>
      <c r="N309" s="941" t="s">
        <v>1369</v>
      </c>
      <c r="O309" s="941" t="s">
        <v>1111</v>
      </c>
      <c r="P309" s="941" t="s">
        <v>1370</v>
      </c>
    </row>
    <row r="310" spans="1:16">
      <c r="A310" s="937"/>
      <c r="B310" s="937" cm="1">
        <f t="array" ref="B310">IF(P310="","",_xlfn.XLOOKUP(P310&amp;"",'Units Data'!$I$6:$I$10000&amp;"",'Units Data'!$C$6:$C$10000,"غير موجود",0))</f>
        <v>102</v>
      </c>
      <c r="C310" s="937" t="str" cm="1">
        <f t="array" ref="C310">IF(P310="","",_xlfn.XLOOKUP(P310&amp;"",'Units Data'!$I$6:$I$10000&amp;"",'Units Data'!$B$6:$B$10000,"غير موجود",0))</f>
        <v>F2</v>
      </c>
      <c r="D310" s="940">
        <v>33390710</v>
      </c>
      <c r="E310" s="941" t="s">
        <v>1076</v>
      </c>
      <c r="F310" s="941" t="s">
        <v>1077</v>
      </c>
      <c r="G310" s="941" t="s">
        <v>1078</v>
      </c>
      <c r="H310" s="941" t="s">
        <v>1083</v>
      </c>
      <c r="I310" s="941">
        <v>3000</v>
      </c>
      <c r="J310" s="944">
        <v>45993</v>
      </c>
      <c r="K310" s="944">
        <v>45988</v>
      </c>
      <c r="L310" s="941" t="s">
        <v>1016</v>
      </c>
      <c r="M310" s="941"/>
      <c r="N310" s="941" t="s">
        <v>1371</v>
      </c>
      <c r="O310" s="941" t="s">
        <v>1095</v>
      </c>
      <c r="P310" s="941" t="s">
        <v>1372</v>
      </c>
    </row>
    <row r="311" spans="1:16">
      <c r="A311" s="937"/>
      <c r="B311" s="937" cm="1">
        <f t="array" ref="B311">IF(P311="","",_xlfn.XLOOKUP(P311&amp;"",'Units Data'!$I$6:$I$10000&amp;"",'Units Data'!$C$6:$C$10000,"غير موجود",0))</f>
        <v>102</v>
      </c>
      <c r="C311" s="937" t="str" cm="1">
        <f t="array" ref="C311">IF(P311="","",_xlfn.XLOOKUP(P311&amp;"",'Units Data'!$I$6:$I$10000&amp;"",'Units Data'!$B$6:$B$10000,"غير موجود",0))</f>
        <v>S5</v>
      </c>
      <c r="D311" s="940">
        <v>33338212</v>
      </c>
      <c r="E311" s="941" t="s">
        <v>1076</v>
      </c>
      <c r="F311" s="941" t="s">
        <v>1077</v>
      </c>
      <c r="G311" s="941" t="s">
        <v>1078</v>
      </c>
      <c r="H311" s="941" t="s">
        <v>1083</v>
      </c>
      <c r="I311" s="941">
        <v>3800</v>
      </c>
      <c r="J311" s="944">
        <v>45990</v>
      </c>
      <c r="K311" s="944">
        <v>45987</v>
      </c>
      <c r="L311" s="941" t="s">
        <v>1347</v>
      </c>
      <c r="M311" s="941"/>
      <c r="N311" s="941" t="s">
        <v>1359</v>
      </c>
      <c r="O311" s="941" t="s">
        <v>1095</v>
      </c>
      <c r="P311" s="941" t="s">
        <v>1360</v>
      </c>
    </row>
    <row r="312" spans="1:16">
      <c r="A312" s="937"/>
      <c r="B312" s="937" cm="1">
        <f t="array" ref="B312">IF(P312="","",_xlfn.XLOOKUP(P312&amp;"",'Units Data'!$I$6:$I$10000&amp;"",'Units Data'!$C$6:$C$10000,"غير موجود",0))</f>
        <v>102</v>
      </c>
      <c r="C312" s="937" t="str" cm="1">
        <f t="array" ref="C312">IF(P312="","",_xlfn.XLOOKUP(P312&amp;"",'Units Data'!$I$6:$I$10000&amp;"",'Units Data'!$B$6:$B$10000,"غير موجود",0))</f>
        <v>F5</v>
      </c>
      <c r="D312" s="940">
        <v>33327388</v>
      </c>
      <c r="E312" s="941" t="s">
        <v>1076</v>
      </c>
      <c r="F312" s="941" t="s">
        <v>1077</v>
      </c>
      <c r="G312" s="941" t="s">
        <v>1078</v>
      </c>
      <c r="H312" s="941" t="s">
        <v>1083</v>
      </c>
      <c r="I312" s="941">
        <v>4000</v>
      </c>
      <c r="J312" s="944">
        <v>45988</v>
      </c>
      <c r="K312" s="944">
        <v>45986</v>
      </c>
      <c r="L312" s="941" t="s">
        <v>1352</v>
      </c>
      <c r="M312" s="941"/>
      <c r="N312" s="941" t="s">
        <v>1353</v>
      </c>
      <c r="O312" s="941" t="s">
        <v>1081</v>
      </c>
      <c r="P312" s="941" t="s">
        <v>1354</v>
      </c>
    </row>
    <row r="313" spans="1:16">
      <c r="A313" s="937"/>
      <c r="B313" s="937" cm="1">
        <f t="array" ref="B313">IF(P313="","",_xlfn.XLOOKUP(P313&amp;"",'Units Data'!$I$6:$I$10000&amp;"",'Units Data'!$C$6:$C$10000,"غير موجود",0))</f>
        <v>102</v>
      </c>
      <c r="C313" s="937" t="str" cm="1">
        <f t="array" ref="C313">IF(P313="","",_xlfn.XLOOKUP(P313&amp;"",'Units Data'!$I$6:$I$10000&amp;"",'Units Data'!$B$6:$B$10000,"غير موجود",0))</f>
        <v>S6</v>
      </c>
      <c r="D313" s="940">
        <v>33272149</v>
      </c>
      <c r="E313" s="941" t="s">
        <v>1076</v>
      </c>
      <c r="F313" s="941" t="s">
        <v>1077</v>
      </c>
      <c r="G313" s="941" t="s">
        <v>1078</v>
      </c>
      <c r="H313" s="941" t="s">
        <v>1079</v>
      </c>
      <c r="I313" s="941">
        <v>3800</v>
      </c>
      <c r="J313" s="944">
        <v>45985</v>
      </c>
      <c r="K313" s="944">
        <v>45984</v>
      </c>
      <c r="L313" s="941" t="s">
        <v>1291</v>
      </c>
      <c r="M313" s="941"/>
      <c r="N313" s="941" t="s">
        <v>1373</v>
      </c>
      <c r="O313" s="941" t="s">
        <v>1095</v>
      </c>
      <c r="P313" s="941" t="s">
        <v>1374</v>
      </c>
    </row>
    <row r="314" spans="1:16">
      <c r="A314" s="937"/>
      <c r="B314" s="937" t="str" cm="1">
        <f t="array" ref="B314">IF(P314="","",_xlfn.XLOOKUP(P314&amp;"",'Units Data'!$I$6:$I$10000&amp;"",'Units Data'!$C$6:$C$10000,"غير موجود",0))</f>
        <v>غير موجود</v>
      </c>
      <c r="C314" s="937" t="str" cm="1">
        <f t="array" ref="C314">IF(P314="","",_xlfn.XLOOKUP(P314&amp;"",'Units Data'!$I$6:$I$10000&amp;"",'Units Data'!$B$6:$B$10000,"غير موجود",0))</f>
        <v>غير موجود</v>
      </c>
      <c r="D314" s="940">
        <v>33239251</v>
      </c>
      <c r="E314" s="941" t="s">
        <v>1076</v>
      </c>
      <c r="F314" s="941" t="s">
        <v>1077</v>
      </c>
      <c r="G314" s="941" t="s">
        <v>1078</v>
      </c>
      <c r="H314" s="941" t="s">
        <v>1079</v>
      </c>
      <c r="I314" s="941">
        <v>1000</v>
      </c>
      <c r="J314" s="944">
        <v>45983</v>
      </c>
      <c r="K314" s="944">
        <v>45981</v>
      </c>
      <c r="L314" s="941" t="s">
        <v>1338</v>
      </c>
      <c r="M314" s="941"/>
      <c r="N314" s="941" t="s">
        <v>1339</v>
      </c>
      <c r="O314" s="941" t="s">
        <v>1122</v>
      </c>
      <c r="P314" s="941" t="s">
        <v>1340</v>
      </c>
    </row>
    <row r="315" spans="1:16">
      <c r="A315" s="937"/>
      <c r="B315" s="937" t="str" cm="1">
        <f t="array" ref="B315">IF(P315="","",_xlfn.XLOOKUP(P315&amp;"",'Units Data'!$I$6:$I$10000&amp;"",'Units Data'!$C$6:$C$10000,"غير موجود",0))</f>
        <v>غير موجود</v>
      </c>
      <c r="C315" s="937" t="str" cm="1">
        <f t="array" ref="C315">IF(P315="","",_xlfn.XLOOKUP(P315&amp;"",'Units Data'!$I$6:$I$10000&amp;"",'Units Data'!$B$6:$B$10000,"غير موجود",0))</f>
        <v>غير موجود</v>
      </c>
      <c r="D315" s="940">
        <v>33187689</v>
      </c>
      <c r="E315" s="941" t="s">
        <v>1076</v>
      </c>
      <c r="F315" s="941" t="s">
        <v>1077</v>
      </c>
      <c r="G315" s="941" t="s">
        <v>1078</v>
      </c>
      <c r="H315" s="941" t="s">
        <v>1083</v>
      </c>
      <c r="I315" s="941">
        <v>1000</v>
      </c>
      <c r="J315" s="944">
        <v>45981</v>
      </c>
      <c r="K315" s="944">
        <v>45979</v>
      </c>
      <c r="L315" s="941" t="s">
        <v>1263</v>
      </c>
      <c r="M315" s="941"/>
      <c r="N315" s="941" t="s">
        <v>1264</v>
      </c>
      <c r="O315" s="941" t="s">
        <v>1122</v>
      </c>
      <c r="P315" s="941" t="s">
        <v>1265</v>
      </c>
    </row>
    <row r="316" spans="1:16">
      <c r="A316" s="937"/>
      <c r="B316" s="937" cm="1">
        <f t="array" ref="B316">IF(P316="","",_xlfn.XLOOKUP(P316&amp;"",'Units Data'!$I$6:$I$10000&amp;"",'Units Data'!$C$6:$C$10000,"غير موجود",0))</f>
        <v>102</v>
      </c>
      <c r="C316" s="937" t="str" cm="1">
        <f t="array" ref="C316">IF(P316="","",_xlfn.XLOOKUP(P316&amp;"",'Units Data'!$I$6:$I$10000&amp;"",'Units Data'!$B$6:$B$10000,"غير موجود",0))</f>
        <v>F7</v>
      </c>
      <c r="D316" s="940">
        <v>33156209</v>
      </c>
      <c r="E316" s="941" t="s">
        <v>1076</v>
      </c>
      <c r="F316" s="941" t="s">
        <v>1077</v>
      </c>
      <c r="G316" s="941" t="s">
        <v>1078</v>
      </c>
      <c r="H316" s="941" t="s">
        <v>1079</v>
      </c>
      <c r="I316" s="941">
        <v>24000</v>
      </c>
      <c r="J316" s="944">
        <v>45980</v>
      </c>
      <c r="K316" s="944">
        <v>45978</v>
      </c>
      <c r="L316" s="941" t="s">
        <v>1029</v>
      </c>
      <c r="M316" s="941"/>
      <c r="N316" s="941" t="s">
        <v>1375</v>
      </c>
      <c r="O316" s="941" t="s">
        <v>1081</v>
      </c>
      <c r="P316" s="941" t="s">
        <v>1376</v>
      </c>
    </row>
    <row r="317" spans="1:16">
      <c r="A317" s="937"/>
      <c r="B317" s="937" cm="1">
        <f t="array" ref="B317">IF(P317="","",_xlfn.XLOOKUP(P317&amp;"",'Units Data'!$I$6:$I$10000&amp;"",'Units Data'!$C$6:$C$10000,"غير موجود",0))</f>
        <v>102</v>
      </c>
      <c r="C317" s="937" t="str" cm="1">
        <f t="array" ref="C317">IF(P317="","",_xlfn.XLOOKUP(P317&amp;"",'Units Data'!$I$6:$I$10000&amp;"",'Units Data'!$B$6:$B$10000,"غير موجود",0))</f>
        <v>S7</v>
      </c>
      <c r="D317" s="940">
        <v>33043102</v>
      </c>
      <c r="E317" s="941" t="s">
        <v>1076</v>
      </c>
      <c r="F317" s="941" t="s">
        <v>1077</v>
      </c>
      <c r="G317" s="941" t="s">
        <v>1078</v>
      </c>
      <c r="H317" s="941" t="s">
        <v>1079</v>
      </c>
      <c r="I317" s="941">
        <v>4000</v>
      </c>
      <c r="J317" s="944">
        <v>45974</v>
      </c>
      <c r="K317" s="944">
        <v>45973</v>
      </c>
      <c r="L317" s="941" t="s">
        <v>1315</v>
      </c>
      <c r="M317" s="941"/>
      <c r="N317" s="941" t="s">
        <v>1316</v>
      </c>
      <c r="O317" s="941" t="s">
        <v>1095</v>
      </c>
      <c r="P317" s="941" t="s">
        <v>1268</v>
      </c>
    </row>
    <row r="318" spans="1:16">
      <c r="A318" s="937"/>
      <c r="B318" s="937" t="str" cm="1">
        <f t="array" ref="B318">IF(P318="","",_xlfn.XLOOKUP(P318&amp;"",'Units Data'!$I$6:$I$10000&amp;"",'Units Data'!$C$6:$C$10000,"غير موجود",0))</f>
        <v>غير موجود</v>
      </c>
      <c r="C318" s="937" t="str" cm="1">
        <f t="array" ref="C318">IF(P318="","",_xlfn.XLOOKUP(P318&amp;"",'Units Data'!$I$6:$I$10000&amp;"",'Units Data'!$B$6:$B$10000,"غير موجود",0))</f>
        <v>غير موجود</v>
      </c>
      <c r="D318" s="940">
        <v>33040148</v>
      </c>
      <c r="E318" s="941" t="s">
        <v>1076</v>
      </c>
      <c r="F318" s="941" t="s">
        <v>1077</v>
      </c>
      <c r="G318" s="941" t="s">
        <v>1078</v>
      </c>
      <c r="H318" s="941" t="s">
        <v>1079</v>
      </c>
      <c r="I318" s="941">
        <v>4500</v>
      </c>
      <c r="J318" s="944">
        <v>45974</v>
      </c>
      <c r="K318" s="944">
        <v>45973</v>
      </c>
      <c r="L318" s="941" t="s">
        <v>1276</v>
      </c>
      <c r="M318" s="941"/>
      <c r="N318" s="941" t="s">
        <v>1277</v>
      </c>
      <c r="O318" s="941" t="s">
        <v>1111</v>
      </c>
      <c r="P318" s="941" t="s">
        <v>1278</v>
      </c>
    </row>
    <row r="319" spans="1:16">
      <c r="A319" s="937"/>
      <c r="B319" s="937" cm="1">
        <f t="array" ref="B319">IF(P319="","",_xlfn.XLOOKUP(P319&amp;"",'Units Data'!$I$6:$I$10000&amp;"",'Units Data'!$C$6:$C$10000,"غير موجود",0))</f>
        <v>102</v>
      </c>
      <c r="C319" s="937" t="str" cm="1">
        <f t="array" ref="C319">IF(P319="","",_xlfn.XLOOKUP(P319&amp;"",'Units Data'!$I$6:$I$10000&amp;"",'Units Data'!$B$6:$B$10000,"غير موجود",0))</f>
        <v>F1</v>
      </c>
      <c r="D319" s="940">
        <v>33033849</v>
      </c>
      <c r="E319" s="941" t="s">
        <v>1076</v>
      </c>
      <c r="F319" s="941" t="s">
        <v>1077</v>
      </c>
      <c r="G319" s="941" t="s">
        <v>1078</v>
      </c>
      <c r="H319" s="941" t="s">
        <v>1079</v>
      </c>
      <c r="I319" s="941">
        <v>3500</v>
      </c>
      <c r="J319" s="944">
        <v>45974</v>
      </c>
      <c r="K319" s="944">
        <v>45973</v>
      </c>
      <c r="L319" s="941" t="s">
        <v>81</v>
      </c>
      <c r="M319" s="941"/>
      <c r="N319" s="941" t="s">
        <v>1310</v>
      </c>
      <c r="O319" s="941" t="s">
        <v>1095</v>
      </c>
      <c r="P319" s="941" t="s">
        <v>1096</v>
      </c>
    </row>
    <row r="320" spans="1:16">
      <c r="A320" s="937"/>
      <c r="B320" s="937" t="str" cm="1">
        <f t="array" ref="B320">IF(P320="","",_xlfn.XLOOKUP(P320&amp;"",'Units Data'!$I$6:$I$10000&amp;"",'Units Data'!$C$6:$C$10000,"غير موجود",0))</f>
        <v>غير موجود</v>
      </c>
      <c r="C320" s="937" t="str" cm="1">
        <f t="array" ref="C320">IF(P320="","",_xlfn.XLOOKUP(P320&amp;"",'Units Data'!$I$6:$I$10000&amp;"",'Units Data'!$B$6:$B$10000,"غير موجود",0))</f>
        <v>غير موجود</v>
      </c>
      <c r="D320" s="940">
        <v>32989574</v>
      </c>
      <c r="E320" s="941" t="s">
        <v>1076</v>
      </c>
      <c r="F320" s="941" t="s">
        <v>1077</v>
      </c>
      <c r="G320" s="941" t="s">
        <v>1078</v>
      </c>
      <c r="H320" s="941" t="s">
        <v>1083</v>
      </c>
      <c r="I320" s="941">
        <v>1000</v>
      </c>
      <c r="J320" s="944">
        <v>45973</v>
      </c>
      <c r="K320" s="944">
        <v>45971</v>
      </c>
      <c r="L320" s="941" t="s">
        <v>1250</v>
      </c>
      <c r="M320" s="941"/>
      <c r="N320" s="941" t="s">
        <v>1350</v>
      </c>
      <c r="O320" s="941" t="s">
        <v>1122</v>
      </c>
      <c r="P320" s="941" t="s">
        <v>1252</v>
      </c>
    </row>
    <row r="321" spans="1:16">
      <c r="A321" s="937"/>
      <c r="B321" s="937" t="str" cm="1">
        <f t="array" ref="B321">IF(P321="","",_xlfn.XLOOKUP(P321&amp;"",'Units Data'!$I$6:$I$10000&amp;"",'Units Data'!$C$6:$C$10000,"غير موجود",0))</f>
        <v>غير موجود</v>
      </c>
      <c r="C321" s="937" t="str" cm="1">
        <f t="array" ref="C321">IF(P321="","",_xlfn.XLOOKUP(P321&amp;"",'Units Data'!$I$6:$I$10000&amp;"",'Units Data'!$B$6:$B$10000,"غير موجود",0))</f>
        <v>غير موجود</v>
      </c>
      <c r="D321" s="940">
        <v>32964995</v>
      </c>
      <c r="E321" s="941" t="s">
        <v>1076</v>
      </c>
      <c r="F321" s="941" t="s">
        <v>1077</v>
      </c>
      <c r="G321" s="941" t="s">
        <v>1078</v>
      </c>
      <c r="H321" s="941" t="s">
        <v>1079</v>
      </c>
      <c r="I321" s="941">
        <v>1000</v>
      </c>
      <c r="J321" s="944">
        <v>45972</v>
      </c>
      <c r="K321" s="944">
        <v>45971</v>
      </c>
      <c r="L321" s="941" t="s">
        <v>1120</v>
      </c>
      <c r="M321" s="941"/>
      <c r="N321" s="941" t="s">
        <v>1364</v>
      </c>
      <c r="O321" s="941" t="s">
        <v>1122</v>
      </c>
      <c r="P321" s="941" t="s">
        <v>1123</v>
      </c>
    </row>
    <row r="322" spans="1:16">
      <c r="A322" s="937"/>
      <c r="B322" s="937" t="str" cm="1">
        <f t="array" ref="B322">IF(P322="","",_xlfn.XLOOKUP(P322&amp;"",'Units Data'!$I$6:$I$10000&amp;"",'Units Data'!$C$6:$C$10000,"غير موجود",0))</f>
        <v>غير موجود</v>
      </c>
      <c r="C322" s="937" t="str" cm="1">
        <f t="array" ref="C322">IF(P322="","",_xlfn.XLOOKUP(P322&amp;"",'Units Data'!$I$6:$I$10000&amp;"",'Units Data'!$B$6:$B$10000,"غير موجود",0))</f>
        <v>غير موجود</v>
      </c>
      <c r="D322" s="940">
        <v>32824564</v>
      </c>
      <c r="E322" s="941" t="s">
        <v>1076</v>
      </c>
      <c r="F322" s="941" t="s">
        <v>1077</v>
      </c>
      <c r="G322" s="941" t="s">
        <v>1078</v>
      </c>
      <c r="H322" s="941" t="s">
        <v>1083</v>
      </c>
      <c r="I322" s="941">
        <v>1000</v>
      </c>
      <c r="J322" s="944">
        <v>45969</v>
      </c>
      <c r="K322" s="944">
        <v>45966</v>
      </c>
      <c r="L322" s="941" t="s">
        <v>1196</v>
      </c>
      <c r="M322" s="941"/>
      <c r="N322" s="941" t="s">
        <v>1336</v>
      </c>
      <c r="O322" s="941" t="s">
        <v>1122</v>
      </c>
      <c r="P322" s="941" t="s">
        <v>1337</v>
      </c>
    </row>
    <row r="323" spans="1:16">
      <c r="A323" s="937"/>
      <c r="B323" s="937" t="str" cm="1">
        <f t="array" ref="B323">IF(P323="","",_xlfn.XLOOKUP(P323&amp;"",'Units Data'!$I$6:$I$10000&amp;"",'Units Data'!$C$6:$C$10000,"غير موجود",0))</f>
        <v>غير موجود</v>
      </c>
      <c r="C323" s="937" t="str" cm="1">
        <f t="array" ref="C323">IF(P323="","",_xlfn.XLOOKUP(P323&amp;"",'Units Data'!$I$6:$I$10000&amp;"",'Units Data'!$B$6:$B$10000,"غير موجود",0))</f>
        <v>غير موجود</v>
      </c>
      <c r="D323" s="940">
        <v>32762551</v>
      </c>
      <c r="E323" s="941" t="s">
        <v>1076</v>
      </c>
      <c r="F323" s="941" t="s">
        <v>1077</v>
      </c>
      <c r="G323" s="941" t="s">
        <v>1078</v>
      </c>
      <c r="H323" s="941" t="s">
        <v>1083</v>
      </c>
      <c r="I323" s="941">
        <v>1000</v>
      </c>
      <c r="J323" s="944">
        <v>45966</v>
      </c>
      <c r="K323" s="944">
        <v>45964</v>
      </c>
      <c r="L323" s="941" t="s">
        <v>1191</v>
      </c>
      <c r="M323" s="941"/>
      <c r="N323" s="941" t="s">
        <v>1356</v>
      </c>
      <c r="O323" s="941" t="s">
        <v>1122</v>
      </c>
      <c r="P323" s="941" t="s">
        <v>1193</v>
      </c>
    </row>
    <row r="324" spans="1:16">
      <c r="A324" s="937"/>
      <c r="B324" s="937" t="str" cm="1">
        <f t="array" ref="B324">IF(P324="","",_xlfn.XLOOKUP(P324&amp;"",'Units Data'!$I$6:$I$10000&amp;"",'Units Data'!$C$6:$C$10000,"غير موجود",0))</f>
        <v>غير موجود</v>
      </c>
      <c r="C324" s="937" t="str" cm="1">
        <f t="array" ref="C324">IF(P324="","",_xlfn.XLOOKUP(P324&amp;"",'Units Data'!$I$6:$I$10000&amp;"",'Units Data'!$B$6:$B$10000,"غير موجود",0))</f>
        <v>غير موجود</v>
      </c>
      <c r="D324" s="940">
        <v>32745860</v>
      </c>
      <c r="E324" s="941" t="s">
        <v>1076</v>
      </c>
      <c r="F324" s="941" t="s">
        <v>1077</v>
      </c>
      <c r="G324" s="941" t="s">
        <v>1078</v>
      </c>
      <c r="H324" s="941" t="s">
        <v>1079</v>
      </c>
      <c r="I324" s="941">
        <v>3000</v>
      </c>
      <c r="J324" s="944">
        <v>45966</v>
      </c>
      <c r="K324" s="944">
        <v>45964</v>
      </c>
      <c r="L324" s="941" t="s">
        <v>1326</v>
      </c>
      <c r="M324" s="941"/>
      <c r="N324" s="941" t="s">
        <v>1377</v>
      </c>
      <c r="O324" s="941" t="s">
        <v>1161</v>
      </c>
      <c r="P324" s="941" t="s">
        <v>1328</v>
      </c>
    </row>
    <row r="325" spans="1:16">
      <c r="A325" s="937"/>
      <c r="B325" s="937" t="str" cm="1">
        <f t="array" ref="B325">IF(P325="","",_xlfn.XLOOKUP(P325&amp;"",'Units Data'!$I$6:$I$10000&amp;"",'Units Data'!$C$6:$C$10000,"غير موجود",0))</f>
        <v>غير موجود</v>
      </c>
      <c r="C325" s="937" t="str" cm="1">
        <f t="array" ref="C325">IF(P325="","",_xlfn.XLOOKUP(P325&amp;"",'Units Data'!$I$6:$I$10000&amp;"",'Units Data'!$B$6:$B$10000,"غير موجود",0))</f>
        <v>غير موجود</v>
      </c>
      <c r="D325" s="940">
        <v>32508284</v>
      </c>
      <c r="E325" s="941" t="s">
        <v>1076</v>
      </c>
      <c r="F325" s="941" t="s">
        <v>1077</v>
      </c>
      <c r="G325" s="941" t="s">
        <v>1078</v>
      </c>
      <c r="H325" s="941" t="s">
        <v>1079</v>
      </c>
      <c r="I325" s="941">
        <v>3000</v>
      </c>
      <c r="J325" s="944">
        <v>45964</v>
      </c>
      <c r="K325" s="944">
        <v>45960</v>
      </c>
      <c r="L325" s="941" t="s">
        <v>1284</v>
      </c>
      <c r="M325" s="941"/>
      <c r="N325" s="941" t="s">
        <v>1290</v>
      </c>
      <c r="O325" s="941" t="s">
        <v>1111</v>
      </c>
      <c r="P325" s="941" t="s">
        <v>1286</v>
      </c>
    </row>
    <row r="326" spans="1:16">
      <c r="A326" s="937"/>
      <c r="B326" s="937" cm="1">
        <f t="array" ref="B326">IF(P326="","",_xlfn.XLOOKUP(P326&amp;"",'Units Data'!$I$6:$I$10000&amp;"",'Units Data'!$C$6:$C$10000,"غير موجود",0))</f>
        <v>102</v>
      </c>
      <c r="C326" s="937" t="str" cm="1">
        <f t="array" ref="C326">IF(P326="","",_xlfn.XLOOKUP(P326&amp;"",'Units Data'!$I$6:$I$10000&amp;"",'Units Data'!$B$6:$B$10000,"غير موجود",0))</f>
        <v>S4</v>
      </c>
      <c r="D326" s="940">
        <v>32483932</v>
      </c>
      <c r="E326" s="941" t="s">
        <v>1076</v>
      </c>
      <c r="F326" s="941" t="s">
        <v>1077</v>
      </c>
      <c r="G326" s="941" t="s">
        <v>1078</v>
      </c>
      <c r="H326" s="941" t="s">
        <v>1079</v>
      </c>
      <c r="I326" s="941">
        <v>3800</v>
      </c>
      <c r="J326" s="944">
        <v>45960</v>
      </c>
      <c r="K326" s="944">
        <v>45959</v>
      </c>
      <c r="L326" s="941" t="s">
        <v>1307</v>
      </c>
      <c r="M326" s="941"/>
      <c r="N326" s="941" t="s">
        <v>1378</v>
      </c>
      <c r="O326" s="941" t="s">
        <v>1095</v>
      </c>
      <c r="P326" s="941" t="s">
        <v>1379</v>
      </c>
    </row>
    <row r="327" spans="1:16">
      <c r="A327" s="937"/>
      <c r="B327" s="937" cm="1">
        <f t="array" ref="B327">IF(P327="","",_xlfn.XLOOKUP(P327&amp;"",'Units Data'!$I$6:$I$10000&amp;"",'Units Data'!$C$6:$C$10000,"غير موجود",0))</f>
        <v>102</v>
      </c>
      <c r="C327" s="937" t="str" cm="1">
        <f t="array" ref="C327">IF(P327="","",_xlfn.XLOOKUP(P327&amp;"",'Units Data'!$I$6:$I$10000&amp;"",'Units Data'!$B$6:$B$10000,"غير موجود",0))</f>
        <v>F4</v>
      </c>
      <c r="D327" s="940">
        <v>32479853</v>
      </c>
      <c r="E327" s="941" t="s">
        <v>1076</v>
      </c>
      <c r="F327" s="941" t="s">
        <v>1077</v>
      </c>
      <c r="G327" s="941" t="s">
        <v>1078</v>
      </c>
      <c r="H327" s="941" t="s">
        <v>1083</v>
      </c>
      <c r="I327" s="941">
        <v>3500</v>
      </c>
      <c r="J327" s="944">
        <v>45962</v>
      </c>
      <c r="K327" s="944">
        <v>45959</v>
      </c>
      <c r="L327" s="941" t="s">
        <v>1296</v>
      </c>
      <c r="M327" s="941"/>
      <c r="N327" s="941" t="s">
        <v>1297</v>
      </c>
      <c r="O327" s="941" t="s">
        <v>1095</v>
      </c>
      <c r="P327" s="941" t="s">
        <v>1298</v>
      </c>
    </row>
    <row r="328" spans="1:16">
      <c r="A328" s="937"/>
      <c r="B328" s="937" cm="1">
        <f t="array" ref="B328">IF(P328="","",_xlfn.XLOOKUP(P328&amp;"",'Units Data'!$I$6:$I$10000&amp;"",'Units Data'!$C$6:$C$10000,"غير موجود",0))</f>
        <v>102</v>
      </c>
      <c r="C328" s="937" t="str" cm="1">
        <f t="array" ref="C328">IF(P328="","",_xlfn.XLOOKUP(P328&amp;"",'Units Data'!$I$6:$I$10000&amp;"",'Units Data'!$B$6:$B$10000,"غير موجود",0))</f>
        <v>F2</v>
      </c>
      <c r="D328" s="940">
        <v>32471011</v>
      </c>
      <c r="E328" s="941" t="s">
        <v>1076</v>
      </c>
      <c r="F328" s="941" t="s">
        <v>1077</v>
      </c>
      <c r="G328" s="941" t="s">
        <v>1078</v>
      </c>
      <c r="H328" s="941" t="s">
        <v>1079</v>
      </c>
      <c r="I328" s="941">
        <v>3000</v>
      </c>
      <c r="J328" s="944">
        <v>45960</v>
      </c>
      <c r="K328" s="944">
        <v>45959</v>
      </c>
      <c r="L328" s="941" t="s">
        <v>1016</v>
      </c>
      <c r="M328" s="941"/>
      <c r="N328" s="941" t="s">
        <v>1371</v>
      </c>
      <c r="O328" s="941" t="s">
        <v>1095</v>
      </c>
      <c r="P328" s="941" t="s">
        <v>1372</v>
      </c>
    </row>
    <row r="329" spans="1:16">
      <c r="A329" s="937"/>
      <c r="B329" s="937" t="str" cm="1">
        <f t="array" ref="B329">IF(P329="","",_xlfn.XLOOKUP(P329&amp;"",'Units Data'!$I$6:$I$10000&amp;"",'Units Data'!$C$6:$C$10000,"غير موجود",0))</f>
        <v>غير موجود</v>
      </c>
      <c r="C329" s="937" t="str" cm="1">
        <f t="array" ref="C329">IF(P329="","",_xlfn.XLOOKUP(P329&amp;"",'Units Data'!$I$6:$I$10000&amp;"",'Units Data'!$B$6:$B$10000,"غير موجود",0))</f>
        <v>غير موجود</v>
      </c>
      <c r="D329" s="940">
        <v>32464357</v>
      </c>
      <c r="E329" s="941" t="s">
        <v>1076</v>
      </c>
      <c r="F329" s="941" t="s">
        <v>1077</v>
      </c>
      <c r="G329" s="941" t="s">
        <v>1078</v>
      </c>
      <c r="H329" s="941" t="s">
        <v>1083</v>
      </c>
      <c r="I329" s="941">
        <v>1000</v>
      </c>
      <c r="J329" s="944">
        <v>45962</v>
      </c>
      <c r="K329" s="944">
        <v>45959</v>
      </c>
      <c r="L329" s="941" t="s">
        <v>1304</v>
      </c>
      <c r="M329" s="941"/>
      <c r="N329" s="941" t="s">
        <v>1351</v>
      </c>
      <c r="O329" s="941" t="s">
        <v>1122</v>
      </c>
      <c r="P329" s="941" t="s">
        <v>1306</v>
      </c>
    </row>
    <row r="330" spans="1:16">
      <c r="A330" s="937"/>
      <c r="B330" s="937" t="str" cm="1">
        <f t="array" ref="B330">IF(P330="","",_xlfn.XLOOKUP(P330&amp;"",'Units Data'!$I$6:$I$10000&amp;"",'Units Data'!$C$6:$C$10000,"غير موجود",0))</f>
        <v>غير موجود</v>
      </c>
      <c r="C330" s="937" t="str" cm="1">
        <f t="array" ref="C330">IF(P330="","",_xlfn.XLOOKUP(P330&amp;"",'Units Data'!$I$6:$I$10000&amp;"",'Units Data'!$B$6:$B$10000,"غير موجود",0))</f>
        <v>غير موجود</v>
      </c>
      <c r="D330" s="940">
        <v>32417396</v>
      </c>
      <c r="E330" s="941" t="s">
        <v>1076</v>
      </c>
      <c r="F330" s="941" t="s">
        <v>1077</v>
      </c>
      <c r="G330" s="941" t="s">
        <v>1078</v>
      </c>
      <c r="H330" s="941" t="s">
        <v>1079</v>
      </c>
      <c r="I330" s="941">
        <v>3000</v>
      </c>
      <c r="J330" s="944">
        <v>45959</v>
      </c>
      <c r="K330" s="944">
        <v>45958</v>
      </c>
      <c r="L330" s="941" t="s">
        <v>1380</v>
      </c>
      <c r="M330" s="941"/>
      <c r="N330" s="941" t="s">
        <v>1381</v>
      </c>
      <c r="O330" s="941" t="s">
        <v>1161</v>
      </c>
      <c r="P330" s="941" t="s">
        <v>1382</v>
      </c>
    </row>
    <row r="331" spans="1:16">
      <c r="A331" s="937"/>
      <c r="B331" s="937" t="str" cm="1">
        <f t="array" ref="B331">IF(P331="","",_xlfn.XLOOKUP(P331&amp;"",'Units Data'!$I$6:$I$10000&amp;"",'Units Data'!$C$6:$C$10000,"غير موجود",0))</f>
        <v>غير موجود</v>
      </c>
      <c r="C331" s="937" t="str" cm="1">
        <f t="array" ref="C331">IF(P331="","",_xlfn.XLOOKUP(P331&amp;"",'Units Data'!$I$6:$I$10000&amp;"",'Units Data'!$B$6:$B$10000,"غير موجود",0))</f>
        <v>غير موجود</v>
      </c>
      <c r="D331" s="940">
        <v>32414952</v>
      </c>
      <c r="E331" s="941" t="s">
        <v>1076</v>
      </c>
      <c r="F331" s="941" t="s">
        <v>1077</v>
      </c>
      <c r="G331" s="941" t="s">
        <v>1078</v>
      </c>
      <c r="H331" s="941" t="s">
        <v>1079</v>
      </c>
      <c r="I331" s="941">
        <v>3000</v>
      </c>
      <c r="J331" s="944">
        <v>45960</v>
      </c>
      <c r="K331" s="944">
        <v>45958</v>
      </c>
      <c r="L331" s="941" t="s">
        <v>1329</v>
      </c>
      <c r="M331" s="941"/>
      <c r="N331" s="941" t="s">
        <v>1330</v>
      </c>
      <c r="O331" s="941" t="s">
        <v>1161</v>
      </c>
      <c r="P331" s="941" t="s">
        <v>1331</v>
      </c>
    </row>
    <row r="332" spans="1:16">
      <c r="A332" s="937"/>
      <c r="B332" s="937" t="str" cm="1">
        <f t="array" ref="B332">IF(P332="","",_xlfn.XLOOKUP(P332&amp;"",'Units Data'!$I$6:$I$10000&amp;"",'Units Data'!$C$6:$C$10000,"غير موجود",0))</f>
        <v>غير موجود</v>
      </c>
      <c r="C332" s="937" t="str" cm="1">
        <f t="array" ref="C332">IF(P332="","",_xlfn.XLOOKUP(P332&amp;"",'Units Data'!$I$6:$I$10000&amp;"",'Units Data'!$B$6:$B$10000,"غير موجود",0))</f>
        <v>غير موجود</v>
      </c>
      <c r="D332" s="940">
        <v>32390013</v>
      </c>
      <c r="E332" s="941" t="s">
        <v>1076</v>
      </c>
      <c r="F332" s="941" t="s">
        <v>1077</v>
      </c>
      <c r="G332" s="941" t="s">
        <v>1078</v>
      </c>
      <c r="H332" s="941" t="s">
        <v>1083</v>
      </c>
      <c r="I332" s="941">
        <v>1000</v>
      </c>
      <c r="J332" s="944">
        <v>45959</v>
      </c>
      <c r="K332" s="944">
        <v>45957</v>
      </c>
      <c r="L332" s="941" t="s">
        <v>1317</v>
      </c>
      <c r="M332" s="941"/>
      <c r="N332" s="941" t="s">
        <v>1320</v>
      </c>
      <c r="O332" s="941" t="s">
        <v>1122</v>
      </c>
      <c r="P332" s="941" t="s">
        <v>1319</v>
      </c>
    </row>
    <row r="333" spans="1:16">
      <c r="A333" s="937"/>
      <c r="B333" s="937" t="str" cm="1">
        <f t="array" ref="B333">IF(P333="","",_xlfn.XLOOKUP(P333&amp;"",'Units Data'!$I$6:$I$10000&amp;"",'Units Data'!$C$6:$C$10000,"غير موجود",0))</f>
        <v>غير موجود</v>
      </c>
      <c r="C333" s="937" t="str" cm="1">
        <f t="array" ref="C333">IF(P333="","",_xlfn.XLOOKUP(P333&amp;"",'Units Data'!$I$6:$I$10000&amp;"",'Units Data'!$B$6:$B$10000,"غير موجود",0))</f>
        <v>غير موجود</v>
      </c>
      <c r="D333" s="940">
        <v>32389779</v>
      </c>
      <c r="E333" s="941" t="s">
        <v>1076</v>
      </c>
      <c r="F333" s="941" t="s">
        <v>1077</v>
      </c>
      <c r="G333" s="941" t="s">
        <v>1078</v>
      </c>
      <c r="H333" s="941" t="s">
        <v>1083</v>
      </c>
      <c r="I333" s="941">
        <v>1000</v>
      </c>
      <c r="J333" s="944">
        <v>45959</v>
      </c>
      <c r="K333" s="944">
        <v>45957</v>
      </c>
      <c r="L333" s="941" t="s">
        <v>1365</v>
      </c>
      <c r="M333" s="941"/>
      <c r="N333" s="941" t="s">
        <v>1366</v>
      </c>
      <c r="O333" s="941" t="s">
        <v>1122</v>
      </c>
      <c r="P333" s="941" t="s">
        <v>1367</v>
      </c>
    </row>
    <row r="334" spans="1:16">
      <c r="A334" s="937"/>
      <c r="B334" s="937" t="str" cm="1">
        <f t="array" ref="B334">IF(P334="","",_xlfn.XLOOKUP(P334&amp;"",'Units Data'!$I$6:$I$10000&amp;"",'Units Data'!$C$6:$C$10000,"غير موجود",0))</f>
        <v>غير موجود</v>
      </c>
      <c r="C334" s="937" t="str" cm="1">
        <f t="array" ref="C334">IF(P334="","",_xlfn.XLOOKUP(P334&amp;"",'Units Data'!$I$6:$I$10000&amp;"",'Units Data'!$B$6:$B$10000,"غير موجود",0))</f>
        <v>غير موجود</v>
      </c>
      <c r="D334" s="940">
        <v>32389565</v>
      </c>
      <c r="E334" s="941" t="s">
        <v>1076</v>
      </c>
      <c r="F334" s="941" t="s">
        <v>1077</v>
      </c>
      <c r="G334" s="941" t="s">
        <v>1078</v>
      </c>
      <c r="H334" s="941" t="s">
        <v>1083</v>
      </c>
      <c r="I334" s="941">
        <v>1000</v>
      </c>
      <c r="J334" s="944">
        <v>45959</v>
      </c>
      <c r="K334" s="944">
        <v>45957</v>
      </c>
      <c r="L334" s="941" t="s">
        <v>1153</v>
      </c>
      <c r="M334" s="941"/>
      <c r="N334" s="941" t="s">
        <v>1355</v>
      </c>
      <c r="O334" s="941" t="s">
        <v>1122</v>
      </c>
      <c r="P334" s="941" t="s">
        <v>1155</v>
      </c>
    </row>
    <row r="335" spans="1:16">
      <c r="A335" s="937"/>
      <c r="B335" s="937" t="str" cm="1">
        <f t="array" ref="B335">IF(P335="","",_xlfn.XLOOKUP(P335&amp;"",'Units Data'!$I$6:$I$10000&amp;"",'Units Data'!$C$6:$C$10000,"غير موجود",0))</f>
        <v>غير موجود</v>
      </c>
      <c r="C335" s="937" t="str" cm="1">
        <f t="array" ref="C335">IF(P335="","",_xlfn.XLOOKUP(P335&amp;"",'Units Data'!$I$6:$I$10000&amp;"",'Units Data'!$B$6:$B$10000,"غير موجود",0))</f>
        <v>غير موجود</v>
      </c>
      <c r="D335" s="940">
        <v>32342386</v>
      </c>
      <c r="E335" s="941" t="s">
        <v>1076</v>
      </c>
      <c r="F335" s="941" t="s">
        <v>1077</v>
      </c>
      <c r="G335" s="941" t="s">
        <v>1078</v>
      </c>
      <c r="H335" s="941" t="s">
        <v>1079</v>
      </c>
      <c r="I335" s="941">
        <v>1000</v>
      </c>
      <c r="J335" s="944">
        <v>45959</v>
      </c>
      <c r="K335" s="944">
        <v>45957</v>
      </c>
      <c r="L335" s="941" t="s">
        <v>1338</v>
      </c>
      <c r="M335" s="941"/>
      <c r="N335" s="941" t="s">
        <v>1339</v>
      </c>
      <c r="O335" s="941" t="s">
        <v>1122</v>
      </c>
      <c r="P335" s="941" t="s">
        <v>1340</v>
      </c>
    </row>
    <row r="336" spans="1:16">
      <c r="A336" s="937"/>
      <c r="B336" s="937" cm="1">
        <f t="array" ref="B336">IF(P336="","",_xlfn.XLOOKUP(P336&amp;"",'Units Data'!$I$6:$I$10000&amp;"",'Units Data'!$C$6:$C$10000,"غير موجود",0))</f>
        <v>102</v>
      </c>
      <c r="C336" s="937" t="str" cm="1">
        <f t="array" ref="C336">IF(P336="","",_xlfn.XLOOKUP(P336&amp;"",'Units Data'!$I$6:$I$10000&amp;"",'Units Data'!$B$6:$B$10000,"غير موجود",0))</f>
        <v>F5</v>
      </c>
      <c r="D336" s="940">
        <v>32337238</v>
      </c>
      <c r="E336" s="941" t="s">
        <v>1076</v>
      </c>
      <c r="F336" s="941" t="s">
        <v>1077</v>
      </c>
      <c r="G336" s="941" t="s">
        <v>1078</v>
      </c>
      <c r="H336" s="941" t="s">
        <v>1083</v>
      </c>
      <c r="I336" s="941">
        <v>4000</v>
      </c>
      <c r="J336" s="944">
        <v>45960</v>
      </c>
      <c r="K336" s="944">
        <v>45957</v>
      </c>
      <c r="L336" s="941" t="s">
        <v>1352</v>
      </c>
      <c r="M336" s="941"/>
      <c r="N336" s="941" t="s">
        <v>1353</v>
      </c>
      <c r="O336" s="941" t="s">
        <v>1081</v>
      </c>
      <c r="P336" s="941" t="s">
        <v>1354</v>
      </c>
    </row>
    <row r="337" spans="1:16">
      <c r="A337" s="937"/>
      <c r="B337" s="937" cm="1">
        <f t="array" ref="B337">IF(P337="","",_xlfn.XLOOKUP(P337&amp;"",'Units Data'!$I$6:$I$10000&amp;"",'Units Data'!$C$6:$C$10000,"غير موجود",0))</f>
        <v>102</v>
      </c>
      <c r="C337" s="937" t="str" cm="1">
        <f t="array" ref="C337">IF(P337="","",_xlfn.XLOOKUP(P337&amp;"",'Units Data'!$I$6:$I$10000&amp;"",'Units Data'!$B$6:$B$10000,"غير موجود",0))</f>
        <v>S5</v>
      </c>
      <c r="D337" s="940">
        <v>32293694</v>
      </c>
      <c r="E337" s="941" t="s">
        <v>1076</v>
      </c>
      <c r="F337" s="941" t="s">
        <v>1077</v>
      </c>
      <c r="G337" s="941" t="s">
        <v>1078</v>
      </c>
      <c r="H337" s="941" t="s">
        <v>1079</v>
      </c>
      <c r="I337" s="941">
        <v>3800</v>
      </c>
      <c r="J337" s="944">
        <v>45957</v>
      </c>
      <c r="K337" s="944">
        <v>45956</v>
      </c>
      <c r="L337" s="941" t="s">
        <v>1347</v>
      </c>
      <c r="M337" s="941"/>
      <c r="N337" s="941" t="s">
        <v>1359</v>
      </c>
      <c r="O337" s="941" t="s">
        <v>1095</v>
      </c>
      <c r="P337" s="941" t="s">
        <v>1360</v>
      </c>
    </row>
    <row r="338" spans="1:16">
      <c r="A338" s="937"/>
      <c r="B338" s="937" cm="1">
        <f t="array" ref="B338">IF(P338="","",_xlfn.XLOOKUP(P338&amp;"",'Units Data'!$I$6:$I$10000&amp;"",'Units Data'!$C$6:$C$10000,"غير موجود",0))</f>
        <v>102</v>
      </c>
      <c r="C338" s="937" t="str" cm="1">
        <f t="array" ref="C338">IF(P338="","",_xlfn.XLOOKUP(P338&amp;"",'Units Data'!$I$6:$I$10000&amp;"",'Units Data'!$B$6:$B$10000,"غير موجود",0))</f>
        <v>F1</v>
      </c>
      <c r="D338" s="940">
        <v>32198945</v>
      </c>
      <c r="E338" s="941" t="s">
        <v>1076</v>
      </c>
      <c r="F338" s="941" t="s">
        <v>1077</v>
      </c>
      <c r="G338" s="941" t="s">
        <v>1078</v>
      </c>
      <c r="H338" s="941" t="s">
        <v>1079</v>
      </c>
      <c r="I338" s="941">
        <v>3500</v>
      </c>
      <c r="J338" s="944">
        <v>45952</v>
      </c>
      <c r="K338" s="944">
        <v>45951</v>
      </c>
      <c r="L338" s="941" t="s">
        <v>81</v>
      </c>
      <c r="M338" s="941"/>
      <c r="N338" s="941" t="s">
        <v>1310</v>
      </c>
      <c r="O338" s="941" t="s">
        <v>1095</v>
      </c>
      <c r="P338" s="941" t="s">
        <v>1096</v>
      </c>
    </row>
    <row r="339" spans="1:16">
      <c r="A339" s="937"/>
      <c r="B339" s="937" t="str" cm="1">
        <f t="array" ref="B339">IF(P339="","",_xlfn.XLOOKUP(P339&amp;"",'Units Data'!$I$6:$I$10000&amp;"",'Units Data'!$C$6:$C$10000,"غير موجود",0))</f>
        <v>غير موجود</v>
      </c>
      <c r="C339" s="937" t="str" cm="1">
        <f t="array" ref="C339">IF(P339="","",_xlfn.XLOOKUP(P339&amp;"",'Units Data'!$I$6:$I$10000&amp;"",'Units Data'!$B$6:$B$10000,"غير موجود",0))</f>
        <v>غير موجود</v>
      </c>
      <c r="D339" s="940">
        <v>32077555</v>
      </c>
      <c r="E339" s="941" t="s">
        <v>1076</v>
      </c>
      <c r="F339" s="941" t="s">
        <v>1077</v>
      </c>
      <c r="G339" s="941" t="s">
        <v>1078</v>
      </c>
      <c r="H339" s="941" t="s">
        <v>1083</v>
      </c>
      <c r="I339" s="941">
        <v>1000</v>
      </c>
      <c r="J339" s="944">
        <v>45948</v>
      </c>
      <c r="K339" s="944">
        <v>45945</v>
      </c>
      <c r="L339" s="941" t="s">
        <v>1263</v>
      </c>
      <c r="M339" s="941"/>
      <c r="N339" s="941" t="s">
        <v>1264</v>
      </c>
      <c r="O339" s="941" t="s">
        <v>1122</v>
      </c>
      <c r="P339" s="941" t="s">
        <v>1265</v>
      </c>
    </row>
    <row r="340" spans="1:16">
      <c r="A340" s="937"/>
      <c r="B340" s="937" t="str" cm="1">
        <f t="array" ref="B340">IF(P340="","",_xlfn.XLOOKUP(P340&amp;"",'Units Data'!$I$6:$I$10000&amp;"",'Units Data'!$C$6:$C$10000,"غير موجود",0))</f>
        <v>غير موجود</v>
      </c>
      <c r="C340" s="937" t="str" cm="1">
        <f t="array" ref="C340">IF(P340="","",_xlfn.XLOOKUP(P340&amp;"",'Units Data'!$I$6:$I$10000&amp;"",'Units Data'!$B$6:$B$10000,"غير موجود",0))</f>
        <v>غير موجود</v>
      </c>
      <c r="D340" s="940">
        <v>32056782</v>
      </c>
      <c r="E340" s="941" t="s">
        <v>1076</v>
      </c>
      <c r="F340" s="941" t="s">
        <v>1077</v>
      </c>
      <c r="G340" s="941" t="s">
        <v>1078</v>
      </c>
      <c r="H340" s="941" t="s">
        <v>1083</v>
      </c>
      <c r="I340" s="941">
        <v>2000</v>
      </c>
      <c r="J340" s="944">
        <v>45948</v>
      </c>
      <c r="K340" s="944">
        <v>45945</v>
      </c>
      <c r="L340" s="941" t="s">
        <v>1250</v>
      </c>
      <c r="M340" s="941"/>
      <c r="N340" s="941" t="s">
        <v>1350</v>
      </c>
      <c r="O340" s="941" t="s">
        <v>1122</v>
      </c>
      <c r="P340" s="941" t="s">
        <v>1252</v>
      </c>
    </row>
    <row r="341" spans="1:16">
      <c r="A341" s="937"/>
      <c r="B341" s="937" t="str" cm="1">
        <f t="array" ref="B341">IF(P341="","",_xlfn.XLOOKUP(P341&amp;"",'Units Data'!$I$6:$I$10000&amp;"",'Units Data'!$C$6:$C$10000,"غير موجود",0))</f>
        <v>غير موجود</v>
      </c>
      <c r="C341" s="937" t="str" cm="1">
        <f t="array" ref="C341">IF(P341="","",_xlfn.XLOOKUP(P341&amp;"",'Units Data'!$I$6:$I$10000&amp;"",'Units Data'!$B$6:$B$10000,"غير موجود",0))</f>
        <v>غير موجود</v>
      </c>
      <c r="D341" s="940">
        <v>32047808</v>
      </c>
      <c r="E341" s="941" t="s">
        <v>1076</v>
      </c>
      <c r="F341" s="941" t="s">
        <v>1077</v>
      </c>
      <c r="G341" s="941" t="s">
        <v>1078</v>
      </c>
      <c r="H341" s="941" t="s">
        <v>1083</v>
      </c>
      <c r="I341" s="941">
        <v>1000</v>
      </c>
      <c r="J341" s="944">
        <v>45946</v>
      </c>
      <c r="K341" s="944">
        <v>45944</v>
      </c>
      <c r="L341" s="941" t="s">
        <v>1191</v>
      </c>
      <c r="M341" s="941"/>
      <c r="N341" s="941" t="s">
        <v>1356</v>
      </c>
      <c r="O341" s="941" t="s">
        <v>1122</v>
      </c>
      <c r="P341" s="941" t="s">
        <v>1193</v>
      </c>
    </row>
    <row r="342" spans="1:16">
      <c r="A342" s="937"/>
      <c r="B342" s="937" cm="1">
        <f t="array" ref="B342">IF(P342="","",_xlfn.XLOOKUP(P342&amp;"",'Units Data'!$I$6:$I$10000&amp;"",'Units Data'!$C$6:$C$10000,"غير موجود",0))</f>
        <v>102</v>
      </c>
      <c r="C342" s="937" t="str" cm="1">
        <f t="array" ref="C342">IF(P342="","",_xlfn.XLOOKUP(P342&amp;"",'Units Data'!$I$6:$I$10000&amp;"",'Units Data'!$B$6:$B$10000,"غير موجود",0))</f>
        <v>S1</v>
      </c>
      <c r="D342" s="940">
        <v>32039748</v>
      </c>
      <c r="E342" s="941" t="s">
        <v>1076</v>
      </c>
      <c r="F342" s="941" t="s">
        <v>1077</v>
      </c>
      <c r="G342" s="941" t="s">
        <v>1078</v>
      </c>
      <c r="H342" s="941" t="s">
        <v>1083</v>
      </c>
      <c r="I342" s="941">
        <v>24000</v>
      </c>
      <c r="J342" s="944">
        <v>45946</v>
      </c>
      <c r="K342" s="944">
        <v>45944</v>
      </c>
      <c r="L342" s="941" t="s">
        <v>1383</v>
      </c>
      <c r="M342" s="941"/>
      <c r="N342" s="941" t="s">
        <v>1384</v>
      </c>
      <c r="O342" s="941" t="s">
        <v>1095</v>
      </c>
      <c r="P342" s="941" t="s">
        <v>1385</v>
      </c>
    </row>
    <row r="343" spans="1:16">
      <c r="A343" s="937"/>
      <c r="B343" s="937" cm="1">
        <f t="array" ref="B343">IF(P343="","",_xlfn.XLOOKUP(P343&amp;"",'Units Data'!$I$6:$I$10000&amp;"",'Units Data'!$C$6:$C$10000,"غير موجود",0))</f>
        <v>102</v>
      </c>
      <c r="C343" s="937" t="str" cm="1">
        <f t="array" ref="C343">IF(P343="","",_xlfn.XLOOKUP(P343&amp;"",'Units Data'!$I$6:$I$10000&amp;"",'Units Data'!$B$6:$B$10000,"غير موجود",0))</f>
        <v>S7</v>
      </c>
      <c r="D343" s="940">
        <v>32003174</v>
      </c>
      <c r="E343" s="941" t="s">
        <v>1076</v>
      </c>
      <c r="F343" s="941" t="s">
        <v>1077</v>
      </c>
      <c r="G343" s="941" t="s">
        <v>1078</v>
      </c>
      <c r="H343" s="941" t="s">
        <v>1079</v>
      </c>
      <c r="I343" s="941">
        <v>4000</v>
      </c>
      <c r="J343" s="944">
        <v>45944</v>
      </c>
      <c r="K343" s="944">
        <v>45943</v>
      </c>
      <c r="L343" s="941" t="s">
        <v>1315</v>
      </c>
      <c r="M343" s="941"/>
      <c r="N343" s="941" t="s">
        <v>1316</v>
      </c>
      <c r="O343" s="941" t="s">
        <v>1095</v>
      </c>
      <c r="P343" s="941" t="s">
        <v>1268</v>
      </c>
    </row>
    <row r="344" spans="1:16">
      <c r="A344" s="937"/>
      <c r="B344" s="937" t="str" cm="1">
        <f t="array" ref="B344">IF(P344="","",_xlfn.XLOOKUP(P344&amp;"",'Units Data'!$I$6:$I$10000&amp;"",'Units Data'!$C$6:$C$10000,"غير موجود",0))</f>
        <v>غير موجود</v>
      </c>
      <c r="C344" s="937" t="str" cm="1">
        <f t="array" ref="C344">IF(P344="","",_xlfn.XLOOKUP(P344&amp;"",'Units Data'!$I$6:$I$10000&amp;"",'Units Data'!$B$6:$B$10000,"غير موجود",0))</f>
        <v>غير موجود</v>
      </c>
      <c r="D344" s="940">
        <v>32003163</v>
      </c>
      <c r="E344" s="941" t="s">
        <v>1076</v>
      </c>
      <c r="F344" s="941" t="s">
        <v>1077</v>
      </c>
      <c r="G344" s="941" t="s">
        <v>1078</v>
      </c>
      <c r="H344" s="941" t="s">
        <v>1079</v>
      </c>
      <c r="I344" s="941">
        <v>4500</v>
      </c>
      <c r="J344" s="944">
        <v>45944</v>
      </c>
      <c r="K344" s="944">
        <v>45943</v>
      </c>
      <c r="L344" s="941" t="s">
        <v>1276</v>
      </c>
      <c r="M344" s="941"/>
      <c r="N344" s="941" t="s">
        <v>1277</v>
      </c>
      <c r="O344" s="941" t="s">
        <v>1111</v>
      </c>
      <c r="P344" s="941" t="s">
        <v>1278</v>
      </c>
    </row>
    <row r="345" spans="1:16">
      <c r="A345" s="937"/>
      <c r="B345" s="937" t="str" cm="1">
        <f t="array" ref="B345">IF(P345="","",_xlfn.XLOOKUP(P345&amp;"",'Units Data'!$I$6:$I$10000&amp;"",'Units Data'!$C$6:$C$10000,"غير موجود",0))</f>
        <v>غير موجود</v>
      </c>
      <c r="C345" s="937" t="str" cm="1">
        <f t="array" ref="C345">IF(P345="","",_xlfn.XLOOKUP(P345&amp;"",'Units Data'!$I$6:$I$10000&amp;"",'Units Data'!$B$6:$B$10000,"غير موجود",0))</f>
        <v>غير موجود</v>
      </c>
      <c r="D345" s="940">
        <v>31975675</v>
      </c>
      <c r="E345" s="941" t="s">
        <v>1076</v>
      </c>
      <c r="F345" s="941" t="s">
        <v>1077</v>
      </c>
      <c r="G345" s="941" t="s">
        <v>1078</v>
      </c>
      <c r="H345" s="941" t="s">
        <v>1083</v>
      </c>
      <c r="I345" s="941">
        <v>3000</v>
      </c>
      <c r="J345" s="944">
        <v>45944</v>
      </c>
      <c r="K345" s="944">
        <v>45942</v>
      </c>
      <c r="L345" s="941" t="s">
        <v>1386</v>
      </c>
      <c r="M345" s="941"/>
      <c r="N345" s="941" t="s">
        <v>1387</v>
      </c>
      <c r="O345" s="941" t="s">
        <v>1161</v>
      </c>
      <c r="P345" s="941" t="s">
        <v>1388</v>
      </c>
    </row>
    <row r="346" spans="1:16">
      <c r="A346" s="937"/>
      <c r="B346" s="937" t="str" cm="1">
        <f t="array" ref="B346">IF(P346="","",_xlfn.XLOOKUP(P346&amp;"",'Units Data'!$I$6:$I$10000&amp;"",'Units Data'!$C$6:$C$10000,"غير موجود",0))</f>
        <v>غير موجود</v>
      </c>
      <c r="C346" s="937" t="str" cm="1">
        <f t="array" ref="C346">IF(P346="","",_xlfn.XLOOKUP(P346&amp;"",'Units Data'!$I$6:$I$10000&amp;"",'Units Data'!$B$6:$B$10000,"غير موجود",0))</f>
        <v>غير موجود</v>
      </c>
      <c r="D346" s="940">
        <v>31882420</v>
      </c>
      <c r="E346" s="941" t="s">
        <v>1076</v>
      </c>
      <c r="F346" s="941" t="s">
        <v>1077</v>
      </c>
      <c r="G346" s="941" t="s">
        <v>1078</v>
      </c>
      <c r="H346" s="941" t="s">
        <v>1083</v>
      </c>
      <c r="I346" s="941">
        <v>1000</v>
      </c>
      <c r="J346" s="944">
        <v>45941</v>
      </c>
      <c r="K346" s="944">
        <v>45938</v>
      </c>
      <c r="L346" s="941" t="s">
        <v>1153</v>
      </c>
      <c r="M346" s="941"/>
      <c r="N346" s="941" t="s">
        <v>1355</v>
      </c>
      <c r="O346" s="941" t="s">
        <v>1122</v>
      </c>
      <c r="P346" s="941" t="s">
        <v>1155</v>
      </c>
    </row>
    <row r="347" spans="1:16">
      <c r="A347" s="937"/>
      <c r="B347" s="937" t="str" cm="1">
        <f t="array" ref="B347">IF(P347="","",_xlfn.XLOOKUP(P347&amp;"",'Units Data'!$I$6:$I$10000&amp;"",'Units Data'!$C$6:$C$10000,"غير موجود",0))</f>
        <v>غير موجود</v>
      </c>
      <c r="C347" s="937" t="str" cm="1">
        <f t="array" ref="C347">IF(P347="","",_xlfn.XLOOKUP(P347&amp;"",'Units Data'!$I$6:$I$10000&amp;"",'Units Data'!$B$6:$B$10000,"غير موجود",0))</f>
        <v>غير موجود</v>
      </c>
      <c r="D347" s="940">
        <v>31882327</v>
      </c>
      <c r="E347" s="941" t="s">
        <v>1076</v>
      </c>
      <c r="F347" s="941" t="s">
        <v>1077</v>
      </c>
      <c r="G347" s="941" t="s">
        <v>1078</v>
      </c>
      <c r="H347" s="941" t="s">
        <v>1083</v>
      </c>
      <c r="I347" s="941">
        <v>1000</v>
      </c>
      <c r="J347" s="944">
        <v>45941</v>
      </c>
      <c r="K347" s="944">
        <v>45938</v>
      </c>
      <c r="L347" s="941" t="s">
        <v>1365</v>
      </c>
      <c r="M347" s="941"/>
      <c r="N347" s="941" t="s">
        <v>1366</v>
      </c>
      <c r="O347" s="941" t="s">
        <v>1122</v>
      </c>
      <c r="P347" s="941" t="s">
        <v>1367</v>
      </c>
    </row>
    <row r="348" spans="1:16">
      <c r="A348" s="937"/>
      <c r="B348" s="937" t="str" cm="1">
        <f t="array" ref="B348">IF(P348="","",_xlfn.XLOOKUP(P348&amp;"",'Units Data'!$I$6:$I$10000&amp;"",'Units Data'!$C$6:$C$10000,"غير موجود",0))</f>
        <v>غير موجود</v>
      </c>
      <c r="C348" s="937" t="str" cm="1">
        <f t="array" ref="C348">IF(P348="","",_xlfn.XLOOKUP(P348&amp;"",'Units Data'!$I$6:$I$10000&amp;"",'Units Data'!$B$6:$B$10000,"غير موجود",0))</f>
        <v>غير موجود</v>
      </c>
      <c r="D348" s="940">
        <v>31882310</v>
      </c>
      <c r="E348" s="941" t="s">
        <v>1076</v>
      </c>
      <c r="F348" s="941" t="s">
        <v>1077</v>
      </c>
      <c r="G348" s="941" t="s">
        <v>1078</v>
      </c>
      <c r="H348" s="941" t="s">
        <v>1083</v>
      </c>
      <c r="I348" s="941">
        <v>2000</v>
      </c>
      <c r="J348" s="944">
        <v>45941</v>
      </c>
      <c r="K348" s="944">
        <v>45938</v>
      </c>
      <c r="L348" s="941" t="s">
        <v>1227</v>
      </c>
      <c r="M348" s="941"/>
      <c r="N348" s="941" t="s">
        <v>1363</v>
      </c>
      <c r="O348" s="941" t="s">
        <v>1122</v>
      </c>
      <c r="P348" s="941" t="s">
        <v>1229</v>
      </c>
    </row>
    <row r="349" spans="1:16">
      <c r="A349" s="937"/>
      <c r="B349" s="937" t="str" cm="1">
        <f t="array" ref="B349">IF(P349="","",_xlfn.XLOOKUP(P349&amp;"",'Units Data'!$I$6:$I$10000&amp;"",'Units Data'!$C$6:$C$10000,"غير موجود",0))</f>
        <v>غير موجود</v>
      </c>
      <c r="C349" s="937" t="str" cm="1">
        <f t="array" ref="C349">IF(P349="","",_xlfn.XLOOKUP(P349&amp;"",'Units Data'!$I$6:$I$10000&amp;"",'Units Data'!$B$6:$B$10000,"غير موجود",0))</f>
        <v>غير موجود</v>
      </c>
      <c r="D349" s="940">
        <v>31882304</v>
      </c>
      <c r="E349" s="941" t="s">
        <v>1076</v>
      </c>
      <c r="F349" s="941" t="s">
        <v>1077</v>
      </c>
      <c r="G349" s="941" t="s">
        <v>1078</v>
      </c>
      <c r="H349" s="941" t="s">
        <v>1083</v>
      </c>
      <c r="I349" s="941">
        <v>1000</v>
      </c>
      <c r="J349" s="944">
        <v>45941</v>
      </c>
      <c r="K349" s="944">
        <v>45938</v>
      </c>
      <c r="L349" s="941" t="s">
        <v>1317</v>
      </c>
      <c r="M349" s="941"/>
      <c r="N349" s="941" t="s">
        <v>1320</v>
      </c>
      <c r="O349" s="941" t="s">
        <v>1122</v>
      </c>
      <c r="P349" s="941" t="s">
        <v>1319</v>
      </c>
    </row>
    <row r="350" spans="1:16">
      <c r="A350" s="937"/>
      <c r="B350" s="937" t="str" cm="1">
        <f t="array" ref="B350">IF(P350="","",_xlfn.XLOOKUP(P350&amp;"",'Units Data'!$I$6:$I$10000&amp;"",'Units Data'!$C$6:$C$10000,"غير موجود",0))</f>
        <v>غير موجود</v>
      </c>
      <c r="C350" s="937" t="str" cm="1">
        <f t="array" ref="C350">IF(P350="","",_xlfn.XLOOKUP(P350&amp;"",'Units Data'!$I$6:$I$10000&amp;"",'Units Data'!$B$6:$B$10000,"غير موجود",0))</f>
        <v>غير موجود</v>
      </c>
      <c r="D350" s="940">
        <v>31790584</v>
      </c>
      <c r="E350" s="941" t="s">
        <v>1076</v>
      </c>
      <c r="F350" s="941" t="s">
        <v>1077</v>
      </c>
      <c r="G350" s="941" t="s">
        <v>1078</v>
      </c>
      <c r="H350" s="941" t="s">
        <v>1079</v>
      </c>
      <c r="I350" s="941">
        <v>3000</v>
      </c>
      <c r="J350" s="944">
        <v>45937</v>
      </c>
      <c r="K350" s="944">
        <v>45935</v>
      </c>
      <c r="L350" s="941" t="s">
        <v>1326</v>
      </c>
      <c r="M350" s="941"/>
      <c r="N350" s="941" t="s">
        <v>1377</v>
      </c>
      <c r="O350" s="941" t="s">
        <v>1161</v>
      </c>
      <c r="P350" s="941" t="s">
        <v>1328</v>
      </c>
    </row>
    <row r="351" spans="1:16">
      <c r="A351" s="937"/>
      <c r="B351" s="937" t="str" cm="1">
        <f t="array" ref="B351">IF(P351="","",_xlfn.XLOOKUP(P351&amp;"",'Units Data'!$I$6:$I$10000&amp;"",'Units Data'!$C$6:$C$10000,"غير موجود",0))</f>
        <v>غير موجود</v>
      </c>
      <c r="C351" s="937" t="str" cm="1">
        <f t="array" ref="C351">IF(P351="","",_xlfn.XLOOKUP(P351&amp;"",'Units Data'!$I$6:$I$10000&amp;"",'Units Data'!$B$6:$B$10000,"غير موجود",0))</f>
        <v>غير موجود</v>
      </c>
      <c r="D351" s="940">
        <v>31745787</v>
      </c>
      <c r="E351" s="941" t="s">
        <v>1076</v>
      </c>
      <c r="F351" s="941" t="s">
        <v>1077</v>
      </c>
      <c r="G351" s="941" t="s">
        <v>1078</v>
      </c>
      <c r="H351" s="941" t="s">
        <v>1079</v>
      </c>
      <c r="I351" s="941">
        <v>1000</v>
      </c>
      <c r="J351" s="944">
        <v>45935</v>
      </c>
      <c r="K351" s="944">
        <v>45934</v>
      </c>
      <c r="L351" s="941" t="s">
        <v>1120</v>
      </c>
      <c r="M351" s="941"/>
      <c r="N351" s="941" t="s">
        <v>1364</v>
      </c>
      <c r="O351" s="941" t="s">
        <v>1122</v>
      </c>
      <c r="P351" s="941" t="s">
        <v>1123</v>
      </c>
    </row>
    <row r="352" spans="1:16">
      <c r="A352" s="937"/>
      <c r="B352" s="937" t="str" cm="1">
        <f t="array" ref="B352">IF(P352="","",_xlfn.XLOOKUP(P352&amp;"",'Units Data'!$I$6:$I$10000&amp;"",'Units Data'!$C$6:$C$10000,"غير موجود",0))</f>
        <v>غير موجود</v>
      </c>
      <c r="C352" s="937" t="str" cm="1">
        <f t="array" ref="C352">IF(P352="","",_xlfn.XLOOKUP(P352&amp;"",'Units Data'!$I$6:$I$10000&amp;"",'Units Data'!$B$6:$B$10000,"غير موجود",0))</f>
        <v>غير موجود</v>
      </c>
      <c r="D352" s="940">
        <v>31724580</v>
      </c>
      <c r="E352" s="941" t="s">
        <v>1076</v>
      </c>
      <c r="F352" s="941" t="s">
        <v>1077</v>
      </c>
      <c r="G352" s="941" t="s">
        <v>1078</v>
      </c>
      <c r="H352" s="941" t="s">
        <v>1083</v>
      </c>
      <c r="I352" s="941">
        <v>1000</v>
      </c>
      <c r="J352" s="944">
        <v>45936</v>
      </c>
      <c r="K352" s="944">
        <v>45934</v>
      </c>
      <c r="L352" s="941" t="s">
        <v>1196</v>
      </c>
      <c r="M352" s="941"/>
      <c r="N352" s="941" t="s">
        <v>1336</v>
      </c>
      <c r="O352" s="941" t="s">
        <v>1122</v>
      </c>
      <c r="P352" s="941" t="s">
        <v>1337</v>
      </c>
    </row>
    <row r="353" spans="1:16">
      <c r="A353" s="937"/>
      <c r="B353" s="937" t="str" cm="1">
        <f t="array" ref="B353">IF(P353="","",_xlfn.XLOOKUP(P353&amp;"",'Units Data'!$I$6:$I$10000&amp;"",'Units Data'!$C$6:$C$10000,"غير موجود",0))</f>
        <v>غير موجود</v>
      </c>
      <c r="C353" s="937" t="str" cm="1">
        <f t="array" ref="C353">IF(P353="","",_xlfn.XLOOKUP(P353&amp;"",'Units Data'!$I$6:$I$10000&amp;"",'Units Data'!$B$6:$B$10000,"غير موجود",0))</f>
        <v>غير موجود</v>
      </c>
      <c r="D353" s="940">
        <v>31720034</v>
      </c>
      <c r="E353" s="941" t="s">
        <v>1076</v>
      </c>
      <c r="F353" s="941" t="s">
        <v>1077</v>
      </c>
      <c r="G353" s="941" t="s">
        <v>1078</v>
      </c>
      <c r="H353" s="941" t="s">
        <v>1079</v>
      </c>
      <c r="I353" s="941">
        <v>1000</v>
      </c>
      <c r="J353" s="944">
        <v>45936</v>
      </c>
      <c r="K353" s="944">
        <v>45934</v>
      </c>
      <c r="L353" s="941" t="s">
        <v>1338</v>
      </c>
      <c r="M353" s="941"/>
      <c r="N353" s="941" t="s">
        <v>1339</v>
      </c>
      <c r="O353" s="941" t="s">
        <v>1122</v>
      </c>
      <c r="P353" s="941" t="s">
        <v>1340</v>
      </c>
    </row>
    <row r="354" spans="1:16">
      <c r="A354" s="937"/>
      <c r="B354" s="937" cm="1">
        <f t="array" ref="B354">IF(P354="","",_xlfn.XLOOKUP(P354&amp;"",'Units Data'!$I$6:$I$10000&amp;"",'Units Data'!$C$6:$C$10000,"غير موجود",0))</f>
        <v>102</v>
      </c>
      <c r="C354" s="937" t="str" cm="1">
        <f t="array" ref="C354">IF(P354="","",_xlfn.XLOOKUP(P354&amp;"",'Units Data'!$I$6:$I$10000&amp;"",'Units Data'!$B$6:$B$10000,"غير موجود",0))</f>
        <v>S6</v>
      </c>
      <c r="D354" s="940">
        <v>31650753</v>
      </c>
      <c r="E354" s="941" t="s">
        <v>1076</v>
      </c>
      <c r="F354" s="941" t="s">
        <v>1077</v>
      </c>
      <c r="G354" s="941" t="s">
        <v>1078</v>
      </c>
      <c r="H354" s="941" t="s">
        <v>1079</v>
      </c>
      <c r="I354" s="941">
        <v>3800</v>
      </c>
      <c r="J354" s="944">
        <v>45936</v>
      </c>
      <c r="K354" s="944">
        <v>45932</v>
      </c>
      <c r="L354" s="941" t="s">
        <v>1389</v>
      </c>
      <c r="M354" s="941"/>
      <c r="N354" s="941" t="s">
        <v>1390</v>
      </c>
      <c r="O354" s="941" t="s">
        <v>1095</v>
      </c>
      <c r="P354" s="941" t="s">
        <v>1391</v>
      </c>
    </row>
    <row r="355" spans="1:16">
      <c r="A355" s="937"/>
      <c r="B355" s="937" cm="1">
        <f t="array" ref="B355">IF(P355="","",_xlfn.XLOOKUP(P355&amp;"",'Units Data'!$I$6:$I$10000&amp;"",'Units Data'!$C$6:$C$10000,"غير موجود",0))</f>
        <v>102</v>
      </c>
      <c r="C355" s="937" t="str" cm="1">
        <f t="array" ref="C355">IF(P355="","",_xlfn.XLOOKUP(P355&amp;"",'Units Data'!$I$6:$I$10000&amp;"",'Units Data'!$B$6:$B$10000,"غير موجود",0))</f>
        <v>S4</v>
      </c>
      <c r="D355" s="940">
        <v>31586071</v>
      </c>
      <c r="E355" s="941" t="s">
        <v>1076</v>
      </c>
      <c r="F355" s="941" t="s">
        <v>1077</v>
      </c>
      <c r="G355" s="941" t="s">
        <v>1078</v>
      </c>
      <c r="H355" s="941" t="s">
        <v>1079</v>
      </c>
      <c r="I355" s="941">
        <v>3800</v>
      </c>
      <c r="J355" s="944">
        <v>45933</v>
      </c>
      <c r="K355" s="944">
        <v>45931</v>
      </c>
      <c r="L355" s="941" t="s">
        <v>1307</v>
      </c>
      <c r="M355" s="941"/>
      <c r="N355" s="941" t="s">
        <v>1378</v>
      </c>
      <c r="O355" s="941" t="s">
        <v>1095</v>
      </c>
      <c r="P355" s="941" t="s">
        <v>1379</v>
      </c>
    </row>
    <row r="356" spans="1:16">
      <c r="A356" s="937"/>
      <c r="B356" s="937" t="str" cm="1">
        <f t="array" ref="B356">IF(P356="","",_xlfn.XLOOKUP(P356&amp;"",'Units Data'!$I$6:$I$10000&amp;"",'Units Data'!$C$6:$C$10000,"غير موجود",0))</f>
        <v>غير موجود</v>
      </c>
      <c r="C356" s="937" t="str" cm="1">
        <f t="array" ref="C356">IF(P356="","",_xlfn.XLOOKUP(P356&amp;"",'Units Data'!$I$6:$I$10000&amp;"",'Units Data'!$B$6:$B$10000,"غير موجود",0))</f>
        <v>غير موجود</v>
      </c>
      <c r="D356" s="940">
        <v>31542892</v>
      </c>
      <c r="E356" s="941" t="s">
        <v>1076</v>
      </c>
      <c r="F356" s="941" t="s">
        <v>1077</v>
      </c>
      <c r="G356" s="941" t="s">
        <v>1078</v>
      </c>
      <c r="H356" s="941" t="s">
        <v>1079</v>
      </c>
      <c r="I356" s="941">
        <v>3000</v>
      </c>
      <c r="J356" s="944">
        <v>45933</v>
      </c>
      <c r="K356" s="944">
        <v>45931</v>
      </c>
      <c r="L356" s="941" t="s">
        <v>1284</v>
      </c>
      <c r="M356" s="941"/>
      <c r="N356" s="941" t="s">
        <v>1290</v>
      </c>
      <c r="O356" s="941" t="s">
        <v>1111</v>
      </c>
      <c r="P356" s="941" t="s">
        <v>1286</v>
      </c>
    </row>
    <row r="357" spans="1:16">
      <c r="A357" s="937"/>
      <c r="B357" s="937" t="str" cm="1">
        <f t="array" ref="B357">IF(P357="","",_xlfn.XLOOKUP(P357&amp;"",'Units Data'!$I$6:$I$10000&amp;"",'Units Data'!$C$6:$C$10000,"غير موجود",0))</f>
        <v>غير موجود</v>
      </c>
      <c r="C357" s="937" t="str" cm="1">
        <f t="array" ref="C357">IF(P357="","",_xlfn.XLOOKUP(P357&amp;"",'Units Data'!$I$6:$I$10000&amp;"",'Units Data'!$B$6:$B$10000,"غير موجود",0))</f>
        <v>غير موجود</v>
      </c>
      <c r="D357" s="940">
        <v>31535280</v>
      </c>
      <c r="E357" s="941" t="s">
        <v>1076</v>
      </c>
      <c r="F357" s="941" t="s">
        <v>1077</v>
      </c>
      <c r="G357" s="941" t="s">
        <v>1078</v>
      </c>
      <c r="H357" s="941" t="s">
        <v>1083</v>
      </c>
      <c r="I357" s="941">
        <v>1000</v>
      </c>
      <c r="J357" s="944">
        <v>45933</v>
      </c>
      <c r="K357" s="944">
        <v>45930</v>
      </c>
      <c r="L357" s="941" t="s">
        <v>1263</v>
      </c>
      <c r="M357" s="941"/>
      <c r="N357" s="941" t="s">
        <v>1264</v>
      </c>
      <c r="O357" s="941" t="s">
        <v>1122</v>
      </c>
      <c r="P357" s="941" t="s">
        <v>1265</v>
      </c>
    </row>
    <row r="358" spans="1:16">
      <c r="A358" s="937"/>
      <c r="B358" s="937" t="str" cm="1">
        <f t="array" ref="B358">IF(P358="","",_xlfn.XLOOKUP(P358&amp;"",'Units Data'!$I$6:$I$10000&amp;"",'Units Data'!$C$6:$C$10000,"غير موجود",0))</f>
        <v>غير موجود</v>
      </c>
      <c r="C358" s="937" t="str" cm="1">
        <f t="array" ref="C358">IF(P358="","",_xlfn.XLOOKUP(P358&amp;"",'Units Data'!$I$6:$I$10000&amp;"",'Units Data'!$B$6:$B$10000,"غير موجود",0))</f>
        <v>غير موجود</v>
      </c>
      <c r="D358" s="940">
        <v>31460179</v>
      </c>
      <c r="E358" s="941" t="s">
        <v>1076</v>
      </c>
      <c r="F358" s="941" t="s">
        <v>1077</v>
      </c>
      <c r="G358" s="941" t="s">
        <v>1078</v>
      </c>
      <c r="H358" s="941" t="s">
        <v>1079</v>
      </c>
      <c r="I358" s="941">
        <v>3000</v>
      </c>
      <c r="J358" s="944">
        <v>45932</v>
      </c>
      <c r="K358" s="944">
        <v>45929</v>
      </c>
      <c r="L358" s="941" t="s">
        <v>1329</v>
      </c>
      <c r="M358" s="941"/>
      <c r="N358" s="941" t="s">
        <v>1330</v>
      </c>
      <c r="O358" s="941" t="s">
        <v>1161</v>
      </c>
      <c r="P358" s="941" t="s">
        <v>1331</v>
      </c>
    </row>
    <row r="359" spans="1:16">
      <c r="A359" s="937"/>
      <c r="B359" s="937" cm="1">
        <f t="array" ref="B359">IF(P359="","",_xlfn.XLOOKUP(P359&amp;"",'Units Data'!$I$6:$I$10000&amp;"",'Units Data'!$C$6:$C$10000,"غير موجود",0))</f>
        <v>102</v>
      </c>
      <c r="C359" s="937" t="str" cm="1">
        <f t="array" ref="C359">IF(P359="","",_xlfn.XLOOKUP(P359&amp;"",'Units Data'!$I$6:$I$10000&amp;"",'Units Data'!$B$6:$B$10000,"غير موجود",0))</f>
        <v>F4</v>
      </c>
      <c r="D359" s="940">
        <v>31337325</v>
      </c>
      <c r="E359" s="941" t="s">
        <v>1076</v>
      </c>
      <c r="F359" s="941" t="s">
        <v>1077</v>
      </c>
      <c r="G359" s="941" t="s">
        <v>1078</v>
      </c>
      <c r="H359" s="941" t="s">
        <v>1083</v>
      </c>
      <c r="I359" s="941">
        <v>3500</v>
      </c>
      <c r="J359" s="944">
        <v>45932</v>
      </c>
      <c r="K359" s="944">
        <v>45927</v>
      </c>
      <c r="L359" s="941" t="s">
        <v>1296</v>
      </c>
      <c r="M359" s="941"/>
      <c r="N359" s="941" t="s">
        <v>1297</v>
      </c>
      <c r="O359" s="941" t="s">
        <v>1095</v>
      </c>
      <c r="P359" s="941" t="s">
        <v>1298</v>
      </c>
    </row>
    <row r="360" spans="1:16">
      <c r="A360" s="937"/>
      <c r="B360" s="937" t="str" cm="1">
        <f t="array" ref="B360">IF(P360="","",_xlfn.XLOOKUP(P360&amp;"",'Units Data'!$I$6:$I$10000&amp;"",'Units Data'!$C$6:$C$10000,"غير موجود",0))</f>
        <v>غير موجود</v>
      </c>
      <c r="C360" s="937" t="str" cm="1">
        <f t="array" ref="C360">IF(P360="","",_xlfn.XLOOKUP(P360&amp;"",'Units Data'!$I$6:$I$10000&amp;"",'Units Data'!$B$6:$B$10000,"غير موجود",0))</f>
        <v>غير موجود</v>
      </c>
      <c r="D360" s="940">
        <v>31304362</v>
      </c>
      <c r="E360" s="941" t="s">
        <v>1076</v>
      </c>
      <c r="F360" s="941" t="s">
        <v>1077</v>
      </c>
      <c r="G360" s="941" t="s">
        <v>1078</v>
      </c>
      <c r="H360" s="941" t="s">
        <v>1079</v>
      </c>
      <c r="I360" s="941">
        <v>3000</v>
      </c>
      <c r="J360" s="944">
        <v>45927</v>
      </c>
      <c r="K360" s="944">
        <v>45925</v>
      </c>
      <c r="L360" s="941" t="s">
        <v>1380</v>
      </c>
      <c r="M360" s="941"/>
      <c r="N360" s="941" t="s">
        <v>1381</v>
      </c>
      <c r="O360" s="941" t="s">
        <v>1161</v>
      </c>
      <c r="P360" s="941" t="s">
        <v>1382</v>
      </c>
    </row>
    <row r="361" spans="1:16">
      <c r="A361" s="937"/>
      <c r="B361" s="937" cm="1">
        <f t="array" ref="B361">IF(P361="","",_xlfn.XLOOKUP(P361&amp;"",'Units Data'!$I$6:$I$10000&amp;"",'Units Data'!$C$6:$C$10000,"غير موجود",0))</f>
        <v>102</v>
      </c>
      <c r="C361" s="937" t="str" cm="1">
        <f t="array" ref="C361">IF(P361="","",_xlfn.XLOOKUP(P361&amp;"",'Units Data'!$I$6:$I$10000&amp;"",'Units Data'!$B$6:$B$10000,"غير موجود",0))</f>
        <v>F2</v>
      </c>
      <c r="D361" s="940">
        <v>31301355</v>
      </c>
      <c r="E361" s="941" t="s">
        <v>1076</v>
      </c>
      <c r="F361" s="941" t="s">
        <v>1077</v>
      </c>
      <c r="G361" s="941" t="s">
        <v>1078</v>
      </c>
      <c r="H361" s="941" t="s">
        <v>1079</v>
      </c>
      <c r="I361" s="941">
        <v>3000</v>
      </c>
      <c r="J361" s="944">
        <v>45927</v>
      </c>
      <c r="K361" s="944">
        <v>45925</v>
      </c>
      <c r="L361" s="941" t="s">
        <v>1016</v>
      </c>
      <c r="M361" s="941"/>
      <c r="N361" s="941" t="s">
        <v>1371</v>
      </c>
      <c r="O361" s="941" t="s">
        <v>1095</v>
      </c>
      <c r="P361" s="941" t="s">
        <v>1372</v>
      </c>
    </row>
    <row r="362" spans="1:16">
      <c r="A362" s="937"/>
      <c r="B362" s="937" t="str" cm="1">
        <f t="array" ref="B362">IF(P362="","",_xlfn.XLOOKUP(P362&amp;"",'Units Data'!$I$6:$I$10000&amp;"",'Units Data'!$C$6:$C$10000,"غير موجود",0))</f>
        <v>غير موجود</v>
      </c>
      <c r="C362" s="937" t="str" cm="1">
        <f t="array" ref="C362">IF(P362="","",_xlfn.XLOOKUP(P362&amp;"",'Units Data'!$I$6:$I$10000&amp;"",'Units Data'!$B$6:$B$10000,"غير موجود",0))</f>
        <v>غير موجود</v>
      </c>
      <c r="D362" s="940">
        <v>31276264</v>
      </c>
      <c r="E362" s="941" t="s">
        <v>1076</v>
      </c>
      <c r="F362" s="941" t="s">
        <v>1077</v>
      </c>
      <c r="G362" s="941" t="s">
        <v>1078</v>
      </c>
      <c r="H362" s="941" t="s">
        <v>1083</v>
      </c>
      <c r="I362" s="941">
        <v>1000</v>
      </c>
      <c r="J362" s="944">
        <v>45927</v>
      </c>
      <c r="K362" s="944">
        <v>45924</v>
      </c>
      <c r="L362" s="941" t="s">
        <v>1191</v>
      </c>
      <c r="M362" s="941"/>
      <c r="N362" s="941" t="s">
        <v>1356</v>
      </c>
      <c r="O362" s="941" t="s">
        <v>1122</v>
      </c>
      <c r="P362" s="941" t="s">
        <v>1193</v>
      </c>
    </row>
    <row r="363" spans="1:16">
      <c r="A363" s="937"/>
      <c r="B363" s="937" cm="1">
        <f t="array" ref="B363">IF(P363="","",_xlfn.XLOOKUP(P363&amp;"",'Units Data'!$I$6:$I$10000&amp;"",'Units Data'!$C$6:$C$10000,"غير موجود",0))</f>
        <v>102</v>
      </c>
      <c r="C363" s="937" t="str" cm="1">
        <f t="array" ref="C363">IF(P363="","",_xlfn.XLOOKUP(P363&amp;"",'Units Data'!$I$6:$I$10000&amp;"",'Units Data'!$B$6:$B$10000,"غير موجود",0))</f>
        <v>F3</v>
      </c>
      <c r="D363" s="940">
        <v>31225165</v>
      </c>
      <c r="E363" s="941" t="s">
        <v>1076</v>
      </c>
      <c r="F363" s="941" t="s">
        <v>1077</v>
      </c>
      <c r="G363" s="941" t="s">
        <v>1078</v>
      </c>
      <c r="H363" s="941" t="s">
        <v>1079</v>
      </c>
      <c r="I363" s="941">
        <v>4000</v>
      </c>
      <c r="J363" s="944">
        <v>45922</v>
      </c>
      <c r="K363" s="944">
        <v>45921</v>
      </c>
      <c r="L363" s="941" t="s">
        <v>1291</v>
      </c>
      <c r="M363" s="941"/>
      <c r="N363" s="941" t="s">
        <v>1392</v>
      </c>
      <c r="O363" s="941" t="s">
        <v>1095</v>
      </c>
      <c r="P363" s="941" t="s">
        <v>1393</v>
      </c>
    </row>
    <row r="364" spans="1:16">
      <c r="A364" s="937"/>
      <c r="B364" s="937" t="str" cm="1">
        <f t="array" ref="B364">IF(P364="","",_xlfn.XLOOKUP(P364&amp;"",'Units Data'!$I$6:$I$10000&amp;"",'Units Data'!$C$6:$C$10000,"غير موجود",0))</f>
        <v>غير موجود</v>
      </c>
      <c r="C364" s="937" t="str" cm="1">
        <f t="array" ref="C364">IF(P364="","",_xlfn.XLOOKUP(P364&amp;"",'Units Data'!$I$6:$I$10000&amp;"",'Units Data'!$B$6:$B$10000,"غير موجود",0))</f>
        <v>غير موجود</v>
      </c>
      <c r="D364" s="940">
        <v>31220914</v>
      </c>
      <c r="E364" s="941" t="s">
        <v>1076</v>
      </c>
      <c r="F364" s="941" t="s">
        <v>1077</v>
      </c>
      <c r="G364" s="941" t="s">
        <v>1078</v>
      </c>
      <c r="H364" s="941" t="s">
        <v>1083</v>
      </c>
      <c r="I364" s="941">
        <v>1000</v>
      </c>
      <c r="J364" s="944">
        <v>45924</v>
      </c>
      <c r="K364" s="944">
        <v>45921</v>
      </c>
      <c r="L364" s="941" t="s">
        <v>1394</v>
      </c>
      <c r="M364" s="941"/>
      <c r="N364" s="941" t="s">
        <v>1395</v>
      </c>
      <c r="O364" s="941" t="s">
        <v>1122</v>
      </c>
      <c r="P364" s="941" t="s">
        <v>1396</v>
      </c>
    </row>
    <row r="365" spans="1:16">
      <c r="A365" s="937"/>
      <c r="B365" s="937" t="str" cm="1">
        <f t="array" ref="B365">IF(P365="","",_xlfn.XLOOKUP(P365&amp;"",'Units Data'!$I$6:$I$10000&amp;"",'Units Data'!$C$6:$C$10000,"غير موجود",0))</f>
        <v>غير موجود</v>
      </c>
      <c r="C365" s="937" t="str" cm="1">
        <f t="array" ref="C365">IF(P365="","",_xlfn.XLOOKUP(P365&amp;"",'Units Data'!$I$6:$I$10000&amp;"",'Units Data'!$B$6:$B$10000,"غير موجود",0))</f>
        <v>غير موجود</v>
      </c>
      <c r="D365" s="940">
        <v>31068516</v>
      </c>
      <c r="E365" s="941" t="s">
        <v>1076</v>
      </c>
      <c r="F365" s="941" t="s">
        <v>1077</v>
      </c>
      <c r="G365" s="941" t="s">
        <v>1078</v>
      </c>
      <c r="H365" s="941" t="s">
        <v>1083</v>
      </c>
      <c r="I365" s="941">
        <v>1000</v>
      </c>
      <c r="J365" s="944">
        <v>45916</v>
      </c>
      <c r="K365" s="944">
        <v>45914</v>
      </c>
      <c r="L365" s="941" t="s">
        <v>1397</v>
      </c>
      <c r="M365" s="941"/>
      <c r="N365" s="941" t="s">
        <v>1398</v>
      </c>
      <c r="O365" s="941" t="s">
        <v>1122</v>
      </c>
      <c r="P365" s="941" t="s">
        <v>1399</v>
      </c>
    </row>
    <row r="366" spans="1:16">
      <c r="A366" s="937"/>
      <c r="B366" s="937" t="str" cm="1">
        <f t="array" ref="B366">IF(P366="","",_xlfn.XLOOKUP(P366&amp;"",'Units Data'!$I$6:$I$10000&amp;"",'Units Data'!$C$6:$C$10000,"غير موجود",0))</f>
        <v>غير موجود</v>
      </c>
      <c r="C366" s="937" t="str" cm="1">
        <f t="array" ref="C366">IF(P366="","",_xlfn.XLOOKUP(P366&amp;"",'Units Data'!$I$6:$I$10000&amp;"",'Units Data'!$B$6:$B$10000,"غير موجود",0))</f>
        <v>غير موجود</v>
      </c>
      <c r="D366" s="940">
        <v>31068289</v>
      </c>
      <c r="E366" s="941" t="s">
        <v>1076</v>
      </c>
      <c r="F366" s="941" t="s">
        <v>1077</v>
      </c>
      <c r="G366" s="941" t="s">
        <v>1078</v>
      </c>
      <c r="H366" s="941" t="s">
        <v>1083</v>
      </c>
      <c r="I366" s="941">
        <v>1000</v>
      </c>
      <c r="J366" s="944">
        <v>45916</v>
      </c>
      <c r="K366" s="944">
        <v>45914</v>
      </c>
      <c r="L366" s="941" t="s">
        <v>1317</v>
      </c>
      <c r="M366" s="941"/>
      <c r="N366" s="941" t="s">
        <v>1320</v>
      </c>
      <c r="O366" s="941" t="s">
        <v>1122</v>
      </c>
      <c r="P366" s="941" t="s">
        <v>1319</v>
      </c>
    </row>
    <row r="367" spans="1:16">
      <c r="A367" s="937"/>
      <c r="B367" s="937" t="str" cm="1">
        <f t="array" ref="B367">IF(P367="","",_xlfn.XLOOKUP(P367&amp;"",'Units Data'!$I$6:$I$10000&amp;"",'Units Data'!$C$6:$C$10000,"غير موجود",0))</f>
        <v>غير موجود</v>
      </c>
      <c r="C367" s="937" t="str" cm="1">
        <f t="array" ref="C367">IF(P367="","",_xlfn.XLOOKUP(P367&amp;"",'Units Data'!$I$6:$I$10000&amp;"",'Units Data'!$B$6:$B$10000,"غير موجود",0))</f>
        <v>غير موجود</v>
      </c>
      <c r="D367" s="940">
        <v>31052826</v>
      </c>
      <c r="E367" s="941" t="s">
        <v>1076</v>
      </c>
      <c r="F367" s="941" t="s">
        <v>1077</v>
      </c>
      <c r="G367" s="941" t="s">
        <v>1078</v>
      </c>
      <c r="H367" s="941" t="s">
        <v>1079</v>
      </c>
      <c r="I367" s="941">
        <v>4500</v>
      </c>
      <c r="J367" s="944">
        <v>45915</v>
      </c>
      <c r="K367" s="944">
        <v>45914</v>
      </c>
      <c r="L367" s="941" t="s">
        <v>1276</v>
      </c>
      <c r="M367" s="941"/>
      <c r="N367" s="941" t="s">
        <v>1277</v>
      </c>
      <c r="O367" s="941" t="s">
        <v>1111</v>
      </c>
      <c r="P367" s="941" t="s">
        <v>1278</v>
      </c>
    </row>
    <row r="368" spans="1:16">
      <c r="A368" s="937"/>
      <c r="B368" s="937" cm="1">
        <f t="array" ref="B368">IF(P368="","",_xlfn.XLOOKUP(P368&amp;"",'Units Data'!$I$6:$I$10000&amp;"",'Units Data'!$C$6:$C$10000,"غير موجود",0))</f>
        <v>102</v>
      </c>
      <c r="C368" s="937" t="str" cm="1">
        <f t="array" ref="C368">IF(P368="","",_xlfn.XLOOKUP(P368&amp;"",'Units Data'!$I$6:$I$10000&amp;"",'Units Data'!$B$6:$B$10000,"غير موجود",0))</f>
        <v>S7</v>
      </c>
      <c r="D368" s="940">
        <v>31052658</v>
      </c>
      <c r="E368" s="941" t="s">
        <v>1076</v>
      </c>
      <c r="F368" s="941" t="s">
        <v>1077</v>
      </c>
      <c r="G368" s="941" t="s">
        <v>1078</v>
      </c>
      <c r="H368" s="941" t="s">
        <v>1079</v>
      </c>
      <c r="I368" s="941">
        <v>4000</v>
      </c>
      <c r="J368" s="944">
        <v>45915</v>
      </c>
      <c r="K368" s="944">
        <v>45914</v>
      </c>
      <c r="L368" s="941" t="s">
        <v>1315</v>
      </c>
      <c r="M368" s="941"/>
      <c r="N368" s="941" t="s">
        <v>1316</v>
      </c>
      <c r="O368" s="941" t="s">
        <v>1095</v>
      </c>
      <c r="P368" s="941" t="s">
        <v>1268</v>
      </c>
    </row>
    <row r="369" spans="1:16">
      <c r="A369" s="937"/>
      <c r="B369" s="937" t="str" cm="1">
        <f t="array" ref="B369">IF(P369="","",_xlfn.XLOOKUP(P369&amp;"",'Units Data'!$I$6:$I$10000&amp;"",'Units Data'!$C$6:$C$10000,"غير موجود",0))</f>
        <v>غير موجود</v>
      </c>
      <c r="C369" s="937" t="str" cm="1">
        <f t="array" ref="C369">IF(P369="","",_xlfn.XLOOKUP(P369&amp;"",'Units Data'!$I$6:$I$10000&amp;"",'Units Data'!$B$6:$B$10000,"غير موجود",0))</f>
        <v>غير موجود</v>
      </c>
      <c r="D369" s="940">
        <v>31046121</v>
      </c>
      <c r="E369" s="941" t="s">
        <v>1076</v>
      </c>
      <c r="F369" s="941" t="s">
        <v>1077</v>
      </c>
      <c r="G369" s="941" t="s">
        <v>1078</v>
      </c>
      <c r="H369" s="941" t="s">
        <v>1083</v>
      </c>
      <c r="I369" s="941">
        <v>1000</v>
      </c>
      <c r="J369" s="944">
        <v>45915</v>
      </c>
      <c r="K369" s="944">
        <v>45913</v>
      </c>
      <c r="L369" s="941" t="s">
        <v>1196</v>
      </c>
      <c r="M369" s="941"/>
      <c r="N369" s="941" t="s">
        <v>1336</v>
      </c>
      <c r="O369" s="941" t="s">
        <v>1122</v>
      </c>
      <c r="P369" s="941" t="s">
        <v>1337</v>
      </c>
    </row>
    <row r="370" spans="1:16">
      <c r="A370" s="937"/>
      <c r="B370" s="937" t="str" cm="1">
        <f t="array" ref="B370">IF(P370="","",_xlfn.XLOOKUP(P370&amp;"",'Units Data'!$I$6:$I$10000&amp;"",'Units Data'!$C$6:$C$10000,"غير موجود",0))</f>
        <v>غير موجود</v>
      </c>
      <c r="C370" s="937" t="str" cm="1">
        <f t="array" ref="C370">IF(P370="","",_xlfn.XLOOKUP(P370&amp;"",'Units Data'!$I$6:$I$10000&amp;"",'Units Data'!$B$6:$B$10000,"غير موجود",0))</f>
        <v>غير موجود</v>
      </c>
      <c r="D370" s="940">
        <v>31037788</v>
      </c>
      <c r="E370" s="941" t="s">
        <v>1076</v>
      </c>
      <c r="F370" s="941" t="s">
        <v>1077</v>
      </c>
      <c r="G370" s="941" t="s">
        <v>1078</v>
      </c>
      <c r="H370" s="941" t="s">
        <v>1083</v>
      </c>
      <c r="I370" s="941">
        <v>3000</v>
      </c>
      <c r="J370" s="944">
        <v>45915</v>
      </c>
      <c r="K370" s="944">
        <v>45913</v>
      </c>
      <c r="L370" s="941" t="s">
        <v>1386</v>
      </c>
      <c r="M370" s="941"/>
      <c r="N370" s="941" t="s">
        <v>1387</v>
      </c>
      <c r="O370" s="941" t="s">
        <v>1161</v>
      </c>
      <c r="P370" s="941" t="s">
        <v>1388</v>
      </c>
    </row>
    <row r="371" spans="1:16">
      <c r="A371" s="937"/>
      <c r="B371" s="937" t="str" cm="1">
        <f t="array" ref="B371">IF(P371="","",_xlfn.XLOOKUP(P371&amp;"",'Units Data'!$I$6:$I$10000&amp;"",'Units Data'!$C$6:$C$10000,"غير موجود",0))</f>
        <v>غير موجود</v>
      </c>
      <c r="C371" s="937" t="str" cm="1">
        <f t="array" ref="C371">IF(P371="","",_xlfn.XLOOKUP(P371&amp;"",'Units Data'!$I$6:$I$10000&amp;"",'Units Data'!$B$6:$B$10000,"غير موجود",0))</f>
        <v>غير موجود</v>
      </c>
      <c r="D371" s="940">
        <v>31006114</v>
      </c>
      <c r="E371" s="941" t="s">
        <v>1076</v>
      </c>
      <c r="F371" s="941" t="s">
        <v>1077</v>
      </c>
      <c r="G371" s="941" t="s">
        <v>1078</v>
      </c>
      <c r="H371" s="941" t="s">
        <v>1083</v>
      </c>
      <c r="I371" s="941">
        <v>1000</v>
      </c>
      <c r="J371" s="944">
        <v>45915</v>
      </c>
      <c r="K371" s="944">
        <v>45911</v>
      </c>
      <c r="L371" s="941" t="s">
        <v>1191</v>
      </c>
      <c r="M371" s="941"/>
      <c r="N371" s="941" t="s">
        <v>1356</v>
      </c>
      <c r="O371" s="941" t="s">
        <v>1122</v>
      </c>
      <c r="P371" s="941" t="s">
        <v>1193</v>
      </c>
    </row>
    <row r="372" spans="1:16">
      <c r="A372" s="937"/>
      <c r="B372" s="937" t="str" cm="1">
        <f t="array" ref="B372">IF(P372="","",_xlfn.XLOOKUP(P372&amp;"",'Units Data'!$I$6:$I$10000&amp;"",'Units Data'!$C$6:$C$10000,"غير موجود",0))</f>
        <v>غير موجود</v>
      </c>
      <c r="C372" s="937" t="str" cm="1">
        <f t="array" ref="C372">IF(P372="","",_xlfn.XLOOKUP(P372&amp;"",'Units Data'!$I$6:$I$10000&amp;"",'Units Data'!$B$6:$B$10000,"غير موجود",0))</f>
        <v>غير موجود</v>
      </c>
      <c r="D372" s="940">
        <v>30981678</v>
      </c>
      <c r="E372" s="941" t="s">
        <v>1076</v>
      </c>
      <c r="F372" s="941" t="s">
        <v>1077</v>
      </c>
      <c r="G372" s="941" t="s">
        <v>1078</v>
      </c>
      <c r="H372" s="941" t="s">
        <v>1079</v>
      </c>
      <c r="I372" s="941">
        <v>3000</v>
      </c>
      <c r="J372" s="944">
        <v>45911</v>
      </c>
      <c r="K372" s="944">
        <v>45910</v>
      </c>
      <c r="L372" s="941" t="s">
        <v>1326</v>
      </c>
      <c r="M372" s="941"/>
      <c r="N372" s="941" t="s">
        <v>1377</v>
      </c>
      <c r="O372" s="941" t="s">
        <v>1161</v>
      </c>
      <c r="P372" s="941" t="s">
        <v>1328</v>
      </c>
    </row>
    <row r="373" spans="1:16">
      <c r="A373" s="937"/>
      <c r="B373" s="937" cm="1">
        <f t="array" ref="B373">IF(P373="","",_xlfn.XLOOKUP(P373&amp;"",'Units Data'!$I$6:$I$10000&amp;"",'Units Data'!$C$6:$C$10000,"غير موجود",0))</f>
        <v>102</v>
      </c>
      <c r="C373" s="937" t="str" cm="1">
        <f t="array" ref="C373">IF(P373="","",_xlfn.XLOOKUP(P373&amp;"",'Units Data'!$I$6:$I$10000&amp;"",'Units Data'!$B$6:$B$10000,"غير موجود",0))</f>
        <v>F1</v>
      </c>
      <c r="D373" s="940">
        <v>30961451</v>
      </c>
      <c r="E373" s="941" t="s">
        <v>1076</v>
      </c>
      <c r="F373" s="941" t="s">
        <v>1077</v>
      </c>
      <c r="G373" s="941" t="s">
        <v>1078</v>
      </c>
      <c r="H373" s="941" t="s">
        <v>1079</v>
      </c>
      <c r="I373" s="941">
        <v>3500</v>
      </c>
      <c r="J373" s="944">
        <v>45911</v>
      </c>
      <c r="K373" s="944">
        <v>45910</v>
      </c>
      <c r="L373" s="941" t="s">
        <v>81</v>
      </c>
      <c r="M373" s="941"/>
      <c r="N373" s="941" t="s">
        <v>1310</v>
      </c>
      <c r="O373" s="941" t="s">
        <v>1095</v>
      </c>
      <c r="P373" s="941" t="s">
        <v>1096</v>
      </c>
    </row>
    <row r="374" spans="1:16">
      <c r="A374" s="937"/>
      <c r="B374" s="937" t="str" cm="1">
        <f t="array" ref="B374">IF(P374="","",_xlfn.XLOOKUP(P374&amp;"",'Units Data'!$I$6:$I$10000&amp;"",'Units Data'!$C$6:$C$10000,"غير موجود",0))</f>
        <v>غير موجود</v>
      </c>
      <c r="C374" s="937" t="str" cm="1">
        <f t="array" ref="C374">IF(P374="","",_xlfn.XLOOKUP(P374&amp;"",'Units Data'!$I$6:$I$10000&amp;"",'Units Data'!$B$6:$B$10000,"غير موجود",0))</f>
        <v>غير موجود</v>
      </c>
      <c r="D374" s="940">
        <v>30950464</v>
      </c>
      <c r="E374" s="941" t="s">
        <v>1076</v>
      </c>
      <c r="F374" s="941" t="s">
        <v>1077</v>
      </c>
      <c r="G374" s="941" t="s">
        <v>1078</v>
      </c>
      <c r="H374" s="941" t="s">
        <v>1083</v>
      </c>
      <c r="I374" s="941">
        <v>1000</v>
      </c>
      <c r="J374" s="944">
        <v>45913</v>
      </c>
      <c r="K374" s="944">
        <v>45910</v>
      </c>
      <c r="L374" s="941" t="s">
        <v>1304</v>
      </c>
      <c r="M374" s="941"/>
      <c r="N374" s="941" t="s">
        <v>1351</v>
      </c>
      <c r="O374" s="941" t="s">
        <v>1122</v>
      </c>
      <c r="P374" s="941" t="s">
        <v>1306</v>
      </c>
    </row>
    <row r="375" spans="1:16">
      <c r="A375" s="937"/>
      <c r="B375" s="937" t="str" cm="1">
        <f t="array" ref="B375">IF(P375="","",_xlfn.XLOOKUP(P375&amp;"",'Units Data'!$I$6:$I$10000&amp;"",'Units Data'!$C$6:$C$10000,"غير موجود",0))</f>
        <v>غير موجود</v>
      </c>
      <c r="C375" s="937" t="str" cm="1">
        <f t="array" ref="C375">IF(P375="","",_xlfn.XLOOKUP(P375&amp;"",'Units Data'!$I$6:$I$10000&amp;"",'Units Data'!$B$6:$B$10000,"غير موجود",0))</f>
        <v>غير موجود</v>
      </c>
      <c r="D375" s="940">
        <v>30709822</v>
      </c>
      <c r="E375" s="941" t="s">
        <v>1076</v>
      </c>
      <c r="F375" s="941" t="s">
        <v>1077</v>
      </c>
      <c r="G375" s="941" t="s">
        <v>1078</v>
      </c>
      <c r="H375" s="941" t="s">
        <v>1079</v>
      </c>
      <c r="I375" s="941">
        <v>1000</v>
      </c>
      <c r="J375" s="944">
        <v>45905</v>
      </c>
      <c r="K375" s="944">
        <v>45903</v>
      </c>
      <c r="L375" s="941" t="s">
        <v>1338</v>
      </c>
      <c r="M375" s="941"/>
      <c r="N375" s="941" t="s">
        <v>1339</v>
      </c>
      <c r="O375" s="941" t="s">
        <v>1122</v>
      </c>
      <c r="P375" s="941" t="s">
        <v>1340</v>
      </c>
    </row>
    <row r="376" spans="1:16">
      <c r="A376" s="937"/>
      <c r="B376" s="937" cm="1">
        <f t="array" ref="B376">IF(P376="","",_xlfn.XLOOKUP(P376&amp;"",'Units Data'!$I$6:$I$10000&amp;"",'Units Data'!$C$6:$C$10000,"غير موجود",0))</f>
        <v>102</v>
      </c>
      <c r="C376" s="937" t="str" cm="1">
        <f t="array" ref="C376">IF(P376="","",_xlfn.XLOOKUP(P376&amp;"",'Units Data'!$I$6:$I$10000&amp;"",'Units Data'!$B$6:$B$10000,"غير موجود",0))</f>
        <v>S4</v>
      </c>
      <c r="D376" s="940">
        <v>30605140</v>
      </c>
      <c r="E376" s="941" t="s">
        <v>1076</v>
      </c>
      <c r="F376" s="941" t="s">
        <v>1077</v>
      </c>
      <c r="G376" s="941" t="s">
        <v>1078</v>
      </c>
      <c r="H376" s="941" t="s">
        <v>1079</v>
      </c>
      <c r="I376" s="941">
        <v>3800</v>
      </c>
      <c r="J376" s="944">
        <v>45903</v>
      </c>
      <c r="K376" s="944">
        <v>45901</v>
      </c>
      <c r="L376" s="941" t="s">
        <v>1307</v>
      </c>
      <c r="M376" s="941"/>
      <c r="N376" s="941" t="s">
        <v>1378</v>
      </c>
      <c r="O376" s="941" t="s">
        <v>1095</v>
      </c>
      <c r="P376" s="941" t="s">
        <v>1379</v>
      </c>
    </row>
    <row r="377" spans="1:16">
      <c r="A377" s="937"/>
      <c r="B377" s="937" t="str" cm="1">
        <f t="array" ref="B377">IF(P377="","",_xlfn.XLOOKUP(P377&amp;"",'Units Data'!$I$6:$I$10000&amp;"",'Units Data'!$C$6:$C$10000,"غير موجود",0))</f>
        <v>غير موجود</v>
      </c>
      <c r="C377" s="937" t="str" cm="1">
        <f t="array" ref="C377">IF(P377="","",_xlfn.XLOOKUP(P377&amp;"",'Units Data'!$I$6:$I$10000&amp;"",'Units Data'!$B$6:$B$10000,"غير موجود",0))</f>
        <v>غير موجود</v>
      </c>
      <c r="D377" s="940">
        <v>30557229</v>
      </c>
      <c r="E377" s="941" t="s">
        <v>1076</v>
      </c>
      <c r="F377" s="941" t="s">
        <v>1077</v>
      </c>
      <c r="G377" s="941" t="s">
        <v>1078</v>
      </c>
      <c r="H377" s="941" t="s">
        <v>1079</v>
      </c>
      <c r="I377" s="941">
        <v>3000</v>
      </c>
      <c r="J377" s="944">
        <v>45903</v>
      </c>
      <c r="K377" s="944">
        <v>45901</v>
      </c>
      <c r="L377" s="941" t="s">
        <v>1284</v>
      </c>
      <c r="M377" s="941"/>
      <c r="N377" s="941" t="s">
        <v>1290</v>
      </c>
      <c r="O377" s="941" t="s">
        <v>1111</v>
      </c>
      <c r="P377" s="941" t="s">
        <v>1286</v>
      </c>
    </row>
    <row r="378" spans="1:16">
      <c r="A378" s="937"/>
      <c r="B378" s="937" cm="1">
        <f t="array" ref="B378">IF(P378="","",_xlfn.XLOOKUP(P378&amp;"",'Units Data'!$I$6:$I$10000&amp;"",'Units Data'!$C$6:$C$10000,"غير موجود",0))</f>
        <v>102</v>
      </c>
      <c r="C378" s="937" t="str" cm="1">
        <f t="array" ref="C378">IF(P378="","",_xlfn.XLOOKUP(P378&amp;"",'Units Data'!$I$6:$I$10000&amp;"",'Units Data'!$B$6:$B$10000,"غير موجود",0))</f>
        <v>S2</v>
      </c>
      <c r="D378" s="940">
        <v>30556765</v>
      </c>
      <c r="E378" s="941" t="s">
        <v>1076</v>
      </c>
      <c r="F378" s="941" t="s">
        <v>1077</v>
      </c>
      <c r="G378" s="941" t="s">
        <v>1078</v>
      </c>
      <c r="H378" s="941" t="s">
        <v>1083</v>
      </c>
      <c r="I378" s="941">
        <v>1000</v>
      </c>
      <c r="J378" s="944">
        <v>45904</v>
      </c>
      <c r="K378" s="944">
        <v>45901</v>
      </c>
      <c r="L378" s="941" t="s">
        <v>1400</v>
      </c>
      <c r="M378" s="941"/>
      <c r="N378" s="941" t="s">
        <v>1401</v>
      </c>
      <c r="O378" s="941" t="s">
        <v>1095</v>
      </c>
      <c r="P378" s="941" t="s">
        <v>1402</v>
      </c>
    </row>
    <row r="379" spans="1:16">
      <c r="A379" s="937"/>
      <c r="B379" s="937" t="str" cm="1">
        <f t="array" ref="B379">IF(P379="","",_xlfn.XLOOKUP(P379&amp;"",'Units Data'!$I$6:$I$10000&amp;"",'Units Data'!$C$6:$C$10000,"غير موجود",0))</f>
        <v>غير موجود</v>
      </c>
      <c r="C379" s="937" t="str" cm="1">
        <f t="array" ref="C379">IF(P379="","",_xlfn.XLOOKUP(P379&amp;"",'Units Data'!$I$6:$I$10000&amp;"",'Units Data'!$B$6:$B$10000,"غير موجود",0))</f>
        <v>غير موجود</v>
      </c>
      <c r="D379" s="940">
        <v>30482686</v>
      </c>
      <c r="E379" s="941" t="s">
        <v>1076</v>
      </c>
      <c r="F379" s="941" t="s">
        <v>1077</v>
      </c>
      <c r="G379" s="941" t="s">
        <v>1078</v>
      </c>
      <c r="H379" s="941" t="s">
        <v>1079</v>
      </c>
      <c r="I379" s="941">
        <v>4000</v>
      </c>
      <c r="J379" s="944">
        <v>45901</v>
      </c>
      <c r="K379" s="944">
        <v>45899</v>
      </c>
      <c r="L379" s="941" t="s">
        <v>1031</v>
      </c>
      <c r="M379" s="941"/>
      <c r="N379" s="941" t="s">
        <v>1403</v>
      </c>
      <c r="O379" s="941" t="s">
        <v>1095</v>
      </c>
      <c r="P379" s="941" t="s">
        <v>1404</v>
      </c>
    </row>
    <row r="380" spans="1:16">
      <c r="A380" s="937"/>
      <c r="B380" s="937" cm="1">
        <f t="array" ref="B380">IF(P380="","",_xlfn.XLOOKUP(P380&amp;"",'Units Data'!$I$6:$I$10000&amp;"",'Units Data'!$C$6:$C$10000,"غير موجود",0))</f>
        <v>102</v>
      </c>
      <c r="C380" s="937" t="str" cm="1">
        <f t="array" ref="C380">IF(P380="","",_xlfn.XLOOKUP(P380&amp;"",'Units Data'!$I$6:$I$10000&amp;"",'Units Data'!$B$6:$B$10000,"غير موجود",0))</f>
        <v>S6</v>
      </c>
      <c r="D380" s="940">
        <v>30478365</v>
      </c>
      <c r="E380" s="941" t="s">
        <v>1076</v>
      </c>
      <c r="F380" s="941" t="s">
        <v>1077</v>
      </c>
      <c r="G380" s="941" t="s">
        <v>1078</v>
      </c>
      <c r="H380" s="941" t="s">
        <v>1079</v>
      </c>
      <c r="I380" s="941">
        <v>3800</v>
      </c>
      <c r="J380" s="944">
        <v>45901</v>
      </c>
      <c r="K380" s="944">
        <v>45899</v>
      </c>
      <c r="L380" s="941" t="s">
        <v>1389</v>
      </c>
      <c r="M380" s="941"/>
      <c r="N380" s="941" t="s">
        <v>1390</v>
      </c>
      <c r="O380" s="941" t="s">
        <v>1095</v>
      </c>
      <c r="P380" s="941" t="s">
        <v>1391</v>
      </c>
    </row>
    <row r="381" spans="1:16">
      <c r="A381" s="937"/>
      <c r="B381" s="937" t="str" cm="1">
        <f t="array" ref="B381">IF(P381="","",_xlfn.XLOOKUP(P381&amp;"",'Units Data'!$I$6:$I$10000&amp;"",'Units Data'!$C$6:$C$10000,"غير موجود",0))</f>
        <v>غير موجود</v>
      </c>
      <c r="C381" s="937" t="str" cm="1">
        <f t="array" ref="C381">IF(P381="","",_xlfn.XLOOKUP(P381&amp;"",'Units Data'!$I$6:$I$10000&amp;"",'Units Data'!$B$6:$B$10000,"غير موجود",0))</f>
        <v>غير موجود</v>
      </c>
      <c r="D381" s="940">
        <v>30452853</v>
      </c>
      <c r="E381" s="941" t="s">
        <v>1076</v>
      </c>
      <c r="F381" s="941" t="s">
        <v>1077</v>
      </c>
      <c r="G381" s="941" t="s">
        <v>1078</v>
      </c>
      <c r="H381" s="941" t="s">
        <v>1079</v>
      </c>
      <c r="I381" s="941">
        <v>1000</v>
      </c>
      <c r="J381" s="944">
        <v>45900</v>
      </c>
      <c r="K381" s="944">
        <v>45898</v>
      </c>
      <c r="L381" s="941" t="s">
        <v>1120</v>
      </c>
      <c r="M381" s="941"/>
      <c r="N381" s="941" t="s">
        <v>1364</v>
      </c>
      <c r="O381" s="941" t="s">
        <v>1122</v>
      </c>
      <c r="P381" s="941" t="s">
        <v>1123</v>
      </c>
    </row>
    <row r="382" spans="1:16">
      <c r="A382" s="937"/>
      <c r="B382" s="937" cm="1">
        <f t="array" ref="B382">IF(P382="","",_xlfn.XLOOKUP(P382&amp;"",'Units Data'!$I$6:$I$10000&amp;"",'Units Data'!$C$6:$C$10000,"غير موجود",0))</f>
        <v>102</v>
      </c>
      <c r="C382" s="937" t="str" cm="1">
        <f t="array" ref="C382">IF(P382="","",_xlfn.XLOOKUP(P382&amp;"",'Units Data'!$I$6:$I$10000&amp;"",'Units Data'!$B$6:$B$10000,"غير موجود",0))</f>
        <v>S5</v>
      </c>
      <c r="D382" s="940">
        <v>30451375</v>
      </c>
      <c r="E382" s="941" t="s">
        <v>1076</v>
      </c>
      <c r="F382" s="941" t="s">
        <v>1077</v>
      </c>
      <c r="G382" s="941" t="s">
        <v>1078</v>
      </c>
      <c r="H382" s="941" t="s">
        <v>1083</v>
      </c>
      <c r="I382" s="941">
        <v>3800</v>
      </c>
      <c r="J382" s="944">
        <v>45902</v>
      </c>
      <c r="K382" s="944">
        <v>45898</v>
      </c>
      <c r="L382" s="941" t="s">
        <v>1025</v>
      </c>
      <c r="M382" s="941"/>
      <c r="N382" s="941" t="s">
        <v>1405</v>
      </c>
      <c r="O382" s="941" t="s">
        <v>1095</v>
      </c>
      <c r="P382" s="941" t="s">
        <v>1406</v>
      </c>
    </row>
    <row r="383" spans="1:16">
      <c r="A383" s="937"/>
      <c r="B383" s="937" t="str" cm="1">
        <f t="array" ref="B383">IF(P383="","",_xlfn.XLOOKUP(P383&amp;"",'Units Data'!$I$6:$I$10000&amp;"",'Units Data'!$C$6:$C$10000,"غير موجود",0))</f>
        <v>غير موجود</v>
      </c>
      <c r="C383" s="937" t="str" cm="1">
        <f t="array" ref="C383">IF(P383="","",_xlfn.XLOOKUP(P383&amp;"",'Units Data'!$I$6:$I$10000&amp;"",'Units Data'!$B$6:$B$10000,"غير موجود",0))</f>
        <v>غير موجود</v>
      </c>
      <c r="D383" s="940">
        <v>30350566</v>
      </c>
      <c r="E383" s="941" t="s">
        <v>1076</v>
      </c>
      <c r="F383" s="941" t="s">
        <v>1077</v>
      </c>
      <c r="G383" s="941" t="s">
        <v>1078</v>
      </c>
      <c r="H383" s="941" t="s">
        <v>1079</v>
      </c>
      <c r="I383" s="941">
        <v>3000</v>
      </c>
      <c r="J383" s="944">
        <v>45898</v>
      </c>
      <c r="K383" s="944">
        <v>45896</v>
      </c>
      <c r="L383" s="941" t="s">
        <v>1329</v>
      </c>
      <c r="M383" s="941"/>
      <c r="N383" s="941" t="s">
        <v>1330</v>
      </c>
      <c r="O383" s="941" t="s">
        <v>1161</v>
      </c>
      <c r="P383" s="941" t="s">
        <v>1331</v>
      </c>
    </row>
    <row r="384" spans="1:16">
      <c r="A384" s="937"/>
      <c r="B384" s="937" cm="1">
        <f t="array" ref="B384">IF(P384="","",_xlfn.XLOOKUP(P384&amp;"",'Units Data'!$I$6:$I$10000&amp;"",'Units Data'!$C$6:$C$10000,"غير موجود",0))</f>
        <v>102</v>
      </c>
      <c r="C384" s="937" t="str" cm="1">
        <f t="array" ref="C384">IF(P384="","",_xlfn.XLOOKUP(P384&amp;"",'Units Data'!$I$6:$I$10000&amp;"",'Units Data'!$B$6:$B$10000,"غير موجود",0))</f>
        <v>S2</v>
      </c>
      <c r="D384" s="940">
        <v>30334670</v>
      </c>
      <c r="E384" s="941" t="s">
        <v>1076</v>
      </c>
      <c r="F384" s="941" t="s">
        <v>1077</v>
      </c>
      <c r="G384" s="941" t="s">
        <v>1078</v>
      </c>
      <c r="H384" s="941" t="s">
        <v>1083</v>
      </c>
      <c r="I384" s="941">
        <v>2500</v>
      </c>
      <c r="J384" s="944">
        <v>45901</v>
      </c>
      <c r="K384" s="944">
        <v>45896</v>
      </c>
      <c r="L384" s="941" t="s">
        <v>1400</v>
      </c>
      <c r="M384" s="941"/>
      <c r="N384" s="941" t="s">
        <v>1401</v>
      </c>
      <c r="O384" s="941" t="s">
        <v>1095</v>
      </c>
      <c r="P384" s="941" t="s">
        <v>1402</v>
      </c>
    </row>
    <row r="385" spans="1:16">
      <c r="A385" s="937"/>
      <c r="B385" s="937" cm="1">
        <f t="array" ref="B385">IF(P385="","",_xlfn.XLOOKUP(P385&amp;"",'Units Data'!$I$6:$I$10000&amp;"",'Units Data'!$C$6:$C$10000,"غير موجود",0))</f>
        <v>102</v>
      </c>
      <c r="C385" s="937" t="str" cm="1">
        <f t="array" ref="C385">IF(P385="","",_xlfn.XLOOKUP(P385&amp;"",'Units Data'!$I$6:$I$10000&amp;"",'Units Data'!$B$6:$B$10000,"غير موجود",0))</f>
        <v>F4</v>
      </c>
      <c r="D385" s="940">
        <v>30301180</v>
      </c>
      <c r="E385" s="941" t="s">
        <v>1076</v>
      </c>
      <c r="F385" s="941" t="s">
        <v>1077</v>
      </c>
      <c r="G385" s="941" t="s">
        <v>1078</v>
      </c>
      <c r="H385" s="941" t="s">
        <v>1083</v>
      </c>
      <c r="I385" s="941">
        <v>3500</v>
      </c>
      <c r="J385" s="944">
        <v>45898</v>
      </c>
      <c r="K385" s="944">
        <v>45895</v>
      </c>
      <c r="L385" s="941" t="s">
        <v>1296</v>
      </c>
      <c r="M385" s="941"/>
      <c r="N385" s="941" t="s">
        <v>1297</v>
      </c>
      <c r="O385" s="941" t="s">
        <v>1095</v>
      </c>
      <c r="P385" s="941" t="s">
        <v>1298</v>
      </c>
    </row>
    <row r="386" spans="1:16">
      <c r="A386" s="937"/>
      <c r="B386" s="937" t="str" cm="1">
        <f t="array" ref="B386">IF(P386="","",_xlfn.XLOOKUP(P386&amp;"",'Units Data'!$I$6:$I$10000&amp;"",'Units Data'!$C$6:$C$10000,"غير موجود",0))</f>
        <v>غير موجود</v>
      </c>
      <c r="C386" s="937" t="str" cm="1">
        <f t="array" ref="C386">IF(P386="","",_xlfn.XLOOKUP(P386&amp;"",'Units Data'!$I$6:$I$10000&amp;"",'Units Data'!$B$6:$B$10000,"غير موجود",0))</f>
        <v>غير موجود</v>
      </c>
      <c r="D386" s="940">
        <v>30277444</v>
      </c>
      <c r="E386" s="941" t="s">
        <v>1076</v>
      </c>
      <c r="F386" s="941" t="s">
        <v>1077</v>
      </c>
      <c r="G386" s="941" t="s">
        <v>1078</v>
      </c>
      <c r="H386" s="941" t="s">
        <v>1079</v>
      </c>
      <c r="I386" s="941">
        <v>3000</v>
      </c>
      <c r="J386" s="944">
        <v>45896</v>
      </c>
      <c r="K386" s="944">
        <v>45895</v>
      </c>
      <c r="L386" s="941" t="s">
        <v>1380</v>
      </c>
      <c r="M386" s="941"/>
      <c r="N386" s="941" t="s">
        <v>1381</v>
      </c>
      <c r="O386" s="941" t="s">
        <v>1161</v>
      </c>
      <c r="P386" s="941" t="s">
        <v>1382</v>
      </c>
    </row>
    <row r="387" spans="1:16">
      <c r="A387" s="937"/>
      <c r="B387" s="937" t="str" cm="1">
        <f t="array" ref="B387">IF(P387="","",_xlfn.XLOOKUP(P387&amp;"",'Units Data'!$I$6:$I$10000&amp;"",'Units Data'!$C$6:$C$10000,"غير موجود",0))</f>
        <v>غير موجود</v>
      </c>
      <c r="C387" s="937" t="str" cm="1">
        <f t="array" ref="C387">IF(P387="","",_xlfn.XLOOKUP(P387&amp;"",'Units Data'!$I$6:$I$10000&amp;"",'Units Data'!$B$6:$B$10000,"غير موجود",0))</f>
        <v>غير موجود</v>
      </c>
      <c r="D387" s="940">
        <v>30225921</v>
      </c>
      <c r="E387" s="941" t="s">
        <v>1076</v>
      </c>
      <c r="F387" s="941" t="s">
        <v>1077</v>
      </c>
      <c r="G387" s="941" t="s">
        <v>1078</v>
      </c>
      <c r="H387" s="941" t="s">
        <v>1083</v>
      </c>
      <c r="I387" s="941">
        <v>1000</v>
      </c>
      <c r="J387" s="944">
        <v>45895</v>
      </c>
      <c r="K387" s="944">
        <v>45893</v>
      </c>
      <c r="L387" s="941" t="s">
        <v>1153</v>
      </c>
      <c r="M387" s="941"/>
      <c r="N387" s="941" t="s">
        <v>1355</v>
      </c>
      <c r="O387" s="941" t="s">
        <v>1122</v>
      </c>
      <c r="P387" s="941" t="s">
        <v>1155</v>
      </c>
    </row>
    <row r="388" spans="1:16">
      <c r="A388" s="937"/>
      <c r="B388" s="937" t="str" cm="1">
        <f t="array" ref="B388">IF(P388="","",_xlfn.XLOOKUP(P388&amp;"",'Units Data'!$I$6:$I$10000&amp;"",'Units Data'!$C$6:$C$10000,"غير موجود",0))</f>
        <v>غير موجود</v>
      </c>
      <c r="C388" s="937" t="str" cm="1">
        <f t="array" ref="C388">IF(P388="","",_xlfn.XLOOKUP(P388&amp;"",'Units Data'!$I$6:$I$10000&amp;"",'Units Data'!$B$6:$B$10000,"غير موجود",0))</f>
        <v>غير موجود</v>
      </c>
      <c r="D388" s="940">
        <v>30212742</v>
      </c>
      <c r="E388" s="941" t="s">
        <v>1076</v>
      </c>
      <c r="F388" s="941" t="s">
        <v>1077</v>
      </c>
      <c r="G388" s="941" t="s">
        <v>1078</v>
      </c>
      <c r="H388" s="941" t="s">
        <v>1083</v>
      </c>
      <c r="I388" s="941">
        <v>3000</v>
      </c>
      <c r="J388" s="944">
        <v>45895</v>
      </c>
      <c r="K388" s="944">
        <v>45893</v>
      </c>
      <c r="L388" s="941" t="s">
        <v>1407</v>
      </c>
      <c r="M388" s="941"/>
      <c r="N388" s="941" t="s">
        <v>1408</v>
      </c>
      <c r="O388" s="941" t="s">
        <v>1122</v>
      </c>
      <c r="P388" s="941" t="s">
        <v>1409</v>
      </c>
    </row>
    <row r="389" spans="1:16">
      <c r="A389" s="937"/>
      <c r="B389" s="937" t="str" cm="1">
        <f t="array" ref="B389">IF(P389="","",_xlfn.XLOOKUP(P389&amp;"",'Units Data'!$I$6:$I$10000&amp;"",'Units Data'!$C$6:$C$10000,"غير موجود",0))</f>
        <v>غير موجود</v>
      </c>
      <c r="C389" s="937" t="str" cm="1">
        <f t="array" ref="C389">IF(P389="","",_xlfn.XLOOKUP(P389&amp;"",'Units Data'!$I$6:$I$10000&amp;"",'Units Data'!$B$6:$B$10000,"غير موجود",0))</f>
        <v>غير موجود</v>
      </c>
      <c r="D389" s="940">
        <v>30154491</v>
      </c>
      <c r="E389" s="941" t="s">
        <v>1076</v>
      </c>
      <c r="F389" s="941" t="s">
        <v>1077</v>
      </c>
      <c r="G389" s="941" t="s">
        <v>1078</v>
      </c>
      <c r="H389" s="941" t="s">
        <v>1083</v>
      </c>
      <c r="I389" s="941">
        <v>1000</v>
      </c>
      <c r="J389" s="944">
        <v>45893</v>
      </c>
      <c r="K389" s="944">
        <v>45889</v>
      </c>
      <c r="L389" s="941" t="s">
        <v>1263</v>
      </c>
      <c r="M389" s="941"/>
      <c r="N389" s="941" t="s">
        <v>1264</v>
      </c>
      <c r="O389" s="941" t="s">
        <v>1122</v>
      </c>
      <c r="P389" s="941" t="s">
        <v>1265</v>
      </c>
    </row>
    <row r="390" spans="1:16">
      <c r="A390" s="937"/>
      <c r="B390" s="937" t="str" cm="1">
        <f t="array" ref="B390">IF(P390="","",_xlfn.XLOOKUP(P390&amp;"",'Units Data'!$I$6:$I$10000&amp;"",'Units Data'!$C$6:$C$10000,"غير موجود",0))</f>
        <v>غير موجود</v>
      </c>
      <c r="C390" s="937" t="str" cm="1">
        <f t="array" ref="C390">IF(P390="","",_xlfn.XLOOKUP(P390&amp;"",'Units Data'!$I$6:$I$10000&amp;"",'Units Data'!$B$6:$B$10000,"غير موجود",0))</f>
        <v>غير موجود</v>
      </c>
      <c r="D390" s="940">
        <v>30116954</v>
      </c>
      <c r="E390" s="941" t="s">
        <v>1076</v>
      </c>
      <c r="F390" s="941" t="s">
        <v>1077</v>
      </c>
      <c r="G390" s="941" t="s">
        <v>1078</v>
      </c>
      <c r="H390" s="941" t="s">
        <v>1083</v>
      </c>
      <c r="I390" s="941">
        <v>1000</v>
      </c>
      <c r="J390" s="944">
        <v>45893</v>
      </c>
      <c r="K390" s="944">
        <v>45888</v>
      </c>
      <c r="L390" s="941" t="s">
        <v>1227</v>
      </c>
      <c r="M390" s="941"/>
      <c r="N390" s="941" t="s">
        <v>1363</v>
      </c>
      <c r="O390" s="941" t="s">
        <v>1122</v>
      </c>
      <c r="P390" s="941" t="s">
        <v>1229</v>
      </c>
    </row>
    <row r="391" spans="1:16">
      <c r="A391" s="937"/>
      <c r="B391" s="937" t="str" cm="1">
        <f t="array" ref="B391">IF(P391="","",_xlfn.XLOOKUP(P391&amp;"",'Units Data'!$I$6:$I$10000&amp;"",'Units Data'!$C$6:$C$10000,"غير موجود",0))</f>
        <v>غير موجود</v>
      </c>
      <c r="C391" s="937" t="str" cm="1">
        <f t="array" ref="C391">IF(P391="","",_xlfn.XLOOKUP(P391&amp;"",'Units Data'!$I$6:$I$10000&amp;"",'Units Data'!$B$6:$B$10000,"غير موجود",0))</f>
        <v>غير موجود</v>
      </c>
      <c r="D391" s="940">
        <v>30081331</v>
      </c>
      <c r="E391" s="941" t="s">
        <v>1076</v>
      </c>
      <c r="F391" s="941" t="s">
        <v>1077</v>
      </c>
      <c r="G391" s="941" t="s">
        <v>1078</v>
      </c>
      <c r="H391" s="941" t="s">
        <v>1083</v>
      </c>
      <c r="I391" s="941">
        <v>1000</v>
      </c>
      <c r="J391" s="944">
        <v>45889</v>
      </c>
      <c r="K391" s="944">
        <v>45887</v>
      </c>
      <c r="L391" s="941" t="s">
        <v>1365</v>
      </c>
      <c r="M391" s="941"/>
      <c r="N391" s="941" t="s">
        <v>1366</v>
      </c>
      <c r="O391" s="941" t="s">
        <v>1122</v>
      </c>
      <c r="P391" s="941" t="s">
        <v>1367</v>
      </c>
    </row>
    <row r="392" spans="1:16">
      <c r="A392" s="937"/>
      <c r="B392" s="937" t="str" cm="1">
        <f t="array" ref="B392">IF(P392="","",_xlfn.XLOOKUP(P392&amp;"",'Units Data'!$I$6:$I$10000&amp;"",'Units Data'!$C$6:$C$10000,"غير موجود",0))</f>
        <v>غير موجود</v>
      </c>
      <c r="C392" s="937" t="str" cm="1">
        <f t="array" ref="C392">IF(P392="","",_xlfn.XLOOKUP(P392&amp;"",'Units Data'!$I$6:$I$10000&amp;"",'Units Data'!$B$6:$B$10000,"غير موجود",0))</f>
        <v>غير موجود</v>
      </c>
      <c r="D392" s="940">
        <v>30081303</v>
      </c>
      <c r="E392" s="941" t="s">
        <v>1076</v>
      </c>
      <c r="F392" s="941" t="s">
        <v>1077</v>
      </c>
      <c r="G392" s="941" t="s">
        <v>1078</v>
      </c>
      <c r="H392" s="941" t="s">
        <v>1083</v>
      </c>
      <c r="I392" s="941">
        <v>1000</v>
      </c>
      <c r="J392" s="944">
        <v>45889</v>
      </c>
      <c r="K392" s="944">
        <v>45887</v>
      </c>
      <c r="L392" s="941" t="s">
        <v>1227</v>
      </c>
      <c r="M392" s="941"/>
      <c r="N392" s="941" t="s">
        <v>1363</v>
      </c>
      <c r="O392" s="941" t="s">
        <v>1122</v>
      </c>
      <c r="P392" s="941" t="s">
        <v>1229</v>
      </c>
    </row>
    <row r="393" spans="1:16">
      <c r="A393" s="937"/>
      <c r="B393" s="937" t="str" cm="1">
        <f t="array" ref="B393">IF(P393="","",_xlfn.XLOOKUP(P393&amp;"",'Units Data'!$I$6:$I$10000&amp;"",'Units Data'!$C$6:$C$10000,"غير موجود",0))</f>
        <v>غير موجود</v>
      </c>
      <c r="C393" s="937" t="str" cm="1">
        <f t="array" ref="C393">IF(P393="","",_xlfn.XLOOKUP(P393&amp;"",'Units Data'!$I$6:$I$10000&amp;"",'Units Data'!$B$6:$B$10000,"غير موجود",0))</f>
        <v>غير موجود</v>
      </c>
      <c r="D393" s="940">
        <v>29985666</v>
      </c>
      <c r="E393" s="941" t="s">
        <v>1076</v>
      </c>
      <c r="F393" s="941" t="s">
        <v>1077</v>
      </c>
      <c r="G393" s="941" t="s">
        <v>1078</v>
      </c>
      <c r="H393" s="941" t="s">
        <v>1083</v>
      </c>
      <c r="I393" s="941">
        <v>1000</v>
      </c>
      <c r="J393" s="944">
        <v>45887</v>
      </c>
      <c r="K393" s="944">
        <v>45883</v>
      </c>
      <c r="L393" s="941" t="s">
        <v>1304</v>
      </c>
      <c r="M393" s="941"/>
      <c r="N393" s="941" t="s">
        <v>1351</v>
      </c>
      <c r="O393" s="941" t="s">
        <v>1122</v>
      </c>
      <c r="P393" s="941" t="s">
        <v>1306</v>
      </c>
    </row>
    <row r="394" spans="1:16">
      <c r="A394" s="937"/>
      <c r="B394" s="937" t="str" cm="1">
        <f t="array" ref="B394">IF(P394="","",_xlfn.XLOOKUP(P394&amp;"",'Units Data'!$I$6:$I$10000&amp;"",'Units Data'!$C$6:$C$10000,"غير موجود",0))</f>
        <v>غير موجود</v>
      </c>
      <c r="C394" s="937" t="str" cm="1">
        <f t="array" ref="C394">IF(P394="","",_xlfn.XLOOKUP(P394&amp;"",'Units Data'!$I$6:$I$10000&amp;"",'Units Data'!$B$6:$B$10000,"غير موجود",0))</f>
        <v>غير موجود</v>
      </c>
      <c r="D394" s="940">
        <v>29977031</v>
      </c>
      <c r="E394" s="941" t="s">
        <v>1076</v>
      </c>
      <c r="F394" s="941" t="s">
        <v>1077</v>
      </c>
      <c r="G394" s="941" t="s">
        <v>1078</v>
      </c>
      <c r="H394" s="941" t="s">
        <v>1079</v>
      </c>
      <c r="I394" s="941">
        <v>4500</v>
      </c>
      <c r="J394" s="944">
        <v>45885</v>
      </c>
      <c r="K394" s="944">
        <v>45883</v>
      </c>
      <c r="L394" s="941" t="s">
        <v>1276</v>
      </c>
      <c r="M394" s="941"/>
      <c r="N394" s="941" t="s">
        <v>1277</v>
      </c>
      <c r="O394" s="941" t="s">
        <v>1111</v>
      </c>
      <c r="P394" s="941" t="s">
        <v>1278</v>
      </c>
    </row>
    <row r="395" spans="1:16">
      <c r="A395" s="937"/>
      <c r="B395" s="937" cm="1">
        <f t="array" ref="B395">IF(P395="","",_xlfn.XLOOKUP(P395&amp;"",'Units Data'!$I$6:$I$10000&amp;"",'Units Data'!$C$6:$C$10000,"غير موجود",0))</f>
        <v>102</v>
      </c>
      <c r="C395" s="937" t="str" cm="1">
        <f t="array" ref="C395">IF(P395="","",_xlfn.XLOOKUP(P395&amp;"",'Units Data'!$I$6:$I$10000&amp;"",'Units Data'!$B$6:$B$10000,"غير موجود",0))</f>
        <v>S7</v>
      </c>
      <c r="D395" s="940">
        <v>29975956</v>
      </c>
      <c r="E395" s="941" t="s">
        <v>1076</v>
      </c>
      <c r="F395" s="941" t="s">
        <v>1077</v>
      </c>
      <c r="G395" s="941" t="s">
        <v>1078</v>
      </c>
      <c r="H395" s="941" t="s">
        <v>1079</v>
      </c>
      <c r="I395" s="941">
        <v>4000</v>
      </c>
      <c r="J395" s="944">
        <v>45885</v>
      </c>
      <c r="K395" s="944">
        <v>45883</v>
      </c>
      <c r="L395" s="941" t="s">
        <v>1315</v>
      </c>
      <c r="M395" s="941"/>
      <c r="N395" s="941" t="s">
        <v>1316</v>
      </c>
      <c r="O395" s="941" t="s">
        <v>1095</v>
      </c>
      <c r="P395" s="941" t="s">
        <v>1268</v>
      </c>
    </row>
    <row r="396" spans="1:16">
      <c r="A396" s="937"/>
      <c r="B396" s="937" t="str" cm="1">
        <f t="array" ref="B396">IF(P396="","",_xlfn.XLOOKUP(P396&amp;"",'Units Data'!$I$6:$I$10000&amp;"",'Units Data'!$C$6:$C$10000,"غير موجود",0))</f>
        <v>غير موجود</v>
      </c>
      <c r="C396" s="937" t="str" cm="1">
        <f t="array" ref="C396">IF(P396="","",_xlfn.XLOOKUP(P396&amp;"",'Units Data'!$I$6:$I$10000&amp;"",'Units Data'!$B$6:$B$10000,"غير موجود",0))</f>
        <v>غير موجود</v>
      </c>
      <c r="D396" s="940">
        <v>29964802</v>
      </c>
      <c r="E396" s="941" t="s">
        <v>1076</v>
      </c>
      <c r="F396" s="941" t="s">
        <v>1077</v>
      </c>
      <c r="G396" s="941" t="s">
        <v>1078</v>
      </c>
      <c r="H396" s="941" t="s">
        <v>1083</v>
      </c>
      <c r="I396" s="941">
        <v>1000</v>
      </c>
      <c r="J396" s="944">
        <v>45885</v>
      </c>
      <c r="K396" s="944">
        <v>45882</v>
      </c>
      <c r="L396" s="941" t="s">
        <v>1250</v>
      </c>
      <c r="M396" s="941"/>
      <c r="N396" s="941" t="s">
        <v>1350</v>
      </c>
      <c r="O396" s="941" t="s">
        <v>1122</v>
      </c>
      <c r="P396" s="941" t="s">
        <v>1252</v>
      </c>
    </row>
    <row r="397" spans="1:16">
      <c r="A397" s="937"/>
      <c r="B397" s="937" cm="1">
        <f t="array" ref="B397">IF(P397="","",_xlfn.XLOOKUP(P397&amp;"",'Units Data'!$I$6:$I$10000&amp;"",'Units Data'!$C$6:$C$10000,"غير موجود",0))</f>
        <v>102</v>
      </c>
      <c r="C397" s="937" t="str" cm="1">
        <f t="array" ref="C397">IF(P397="","",_xlfn.XLOOKUP(P397&amp;"",'Units Data'!$I$6:$I$10000&amp;"",'Units Data'!$B$6:$B$10000,"غير موجود",0))</f>
        <v>F1</v>
      </c>
      <c r="D397" s="940">
        <v>29954716</v>
      </c>
      <c r="E397" s="941" t="s">
        <v>1076</v>
      </c>
      <c r="F397" s="941" t="s">
        <v>1077</v>
      </c>
      <c r="G397" s="941" t="s">
        <v>1078</v>
      </c>
      <c r="H397" s="941" t="s">
        <v>1079</v>
      </c>
      <c r="I397" s="941">
        <v>3500</v>
      </c>
      <c r="J397" s="944">
        <v>45883</v>
      </c>
      <c r="K397" s="944">
        <v>45882</v>
      </c>
      <c r="L397" s="941" t="s">
        <v>81</v>
      </c>
      <c r="M397" s="941"/>
      <c r="N397" s="941" t="s">
        <v>1310</v>
      </c>
      <c r="O397" s="941" t="s">
        <v>1095</v>
      </c>
      <c r="P397" s="941" t="s">
        <v>1096</v>
      </c>
    </row>
    <row r="398" spans="1:16">
      <c r="A398" s="937"/>
      <c r="B398" s="937" t="str" cm="1">
        <f t="array" ref="B398">IF(P398="","",_xlfn.XLOOKUP(P398&amp;"",'Units Data'!$I$6:$I$10000&amp;"",'Units Data'!$C$6:$C$10000,"غير موجود",0))</f>
        <v>غير موجود</v>
      </c>
      <c r="C398" s="937" t="str" cm="1">
        <f t="array" ref="C398">IF(P398="","",_xlfn.XLOOKUP(P398&amp;"",'Units Data'!$I$6:$I$10000&amp;"",'Units Data'!$B$6:$B$10000,"غير موجود",0))</f>
        <v>غير موجود</v>
      </c>
      <c r="D398" s="940">
        <v>29860328</v>
      </c>
      <c r="E398" s="941" t="s">
        <v>1076</v>
      </c>
      <c r="F398" s="941" t="s">
        <v>1077</v>
      </c>
      <c r="G398" s="941" t="s">
        <v>1078</v>
      </c>
      <c r="H398" s="941" t="s">
        <v>1079</v>
      </c>
      <c r="I398" s="941">
        <v>1000</v>
      </c>
      <c r="J398" s="944">
        <v>45885</v>
      </c>
      <c r="K398" s="944">
        <v>45879</v>
      </c>
      <c r="L398" s="941" t="s">
        <v>1410</v>
      </c>
      <c r="M398" s="941"/>
      <c r="N398" s="941" t="s">
        <v>1411</v>
      </c>
      <c r="O398" s="941" t="s">
        <v>1122</v>
      </c>
      <c r="P398" s="941" t="s">
        <v>1412</v>
      </c>
    </row>
    <row r="399" spans="1:16">
      <c r="A399" s="937"/>
      <c r="B399" s="937" t="str" cm="1">
        <f t="array" ref="B399">IF(P399="","",_xlfn.XLOOKUP(P399&amp;"",'Units Data'!$I$6:$I$10000&amp;"",'Units Data'!$C$6:$C$10000,"غير موجود",0))</f>
        <v>غير موجود</v>
      </c>
      <c r="C399" s="937" t="str" cm="1">
        <f t="array" ref="C399">IF(P399="","",_xlfn.XLOOKUP(P399&amp;"",'Units Data'!$I$6:$I$10000&amp;"",'Units Data'!$B$6:$B$10000,"غير موجود",0))</f>
        <v>غير موجود</v>
      </c>
      <c r="D399" s="940">
        <v>29818306</v>
      </c>
      <c r="E399" s="941" t="s">
        <v>1076</v>
      </c>
      <c r="F399" s="941" t="s">
        <v>1077</v>
      </c>
      <c r="G399" s="941" t="s">
        <v>1078</v>
      </c>
      <c r="H399" s="941" t="s">
        <v>1079</v>
      </c>
      <c r="I399" s="941">
        <v>1000</v>
      </c>
      <c r="J399" s="944">
        <v>45880</v>
      </c>
      <c r="K399" s="944">
        <v>45877</v>
      </c>
      <c r="L399" s="941" t="s">
        <v>1120</v>
      </c>
      <c r="M399" s="941"/>
      <c r="N399" s="941" t="s">
        <v>1364</v>
      </c>
      <c r="O399" s="941" t="s">
        <v>1122</v>
      </c>
      <c r="P399" s="941" t="s">
        <v>1123</v>
      </c>
    </row>
    <row r="400" spans="1:16">
      <c r="A400" s="937"/>
      <c r="B400" s="937" t="str" cm="1">
        <f t="array" ref="B400">IF(P400="","",_xlfn.XLOOKUP(P400&amp;"",'Units Data'!$I$6:$I$10000&amp;"",'Units Data'!$C$6:$C$10000,"غير موجود",0))</f>
        <v>غير موجود</v>
      </c>
      <c r="C400" s="937" t="str" cm="1">
        <f t="array" ref="C400">IF(P400="","",_xlfn.XLOOKUP(P400&amp;"",'Units Data'!$I$6:$I$10000&amp;"",'Units Data'!$B$6:$B$10000,"غير موجود",0))</f>
        <v>غير موجود</v>
      </c>
      <c r="D400" s="940">
        <v>29801549</v>
      </c>
      <c r="E400" s="941" t="s">
        <v>1076</v>
      </c>
      <c r="F400" s="941" t="s">
        <v>1077</v>
      </c>
      <c r="G400" s="941" t="s">
        <v>1078</v>
      </c>
      <c r="H400" s="941" t="s">
        <v>1083</v>
      </c>
      <c r="I400" s="941">
        <v>1000</v>
      </c>
      <c r="J400" s="944">
        <v>45880</v>
      </c>
      <c r="K400" s="944">
        <v>45876</v>
      </c>
      <c r="L400" s="941" t="s">
        <v>1153</v>
      </c>
      <c r="M400" s="941"/>
      <c r="N400" s="941" t="s">
        <v>1355</v>
      </c>
      <c r="O400" s="941" t="s">
        <v>1122</v>
      </c>
      <c r="P400" s="941" t="s">
        <v>1155</v>
      </c>
    </row>
    <row r="401" spans="1:16">
      <c r="A401" s="937"/>
      <c r="B401" s="937" t="str" cm="1">
        <f t="array" ref="B401">IF(P401="","",_xlfn.XLOOKUP(P401&amp;"",'Units Data'!$I$6:$I$10000&amp;"",'Units Data'!$C$6:$C$10000,"غير موجود",0))</f>
        <v>غير موجود</v>
      </c>
      <c r="C401" s="937" t="str" cm="1">
        <f t="array" ref="C401">IF(P401="","",_xlfn.XLOOKUP(P401&amp;"",'Units Data'!$I$6:$I$10000&amp;"",'Units Data'!$B$6:$B$10000,"غير موجود",0))</f>
        <v>غير موجود</v>
      </c>
      <c r="D401" s="940">
        <v>29801532</v>
      </c>
      <c r="E401" s="941" t="s">
        <v>1076</v>
      </c>
      <c r="F401" s="941" t="s">
        <v>1077</v>
      </c>
      <c r="G401" s="941" t="s">
        <v>1078</v>
      </c>
      <c r="H401" s="941" t="s">
        <v>1083</v>
      </c>
      <c r="I401" s="941">
        <v>1000</v>
      </c>
      <c r="J401" s="944">
        <v>45880</v>
      </c>
      <c r="K401" s="944">
        <v>45876</v>
      </c>
      <c r="L401" s="941" t="s">
        <v>1304</v>
      </c>
      <c r="M401" s="941"/>
      <c r="N401" s="941" t="s">
        <v>1351</v>
      </c>
      <c r="O401" s="941" t="s">
        <v>1122</v>
      </c>
      <c r="P401" s="941" t="s">
        <v>1306</v>
      </c>
    </row>
    <row r="402" spans="1:16">
      <c r="A402" s="937"/>
      <c r="B402" s="937" t="str" cm="1">
        <f t="array" ref="B402">IF(P402="","",_xlfn.XLOOKUP(P402&amp;"",'Units Data'!$I$6:$I$10000&amp;"",'Units Data'!$C$6:$C$10000,"غير موجود",0))</f>
        <v>غير موجود</v>
      </c>
      <c r="C402" s="937" t="str" cm="1">
        <f t="array" ref="C402">IF(P402="","",_xlfn.XLOOKUP(P402&amp;"",'Units Data'!$I$6:$I$10000&amp;"",'Units Data'!$B$6:$B$10000,"غير موجود",0))</f>
        <v>غير موجود</v>
      </c>
      <c r="D402" s="940">
        <v>29801327</v>
      </c>
      <c r="E402" s="941" t="s">
        <v>1076</v>
      </c>
      <c r="F402" s="941" t="s">
        <v>1077</v>
      </c>
      <c r="G402" s="941" t="s">
        <v>1078</v>
      </c>
      <c r="H402" s="941" t="s">
        <v>1083</v>
      </c>
      <c r="I402" s="941">
        <v>1000</v>
      </c>
      <c r="J402" s="944">
        <v>45880</v>
      </c>
      <c r="K402" s="944">
        <v>45876</v>
      </c>
      <c r="L402" s="941" t="s">
        <v>1227</v>
      </c>
      <c r="M402" s="941"/>
      <c r="N402" s="941" t="s">
        <v>1363</v>
      </c>
      <c r="O402" s="941" t="s">
        <v>1122</v>
      </c>
      <c r="P402" s="941" t="s">
        <v>1229</v>
      </c>
    </row>
    <row r="403" spans="1:16">
      <c r="A403" s="937"/>
      <c r="B403" s="937" t="str" cm="1">
        <f t="array" ref="B403">IF(P403="","",_xlfn.XLOOKUP(P403&amp;"",'Units Data'!$I$6:$I$10000&amp;"",'Units Data'!$C$6:$C$10000,"غير موجود",0))</f>
        <v>غير موجود</v>
      </c>
      <c r="C403" s="937" t="str" cm="1">
        <f t="array" ref="C403">IF(P403="","",_xlfn.XLOOKUP(P403&amp;"",'Units Data'!$I$6:$I$10000&amp;"",'Units Data'!$B$6:$B$10000,"غير موجود",0))</f>
        <v>غير موجود</v>
      </c>
      <c r="D403" s="940">
        <v>29801175</v>
      </c>
      <c r="E403" s="941" t="s">
        <v>1076</v>
      </c>
      <c r="F403" s="941" t="s">
        <v>1077</v>
      </c>
      <c r="G403" s="941" t="s">
        <v>1078</v>
      </c>
      <c r="H403" s="941" t="s">
        <v>1083</v>
      </c>
      <c r="I403" s="941">
        <v>1000</v>
      </c>
      <c r="J403" s="944">
        <v>45880</v>
      </c>
      <c r="K403" s="944">
        <v>45876</v>
      </c>
      <c r="L403" s="941" t="s">
        <v>1397</v>
      </c>
      <c r="M403" s="941"/>
      <c r="N403" s="941" t="s">
        <v>1398</v>
      </c>
      <c r="O403" s="941" t="s">
        <v>1122</v>
      </c>
      <c r="P403" s="941" t="s">
        <v>1399</v>
      </c>
    </row>
    <row r="404" spans="1:16">
      <c r="A404" s="937"/>
      <c r="B404" s="937" t="str" cm="1">
        <f t="array" ref="B404">IF(P404="","",_xlfn.XLOOKUP(P404&amp;"",'Units Data'!$I$6:$I$10000&amp;"",'Units Data'!$C$6:$C$10000,"غير موجود",0))</f>
        <v>غير موجود</v>
      </c>
      <c r="C404" s="937" t="str" cm="1">
        <f t="array" ref="C404">IF(P404="","",_xlfn.XLOOKUP(P404&amp;"",'Units Data'!$I$6:$I$10000&amp;"",'Units Data'!$B$6:$B$10000,"غير موجود",0))</f>
        <v>غير موجود</v>
      </c>
      <c r="D404" s="940">
        <v>29801153</v>
      </c>
      <c r="E404" s="941" t="s">
        <v>1076</v>
      </c>
      <c r="F404" s="941" t="s">
        <v>1077</v>
      </c>
      <c r="G404" s="941" t="s">
        <v>1078</v>
      </c>
      <c r="H404" s="941" t="s">
        <v>1083</v>
      </c>
      <c r="I404" s="941">
        <v>1000</v>
      </c>
      <c r="J404" s="944">
        <v>45880</v>
      </c>
      <c r="K404" s="944">
        <v>45876</v>
      </c>
      <c r="L404" s="941" t="s">
        <v>1191</v>
      </c>
      <c r="M404" s="941"/>
      <c r="N404" s="941" t="s">
        <v>1356</v>
      </c>
      <c r="O404" s="941" t="s">
        <v>1122</v>
      </c>
      <c r="P404" s="941" t="s">
        <v>1193</v>
      </c>
    </row>
    <row r="405" spans="1:16">
      <c r="A405" s="937"/>
      <c r="B405" s="937" t="str" cm="1">
        <f t="array" ref="B405">IF(P405="","",_xlfn.XLOOKUP(P405&amp;"",'Units Data'!$I$6:$I$10000&amp;"",'Units Data'!$C$6:$C$10000,"غير موجود",0))</f>
        <v>غير موجود</v>
      </c>
      <c r="C405" s="937" t="str" cm="1">
        <f t="array" ref="C405">IF(P405="","",_xlfn.XLOOKUP(P405&amp;"",'Units Data'!$I$6:$I$10000&amp;"",'Units Data'!$B$6:$B$10000,"غير موجود",0))</f>
        <v>غير موجود</v>
      </c>
      <c r="D405" s="940">
        <v>29800970</v>
      </c>
      <c r="E405" s="941" t="s">
        <v>1076</v>
      </c>
      <c r="F405" s="941" t="s">
        <v>1077</v>
      </c>
      <c r="G405" s="941" t="s">
        <v>1078</v>
      </c>
      <c r="H405" s="941" t="s">
        <v>1083</v>
      </c>
      <c r="I405" s="941">
        <v>1000</v>
      </c>
      <c r="J405" s="944">
        <v>45880</v>
      </c>
      <c r="K405" s="944">
        <v>45876</v>
      </c>
      <c r="L405" s="941" t="s">
        <v>1317</v>
      </c>
      <c r="M405" s="941"/>
      <c r="N405" s="941" t="s">
        <v>1320</v>
      </c>
      <c r="O405" s="941" t="s">
        <v>1122</v>
      </c>
      <c r="P405" s="941" t="s">
        <v>1319</v>
      </c>
    </row>
    <row r="406" spans="1:16">
      <c r="A406" s="937"/>
      <c r="B406" s="937" t="str" cm="1">
        <f t="array" ref="B406">IF(P406="","",_xlfn.XLOOKUP(P406&amp;"",'Units Data'!$I$6:$I$10000&amp;"",'Units Data'!$C$6:$C$10000,"غير موجود",0))</f>
        <v>غير موجود</v>
      </c>
      <c r="C406" s="937" t="str" cm="1">
        <f t="array" ref="C406">IF(P406="","",_xlfn.XLOOKUP(P406&amp;"",'Units Data'!$I$6:$I$10000&amp;"",'Units Data'!$B$6:$B$10000,"غير موجود",0))</f>
        <v>غير موجود</v>
      </c>
      <c r="D406" s="940">
        <v>29792473</v>
      </c>
      <c r="E406" s="941" t="s">
        <v>1076</v>
      </c>
      <c r="F406" s="941" t="s">
        <v>1077</v>
      </c>
      <c r="G406" s="941" t="s">
        <v>1078</v>
      </c>
      <c r="H406" s="941" t="s">
        <v>1083</v>
      </c>
      <c r="I406" s="941">
        <v>3000</v>
      </c>
      <c r="J406" s="944">
        <v>45880</v>
      </c>
      <c r="K406" s="944">
        <v>45876</v>
      </c>
      <c r="L406" s="941" t="s">
        <v>1365</v>
      </c>
      <c r="M406" s="941"/>
      <c r="N406" s="941" t="s">
        <v>1366</v>
      </c>
      <c r="O406" s="941" t="s">
        <v>1122</v>
      </c>
      <c r="P406" s="941" t="s">
        <v>1367</v>
      </c>
    </row>
    <row r="407" spans="1:16">
      <c r="A407" s="937"/>
      <c r="B407" s="937" t="str" cm="1">
        <f t="array" ref="B407">IF(P407="","",_xlfn.XLOOKUP(P407&amp;"",'Units Data'!$I$6:$I$10000&amp;"",'Units Data'!$C$6:$C$10000,"غير موجود",0))</f>
        <v>غير موجود</v>
      </c>
      <c r="C407" s="937" t="str" cm="1">
        <f t="array" ref="C407">IF(P407="","",_xlfn.XLOOKUP(P407&amp;"",'Units Data'!$I$6:$I$10000&amp;"",'Units Data'!$B$6:$B$10000,"غير موجود",0))</f>
        <v>غير موجود</v>
      </c>
      <c r="D407" s="940">
        <v>29791455</v>
      </c>
      <c r="E407" s="941" t="s">
        <v>1076</v>
      </c>
      <c r="F407" s="941" t="s">
        <v>1077</v>
      </c>
      <c r="G407" s="941" t="s">
        <v>1078</v>
      </c>
      <c r="H407" s="941" t="s">
        <v>1079</v>
      </c>
      <c r="I407" s="941">
        <v>3000</v>
      </c>
      <c r="J407" s="944">
        <v>45878</v>
      </c>
      <c r="K407" s="944">
        <v>45876</v>
      </c>
      <c r="L407" s="941" t="s">
        <v>1413</v>
      </c>
      <c r="M407" s="941"/>
      <c r="N407" s="941" t="s">
        <v>1414</v>
      </c>
      <c r="O407" s="941" t="s">
        <v>1161</v>
      </c>
      <c r="P407" s="941" t="s">
        <v>1415</v>
      </c>
    </row>
    <row r="408" spans="1:16">
      <c r="A408" s="937"/>
      <c r="B408" s="937" t="str" cm="1">
        <f t="array" ref="B408">IF(P408="","",_xlfn.XLOOKUP(P408&amp;"",'Units Data'!$I$6:$I$10000&amp;"",'Units Data'!$C$6:$C$10000,"غير موجود",0))</f>
        <v>غير موجود</v>
      </c>
      <c r="C408" s="937" t="str" cm="1">
        <f t="array" ref="C408">IF(P408="","",_xlfn.XLOOKUP(P408&amp;"",'Units Data'!$I$6:$I$10000&amp;"",'Units Data'!$B$6:$B$10000,"غير موجود",0))</f>
        <v>غير موجود</v>
      </c>
      <c r="D408" s="940">
        <v>29779409</v>
      </c>
      <c r="E408" s="941" t="s">
        <v>1076</v>
      </c>
      <c r="F408" s="941" t="s">
        <v>1077</v>
      </c>
      <c r="G408" s="941" t="s">
        <v>1078</v>
      </c>
      <c r="H408" s="941" t="s">
        <v>1079</v>
      </c>
      <c r="I408" s="941">
        <v>1000</v>
      </c>
      <c r="J408" s="944">
        <v>45878</v>
      </c>
      <c r="K408" s="944">
        <v>45876</v>
      </c>
      <c r="L408" s="941" t="s">
        <v>1338</v>
      </c>
      <c r="M408" s="941"/>
      <c r="N408" s="941" t="s">
        <v>1339</v>
      </c>
      <c r="O408" s="941" t="s">
        <v>1122</v>
      </c>
      <c r="P408" s="941" t="s">
        <v>1340</v>
      </c>
    </row>
    <row r="409" spans="1:16">
      <c r="A409" s="937"/>
      <c r="B409" s="937" t="str" cm="1">
        <f t="array" ref="B409">IF(P409="","",_xlfn.XLOOKUP(P409&amp;"",'Units Data'!$I$6:$I$10000&amp;"",'Units Data'!$C$6:$C$10000,"غير موجود",0))</f>
        <v>غير موجود</v>
      </c>
      <c r="C409" s="937" t="str" cm="1">
        <f t="array" ref="C409">IF(P409="","",_xlfn.XLOOKUP(P409&amp;"",'Units Data'!$I$6:$I$10000&amp;"",'Units Data'!$B$6:$B$10000,"غير موجود",0))</f>
        <v>غير موجود</v>
      </c>
      <c r="D409" s="940">
        <v>29669853</v>
      </c>
      <c r="E409" s="941" t="s">
        <v>1076</v>
      </c>
      <c r="F409" s="941" t="s">
        <v>1077</v>
      </c>
      <c r="G409" s="941" t="s">
        <v>1078</v>
      </c>
      <c r="H409" s="941" t="s">
        <v>1083</v>
      </c>
      <c r="I409" s="941">
        <v>1000</v>
      </c>
      <c r="J409" s="944">
        <v>45875</v>
      </c>
      <c r="K409" s="944">
        <v>45873</v>
      </c>
      <c r="L409" s="941" t="s">
        <v>1196</v>
      </c>
      <c r="M409" s="941"/>
      <c r="N409" s="941" t="s">
        <v>1336</v>
      </c>
      <c r="O409" s="941" t="s">
        <v>1122</v>
      </c>
      <c r="P409" s="941" t="s">
        <v>1337</v>
      </c>
    </row>
    <row r="410" spans="1:16">
      <c r="A410" s="937"/>
      <c r="B410" s="937" t="str" cm="1">
        <f t="array" ref="B410">IF(P410="","",_xlfn.XLOOKUP(P410&amp;"",'Units Data'!$I$6:$I$10000&amp;"",'Units Data'!$C$6:$C$10000,"غير موجود",0))</f>
        <v>غير موجود</v>
      </c>
      <c r="C410" s="937" t="str" cm="1">
        <f t="array" ref="C410">IF(P410="","",_xlfn.XLOOKUP(P410&amp;"",'Units Data'!$I$6:$I$10000&amp;"",'Units Data'!$B$6:$B$10000,"غير موجود",0))</f>
        <v>غير موجود</v>
      </c>
      <c r="D410" s="940">
        <v>29664700</v>
      </c>
      <c r="E410" s="941" t="s">
        <v>1076</v>
      </c>
      <c r="F410" s="941" t="s">
        <v>1077</v>
      </c>
      <c r="G410" s="941" t="s">
        <v>1078</v>
      </c>
      <c r="H410" s="941" t="s">
        <v>1083</v>
      </c>
      <c r="I410" s="941">
        <v>5000</v>
      </c>
      <c r="J410" s="944">
        <v>45875</v>
      </c>
      <c r="K410" s="944">
        <v>45873</v>
      </c>
      <c r="L410" s="941" t="s">
        <v>1407</v>
      </c>
      <c r="M410" s="941"/>
      <c r="N410" s="941" t="s">
        <v>1416</v>
      </c>
      <c r="O410" s="941" t="s">
        <v>1122</v>
      </c>
      <c r="P410" s="941" t="s">
        <v>1417</v>
      </c>
    </row>
    <row r="411" spans="1:16">
      <c r="A411" s="937"/>
      <c r="B411" s="937" t="str" cm="1">
        <f t="array" ref="B411">IF(P411="","",_xlfn.XLOOKUP(P411&amp;"",'Units Data'!$I$6:$I$10000&amp;"",'Units Data'!$C$6:$C$10000,"غير موجود",0))</f>
        <v>غير موجود</v>
      </c>
      <c r="C411" s="937" t="str" cm="1">
        <f t="array" ref="C411">IF(P411="","",_xlfn.XLOOKUP(P411&amp;"",'Units Data'!$I$6:$I$10000&amp;"",'Units Data'!$B$6:$B$10000,"غير موجود",0))</f>
        <v>غير موجود</v>
      </c>
      <c r="D411" s="940">
        <v>29627061</v>
      </c>
      <c r="E411" s="941" t="s">
        <v>1076</v>
      </c>
      <c r="F411" s="941" t="s">
        <v>1077</v>
      </c>
      <c r="G411" s="941" t="s">
        <v>1078</v>
      </c>
      <c r="H411" s="941" t="s">
        <v>1083</v>
      </c>
      <c r="I411" s="941">
        <v>3000</v>
      </c>
      <c r="J411" s="944">
        <v>45874</v>
      </c>
      <c r="K411" s="944">
        <v>45872</v>
      </c>
      <c r="L411" s="941" t="s">
        <v>1418</v>
      </c>
      <c r="M411" s="941"/>
      <c r="N411" s="941" t="s">
        <v>1419</v>
      </c>
      <c r="O411" s="941" t="s">
        <v>1161</v>
      </c>
      <c r="P411" s="941" t="s">
        <v>1420</v>
      </c>
    </row>
    <row r="412" spans="1:16">
      <c r="A412" s="937"/>
      <c r="B412" s="937" cm="1">
        <f t="array" ref="B412">IF(P412="","",_xlfn.XLOOKUP(P412&amp;"",'Units Data'!$I$6:$I$10000&amp;"",'Units Data'!$C$6:$C$10000,"غير موجود",0))</f>
        <v>102</v>
      </c>
      <c r="C412" s="937" t="str" cm="1">
        <f t="array" ref="C412">IF(P412="","",_xlfn.XLOOKUP(P412&amp;"",'Units Data'!$I$6:$I$10000&amp;"",'Units Data'!$B$6:$B$10000,"غير موجود",0))</f>
        <v>S2</v>
      </c>
      <c r="D412" s="940">
        <v>29534432</v>
      </c>
      <c r="E412" s="941" t="s">
        <v>1076</v>
      </c>
      <c r="F412" s="941" t="s">
        <v>1077</v>
      </c>
      <c r="G412" s="941" t="s">
        <v>1078</v>
      </c>
      <c r="H412" s="941" t="s">
        <v>1083</v>
      </c>
      <c r="I412" s="941">
        <v>2000</v>
      </c>
      <c r="J412" s="944">
        <v>45874</v>
      </c>
      <c r="K412" s="944">
        <v>45870</v>
      </c>
      <c r="L412" s="941" t="s">
        <v>1400</v>
      </c>
      <c r="M412" s="941"/>
      <c r="N412" s="941" t="s">
        <v>1401</v>
      </c>
      <c r="O412" s="941" t="s">
        <v>1095</v>
      </c>
      <c r="P412" s="941" t="s">
        <v>1402</v>
      </c>
    </row>
    <row r="413" spans="1:16">
      <c r="A413" s="937"/>
      <c r="B413" s="937" t="str" cm="1">
        <f t="array" ref="B413">IF(P413="","",_xlfn.XLOOKUP(P413&amp;"",'Units Data'!$I$6:$I$10000&amp;"",'Units Data'!$C$6:$C$10000,"غير موجود",0))</f>
        <v>غير موجود</v>
      </c>
      <c r="C413" s="937" t="str" cm="1">
        <f t="array" ref="C413">IF(P413="","",_xlfn.XLOOKUP(P413&amp;"",'Units Data'!$I$6:$I$10000&amp;"",'Units Data'!$B$6:$B$10000,"غير موجود",0))</f>
        <v>غير موجود</v>
      </c>
      <c r="D413" s="940">
        <v>29463612</v>
      </c>
      <c r="E413" s="941" t="s">
        <v>1076</v>
      </c>
      <c r="F413" s="941" t="s">
        <v>1077</v>
      </c>
      <c r="G413" s="941" t="s">
        <v>1078</v>
      </c>
      <c r="H413" s="941" t="s">
        <v>1079</v>
      </c>
      <c r="I413" s="941">
        <v>3000</v>
      </c>
      <c r="J413" s="944">
        <v>45873</v>
      </c>
      <c r="K413" s="944">
        <v>45869</v>
      </c>
      <c r="L413" s="941" t="s">
        <v>1284</v>
      </c>
      <c r="M413" s="941"/>
      <c r="N413" s="941" t="s">
        <v>1290</v>
      </c>
      <c r="O413" s="941" t="s">
        <v>1111</v>
      </c>
      <c r="P413" s="941" t="s">
        <v>1286</v>
      </c>
    </row>
    <row r="414" spans="1:16">
      <c r="A414" s="937"/>
      <c r="B414" s="937" cm="1">
        <f t="array" ref="B414">IF(P414="","",_xlfn.XLOOKUP(P414&amp;"",'Units Data'!$I$6:$I$10000&amp;"",'Units Data'!$C$6:$C$10000,"غير موجود",0))</f>
        <v>102</v>
      </c>
      <c r="C414" s="937" t="str" cm="1">
        <f t="array" ref="C414">IF(P414="","",_xlfn.XLOOKUP(P414&amp;"",'Units Data'!$I$6:$I$10000&amp;"",'Units Data'!$B$6:$B$10000,"غير موجود",0))</f>
        <v>S4</v>
      </c>
      <c r="D414" s="940">
        <v>29445063</v>
      </c>
      <c r="E414" s="941" t="s">
        <v>1076</v>
      </c>
      <c r="F414" s="941" t="s">
        <v>1077</v>
      </c>
      <c r="G414" s="941" t="s">
        <v>1078</v>
      </c>
      <c r="H414" s="941" t="s">
        <v>1079</v>
      </c>
      <c r="I414" s="941">
        <v>3800</v>
      </c>
      <c r="J414" s="944">
        <v>45869</v>
      </c>
      <c r="K414" s="944">
        <v>45868</v>
      </c>
      <c r="L414" s="941" t="s">
        <v>1307</v>
      </c>
      <c r="M414" s="941"/>
      <c r="N414" s="941" t="s">
        <v>1378</v>
      </c>
      <c r="O414" s="941" t="s">
        <v>1095</v>
      </c>
      <c r="P414" s="941" t="s">
        <v>1379</v>
      </c>
    </row>
    <row r="415" spans="1:16">
      <c r="A415" s="937"/>
      <c r="B415" s="937" cm="1">
        <f t="array" ref="B415">IF(P415="","",_xlfn.XLOOKUP(P415&amp;"",'Units Data'!$I$6:$I$10000&amp;"",'Units Data'!$C$6:$C$10000,"غير موجود",0))</f>
        <v>102</v>
      </c>
      <c r="C415" s="937" t="str" cm="1">
        <f t="array" ref="C415">IF(P415="","",_xlfn.XLOOKUP(P415&amp;"",'Units Data'!$I$6:$I$10000&amp;"",'Units Data'!$B$6:$B$10000,"غير موجود",0))</f>
        <v>F4</v>
      </c>
      <c r="D415" s="940">
        <v>29412714</v>
      </c>
      <c r="E415" s="941" t="s">
        <v>1076</v>
      </c>
      <c r="F415" s="941" t="s">
        <v>1077</v>
      </c>
      <c r="G415" s="941" t="s">
        <v>1078</v>
      </c>
      <c r="H415" s="941" t="s">
        <v>1083</v>
      </c>
      <c r="I415" s="941">
        <v>3500</v>
      </c>
      <c r="J415" s="944">
        <v>45869</v>
      </c>
      <c r="K415" s="944">
        <v>45867</v>
      </c>
      <c r="L415" s="941" t="s">
        <v>1296</v>
      </c>
      <c r="M415" s="941"/>
      <c r="N415" s="941" t="s">
        <v>1297</v>
      </c>
      <c r="O415" s="941" t="s">
        <v>1095</v>
      </c>
      <c r="P415" s="941" t="s">
        <v>1298</v>
      </c>
    </row>
    <row r="416" spans="1:16">
      <c r="A416" s="937"/>
      <c r="B416" s="937" cm="1">
        <f t="array" ref="B416">IF(P416="","",_xlfn.XLOOKUP(P416&amp;"",'Units Data'!$I$6:$I$10000&amp;"",'Units Data'!$C$6:$C$10000,"غير موجود",0))</f>
        <v>102</v>
      </c>
      <c r="C416" s="937" t="str" cm="1">
        <f t="array" ref="C416">IF(P416="","",_xlfn.XLOOKUP(P416&amp;"",'Units Data'!$I$6:$I$10000&amp;"",'Units Data'!$B$6:$B$10000,"غير موجود",0))</f>
        <v>S5</v>
      </c>
      <c r="D416" s="940">
        <v>29404475</v>
      </c>
      <c r="E416" s="941" t="s">
        <v>1076</v>
      </c>
      <c r="F416" s="941" t="s">
        <v>1077</v>
      </c>
      <c r="G416" s="941" t="s">
        <v>1078</v>
      </c>
      <c r="H416" s="941" t="s">
        <v>1083</v>
      </c>
      <c r="I416" s="941">
        <v>3800</v>
      </c>
      <c r="J416" s="944">
        <v>45869</v>
      </c>
      <c r="K416" s="944">
        <v>45867</v>
      </c>
      <c r="L416" s="941" t="s">
        <v>1025</v>
      </c>
      <c r="M416" s="941"/>
      <c r="N416" s="941" t="s">
        <v>1405</v>
      </c>
      <c r="O416" s="941" t="s">
        <v>1095</v>
      </c>
      <c r="P416" s="941" t="s">
        <v>1406</v>
      </c>
    </row>
    <row r="417" spans="1:16">
      <c r="A417" s="937"/>
      <c r="B417" s="937" cm="1">
        <f t="array" ref="B417">IF(P417="","",_xlfn.XLOOKUP(P417&amp;"",'Units Data'!$I$6:$I$10000&amp;"",'Units Data'!$C$6:$C$10000,"غير موجود",0))</f>
        <v>102</v>
      </c>
      <c r="C417" s="937" t="str" cm="1">
        <f t="array" ref="C417">IF(P417="","",_xlfn.XLOOKUP(P417&amp;"",'Units Data'!$I$6:$I$10000&amp;"",'Units Data'!$B$6:$B$10000,"غير موجود",0))</f>
        <v>F3</v>
      </c>
      <c r="D417" s="940">
        <v>29322587</v>
      </c>
      <c r="E417" s="941" t="s">
        <v>1076</v>
      </c>
      <c r="F417" s="941" t="s">
        <v>1077</v>
      </c>
      <c r="G417" s="941" t="s">
        <v>1078</v>
      </c>
      <c r="H417" s="941" t="s">
        <v>1079</v>
      </c>
      <c r="I417" s="941">
        <v>3500</v>
      </c>
      <c r="J417" s="944">
        <v>45867</v>
      </c>
      <c r="K417" s="944">
        <v>45865</v>
      </c>
      <c r="L417" s="941" t="s">
        <v>1035</v>
      </c>
      <c r="M417" s="941"/>
      <c r="N417" s="941" t="s">
        <v>1421</v>
      </c>
      <c r="O417" s="941" t="s">
        <v>1095</v>
      </c>
      <c r="P417" s="941" t="s">
        <v>1422</v>
      </c>
    </row>
    <row r="418" spans="1:16">
      <c r="A418" s="937"/>
      <c r="B418" s="937" cm="1">
        <f t="array" ref="B418">IF(P418="","",_xlfn.XLOOKUP(P418&amp;"",'Units Data'!$I$6:$I$10000&amp;"",'Units Data'!$C$6:$C$10000,"غير موجود",0))</f>
        <v>102</v>
      </c>
      <c r="C418" s="937" t="str" cm="1">
        <f t="array" ref="C418">IF(P418="","",_xlfn.XLOOKUP(P418&amp;"",'Units Data'!$I$6:$I$10000&amp;"",'Units Data'!$B$6:$B$10000,"غير موجود",0))</f>
        <v>S6</v>
      </c>
      <c r="D418" s="940">
        <v>29295799</v>
      </c>
      <c r="E418" s="941" t="s">
        <v>1076</v>
      </c>
      <c r="F418" s="941" t="s">
        <v>1077</v>
      </c>
      <c r="G418" s="941" t="s">
        <v>1078</v>
      </c>
      <c r="H418" s="941" t="s">
        <v>1079</v>
      </c>
      <c r="I418" s="941">
        <v>3800</v>
      </c>
      <c r="J418" s="944">
        <v>45867</v>
      </c>
      <c r="K418" s="944">
        <v>45865</v>
      </c>
      <c r="L418" s="941" t="s">
        <v>1389</v>
      </c>
      <c r="M418" s="941"/>
      <c r="N418" s="941" t="s">
        <v>1390</v>
      </c>
      <c r="O418" s="941" t="s">
        <v>1095</v>
      </c>
      <c r="P418" s="941" t="s">
        <v>1391</v>
      </c>
    </row>
    <row r="419" spans="1:16">
      <c r="A419" s="937"/>
      <c r="B419" s="937" t="str" cm="1">
        <f t="array" ref="B419">IF(P419="","",_xlfn.XLOOKUP(P419&amp;"",'Units Data'!$I$6:$I$10000&amp;"",'Units Data'!$C$6:$C$10000,"غير موجود",0))</f>
        <v>غير موجود</v>
      </c>
      <c r="C419" s="937" t="str" cm="1">
        <f t="array" ref="C419">IF(P419="","",_xlfn.XLOOKUP(P419&amp;"",'Units Data'!$I$6:$I$10000&amp;"",'Units Data'!$B$6:$B$10000,"غير موجود",0))</f>
        <v>غير موجود</v>
      </c>
      <c r="D419" s="940">
        <v>29292589</v>
      </c>
      <c r="E419" s="941" t="s">
        <v>1076</v>
      </c>
      <c r="F419" s="941" t="s">
        <v>1077</v>
      </c>
      <c r="G419" s="941" t="s">
        <v>1078</v>
      </c>
      <c r="H419" s="941" t="s">
        <v>1079</v>
      </c>
      <c r="I419" s="941">
        <v>3000</v>
      </c>
      <c r="J419" s="944">
        <v>45867</v>
      </c>
      <c r="K419" s="944">
        <v>45865</v>
      </c>
      <c r="L419" s="941" t="s">
        <v>1329</v>
      </c>
      <c r="M419" s="941"/>
      <c r="N419" s="941" t="s">
        <v>1330</v>
      </c>
      <c r="O419" s="941" t="s">
        <v>1161</v>
      </c>
      <c r="P419" s="941" t="s">
        <v>1331</v>
      </c>
    </row>
    <row r="420" spans="1:16">
      <c r="A420" s="937"/>
      <c r="B420" s="937" t="str" cm="1">
        <f t="array" ref="B420">IF(P420="","",_xlfn.XLOOKUP(P420&amp;"",'Units Data'!$I$6:$I$10000&amp;"",'Units Data'!$C$6:$C$10000,"غير موجود",0))</f>
        <v>غير موجود</v>
      </c>
      <c r="C420" s="937" t="str" cm="1">
        <f t="array" ref="C420">IF(P420="","",_xlfn.XLOOKUP(P420&amp;"",'Units Data'!$I$6:$I$10000&amp;"",'Units Data'!$B$6:$B$10000,"غير موجود",0))</f>
        <v>غير موجود</v>
      </c>
      <c r="D420" s="940">
        <v>29292275</v>
      </c>
      <c r="E420" s="941" t="s">
        <v>1076</v>
      </c>
      <c r="F420" s="941" t="s">
        <v>1077</v>
      </c>
      <c r="G420" s="941" t="s">
        <v>1078</v>
      </c>
      <c r="H420" s="941" t="s">
        <v>1079</v>
      </c>
      <c r="I420" s="941">
        <v>3000</v>
      </c>
      <c r="J420" s="944">
        <v>45866</v>
      </c>
      <c r="K420" s="944">
        <v>45865</v>
      </c>
      <c r="L420" s="941" t="s">
        <v>1380</v>
      </c>
      <c r="M420" s="941"/>
      <c r="N420" s="941" t="s">
        <v>1381</v>
      </c>
      <c r="O420" s="941" t="s">
        <v>1161</v>
      </c>
      <c r="P420" s="941" t="s">
        <v>1382</v>
      </c>
    </row>
    <row r="421" spans="1:16">
      <c r="A421" s="937"/>
      <c r="B421" s="937" t="str" cm="1">
        <f t="array" ref="B421">IF(P421="","",_xlfn.XLOOKUP(P421&amp;"",'Units Data'!$I$6:$I$10000&amp;"",'Units Data'!$C$6:$C$10000,"غير موجود",0))</f>
        <v>غير موجود</v>
      </c>
      <c r="C421" s="937" t="str" cm="1">
        <f t="array" ref="C421">IF(P421="","",_xlfn.XLOOKUP(P421&amp;"",'Units Data'!$I$6:$I$10000&amp;"",'Units Data'!$B$6:$B$10000,"غير موجود",0))</f>
        <v>غير موجود</v>
      </c>
      <c r="D421" s="940">
        <v>29201554</v>
      </c>
      <c r="E421" s="941" t="s">
        <v>1076</v>
      </c>
      <c r="F421" s="941" t="s">
        <v>1077</v>
      </c>
      <c r="G421" s="941" t="s">
        <v>1078</v>
      </c>
      <c r="H421" s="941" t="s">
        <v>1079</v>
      </c>
      <c r="I421" s="941">
        <v>1950</v>
      </c>
      <c r="J421" s="944">
        <v>45864</v>
      </c>
      <c r="K421" s="944">
        <v>45862</v>
      </c>
      <c r="L421" s="941" t="s">
        <v>1276</v>
      </c>
      <c r="M421" s="941"/>
      <c r="N421" s="941" t="s">
        <v>1277</v>
      </c>
      <c r="O421" s="941" t="s">
        <v>1111</v>
      </c>
      <c r="P421" s="941" t="s">
        <v>1278</v>
      </c>
    </row>
    <row r="422" spans="1:16">
      <c r="A422" s="937"/>
      <c r="B422" s="937" t="str" cm="1">
        <f t="array" ref="B422">IF(P422="","",_xlfn.XLOOKUP(P422&amp;"",'Units Data'!$I$6:$I$10000&amp;"",'Units Data'!$C$6:$C$10000,"غير موجود",0))</f>
        <v>غير موجود</v>
      </c>
      <c r="C422" s="937" t="str" cm="1">
        <f t="array" ref="C422">IF(P422="","",_xlfn.XLOOKUP(P422&amp;"",'Units Data'!$I$6:$I$10000&amp;"",'Units Data'!$B$6:$B$10000,"غير موجود",0))</f>
        <v>غير موجود</v>
      </c>
      <c r="D422" s="940">
        <v>29117398</v>
      </c>
      <c r="E422" s="941" t="s">
        <v>1076</v>
      </c>
      <c r="F422" s="941" t="s">
        <v>1077</v>
      </c>
      <c r="G422" s="941" t="s">
        <v>1078</v>
      </c>
      <c r="H422" s="941" t="s">
        <v>1083</v>
      </c>
      <c r="I422" s="941">
        <v>1000</v>
      </c>
      <c r="J422" s="944">
        <v>45860</v>
      </c>
      <c r="K422" s="944">
        <v>45858</v>
      </c>
      <c r="L422" s="941" t="s">
        <v>1365</v>
      </c>
      <c r="M422" s="941"/>
      <c r="N422" s="941" t="s">
        <v>1366</v>
      </c>
      <c r="O422" s="941" t="s">
        <v>1122</v>
      </c>
      <c r="P422" s="941" t="s">
        <v>1367</v>
      </c>
    </row>
    <row r="423" spans="1:16">
      <c r="A423" s="937"/>
      <c r="B423" s="937" cm="1">
        <f t="array" ref="B423">IF(P423="","",_xlfn.XLOOKUP(P423&amp;"",'Units Data'!$I$6:$I$10000&amp;"",'Units Data'!$C$6:$C$10000,"غير موجود",0))</f>
        <v>102</v>
      </c>
      <c r="C423" s="937" t="str" cm="1">
        <f t="array" ref="C423">IF(P423="","",_xlfn.XLOOKUP(P423&amp;"",'Units Data'!$I$6:$I$10000&amp;"",'Units Data'!$B$6:$B$10000,"غير موجود",0))</f>
        <v>F1</v>
      </c>
      <c r="D423" s="940">
        <v>29071698</v>
      </c>
      <c r="E423" s="941" t="s">
        <v>1076</v>
      </c>
      <c r="F423" s="941" t="s">
        <v>1077</v>
      </c>
      <c r="G423" s="941" t="s">
        <v>1078</v>
      </c>
      <c r="H423" s="941" t="s">
        <v>1079</v>
      </c>
      <c r="I423" s="941">
        <v>3500</v>
      </c>
      <c r="J423" s="944">
        <v>45858</v>
      </c>
      <c r="K423" s="944">
        <v>45856</v>
      </c>
      <c r="L423" s="941" t="s">
        <v>81</v>
      </c>
      <c r="M423" s="941"/>
      <c r="N423" s="941" t="s">
        <v>1310</v>
      </c>
      <c r="O423" s="941" t="s">
        <v>1095</v>
      </c>
      <c r="P423" s="941" t="s">
        <v>1096</v>
      </c>
    </row>
    <row r="424" spans="1:16">
      <c r="A424" s="937"/>
      <c r="B424" s="937" t="str" cm="1">
        <f t="array" ref="B424">IF(P424="","",_xlfn.XLOOKUP(P424&amp;"",'Units Data'!$I$6:$I$10000&amp;"",'Units Data'!$C$6:$C$10000,"غير موجود",0))</f>
        <v>غير موجود</v>
      </c>
      <c r="C424" s="937" t="str" cm="1">
        <f t="array" ref="C424">IF(P424="","",_xlfn.XLOOKUP(P424&amp;"",'Units Data'!$I$6:$I$10000&amp;"",'Units Data'!$B$6:$B$10000,"غير موجود",0))</f>
        <v>غير موجود</v>
      </c>
      <c r="D424" s="940">
        <v>28949267</v>
      </c>
      <c r="E424" s="941" t="s">
        <v>1076</v>
      </c>
      <c r="F424" s="941" t="s">
        <v>1077</v>
      </c>
      <c r="G424" s="941" t="s">
        <v>1078</v>
      </c>
      <c r="H424" s="941" t="s">
        <v>1079</v>
      </c>
      <c r="I424" s="941">
        <v>1000</v>
      </c>
      <c r="J424" s="944">
        <v>45854</v>
      </c>
      <c r="K424" s="944">
        <v>45851</v>
      </c>
      <c r="L424" s="941" t="s">
        <v>1120</v>
      </c>
      <c r="M424" s="941"/>
      <c r="N424" s="941" t="s">
        <v>1364</v>
      </c>
      <c r="O424" s="941" t="s">
        <v>1122</v>
      </c>
      <c r="P424" s="941" t="s">
        <v>1123</v>
      </c>
    </row>
    <row r="425" spans="1:16">
      <c r="A425" s="937"/>
      <c r="B425" s="937" cm="1">
        <f t="array" ref="B425">IF(P425="","",_xlfn.XLOOKUP(P425&amp;"",'Units Data'!$I$6:$I$10000&amp;"",'Units Data'!$C$6:$C$10000,"غير موجود",0))</f>
        <v>102</v>
      </c>
      <c r="C425" s="937" t="str" cm="1">
        <f t="array" ref="C425">IF(P425="","",_xlfn.XLOOKUP(P425&amp;"",'Units Data'!$I$6:$I$10000&amp;"",'Units Data'!$B$6:$B$10000,"غير موجود",0))</f>
        <v>S5</v>
      </c>
      <c r="D425" s="940">
        <v>28905196</v>
      </c>
      <c r="E425" s="941" t="s">
        <v>1076</v>
      </c>
      <c r="F425" s="941" t="s">
        <v>1077</v>
      </c>
      <c r="G425" s="941" t="s">
        <v>1078</v>
      </c>
      <c r="H425" s="941" t="s">
        <v>1083</v>
      </c>
      <c r="I425" s="941">
        <v>3800</v>
      </c>
      <c r="J425" s="944">
        <v>45854</v>
      </c>
      <c r="K425" s="944">
        <v>45850</v>
      </c>
      <c r="L425" s="941" t="s">
        <v>1025</v>
      </c>
      <c r="M425" s="941"/>
      <c r="N425" s="941" t="s">
        <v>1405</v>
      </c>
      <c r="O425" s="941" t="s">
        <v>1095</v>
      </c>
      <c r="P425" s="941" t="s">
        <v>1406</v>
      </c>
    </row>
    <row r="426" spans="1:16">
      <c r="A426" s="937"/>
      <c r="B426" s="937" t="str" cm="1">
        <f t="array" ref="B426">IF(P426="","",_xlfn.XLOOKUP(P426&amp;"",'Units Data'!$I$6:$I$10000&amp;"",'Units Data'!$C$6:$C$10000,"غير موجود",0))</f>
        <v>غير موجود</v>
      </c>
      <c r="C426" s="937" t="str" cm="1">
        <f t="array" ref="C426">IF(P426="","",_xlfn.XLOOKUP(P426&amp;"",'Units Data'!$I$6:$I$10000&amp;"",'Units Data'!$B$6:$B$10000,"غير موجود",0))</f>
        <v>غير موجود</v>
      </c>
      <c r="D426" s="940">
        <v>28828000</v>
      </c>
      <c r="E426" s="941" t="s">
        <v>1076</v>
      </c>
      <c r="F426" s="941" t="s">
        <v>1077</v>
      </c>
      <c r="G426" s="941" t="s">
        <v>1078</v>
      </c>
      <c r="H426" s="941" t="s">
        <v>1083</v>
      </c>
      <c r="I426" s="941">
        <v>1000</v>
      </c>
      <c r="J426" s="944">
        <v>45854</v>
      </c>
      <c r="K426" s="944">
        <v>45847</v>
      </c>
      <c r="L426" s="941" t="s">
        <v>1196</v>
      </c>
      <c r="M426" s="941"/>
      <c r="N426" s="941" t="s">
        <v>1336</v>
      </c>
      <c r="O426" s="941" t="s">
        <v>1122</v>
      </c>
      <c r="P426" s="941" t="s">
        <v>1337</v>
      </c>
    </row>
    <row r="427" spans="1:16">
      <c r="A427" s="937"/>
      <c r="B427" s="937" t="str" cm="1">
        <f t="array" ref="B427">IF(P427="","",_xlfn.XLOOKUP(P427&amp;"",'Units Data'!$I$6:$I$10000&amp;"",'Units Data'!$C$6:$C$10000,"غير موجود",0))</f>
        <v>غير موجود</v>
      </c>
      <c r="C427" s="937" t="str" cm="1">
        <f t="array" ref="C427">IF(P427="","",_xlfn.XLOOKUP(P427&amp;"",'Units Data'!$I$6:$I$10000&amp;"",'Units Data'!$B$6:$B$10000,"غير موجود",0))</f>
        <v>غير موجود</v>
      </c>
      <c r="D427" s="940">
        <v>28782692</v>
      </c>
      <c r="E427" s="941" t="s">
        <v>1076</v>
      </c>
      <c r="F427" s="941" t="s">
        <v>1077</v>
      </c>
      <c r="G427" s="941" t="s">
        <v>1078</v>
      </c>
      <c r="H427" s="941" t="s">
        <v>1079</v>
      </c>
      <c r="I427" s="941">
        <v>3000</v>
      </c>
      <c r="J427" s="944">
        <v>45847</v>
      </c>
      <c r="K427" s="944">
        <v>45845</v>
      </c>
      <c r="L427" s="941" t="s">
        <v>1413</v>
      </c>
      <c r="M427" s="941"/>
      <c r="N427" s="941" t="s">
        <v>1414</v>
      </c>
      <c r="O427" s="941" t="s">
        <v>1161</v>
      </c>
      <c r="P427" s="941" t="s">
        <v>1415</v>
      </c>
    </row>
    <row r="428" spans="1:16">
      <c r="A428" s="937"/>
      <c r="B428" s="937" t="str" cm="1">
        <f t="array" ref="B428">IF(P428="","",_xlfn.XLOOKUP(P428&amp;"",'Units Data'!$I$6:$I$10000&amp;"",'Units Data'!$C$6:$C$10000,"غير موجود",0))</f>
        <v>غير موجود</v>
      </c>
      <c r="C428" s="937" t="str" cm="1">
        <f t="array" ref="C428">IF(P428="","",_xlfn.XLOOKUP(P428&amp;"",'Units Data'!$I$6:$I$10000&amp;"",'Units Data'!$B$6:$B$10000,"غير موجود",0))</f>
        <v>غير موجود</v>
      </c>
      <c r="D428" s="940">
        <v>28721527</v>
      </c>
      <c r="E428" s="941" t="s">
        <v>1076</v>
      </c>
      <c r="F428" s="941" t="s">
        <v>1077</v>
      </c>
      <c r="G428" s="941" t="s">
        <v>1078</v>
      </c>
      <c r="H428" s="941" t="s">
        <v>1079</v>
      </c>
      <c r="I428" s="941">
        <v>1000</v>
      </c>
      <c r="J428" s="944">
        <v>45845</v>
      </c>
      <c r="K428" s="944">
        <v>45844</v>
      </c>
      <c r="L428" s="941" t="s">
        <v>1338</v>
      </c>
      <c r="M428" s="941"/>
      <c r="N428" s="941" t="s">
        <v>1339</v>
      </c>
      <c r="O428" s="941" t="s">
        <v>1122</v>
      </c>
      <c r="P428" s="941" t="s">
        <v>1340</v>
      </c>
    </row>
    <row r="429" spans="1:16">
      <c r="A429" s="937"/>
      <c r="B429" s="937" t="str" cm="1">
        <f t="array" ref="B429">IF(P429="","",_xlfn.XLOOKUP(P429&amp;"",'Units Data'!$I$6:$I$10000&amp;"",'Units Data'!$C$6:$C$10000,"غير موجود",0))</f>
        <v>غير موجود</v>
      </c>
      <c r="C429" s="937" t="str" cm="1">
        <f t="array" ref="C429">IF(P429="","",_xlfn.XLOOKUP(P429&amp;"",'Units Data'!$I$6:$I$10000&amp;"",'Units Data'!$B$6:$B$10000,"غير موجود",0))</f>
        <v>غير موجود</v>
      </c>
      <c r="D429" s="940">
        <v>28619712</v>
      </c>
      <c r="E429" s="941" t="s">
        <v>1076</v>
      </c>
      <c r="F429" s="941" t="s">
        <v>1077</v>
      </c>
      <c r="G429" s="941" t="s">
        <v>1078</v>
      </c>
      <c r="H429" s="941" t="s">
        <v>1083</v>
      </c>
      <c r="I429" s="941">
        <v>1000</v>
      </c>
      <c r="J429" s="944">
        <v>45845</v>
      </c>
      <c r="K429" s="944">
        <v>45841</v>
      </c>
      <c r="L429" s="941" t="s">
        <v>1397</v>
      </c>
      <c r="M429" s="941"/>
      <c r="N429" s="941" t="s">
        <v>1398</v>
      </c>
      <c r="O429" s="941" t="s">
        <v>1122</v>
      </c>
      <c r="P429" s="941" t="s">
        <v>1399</v>
      </c>
    </row>
    <row r="430" spans="1:16">
      <c r="A430" s="937"/>
      <c r="B430" s="937" t="str" cm="1">
        <f t="array" ref="B430">IF(P430="","",_xlfn.XLOOKUP(P430&amp;"",'Units Data'!$I$6:$I$10000&amp;"",'Units Data'!$C$6:$C$10000,"غير موجود",0))</f>
        <v>غير موجود</v>
      </c>
      <c r="C430" s="937" t="str" cm="1">
        <f t="array" ref="C430">IF(P430="","",_xlfn.XLOOKUP(P430&amp;"",'Units Data'!$I$6:$I$10000&amp;"",'Units Data'!$B$6:$B$10000,"غير موجود",0))</f>
        <v>غير موجود</v>
      </c>
      <c r="D430" s="940">
        <v>28574219</v>
      </c>
      <c r="E430" s="941" t="s">
        <v>1076</v>
      </c>
      <c r="F430" s="941" t="s">
        <v>1077</v>
      </c>
      <c r="G430" s="941" t="s">
        <v>1078</v>
      </c>
      <c r="H430" s="941" t="s">
        <v>1083</v>
      </c>
      <c r="I430" s="941">
        <v>1000</v>
      </c>
      <c r="J430" s="944">
        <v>45843</v>
      </c>
      <c r="K430" s="944">
        <v>45840</v>
      </c>
      <c r="L430" s="941" t="s">
        <v>1304</v>
      </c>
      <c r="M430" s="941"/>
      <c r="N430" s="941" t="s">
        <v>1351</v>
      </c>
      <c r="O430" s="941" t="s">
        <v>1122</v>
      </c>
      <c r="P430" s="941" t="s">
        <v>1306</v>
      </c>
    </row>
    <row r="431" spans="1:16">
      <c r="A431" s="937"/>
      <c r="B431" s="937" t="str" cm="1">
        <f t="array" ref="B431">IF(P431="","",_xlfn.XLOOKUP(P431&amp;"",'Units Data'!$I$6:$I$10000&amp;"",'Units Data'!$C$6:$C$10000,"غير موجود",0))</f>
        <v>غير موجود</v>
      </c>
      <c r="C431" s="937" t="str" cm="1">
        <f t="array" ref="C431">IF(P431="","",_xlfn.XLOOKUP(P431&amp;"",'Units Data'!$I$6:$I$10000&amp;"",'Units Data'!$B$6:$B$10000,"غير موجود",0))</f>
        <v>غير موجود</v>
      </c>
      <c r="D431" s="940">
        <v>28553940</v>
      </c>
      <c r="E431" s="941" t="s">
        <v>1076</v>
      </c>
      <c r="F431" s="941" t="s">
        <v>1077</v>
      </c>
      <c r="G431" s="941" t="s">
        <v>1078</v>
      </c>
      <c r="H431" s="941" t="s">
        <v>1083</v>
      </c>
      <c r="I431" s="941">
        <v>5000</v>
      </c>
      <c r="J431" s="944">
        <v>45843</v>
      </c>
      <c r="K431" s="944">
        <v>45840</v>
      </c>
      <c r="L431" s="941" t="s">
        <v>1407</v>
      </c>
      <c r="M431" s="941"/>
      <c r="N431" s="941" t="s">
        <v>1416</v>
      </c>
      <c r="O431" s="941" t="s">
        <v>1122</v>
      </c>
      <c r="P431" s="941" t="s">
        <v>1417</v>
      </c>
    </row>
    <row r="432" spans="1:16">
      <c r="A432" s="937"/>
      <c r="B432" s="937" cm="1">
        <f t="array" ref="B432">IF(P432="","",_xlfn.XLOOKUP(P432&amp;"",'Units Data'!$I$6:$I$10000&amp;"",'Units Data'!$C$6:$C$10000,"غير موجود",0))</f>
        <v>102</v>
      </c>
      <c r="C432" s="937" t="str" cm="1">
        <f t="array" ref="C432">IF(P432="","",_xlfn.XLOOKUP(P432&amp;"",'Units Data'!$I$6:$I$10000&amp;"",'Units Data'!$B$6:$B$10000,"غير موجود",0))</f>
        <v>S2</v>
      </c>
      <c r="D432" s="940">
        <v>28501245</v>
      </c>
      <c r="E432" s="941" t="s">
        <v>1076</v>
      </c>
      <c r="F432" s="941" t="s">
        <v>1077</v>
      </c>
      <c r="G432" s="941" t="s">
        <v>1078</v>
      </c>
      <c r="H432" s="941" t="s">
        <v>1083</v>
      </c>
      <c r="I432" s="941">
        <v>1500</v>
      </c>
      <c r="J432" s="944">
        <v>45842</v>
      </c>
      <c r="K432" s="944">
        <v>45839</v>
      </c>
      <c r="L432" s="941" t="s">
        <v>1400</v>
      </c>
      <c r="M432" s="941"/>
      <c r="N432" s="941" t="s">
        <v>1401</v>
      </c>
      <c r="O432" s="941" t="s">
        <v>1095</v>
      </c>
      <c r="P432" s="941" t="s">
        <v>1402</v>
      </c>
    </row>
    <row r="433" spans="1:16">
      <c r="A433" s="937"/>
      <c r="B433" s="937" t="str" cm="1">
        <f t="array" ref="B433">IF(P433="","",_xlfn.XLOOKUP(P433&amp;"",'Units Data'!$I$6:$I$10000&amp;"",'Units Data'!$C$6:$C$10000,"غير موجود",0))</f>
        <v>غير موجود</v>
      </c>
      <c r="C433" s="937" t="str" cm="1">
        <f t="array" ref="C433">IF(P433="","",_xlfn.XLOOKUP(P433&amp;"",'Units Data'!$I$6:$I$10000&amp;"",'Units Data'!$B$6:$B$10000,"غير موجود",0))</f>
        <v>غير موجود</v>
      </c>
      <c r="D433" s="940">
        <v>28427058</v>
      </c>
      <c r="E433" s="941" t="s">
        <v>1076</v>
      </c>
      <c r="F433" s="941" t="s">
        <v>1077</v>
      </c>
      <c r="G433" s="941" t="s">
        <v>1078</v>
      </c>
      <c r="H433" s="941" t="s">
        <v>1083</v>
      </c>
      <c r="I433" s="941">
        <v>3000</v>
      </c>
      <c r="J433" s="944">
        <v>45841</v>
      </c>
      <c r="K433" s="944">
        <v>45838</v>
      </c>
      <c r="L433" s="941" t="s">
        <v>1418</v>
      </c>
      <c r="M433" s="941"/>
      <c r="N433" s="941" t="s">
        <v>1419</v>
      </c>
      <c r="O433" s="941" t="s">
        <v>1161</v>
      </c>
      <c r="P433" s="941" t="s">
        <v>1420</v>
      </c>
    </row>
    <row r="434" spans="1:16">
      <c r="A434" s="937"/>
      <c r="B434" s="937" cm="1">
        <f t="array" ref="B434">IF(P434="","",_xlfn.XLOOKUP(P434&amp;"",'Units Data'!$I$6:$I$10000&amp;"",'Units Data'!$C$6:$C$10000,"غير موجود",0))</f>
        <v>102</v>
      </c>
      <c r="C434" s="937" t="str" cm="1">
        <f t="array" ref="C434">IF(P434="","",_xlfn.XLOOKUP(P434&amp;"",'Units Data'!$I$6:$I$10000&amp;"",'Units Data'!$B$6:$B$10000,"غير موجود",0))</f>
        <v>S4</v>
      </c>
      <c r="D434" s="940">
        <v>28418028</v>
      </c>
      <c r="E434" s="941" t="s">
        <v>1076</v>
      </c>
      <c r="F434" s="941" t="s">
        <v>1077</v>
      </c>
      <c r="G434" s="941" t="s">
        <v>1078</v>
      </c>
      <c r="H434" s="941" t="s">
        <v>1079</v>
      </c>
      <c r="I434" s="941">
        <v>3800</v>
      </c>
      <c r="J434" s="944">
        <v>45839</v>
      </c>
      <c r="K434" s="944">
        <v>45838</v>
      </c>
      <c r="L434" s="941" t="s">
        <v>1307</v>
      </c>
      <c r="M434" s="941"/>
      <c r="N434" s="941" t="s">
        <v>1378</v>
      </c>
      <c r="O434" s="941" t="s">
        <v>1095</v>
      </c>
      <c r="P434" s="941" t="s">
        <v>1379</v>
      </c>
    </row>
    <row r="435" spans="1:16">
      <c r="A435" s="937"/>
      <c r="B435" s="937" t="str" cm="1">
        <f t="array" ref="B435">IF(P435="","",_xlfn.XLOOKUP(P435&amp;"",'Units Data'!$I$6:$I$10000&amp;"",'Units Data'!$C$6:$C$10000,"غير موجود",0))</f>
        <v>غير موجود</v>
      </c>
      <c r="C435" s="937" t="str" cm="1">
        <f t="array" ref="C435">IF(P435="","",_xlfn.XLOOKUP(P435&amp;"",'Units Data'!$I$6:$I$10000&amp;"",'Units Data'!$B$6:$B$10000,"غير موجود",0))</f>
        <v>غير موجود</v>
      </c>
      <c r="D435" s="940">
        <v>28409510</v>
      </c>
      <c r="E435" s="941" t="s">
        <v>1076</v>
      </c>
      <c r="F435" s="941" t="s">
        <v>1077</v>
      </c>
      <c r="G435" s="941" t="s">
        <v>1078</v>
      </c>
      <c r="H435" s="941" t="s">
        <v>1079</v>
      </c>
      <c r="I435" s="941">
        <v>1000</v>
      </c>
      <c r="J435" s="944">
        <v>45839</v>
      </c>
      <c r="K435" s="944">
        <v>45838</v>
      </c>
      <c r="L435" s="941" t="s">
        <v>1423</v>
      </c>
      <c r="M435" s="941"/>
      <c r="N435" s="941" t="s">
        <v>1424</v>
      </c>
      <c r="O435" s="941" t="s">
        <v>1122</v>
      </c>
      <c r="P435" s="941" t="s">
        <v>1425</v>
      </c>
    </row>
    <row r="436" spans="1:16">
      <c r="A436" s="937"/>
      <c r="B436" s="937" t="str" cm="1">
        <f t="array" ref="B436">IF(P436="","",_xlfn.XLOOKUP(P436&amp;"",'Units Data'!$I$6:$I$10000&amp;"",'Units Data'!$C$6:$C$10000,"غير موجود",0))</f>
        <v>غير موجود</v>
      </c>
      <c r="C436" s="937" t="str" cm="1">
        <f t="array" ref="C436">IF(P436="","",_xlfn.XLOOKUP(P436&amp;"",'Units Data'!$I$6:$I$10000&amp;"",'Units Data'!$B$6:$B$10000,"غير موجود",0))</f>
        <v>غير موجود</v>
      </c>
      <c r="D436" s="940">
        <v>28369142</v>
      </c>
      <c r="E436" s="941" t="s">
        <v>1076</v>
      </c>
      <c r="F436" s="941" t="s">
        <v>1077</v>
      </c>
      <c r="G436" s="941" t="s">
        <v>1078</v>
      </c>
      <c r="H436" s="941" t="s">
        <v>1083</v>
      </c>
      <c r="I436" s="941">
        <v>2000</v>
      </c>
      <c r="J436" s="944">
        <v>45839</v>
      </c>
      <c r="K436" s="944">
        <v>45837</v>
      </c>
      <c r="L436" s="941" t="s">
        <v>1317</v>
      </c>
      <c r="M436" s="941"/>
      <c r="N436" s="941" t="s">
        <v>1320</v>
      </c>
      <c r="O436" s="941" t="s">
        <v>1122</v>
      </c>
      <c r="P436" s="941" t="s">
        <v>1319</v>
      </c>
    </row>
    <row r="437" spans="1:16">
      <c r="A437" s="937"/>
      <c r="B437" s="937" cm="1">
        <f t="array" ref="B437">IF(P437="","",_xlfn.XLOOKUP(P437&amp;"",'Units Data'!$I$6:$I$10000&amp;"",'Units Data'!$C$6:$C$10000,"غير موجود",0))</f>
        <v>102</v>
      </c>
      <c r="C437" s="937" t="str" cm="1">
        <f t="array" ref="C437">IF(P437="","",_xlfn.XLOOKUP(P437&amp;"",'Units Data'!$I$6:$I$10000&amp;"",'Units Data'!$B$6:$B$10000,"غير موجود",0))</f>
        <v>S7</v>
      </c>
      <c r="D437" s="940">
        <v>28315106</v>
      </c>
      <c r="E437" s="941" t="s">
        <v>1076</v>
      </c>
      <c r="F437" s="941" t="s">
        <v>1077</v>
      </c>
      <c r="G437" s="941" t="s">
        <v>1078</v>
      </c>
      <c r="H437" s="941" t="s">
        <v>1079</v>
      </c>
      <c r="I437" s="941">
        <v>4000</v>
      </c>
      <c r="J437" s="944">
        <v>45837</v>
      </c>
      <c r="K437" s="944">
        <v>45835</v>
      </c>
      <c r="L437" s="941" t="s">
        <v>1315</v>
      </c>
      <c r="M437" s="941"/>
      <c r="N437" s="941" t="s">
        <v>1316</v>
      </c>
      <c r="O437" s="941" t="s">
        <v>1095</v>
      </c>
      <c r="P437" s="941" t="s">
        <v>1268</v>
      </c>
    </row>
    <row r="438" spans="1:16">
      <c r="A438" s="937"/>
      <c r="B438" s="937" cm="1">
        <f t="array" ref="B438">IF(P438="","",_xlfn.XLOOKUP(P438&amp;"",'Units Data'!$I$6:$I$10000&amp;"",'Units Data'!$C$6:$C$10000,"غير موجود",0))</f>
        <v>102</v>
      </c>
      <c r="C438" s="937" t="str" cm="1">
        <f t="array" ref="C438">IF(P438="","",_xlfn.XLOOKUP(P438&amp;"",'Units Data'!$I$6:$I$10000&amp;"",'Units Data'!$B$6:$B$10000,"غير موجود",0))</f>
        <v>F3</v>
      </c>
      <c r="D438" s="940">
        <v>28312705</v>
      </c>
      <c r="E438" s="941" t="s">
        <v>1076</v>
      </c>
      <c r="F438" s="941" t="s">
        <v>1077</v>
      </c>
      <c r="G438" s="941" t="s">
        <v>1078</v>
      </c>
      <c r="H438" s="941" t="s">
        <v>1079</v>
      </c>
      <c r="I438" s="941">
        <v>3500</v>
      </c>
      <c r="J438" s="944">
        <v>45837</v>
      </c>
      <c r="K438" s="944">
        <v>45835</v>
      </c>
      <c r="L438" s="941" t="s">
        <v>1035</v>
      </c>
      <c r="M438" s="941"/>
      <c r="N438" s="941" t="s">
        <v>1421</v>
      </c>
      <c r="O438" s="941" t="s">
        <v>1095</v>
      </c>
      <c r="P438" s="941" t="s">
        <v>1422</v>
      </c>
    </row>
    <row r="439" spans="1:16">
      <c r="A439" s="937"/>
      <c r="B439" s="937" cm="1">
        <f t="array" ref="B439">IF(P439="","",_xlfn.XLOOKUP(P439&amp;"",'Units Data'!$I$6:$I$10000&amp;"",'Units Data'!$C$6:$C$10000,"غير موجود",0))</f>
        <v>102</v>
      </c>
      <c r="C439" s="937" t="str" cm="1">
        <f t="array" ref="C439">IF(P439="","",_xlfn.XLOOKUP(P439&amp;"",'Units Data'!$I$6:$I$10000&amp;"",'Units Data'!$B$6:$B$10000,"غير موجود",0))</f>
        <v>S6</v>
      </c>
      <c r="D439" s="940">
        <v>28272389</v>
      </c>
      <c r="E439" s="941" t="s">
        <v>1076</v>
      </c>
      <c r="F439" s="941" t="s">
        <v>1077</v>
      </c>
      <c r="G439" s="941" t="s">
        <v>1078</v>
      </c>
      <c r="H439" s="941" t="s">
        <v>1079</v>
      </c>
      <c r="I439" s="941">
        <v>3800</v>
      </c>
      <c r="J439" s="944">
        <v>45836</v>
      </c>
      <c r="K439" s="944">
        <v>45834</v>
      </c>
      <c r="L439" s="941" t="s">
        <v>1389</v>
      </c>
      <c r="M439" s="941"/>
      <c r="N439" s="941" t="s">
        <v>1390</v>
      </c>
      <c r="O439" s="941" t="s">
        <v>1095</v>
      </c>
      <c r="P439" s="941" t="s">
        <v>1391</v>
      </c>
    </row>
    <row r="440" spans="1:16">
      <c r="A440" s="937"/>
      <c r="B440" s="937" cm="1">
        <f t="array" ref="B440">IF(P440="","",_xlfn.XLOOKUP(P440&amp;"",'Units Data'!$I$6:$I$10000&amp;"",'Units Data'!$C$6:$C$10000,"غير موجود",0))</f>
        <v>102</v>
      </c>
      <c r="C440" s="937" t="str" cm="1">
        <f t="array" ref="C440">IF(P440="","",_xlfn.XLOOKUP(P440&amp;"",'Units Data'!$I$6:$I$10000&amp;"",'Units Data'!$B$6:$B$10000,"غير موجود",0))</f>
        <v>S2</v>
      </c>
      <c r="D440" s="940">
        <v>28260148</v>
      </c>
      <c r="E440" s="941" t="s">
        <v>1076</v>
      </c>
      <c r="F440" s="941" t="s">
        <v>1077</v>
      </c>
      <c r="G440" s="941" t="s">
        <v>1078</v>
      </c>
      <c r="H440" s="941" t="s">
        <v>1083</v>
      </c>
      <c r="I440" s="941">
        <v>1500</v>
      </c>
      <c r="J440" s="944">
        <v>45838</v>
      </c>
      <c r="K440" s="944">
        <v>45834</v>
      </c>
      <c r="L440" s="941" t="s">
        <v>1400</v>
      </c>
      <c r="M440" s="941"/>
      <c r="N440" s="941" t="s">
        <v>1401</v>
      </c>
      <c r="O440" s="941" t="s">
        <v>1095</v>
      </c>
      <c r="P440" s="941" t="s">
        <v>1402</v>
      </c>
    </row>
    <row r="441" spans="1:16">
      <c r="A441" s="937"/>
      <c r="B441" s="937" t="str" cm="1">
        <f t="array" ref="B441">IF(P441="","",_xlfn.XLOOKUP(P441&amp;"",'Units Data'!$I$6:$I$10000&amp;"",'Units Data'!$C$6:$C$10000,"غير موجود",0))</f>
        <v>غير موجود</v>
      </c>
      <c r="C441" s="937" t="str" cm="1">
        <f t="array" ref="C441">IF(P441="","",_xlfn.XLOOKUP(P441&amp;"",'Units Data'!$I$6:$I$10000&amp;"",'Units Data'!$B$6:$B$10000,"غير موجود",0))</f>
        <v>غير موجود</v>
      </c>
      <c r="D441" s="940">
        <v>28255057</v>
      </c>
      <c r="E441" s="941" t="s">
        <v>1076</v>
      </c>
      <c r="F441" s="941" t="s">
        <v>1077</v>
      </c>
      <c r="G441" s="941" t="s">
        <v>1078</v>
      </c>
      <c r="H441" s="941" t="s">
        <v>1083</v>
      </c>
      <c r="I441" s="941">
        <v>1000</v>
      </c>
      <c r="J441" s="944">
        <v>45838</v>
      </c>
      <c r="K441" s="944">
        <v>45834</v>
      </c>
      <c r="L441" s="941" t="s">
        <v>1426</v>
      </c>
      <c r="M441" s="941"/>
      <c r="N441" s="941" t="s">
        <v>1427</v>
      </c>
      <c r="O441" s="941" t="s">
        <v>1122</v>
      </c>
      <c r="P441" s="941" t="s">
        <v>1428</v>
      </c>
    </row>
    <row r="442" spans="1:16">
      <c r="A442" s="937"/>
      <c r="B442" s="937" t="str" cm="1">
        <f t="array" ref="B442">IF(P442="","",_xlfn.XLOOKUP(P442&amp;"",'Units Data'!$I$6:$I$10000&amp;"",'Units Data'!$C$6:$C$10000,"غير موجود",0))</f>
        <v>غير موجود</v>
      </c>
      <c r="C442" s="937" t="str" cm="1">
        <f t="array" ref="C442">IF(P442="","",_xlfn.XLOOKUP(P442&amp;"",'Units Data'!$I$6:$I$10000&amp;"",'Units Data'!$B$6:$B$10000,"غير موجود",0))</f>
        <v>غير موجود</v>
      </c>
      <c r="D442" s="940">
        <v>28238282</v>
      </c>
      <c r="E442" s="941" t="s">
        <v>1076</v>
      </c>
      <c r="F442" s="941" t="s">
        <v>1077</v>
      </c>
      <c r="G442" s="941" t="s">
        <v>1078</v>
      </c>
      <c r="H442" s="941" t="s">
        <v>1079</v>
      </c>
      <c r="I442" s="941">
        <v>3000</v>
      </c>
      <c r="J442" s="944">
        <v>45836</v>
      </c>
      <c r="K442" s="944">
        <v>45834</v>
      </c>
      <c r="L442" s="941" t="s">
        <v>1329</v>
      </c>
      <c r="M442" s="941"/>
      <c r="N442" s="941" t="s">
        <v>1330</v>
      </c>
      <c r="O442" s="941" t="s">
        <v>1161</v>
      </c>
      <c r="P442" s="941" t="s">
        <v>1331</v>
      </c>
    </row>
    <row r="443" spans="1:16">
      <c r="A443" s="937"/>
      <c r="B443" s="937" t="str" cm="1">
        <f t="array" ref="B443">IF(P443="","",_xlfn.XLOOKUP(P443&amp;"",'Units Data'!$I$6:$I$10000&amp;"",'Units Data'!$C$6:$C$10000,"غير موجود",0))</f>
        <v>غير موجود</v>
      </c>
      <c r="C443" s="937" t="str" cm="1">
        <f t="array" ref="C443">IF(P443="","",_xlfn.XLOOKUP(P443&amp;"",'Units Data'!$I$6:$I$10000&amp;"",'Units Data'!$B$6:$B$10000,"غير موجود",0))</f>
        <v>غير موجود</v>
      </c>
      <c r="D443" s="940">
        <v>28219259</v>
      </c>
      <c r="E443" s="941" t="s">
        <v>1076</v>
      </c>
      <c r="F443" s="941" t="s">
        <v>1077</v>
      </c>
      <c r="G443" s="941" t="s">
        <v>1078</v>
      </c>
      <c r="H443" s="941" t="s">
        <v>1079</v>
      </c>
      <c r="I443" s="941">
        <v>3000</v>
      </c>
      <c r="J443" s="944">
        <v>45834</v>
      </c>
      <c r="K443" s="944">
        <v>45833</v>
      </c>
      <c r="L443" s="941" t="s">
        <v>1380</v>
      </c>
      <c r="M443" s="941"/>
      <c r="N443" s="941" t="s">
        <v>1381</v>
      </c>
      <c r="O443" s="941" t="s">
        <v>1161</v>
      </c>
      <c r="P443" s="941" t="s">
        <v>1382</v>
      </c>
    </row>
    <row r="444" spans="1:16">
      <c r="A444" s="937"/>
      <c r="B444" s="937" t="str" cm="1">
        <f t="array" ref="B444">IF(P444="","",_xlfn.XLOOKUP(P444&amp;"",'Units Data'!$I$6:$I$10000&amp;"",'Units Data'!$C$6:$C$10000,"غير موجود",0))</f>
        <v>غير موجود</v>
      </c>
      <c r="C444" s="937" t="str" cm="1">
        <f t="array" ref="C444">IF(P444="","",_xlfn.XLOOKUP(P444&amp;"",'Units Data'!$I$6:$I$10000&amp;"",'Units Data'!$B$6:$B$10000,"غير موجود",0))</f>
        <v>غير موجود</v>
      </c>
      <c r="D444" s="940">
        <v>28142366</v>
      </c>
      <c r="E444" s="941" t="s">
        <v>1076</v>
      </c>
      <c r="F444" s="941" t="s">
        <v>1077</v>
      </c>
      <c r="G444" s="941" t="s">
        <v>1078</v>
      </c>
      <c r="H444" s="941" t="s">
        <v>1083</v>
      </c>
      <c r="I444" s="941">
        <v>1000</v>
      </c>
      <c r="J444" s="944">
        <v>45832</v>
      </c>
      <c r="K444" s="944">
        <v>45830</v>
      </c>
      <c r="L444" s="941" t="s">
        <v>1153</v>
      </c>
      <c r="M444" s="941"/>
      <c r="N444" s="941" t="s">
        <v>1355</v>
      </c>
      <c r="O444" s="941" t="s">
        <v>1122</v>
      </c>
      <c r="P444" s="941" t="s">
        <v>1155</v>
      </c>
    </row>
    <row r="445" spans="1:16">
      <c r="A445" s="937"/>
      <c r="B445" s="937" t="str" cm="1">
        <f t="array" ref="B445">IF(P445="","",_xlfn.XLOOKUP(P445&amp;"",'Units Data'!$I$6:$I$10000&amp;"",'Units Data'!$C$6:$C$10000,"غير موجود",0))</f>
        <v>غير موجود</v>
      </c>
      <c r="C445" s="937" t="str" cm="1">
        <f t="array" ref="C445">IF(P445="","",_xlfn.XLOOKUP(P445&amp;"",'Units Data'!$I$6:$I$10000&amp;"",'Units Data'!$B$6:$B$10000,"غير موجود",0))</f>
        <v>غير موجود</v>
      </c>
      <c r="D445" s="940">
        <v>27996941</v>
      </c>
      <c r="E445" s="941" t="s">
        <v>1076</v>
      </c>
      <c r="F445" s="941" t="s">
        <v>1077</v>
      </c>
      <c r="G445" s="941" t="s">
        <v>1078</v>
      </c>
      <c r="H445" s="941" t="s">
        <v>1079</v>
      </c>
      <c r="I445" s="941">
        <v>2000</v>
      </c>
      <c r="J445" s="944">
        <v>45826</v>
      </c>
      <c r="K445" s="944">
        <v>45824</v>
      </c>
      <c r="L445" s="941" t="s">
        <v>1423</v>
      </c>
      <c r="M445" s="941"/>
      <c r="N445" s="941" t="s">
        <v>1424</v>
      </c>
      <c r="O445" s="941" t="s">
        <v>1122</v>
      </c>
      <c r="P445" s="941" t="s">
        <v>1425</v>
      </c>
    </row>
    <row r="446" spans="1:16">
      <c r="A446" s="937"/>
      <c r="B446" s="937" cm="1">
        <f t="array" ref="B446">IF(P446="","",_xlfn.XLOOKUP(P446&amp;"",'Units Data'!$I$6:$I$10000&amp;"",'Units Data'!$C$6:$C$10000,"غير موجود",0))</f>
        <v>102</v>
      </c>
      <c r="C446" s="937" t="str" cm="1">
        <f t="array" ref="C446">IF(P446="","",_xlfn.XLOOKUP(P446&amp;"",'Units Data'!$I$6:$I$10000&amp;"",'Units Data'!$B$6:$B$10000,"غير موجود",0))</f>
        <v>F4</v>
      </c>
      <c r="D446" s="940">
        <v>27962700</v>
      </c>
      <c r="E446" s="941" t="s">
        <v>1076</v>
      </c>
      <c r="F446" s="941" t="s">
        <v>1077</v>
      </c>
      <c r="G446" s="941" t="s">
        <v>1078</v>
      </c>
      <c r="H446" s="941" t="s">
        <v>1079</v>
      </c>
      <c r="I446" s="941">
        <v>3500</v>
      </c>
      <c r="J446" s="944">
        <v>45824</v>
      </c>
      <c r="K446" s="944">
        <v>45823</v>
      </c>
      <c r="L446" s="941" t="s">
        <v>1296</v>
      </c>
      <c r="M446" s="941"/>
      <c r="N446" s="941" t="s">
        <v>1297</v>
      </c>
      <c r="O446" s="941" t="s">
        <v>1095</v>
      </c>
      <c r="P446" s="941" t="s">
        <v>1298</v>
      </c>
    </row>
    <row r="447" spans="1:16">
      <c r="A447" s="937"/>
      <c r="B447" s="937" t="str" cm="1">
        <f t="array" ref="B447">IF(P447="","",_xlfn.XLOOKUP(P447&amp;"",'Units Data'!$I$6:$I$10000&amp;"",'Units Data'!$C$6:$C$10000,"غير موجود",0))</f>
        <v>غير موجود</v>
      </c>
      <c r="C447" s="937" t="str" cm="1">
        <f t="array" ref="C447">IF(P447="","",_xlfn.XLOOKUP(P447&amp;"",'Units Data'!$I$6:$I$10000&amp;"",'Units Data'!$B$6:$B$10000,"غير موجود",0))</f>
        <v>غير موجود</v>
      </c>
      <c r="D447" s="940">
        <v>27933130</v>
      </c>
      <c r="E447" s="941" t="s">
        <v>1076</v>
      </c>
      <c r="F447" s="941" t="s">
        <v>1077</v>
      </c>
      <c r="G447" s="941" t="s">
        <v>1078</v>
      </c>
      <c r="H447" s="941" t="s">
        <v>1079</v>
      </c>
      <c r="I447" s="941">
        <v>1000</v>
      </c>
      <c r="J447" s="944">
        <v>45823</v>
      </c>
      <c r="K447" s="944">
        <v>45821</v>
      </c>
      <c r="L447" s="941" t="s">
        <v>1120</v>
      </c>
      <c r="M447" s="941"/>
      <c r="N447" s="941" t="s">
        <v>1364</v>
      </c>
      <c r="O447" s="941" t="s">
        <v>1122</v>
      </c>
      <c r="P447" s="941" t="s">
        <v>1123</v>
      </c>
    </row>
    <row r="448" spans="1:16">
      <c r="A448" s="937"/>
      <c r="B448" s="937" cm="1">
        <f t="array" ref="B448">IF(P448="","",_xlfn.XLOOKUP(P448&amp;"",'Units Data'!$I$6:$I$10000&amp;"",'Units Data'!$C$6:$C$10000,"غير موجود",0))</f>
        <v>102</v>
      </c>
      <c r="C448" s="937" t="str" cm="1">
        <f t="array" ref="C448">IF(P448="","",_xlfn.XLOOKUP(P448&amp;"",'Units Data'!$I$6:$I$10000&amp;"",'Units Data'!$B$6:$B$10000,"غير موجود",0))</f>
        <v>F1</v>
      </c>
      <c r="D448" s="940">
        <v>27930114</v>
      </c>
      <c r="E448" s="941" t="s">
        <v>1076</v>
      </c>
      <c r="F448" s="941" t="s">
        <v>1077</v>
      </c>
      <c r="G448" s="941" t="s">
        <v>1078</v>
      </c>
      <c r="H448" s="941" t="s">
        <v>1079</v>
      </c>
      <c r="I448" s="941">
        <v>3500</v>
      </c>
      <c r="J448" s="944">
        <v>45823</v>
      </c>
      <c r="K448" s="944">
        <v>45821</v>
      </c>
      <c r="L448" s="941" t="s">
        <v>81</v>
      </c>
      <c r="M448" s="941"/>
      <c r="N448" s="941" t="s">
        <v>1310</v>
      </c>
      <c r="O448" s="941" t="s">
        <v>1095</v>
      </c>
      <c r="P448" s="941" t="s">
        <v>1096</v>
      </c>
    </row>
    <row r="449" spans="1:16">
      <c r="A449" s="937"/>
      <c r="B449" s="937" cm="1">
        <f t="array" ref="B449">IF(P449="","",_xlfn.XLOOKUP(P449&amp;"",'Units Data'!$I$6:$I$10000&amp;"",'Units Data'!$C$6:$C$10000,"غير موجود",0))</f>
        <v>102</v>
      </c>
      <c r="C449" s="937" t="str" cm="1">
        <f t="array" ref="C449">IF(P449="","",_xlfn.XLOOKUP(P449&amp;"",'Units Data'!$I$6:$I$10000&amp;"",'Units Data'!$B$6:$B$10000,"غير موجود",0))</f>
        <v>S2</v>
      </c>
      <c r="D449" s="940">
        <v>27903395</v>
      </c>
      <c r="E449" s="941" t="s">
        <v>1076</v>
      </c>
      <c r="F449" s="941" t="s">
        <v>1077</v>
      </c>
      <c r="G449" s="941" t="s">
        <v>1078</v>
      </c>
      <c r="H449" s="941" t="s">
        <v>1083</v>
      </c>
      <c r="I449" s="941">
        <v>700</v>
      </c>
      <c r="J449" s="944">
        <v>45824</v>
      </c>
      <c r="K449" s="944">
        <v>45820</v>
      </c>
      <c r="L449" s="941" t="s">
        <v>1400</v>
      </c>
      <c r="M449" s="941"/>
      <c r="N449" s="941" t="s">
        <v>1401</v>
      </c>
      <c r="O449" s="941" t="s">
        <v>1095</v>
      </c>
      <c r="P449" s="941" t="s">
        <v>1402</v>
      </c>
    </row>
    <row r="450" spans="1:16">
      <c r="A450" s="937"/>
      <c r="B450" s="937" t="str" cm="1">
        <f t="array" ref="B450">IF(P450="","",_xlfn.XLOOKUP(P450&amp;"",'Units Data'!$I$6:$I$10000&amp;"",'Units Data'!$C$6:$C$10000,"غير موجود",0))</f>
        <v>غير موجود</v>
      </c>
      <c r="C450" s="937" t="str" cm="1">
        <f t="array" ref="C450">IF(P450="","",_xlfn.XLOOKUP(P450&amp;"",'Units Data'!$I$6:$I$10000&amp;"",'Units Data'!$B$6:$B$10000,"غير موجود",0))</f>
        <v>غير موجود</v>
      </c>
      <c r="D450" s="940">
        <v>27890132</v>
      </c>
      <c r="E450" s="941" t="s">
        <v>1076</v>
      </c>
      <c r="F450" s="941" t="s">
        <v>1077</v>
      </c>
      <c r="G450" s="941" t="s">
        <v>1078</v>
      </c>
      <c r="H450" s="941" t="s">
        <v>1083</v>
      </c>
      <c r="I450" s="941">
        <v>4500</v>
      </c>
      <c r="J450" s="944">
        <v>45822</v>
      </c>
      <c r="K450" s="944">
        <v>45819</v>
      </c>
      <c r="L450" s="941" t="s">
        <v>1276</v>
      </c>
      <c r="M450" s="941"/>
      <c r="N450" s="941" t="s">
        <v>1277</v>
      </c>
      <c r="O450" s="941" t="s">
        <v>1111</v>
      </c>
      <c r="P450" s="941" t="s">
        <v>1278</v>
      </c>
    </row>
    <row r="451" spans="1:16">
      <c r="A451" s="937"/>
      <c r="B451" s="937" t="str" cm="1">
        <f t="array" ref="B451">IF(P451="","",_xlfn.XLOOKUP(P451&amp;"",'Units Data'!$I$6:$I$10000&amp;"",'Units Data'!$C$6:$C$10000,"غير موجود",0))</f>
        <v>غير موجود</v>
      </c>
      <c r="C451" s="937" t="str" cm="1">
        <f t="array" ref="C451">IF(P451="","",_xlfn.XLOOKUP(P451&amp;"",'Units Data'!$I$6:$I$10000&amp;"",'Units Data'!$B$6:$B$10000,"غير موجود",0))</f>
        <v>غير موجود</v>
      </c>
      <c r="D451" s="940">
        <v>27856315</v>
      </c>
      <c r="E451" s="941" t="s">
        <v>1076</v>
      </c>
      <c r="F451" s="941" t="s">
        <v>1077</v>
      </c>
      <c r="G451" s="941" t="s">
        <v>1078</v>
      </c>
      <c r="H451" s="941" t="s">
        <v>1079</v>
      </c>
      <c r="I451" s="941">
        <v>1000</v>
      </c>
      <c r="J451" s="944">
        <v>45819</v>
      </c>
      <c r="K451" s="944">
        <v>45818</v>
      </c>
      <c r="L451" s="941" t="s">
        <v>1196</v>
      </c>
      <c r="M451" s="941"/>
      <c r="N451" s="941" t="s">
        <v>1336</v>
      </c>
      <c r="O451" s="941" t="s">
        <v>1122</v>
      </c>
      <c r="P451" s="941" t="s">
        <v>1337</v>
      </c>
    </row>
    <row r="452" spans="1:16">
      <c r="A452" s="937"/>
      <c r="B452" s="937" t="str" cm="1">
        <f t="array" ref="B452">IF(P452="","",_xlfn.XLOOKUP(P452&amp;"",'Units Data'!$I$6:$I$10000&amp;"",'Units Data'!$C$6:$C$10000,"غير موجود",0))</f>
        <v>غير موجود</v>
      </c>
      <c r="C452" s="937" t="str" cm="1">
        <f t="array" ref="C452">IF(P452="","",_xlfn.XLOOKUP(P452&amp;"",'Units Data'!$I$6:$I$10000&amp;"",'Units Data'!$B$6:$B$10000,"غير موجود",0))</f>
        <v>غير موجود</v>
      </c>
      <c r="D452" s="940">
        <v>27841428</v>
      </c>
      <c r="E452" s="941" t="s">
        <v>1076</v>
      </c>
      <c r="F452" s="941" t="s">
        <v>1077</v>
      </c>
      <c r="G452" s="941" t="s">
        <v>1078</v>
      </c>
      <c r="H452" s="941" t="s">
        <v>1079</v>
      </c>
      <c r="I452" s="941">
        <v>1000</v>
      </c>
      <c r="J452" s="944">
        <v>45819</v>
      </c>
      <c r="K452" s="944">
        <v>45817</v>
      </c>
      <c r="L452" s="941" t="s">
        <v>1338</v>
      </c>
      <c r="M452" s="941"/>
      <c r="N452" s="941" t="s">
        <v>1339</v>
      </c>
      <c r="O452" s="941" t="s">
        <v>1122</v>
      </c>
      <c r="P452" s="941" t="s">
        <v>1340</v>
      </c>
    </row>
    <row r="453" spans="1:16">
      <c r="A453" s="937"/>
      <c r="B453" s="937" t="str" cm="1">
        <f t="array" ref="B453">IF(P453="","",_xlfn.XLOOKUP(P453&amp;"",'Units Data'!$I$6:$I$10000&amp;"",'Units Data'!$C$6:$C$10000,"غير موجود",0))</f>
        <v>غير موجود</v>
      </c>
      <c r="C453" s="937" t="str" cm="1">
        <f t="array" ref="C453">IF(P453="","",_xlfn.XLOOKUP(P453&amp;"",'Units Data'!$I$6:$I$10000&amp;"",'Units Data'!$B$6:$B$10000,"غير موجود",0))</f>
        <v>غير موجود</v>
      </c>
      <c r="D453" s="940">
        <v>27840341</v>
      </c>
      <c r="E453" s="941" t="s">
        <v>1076</v>
      </c>
      <c r="F453" s="941" t="s">
        <v>1077</v>
      </c>
      <c r="G453" s="941" t="s">
        <v>1078</v>
      </c>
      <c r="H453" s="941" t="s">
        <v>1079</v>
      </c>
      <c r="I453" s="941">
        <v>3000</v>
      </c>
      <c r="J453" s="944">
        <v>45817</v>
      </c>
      <c r="K453" s="944">
        <v>45816</v>
      </c>
      <c r="L453" s="941" t="s">
        <v>1413</v>
      </c>
      <c r="M453" s="941"/>
      <c r="N453" s="941" t="s">
        <v>1414</v>
      </c>
      <c r="O453" s="941" t="s">
        <v>1161</v>
      </c>
      <c r="P453" s="941" t="s">
        <v>1415</v>
      </c>
    </row>
    <row r="454" spans="1:16">
      <c r="A454" s="937"/>
      <c r="B454" s="937" t="str" cm="1">
        <f t="array" ref="B454">IF(P454="","",_xlfn.XLOOKUP(P454&amp;"",'Units Data'!$I$6:$I$10000&amp;"",'Units Data'!$C$6:$C$10000,"غير موجود",0))</f>
        <v>غير موجود</v>
      </c>
      <c r="C454" s="937" t="str" cm="1">
        <f t="array" ref="C454">IF(P454="","",_xlfn.XLOOKUP(P454&amp;"",'Units Data'!$I$6:$I$10000&amp;"",'Units Data'!$B$6:$B$10000,"غير موجود",0))</f>
        <v>غير موجود</v>
      </c>
      <c r="D454" s="940">
        <v>27717815</v>
      </c>
      <c r="E454" s="941" t="s">
        <v>1076</v>
      </c>
      <c r="F454" s="941" t="s">
        <v>1077</v>
      </c>
      <c r="G454" s="941" t="s">
        <v>1078</v>
      </c>
      <c r="H454" s="941" t="s">
        <v>1079</v>
      </c>
      <c r="I454" s="941">
        <v>3000</v>
      </c>
      <c r="J454" s="944">
        <v>45812</v>
      </c>
      <c r="K454" s="944">
        <v>45810</v>
      </c>
      <c r="L454" s="941" t="s">
        <v>1418</v>
      </c>
      <c r="M454" s="941"/>
      <c r="N454" s="941" t="s">
        <v>1419</v>
      </c>
      <c r="O454" s="941" t="s">
        <v>1161</v>
      </c>
      <c r="P454" s="941" t="s">
        <v>1420</v>
      </c>
    </row>
    <row r="455" spans="1:16">
      <c r="A455" s="937"/>
      <c r="B455" s="937" cm="1">
        <f t="array" ref="B455">IF(P455="","",_xlfn.XLOOKUP(P455&amp;"",'Units Data'!$I$6:$I$10000&amp;"",'Units Data'!$C$6:$C$10000,"غير موجود",0))</f>
        <v>102</v>
      </c>
      <c r="C455" s="937" t="str" cm="1">
        <f t="array" ref="C455">IF(P455="","",_xlfn.XLOOKUP(P455&amp;"",'Units Data'!$I$6:$I$10000&amp;"",'Units Data'!$B$6:$B$10000,"غير موجود",0))</f>
        <v>S2</v>
      </c>
      <c r="D455" s="940">
        <v>27602787</v>
      </c>
      <c r="E455" s="941" t="s">
        <v>1076</v>
      </c>
      <c r="F455" s="941" t="s">
        <v>1077</v>
      </c>
      <c r="G455" s="941" t="s">
        <v>1078</v>
      </c>
      <c r="H455" s="941" t="s">
        <v>1083</v>
      </c>
      <c r="I455" s="941">
        <v>2000</v>
      </c>
      <c r="J455" s="944">
        <v>45811</v>
      </c>
      <c r="K455" s="944">
        <v>45809</v>
      </c>
      <c r="L455" s="941" t="s">
        <v>1400</v>
      </c>
      <c r="M455" s="941"/>
      <c r="N455" s="941" t="s">
        <v>1401</v>
      </c>
      <c r="O455" s="941" t="s">
        <v>1095</v>
      </c>
      <c r="P455" s="941" t="s">
        <v>1402</v>
      </c>
    </row>
    <row r="456" spans="1:16">
      <c r="A456" s="937"/>
      <c r="B456" s="937" cm="1">
        <f t="array" ref="B456">IF(P456="","",_xlfn.XLOOKUP(P456&amp;"",'Units Data'!$I$6:$I$10000&amp;"",'Units Data'!$C$6:$C$10000,"غير موجود",0))</f>
        <v>102</v>
      </c>
      <c r="C456" s="937" t="str" cm="1">
        <f t="array" ref="C456">IF(P456="","",_xlfn.XLOOKUP(P456&amp;"",'Units Data'!$I$6:$I$10000&amp;"",'Units Data'!$B$6:$B$10000,"غير موجود",0))</f>
        <v>S5</v>
      </c>
      <c r="D456" s="940">
        <v>27558897</v>
      </c>
      <c r="E456" s="941" t="s">
        <v>1076</v>
      </c>
      <c r="F456" s="941" t="s">
        <v>1077</v>
      </c>
      <c r="G456" s="941" t="s">
        <v>1078</v>
      </c>
      <c r="H456" s="941" t="s">
        <v>1079</v>
      </c>
      <c r="I456" s="941">
        <v>3800</v>
      </c>
      <c r="J456" s="944">
        <v>45809</v>
      </c>
      <c r="K456" s="944">
        <v>45808</v>
      </c>
      <c r="L456" s="941" t="s">
        <v>1025</v>
      </c>
      <c r="M456" s="941"/>
      <c r="N456" s="941" t="s">
        <v>1405</v>
      </c>
      <c r="O456" s="941" t="s">
        <v>1095</v>
      </c>
      <c r="P456" s="941" t="s">
        <v>1406</v>
      </c>
    </row>
    <row r="457" spans="1:16">
      <c r="A457" s="937"/>
      <c r="B457" s="937" t="str" cm="1">
        <f t="array" ref="B457">IF(P457="","",_xlfn.XLOOKUP(P457&amp;"",'Units Data'!$I$6:$I$10000&amp;"",'Units Data'!$C$6:$C$10000,"غير موجود",0))</f>
        <v>غير موجود</v>
      </c>
      <c r="C457" s="937" t="str" cm="1">
        <f t="array" ref="C457">IF(P457="","",_xlfn.XLOOKUP(P457&amp;"",'Units Data'!$I$6:$I$10000&amp;"",'Units Data'!$B$6:$B$10000,"غير موجود",0))</f>
        <v>غير موجود</v>
      </c>
      <c r="D457" s="940">
        <v>27467559</v>
      </c>
      <c r="E457" s="941" t="s">
        <v>1076</v>
      </c>
      <c r="F457" s="941" t="s">
        <v>1077</v>
      </c>
      <c r="G457" s="941" t="s">
        <v>1078</v>
      </c>
      <c r="H457" s="941" t="s">
        <v>1083</v>
      </c>
      <c r="I457" s="941">
        <v>1000</v>
      </c>
      <c r="J457" s="944">
        <v>45808</v>
      </c>
      <c r="K457" s="944">
        <v>45805</v>
      </c>
      <c r="L457" s="941" t="s">
        <v>1397</v>
      </c>
      <c r="M457" s="941"/>
      <c r="N457" s="941" t="s">
        <v>1398</v>
      </c>
      <c r="O457" s="941" t="s">
        <v>1122</v>
      </c>
      <c r="P457" s="941" t="s">
        <v>1399</v>
      </c>
    </row>
    <row r="458" spans="1:16">
      <c r="A458" s="937"/>
      <c r="B458" s="937" cm="1">
        <f t="array" ref="B458">IF(P458="","",_xlfn.XLOOKUP(P458&amp;"",'Units Data'!$I$6:$I$10000&amp;"",'Units Data'!$C$6:$C$10000,"غير موجود",0))</f>
        <v>102</v>
      </c>
      <c r="C458" s="937" t="str" cm="1">
        <f t="array" ref="C458">IF(P458="","",_xlfn.XLOOKUP(P458&amp;"",'Units Data'!$I$6:$I$10000&amp;"",'Units Data'!$B$6:$B$10000,"غير موجود",0))</f>
        <v>S4</v>
      </c>
      <c r="D458" s="940">
        <v>27448561</v>
      </c>
      <c r="E458" s="941" t="s">
        <v>1076</v>
      </c>
      <c r="F458" s="941" t="s">
        <v>1077</v>
      </c>
      <c r="G458" s="941" t="s">
        <v>1078</v>
      </c>
      <c r="H458" s="941" t="s">
        <v>1079</v>
      </c>
      <c r="I458" s="941">
        <v>1000</v>
      </c>
      <c r="J458" s="944">
        <v>45807</v>
      </c>
      <c r="K458" s="944">
        <v>45805</v>
      </c>
      <c r="L458" s="941" t="s">
        <v>1307</v>
      </c>
      <c r="M458" s="941"/>
      <c r="N458" s="941" t="s">
        <v>1378</v>
      </c>
      <c r="O458" s="941" t="s">
        <v>1095</v>
      </c>
      <c r="P458" s="941" t="s">
        <v>1379</v>
      </c>
    </row>
    <row r="459" spans="1:16">
      <c r="A459" s="937"/>
      <c r="B459" s="937" cm="1">
        <f t="array" ref="B459">IF(P459="","",_xlfn.XLOOKUP(P459&amp;"",'Units Data'!$I$6:$I$10000&amp;"",'Units Data'!$C$6:$C$10000,"غير موجود",0))</f>
        <v>102</v>
      </c>
      <c r="C459" s="937" t="str" cm="1">
        <f t="array" ref="C459">IF(P459="","",_xlfn.XLOOKUP(P459&amp;"",'Units Data'!$I$6:$I$10000&amp;"",'Units Data'!$B$6:$B$10000,"غير موجود",0))</f>
        <v>S4</v>
      </c>
      <c r="D459" s="940">
        <v>27448439</v>
      </c>
      <c r="E459" s="941" t="s">
        <v>1076</v>
      </c>
      <c r="F459" s="941" t="s">
        <v>1077</v>
      </c>
      <c r="G459" s="941" t="s">
        <v>1078</v>
      </c>
      <c r="H459" s="941" t="s">
        <v>1079</v>
      </c>
      <c r="I459" s="941">
        <v>2800</v>
      </c>
      <c r="J459" s="944">
        <v>45807</v>
      </c>
      <c r="K459" s="944">
        <v>45805</v>
      </c>
      <c r="L459" s="941" t="s">
        <v>1307</v>
      </c>
      <c r="M459" s="941"/>
      <c r="N459" s="941" t="s">
        <v>1378</v>
      </c>
      <c r="O459" s="941" t="s">
        <v>1095</v>
      </c>
      <c r="P459" s="941" t="s">
        <v>1379</v>
      </c>
    </row>
    <row r="460" spans="1:16">
      <c r="A460" s="937"/>
      <c r="B460" s="937" cm="1">
        <f t="array" ref="B460">IF(P460="","",_xlfn.XLOOKUP(P460&amp;"",'Units Data'!$I$6:$I$10000&amp;"",'Units Data'!$C$6:$C$10000,"غير موجود",0))</f>
        <v>102</v>
      </c>
      <c r="C460" s="937" t="str" cm="1">
        <f t="array" ref="C460">IF(P460="","",_xlfn.XLOOKUP(P460&amp;"",'Units Data'!$I$6:$I$10000&amp;"",'Units Data'!$B$6:$B$10000,"غير موجود",0))</f>
        <v>S6</v>
      </c>
      <c r="D460" s="940">
        <v>27443974</v>
      </c>
      <c r="E460" s="941" t="s">
        <v>1076</v>
      </c>
      <c r="F460" s="941" t="s">
        <v>1077</v>
      </c>
      <c r="G460" s="941" t="s">
        <v>1078</v>
      </c>
      <c r="H460" s="941" t="s">
        <v>1079</v>
      </c>
      <c r="I460" s="941">
        <v>3800</v>
      </c>
      <c r="J460" s="944">
        <v>45807</v>
      </c>
      <c r="K460" s="944">
        <v>45805</v>
      </c>
      <c r="L460" s="941" t="s">
        <v>1389</v>
      </c>
      <c r="M460" s="941"/>
      <c r="N460" s="941" t="s">
        <v>1390</v>
      </c>
      <c r="O460" s="941" t="s">
        <v>1095</v>
      </c>
      <c r="P460" s="941" t="s">
        <v>1391</v>
      </c>
    </row>
    <row r="461" spans="1:16">
      <c r="A461" s="937"/>
      <c r="B461" s="937" t="str" cm="1">
        <f t="array" ref="B461">IF(P461="","",_xlfn.XLOOKUP(P461&amp;"",'Units Data'!$I$6:$I$10000&amp;"",'Units Data'!$C$6:$C$10000,"غير موجود",0))</f>
        <v>غير موجود</v>
      </c>
      <c r="C461" s="937" t="str" cm="1">
        <f t="array" ref="C461">IF(P461="","",_xlfn.XLOOKUP(P461&amp;"",'Units Data'!$I$6:$I$10000&amp;"",'Units Data'!$B$6:$B$10000,"غير موجود",0))</f>
        <v>غير موجود</v>
      </c>
      <c r="D461" s="940">
        <v>27442352</v>
      </c>
      <c r="E461" s="941" t="s">
        <v>1076</v>
      </c>
      <c r="F461" s="941" t="s">
        <v>1077</v>
      </c>
      <c r="G461" s="941" t="s">
        <v>1078</v>
      </c>
      <c r="H461" s="941" t="s">
        <v>1079</v>
      </c>
      <c r="I461" s="941">
        <v>3000</v>
      </c>
      <c r="J461" s="944">
        <v>45806</v>
      </c>
      <c r="K461" s="944">
        <v>45805</v>
      </c>
      <c r="L461" s="941" t="s">
        <v>1380</v>
      </c>
      <c r="M461" s="941"/>
      <c r="N461" s="941" t="s">
        <v>1381</v>
      </c>
      <c r="O461" s="941" t="s">
        <v>1161</v>
      </c>
      <c r="P461" s="941" t="s">
        <v>1382</v>
      </c>
    </row>
    <row r="462" spans="1:16">
      <c r="A462" s="937"/>
      <c r="B462" s="937" cm="1">
        <f t="array" ref="B462">IF(P462="","",_xlfn.XLOOKUP(P462&amp;"",'Units Data'!$I$6:$I$10000&amp;"",'Units Data'!$C$6:$C$10000,"غير موجود",0))</f>
        <v>102</v>
      </c>
      <c r="C462" s="937" t="str" cm="1">
        <f t="array" ref="C462">IF(P462="","",_xlfn.XLOOKUP(P462&amp;"",'Units Data'!$I$6:$I$10000&amp;"",'Units Data'!$B$6:$B$10000,"غير موجود",0))</f>
        <v>F3</v>
      </c>
      <c r="D462" s="940">
        <v>27417670</v>
      </c>
      <c r="E462" s="941" t="s">
        <v>1076</v>
      </c>
      <c r="F462" s="941" t="s">
        <v>1077</v>
      </c>
      <c r="G462" s="941" t="s">
        <v>1078</v>
      </c>
      <c r="H462" s="941" t="s">
        <v>1079</v>
      </c>
      <c r="I462" s="941">
        <v>3500</v>
      </c>
      <c r="J462" s="944">
        <v>45806</v>
      </c>
      <c r="K462" s="944">
        <v>45804</v>
      </c>
      <c r="L462" s="941" t="s">
        <v>1035</v>
      </c>
      <c r="M462" s="941"/>
      <c r="N462" s="941" t="s">
        <v>1421</v>
      </c>
      <c r="O462" s="941" t="s">
        <v>1095</v>
      </c>
      <c r="P462" s="941" t="s">
        <v>1422</v>
      </c>
    </row>
    <row r="463" spans="1:16">
      <c r="A463" s="937"/>
      <c r="B463" s="937" t="str" cm="1">
        <f t="array" ref="B463">IF(P463="","",_xlfn.XLOOKUP(P463&amp;"",'Units Data'!$I$6:$I$10000&amp;"",'Units Data'!$C$6:$C$10000,"غير موجود",0))</f>
        <v>غير موجود</v>
      </c>
      <c r="C463" s="937" t="str" cm="1">
        <f t="array" ref="C463">IF(P463="","",_xlfn.XLOOKUP(P463&amp;"",'Units Data'!$I$6:$I$10000&amp;"",'Units Data'!$B$6:$B$10000,"غير موجود",0))</f>
        <v>غير موجود</v>
      </c>
      <c r="D463" s="940">
        <v>27397500</v>
      </c>
      <c r="E463" s="941" t="s">
        <v>1076</v>
      </c>
      <c r="F463" s="941" t="s">
        <v>1077</v>
      </c>
      <c r="G463" s="941" t="s">
        <v>1078</v>
      </c>
      <c r="H463" s="941" t="s">
        <v>1079</v>
      </c>
      <c r="I463" s="941">
        <v>3000</v>
      </c>
      <c r="J463" s="944">
        <v>45806</v>
      </c>
      <c r="K463" s="944">
        <v>45804</v>
      </c>
      <c r="L463" s="941" t="s">
        <v>1329</v>
      </c>
      <c r="M463" s="941"/>
      <c r="N463" s="941" t="s">
        <v>1330</v>
      </c>
      <c r="O463" s="941" t="s">
        <v>1161</v>
      </c>
      <c r="P463" s="941" t="s">
        <v>1331</v>
      </c>
    </row>
    <row r="464" spans="1:16">
      <c r="A464" s="937"/>
      <c r="B464" s="937" cm="1">
        <f t="array" ref="B464">IF(P464="","",_xlfn.XLOOKUP(P464&amp;"",'Units Data'!$I$6:$I$10000&amp;"",'Units Data'!$C$6:$C$10000,"غير موجود",0))</f>
        <v>102</v>
      </c>
      <c r="C464" s="937" t="str" cm="1">
        <f t="array" ref="C464">IF(P464="","",_xlfn.XLOOKUP(P464&amp;"",'Units Data'!$I$6:$I$10000&amp;"",'Units Data'!$B$6:$B$10000,"غير موجود",0))</f>
        <v>F2</v>
      </c>
      <c r="D464" s="940">
        <v>27292950</v>
      </c>
      <c r="E464" s="941" t="s">
        <v>1076</v>
      </c>
      <c r="F464" s="941" t="s">
        <v>1077</v>
      </c>
      <c r="G464" s="941" t="s">
        <v>1078</v>
      </c>
      <c r="H464" s="941" t="s">
        <v>1083</v>
      </c>
      <c r="I464" s="941">
        <v>4000</v>
      </c>
      <c r="J464" s="944">
        <v>45803</v>
      </c>
      <c r="K464" s="944">
        <v>45800</v>
      </c>
      <c r="L464" s="941" t="s">
        <v>1034</v>
      </c>
      <c r="M464" s="941"/>
      <c r="N464" s="941" t="s">
        <v>1429</v>
      </c>
      <c r="O464" s="941" t="s">
        <v>1095</v>
      </c>
      <c r="P464" s="941" t="s">
        <v>1430</v>
      </c>
    </row>
    <row r="465" spans="1:16">
      <c r="A465" s="937"/>
      <c r="B465" s="937" t="str" cm="1">
        <f t="array" ref="B465">IF(P465="","",_xlfn.XLOOKUP(P465&amp;"",'Units Data'!$I$6:$I$10000&amp;"",'Units Data'!$C$6:$C$10000,"غير موجود",0))</f>
        <v>غير موجود</v>
      </c>
      <c r="C465" s="937" t="str" cm="1">
        <f t="array" ref="C465">IF(P465="","",_xlfn.XLOOKUP(P465&amp;"",'Units Data'!$I$6:$I$10000&amp;"",'Units Data'!$B$6:$B$10000,"غير موجود",0))</f>
        <v>غير موجود</v>
      </c>
      <c r="D465" s="940">
        <v>27274972</v>
      </c>
      <c r="E465" s="941" t="s">
        <v>1076</v>
      </c>
      <c r="F465" s="941" t="s">
        <v>1077</v>
      </c>
      <c r="G465" s="941" t="s">
        <v>1078</v>
      </c>
      <c r="H465" s="941" t="s">
        <v>1083</v>
      </c>
      <c r="I465" s="941">
        <v>1000</v>
      </c>
      <c r="J465" s="944">
        <v>45803</v>
      </c>
      <c r="K465" s="944">
        <v>45799</v>
      </c>
      <c r="L465" s="941" t="s">
        <v>1426</v>
      </c>
      <c r="M465" s="941"/>
      <c r="N465" s="941" t="s">
        <v>1427</v>
      </c>
      <c r="O465" s="941" t="s">
        <v>1122</v>
      </c>
      <c r="P465" s="941" t="s">
        <v>1428</v>
      </c>
    </row>
    <row r="466" spans="1:16">
      <c r="A466" s="937"/>
      <c r="B466" s="937" t="str" cm="1">
        <f t="array" ref="B466">IF(P466="","",_xlfn.XLOOKUP(P466&amp;"",'Units Data'!$I$6:$I$10000&amp;"",'Units Data'!$C$6:$C$10000,"غير موجود",0))</f>
        <v>غير موجود</v>
      </c>
      <c r="C466" s="937" t="str" cm="1">
        <f t="array" ref="C466">IF(P466="","",_xlfn.XLOOKUP(P466&amp;"",'Units Data'!$I$6:$I$10000&amp;"",'Units Data'!$B$6:$B$10000,"غير موجود",0))</f>
        <v>غير موجود</v>
      </c>
      <c r="D466" s="940">
        <v>27254204</v>
      </c>
      <c r="E466" s="941" t="s">
        <v>1076</v>
      </c>
      <c r="F466" s="941" t="s">
        <v>1077</v>
      </c>
      <c r="G466" s="941" t="s">
        <v>1078</v>
      </c>
      <c r="H466" s="941" t="s">
        <v>1083</v>
      </c>
      <c r="I466" s="941">
        <v>524</v>
      </c>
      <c r="J466" s="944">
        <v>45801</v>
      </c>
      <c r="K466" s="944">
        <v>45798</v>
      </c>
      <c r="L466" s="941" t="s">
        <v>1317</v>
      </c>
      <c r="M466" s="941"/>
      <c r="N466" s="941" t="s">
        <v>1320</v>
      </c>
      <c r="O466" s="941" t="s">
        <v>1122</v>
      </c>
      <c r="P466" s="941" t="s">
        <v>1319</v>
      </c>
    </row>
    <row r="467" spans="1:16">
      <c r="A467" s="937"/>
      <c r="B467" s="937" t="str" cm="1">
        <f t="array" ref="B467">IF(P467="","",_xlfn.XLOOKUP(P467&amp;"",'Units Data'!$I$6:$I$10000&amp;"",'Units Data'!$C$6:$C$10000,"غير موجود",0))</f>
        <v>غير موجود</v>
      </c>
      <c r="C467" s="937" t="str" cm="1">
        <f t="array" ref="C467">IF(P467="","",_xlfn.XLOOKUP(P467&amp;"",'Units Data'!$I$6:$I$10000&amp;"",'Units Data'!$B$6:$B$10000,"غير موجود",0))</f>
        <v>غير موجود</v>
      </c>
      <c r="D467" s="940">
        <v>27247526</v>
      </c>
      <c r="E467" s="941" t="s">
        <v>1076</v>
      </c>
      <c r="F467" s="941" t="s">
        <v>1077</v>
      </c>
      <c r="G467" s="941" t="s">
        <v>1078</v>
      </c>
      <c r="H467" s="941" t="s">
        <v>1083</v>
      </c>
      <c r="I467" s="941">
        <v>5000</v>
      </c>
      <c r="J467" s="944">
        <v>45801</v>
      </c>
      <c r="K467" s="944">
        <v>45798</v>
      </c>
      <c r="L467" s="941" t="s">
        <v>1407</v>
      </c>
      <c r="M467" s="941"/>
      <c r="N467" s="941" t="s">
        <v>1416</v>
      </c>
      <c r="O467" s="941" t="s">
        <v>1122</v>
      </c>
      <c r="P467" s="941" t="s">
        <v>1417</v>
      </c>
    </row>
    <row r="468" spans="1:16">
      <c r="A468" s="937"/>
      <c r="B468" s="937" t="str" cm="1">
        <f t="array" ref="B468">IF(P468="","",_xlfn.XLOOKUP(P468&amp;"",'Units Data'!$I$6:$I$10000&amp;"",'Units Data'!$C$6:$C$10000,"غير موجود",0))</f>
        <v>غير موجود</v>
      </c>
      <c r="C468" s="937" t="str" cm="1">
        <f t="array" ref="C468">IF(P468="","",_xlfn.XLOOKUP(P468&amp;"",'Units Data'!$I$6:$I$10000&amp;"",'Units Data'!$B$6:$B$10000,"غير موجود",0))</f>
        <v>غير موجود</v>
      </c>
      <c r="D468" s="940">
        <v>27230064</v>
      </c>
      <c r="E468" s="941" t="s">
        <v>1076</v>
      </c>
      <c r="F468" s="941" t="s">
        <v>1077</v>
      </c>
      <c r="G468" s="941" t="s">
        <v>1078</v>
      </c>
      <c r="H468" s="941" t="s">
        <v>1083</v>
      </c>
      <c r="I468" s="941">
        <v>1000</v>
      </c>
      <c r="J468" s="944">
        <v>45799</v>
      </c>
      <c r="K468" s="944">
        <v>45797</v>
      </c>
      <c r="L468" s="941" t="s">
        <v>1304</v>
      </c>
      <c r="M468" s="941"/>
      <c r="N468" s="941" t="s">
        <v>1351</v>
      </c>
      <c r="O468" s="941" t="s">
        <v>1122</v>
      </c>
      <c r="P468" s="941" t="s">
        <v>1306</v>
      </c>
    </row>
    <row r="469" spans="1:16">
      <c r="A469" s="937"/>
      <c r="B469" s="937" t="str" cm="1">
        <f t="array" ref="B469">IF(P469="","",_xlfn.XLOOKUP(P469&amp;"",'Units Data'!$I$6:$I$10000&amp;"",'Units Data'!$C$6:$C$10000,"غير موجود",0))</f>
        <v>غير موجود</v>
      </c>
      <c r="C469" s="937" t="str" cm="1">
        <f t="array" ref="C469">IF(P469="","",_xlfn.XLOOKUP(P469&amp;"",'Units Data'!$I$6:$I$10000&amp;"",'Units Data'!$B$6:$B$10000,"غير موجود",0))</f>
        <v>غير موجود</v>
      </c>
      <c r="D469" s="940">
        <v>27172863</v>
      </c>
      <c r="E469" s="941" t="s">
        <v>1076</v>
      </c>
      <c r="F469" s="941" t="s">
        <v>1077</v>
      </c>
      <c r="G469" s="941" t="s">
        <v>1078</v>
      </c>
      <c r="H469" s="941" t="s">
        <v>1079</v>
      </c>
      <c r="I469" s="941">
        <v>1000</v>
      </c>
      <c r="J469" s="944">
        <v>45796</v>
      </c>
      <c r="K469" s="944">
        <v>45795</v>
      </c>
      <c r="L469" s="941" t="s">
        <v>1338</v>
      </c>
      <c r="M469" s="941"/>
      <c r="N469" s="941" t="s">
        <v>1339</v>
      </c>
      <c r="O469" s="941" t="s">
        <v>1122</v>
      </c>
      <c r="P469" s="941" t="s">
        <v>1340</v>
      </c>
    </row>
    <row r="470" spans="1:16">
      <c r="A470" s="937"/>
      <c r="B470" s="937" t="str" cm="1">
        <f t="array" ref="B470">IF(P470="","",_xlfn.XLOOKUP(P470&amp;"",'Units Data'!$I$6:$I$10000&amp;"",'Units Data'!$C$6:$C$10000,"غير موجود",0))</f>
        <v>غير موجود</v>
      </c>
      <c r="C470" s="937" t="str" cm="1">
        <f t="array" ref="C470">IF(P470="","",_xlfn.XLOOKUP(P470&amp;"",'Units Data'!$I$6:$I$10000&amp;"",'Units Data'!$B$6:$B$10000,"غير موجود",0))</f>
        <v>غير موجود</v>
      </c>
      <c r="D470" s="940">
        <v>27171031</v>
      </c>
      <c r="E470" s="941" t="s">
        <v>1076</v>
      </c>
      <c r="F470" s="941" t="s">
        <v>1077</v>
      </c>
      <c r="G470" s="941" t="s">
        <v>1078</v>
      </c>
      <c r="H470" s="941" t="s">
        <v>1083</v>
      </c>
      <c r="I470" s="941">
        <v>1000</v>
      </c>
      <c r="J470" s="944">
        <v>45797</v>
      </c>
      <c r="K470" s="944">
        <v>45795</v>
      </c>
      <c r="L470" s="941" t="s">
        <v>1227</v>
      </c>
      <c r="M470" s="941"/>
      <c r="N470" s="941" t="s">
        <v>1363</v>
      </c>
      <c r="O470" s="941" t="s">
        <v>1122</v>
      </c>
      <c r="P470" s="941" t="s">
        <v>1229</v>
      </c>
    </row>
    <row r="471" spans="1:16">
      <c r="A471" s="937"/>
      <c r="B471" s="937" t="str" cm="1">
        <f t="array" ref="B471">IF(P471="","",_xlfn.XLOOKUP(P471&amp;"",'Units Data'!$I$6:$I$10000&amp;"",'Units Data'!$C$6:$C$10000,"غير موجود",0))</f>
        <v>غير موجود</v>
      </c>
      <c r="C471" s="937" t="str" cm="1">
        <f t="array" ref="C471">IF(P471="","",_xlfn.XLOOKUP(P471&amp;"",'Units Data'!$I$6:$I$10000&amp;"",'Units Data'!$B$6:$B$10000,"غير موجود",0))</f>
        <v>غير موجود</v>
      </c>
      <c r="D471" s="940">
        <v>27171028</v>
      </c>
      <c r="E471" s="941" t="s">
        <v>1076</v>
      </c>
      <c r="F471" s="941" t="s">
        <v>1077</v>
      </c>
      <c r="G471" s="941" t="s">
        <v>1078</v>
      </c>
      <c r="H471" s="941" t="s">
        <v>1083</v>
      </c>
      <c r="I471" s="941">
        <v>1000</v>
      </c>
      <c r="J471" s="944">
        <v>45797</v>
      </c>
      <c r="K471" s="944">
        <v>45795</v>
      </c>
      <c r="L471" s="941" t="s">
        <v>1431</v>
      </c>
      <c r="M471" s="941"/>
      <c r="N471" s="941" t="s">
        <v>1432</v>
      </c>
      <c r="O471" s="941" t="s">
        <v>1122</v>
      </c>
      <c r="P471" s="941" t="s">
        <v>1433</v>
      </c>
    </row>
    <row r="472" spans="1:16">
      <c r="A472" s="937"/>
      <c r="B472" s="937" t="str" cm="1">
        <f t="array" ref="B472">IF(P472="","",_xlfn.XLOOKUP(P472&amp;"",'Units Data'!$I$6:$I$10000&amp;"",'Units Data'!$C$6:$C$10000,"غير موجود",0))</f>
        <v>غير موجود</v>
      </c>
      <c r="C472" s="937" t="str" cm="1">
        <f t="array" ref="C472">IF(P472="","",_xlfn.XLOOKUP(P472&amp;"",'Units Data'!$I$6:$I$10000&amp;"",'Units Data'!$B$6:$B$10000,"غير موجود",0))</f>
        <v>غير موجود</v>
      </c>
      <c r="D472" s="940">
        <v>27166692</v>
      </c>
      <c r="E472" s="941" t="s">
        <v>1076</v>
      </c>
      <c r="F472" s="941" t="s">
        <v>1077</v>
      </c>
      <c r="G472" s="941" t="s">
        <v>1078</v>
      </c>
      <c r="H472" s="941" t="s">
        <v>1079</v>
      </c>
      <c r="I472" s="941">
        <v>24750</v>
      </c>
      <c r="J472" s="944">
        <v>45795</v>
      </c>
      <c r="K472" s="944">
        <v>45794</v>
      </c>
      <c r="L472" s="941" t="s">
        <v>1368</v>
      </c>
      <c r="M472" s="941"/>
      <c r="N472" s="941" t="s">
        <v>1369</v>
      </c>
      <c r="O472" s="941" t="s">
        <v>1111</v>
      </c>
      <c r="P472" s="941" t="s">
        <v>1370</v>
      </c>
    </row>
    <row r="473" spans="1:16">
      <c r="A473" s="937"/>
      <c r="B473" s="937" cm="1">
        <f t="array" ref="B473">IF(P473="","",_xlfn.XLOOKUP(P473&amp;"",'Units Data'!$I$6:$I$10000&amp;"",'Units Data'!$C$6:$C$10000,"غير موجود",0))</f>
        <v>102</v>
      </c>
      <c r="C473" s="937" t="str" cm="1">
        <f t="array" ref="C473">IF(P473="","",_xlfn.XLOOKUP(P473&amp;"",'Units Data'!$I$6:$I$10000&amp;"",'Units Data'!$B$6:$B$10000,"غير موجود",0))</f>
        <v>F1</v>
      </c>
      <c r="D473" s="940">
        <v>27031173</v>
      </c>
      <c r="E473" s="941" t="s">
        <v>1076</v>
      </c>
      <c r="F473" s="941" t="s">
        <v>1077</v>
      </c>
      <c r="G473" s="941" t="s">
        <v>1078</v>
      </c>
      <c r="H473" s="941" t="s">
        <v>1079</v>
      </c>
      <c r="I473" s="941">
        <v>3500</v>
      </c>
      <c r="J473" s="944">
        <v>45790</v>
      </c>
      <c r="K473" s="944">
        <v>45789</v>
      </c>
      <c r="L473" s="941" t="s">
        <v>81</v>
      </c>
      <c r="M473" s="941"/>
      <c r="N473" s="941" t="s">
        <v>1310</v>
      </c>
      <c r="O473" s="941" t="s">
        <v>1095</v>
      </c>
      <c r="P473" s="941" t="s">
        <v>1096</v>
      </c>
    </row>
    <row r="474" spans="1:16">
      <c r="A474" s="937"/>
      <c r="B474" s="937" cm="1">
        <f t="array" ref="B474">IF(P474="","",_xlfn.XLOOKUP(P474&amp;"",'Units Data'!$I$6:$I$10000&amp;"",'Units Data'!$C$6:$C$10000,"غير موجود",0))</f>
        <v>102</v>
      </c>
      <c r="C474" s="937" t="str" cm="1">
        <f t="array" ref="C474">IF(P474="","",_xlfn.XLOOKUP(P474&amp;"",'Units Data'!$I$6:$I$10000&amp;"",'Units Data'!$B$6:$B$10000,"غير موجود",0))</f>
        <v>S2</v>
      </c>
      <c r="D474" s="940">
        <v>26997446</v>
      </c>
      <c r="E474" s="941" t="s">
        <v>1076</v>
      </c>
      <c r="F474" s="941" t="s">
        <v>1077</v>
      </c>
      <c r="G474" s="941" t="s">
        <v>1078</v>
      </c>
      <c r="H474" s="941" t="s">
        <v>1083</v>
      </c>
      <c r="I474" s="941">
        <v>660</v>
      </c>
      <c r="J474" s="944">
        <v>45790</v>
      </c>
      <c r="K474" s="944">
        <v>45788</v>
      </c>
      <c r="L474" s="941" t="s">
        <v>1400</v>
      </c>
      <c r="M474" s="941"/>
      <c r="N474" s="941" t="s">
        <v>1401</v>
      </c>
      <c r="O474" s="941" t="s">
        <v>1095</v>
      </c>
      <c r="P474" s="941" t="s">
        <v>1402</v>
      </c>
    </row>
    <row r="475" spans="1:16">
      <c r="A475" s="937"/>
      <c r="B475" s="937" t="str" cm="1">
        <f t="array" ref="B475">IF(P475="","",_xlfn.XLOOKUP(P475&amp;"",'Units Data'!$I$6:$I$10000&amp;"",'Units Data'!$C$6:$C$10000,"غير موجود",0))</f>
        <v>غير موجود</v>
      </c>
      <c r="C475" s="937" t="str" cm="1">
        <f t="array" ref="C475">IF(P475="","",_xlfn.XLOOKUP(P475&amp;"",'Units Data'!$I$6:$I$10000&amp;"",'Units Data'!$B$6:$B$10000,"غير موجود",0))</f>
        <v>غير موجود</v>
      </c>
      <c r="D475" s="940">
        <v>26961275</v>
      </c>
      <c r="E475" s="941" t="s">
        <v>1076</v>
      </c>
      <c r="F475" s="941" t="s">
        <v>1077</v>
      </c>
      <c r="G475" s="941" t="s">
        <v>1078</v>
      </c>
      <c r="H475" s="941" t="s">
        <v>1079</v>
      </c>
      <c r="I475" s="941">
        <v>1000</v>
      </c>
      <c r="J475" s="944">
        <v>45788</v>
      </c>
      <c r="K475" s="944">
        <v>45786</v>
      </c>
      <c r="L475" s="941" t="s">
        <v>1120</v>
      </c>
      <c r="M475" s="941"/>
      <c r="N475" s="941" t="s">
        <v>1364</v>
      </c>
      <c r="O475" s="941" t="s">
        <v>1122</v>
      </c>
      <c r="P475" s="941" t="s">
        <v>1123</v>
      </c>
    </row>
    <row r="476" spans="1:16">
      <c r="A476" s="937"/>
      <c r="B476" s="937" t="str" cm="1">
        <f t="array" ref="B476">IF(P476="","",_xlfn.XLOOKUP(P476&amp;"",'Units Data'!$I$6:$I$10000&amp;"",'Units Data'!$C$6:$C$10000,"غير موجود",0))</f>
        <v>غير موجود</v>
      </c>
      <c r="C476" s="937" t="str" cm="1">
        <f t="array" ref="C476">IF(P476="","",_xlfn.XLOOKUP(P476&amp;"",'Units Data'!$I$6:$I$10000&amp;"",'Units Data'!$B$6:$B$10000,"غير موجود",0))</f>
        <v>غير موجود</v>
      </c>
      <c r="D476" s="940">
        <v>26939664</v>
      </c>
      <c r="E476" s="941" t="s">
        <v>1076</v>
      </c>
      <c r="F476" s="941" t="s">
        <v>1077</v>
      </c>
      <c r="G476" s="941" t="s">
        <v>1078</v>
      </c>
      <c r="H476" s="941" t="s">
        <v>1079</v>
      </c>
      <c r="I476" s="941">
        <v>1000</v>
      </c>
      <c r="J476" s="944">
        <v>45786</v>
      </c>
      <c r="K476" s="944">
        <v>45785</v>
      </c>
      <c r="L476" s="941" t="s">
        <v>1196</v>
      </c>
      <c r="M476" s="941"/>
      <c r="N476" s="941" t="s">
        <v>1336</v>
      </c>
      <c r="O476" s="941" t="s">
        <v>1122</v>
      </c>
      <c r="P476" s="941" t="s">
        <v>1337</v>
      </c>
    </row>
    <row r="477" spans="1:16">
      <c r="A477" s="937"/>
      <c r="B477" s="937" cm="1">
        <f t="array" ref="B477">IF(P477="","",_xlfn.XLOOKUP(P477&amp;"",'Units Data'!$I$6:$I$10000&amp;"",'Units Data'!$C$6:$C$10000,"غير موجود",0))</f>
        <v>102</v>
      </c>
      <c r="C477" s="937" t="str" cm="1">
        <f t="array" ref="C477">IF(P477="","",_xlfn.XLOOKUP(P477&amp;"",'Units Data'!$I$6:$I$10000&amp;"",'Units Data'!$B$6:$B$10000,"غير موجود",0))</f>
        <v>F4</v>
      </c>
      <c r="D477" s="940">
        <v>26939098</v>
      </c>
      <c r="E477" s="941" t="s">
        <v>1076</v>
      </c>
      <c r="F477" s="941" t="s">
        <v>1077</v>
      </c>
      <c r="G477" s="941" t="s">
        <v>1078</v>
      </c>
      <c r="H477" s="941" t="s">
        <v>1079</v>
      </c>
      <c r="I477" s="941">
        <v>3500</v>
      </c>
      <c r="J477" s="944">
        <v>45787</v>
      </c>
      <c r="K477" s="944">
        <v>45785</v>
      </c>
      <c r="L477" s="941" t="s">
        <v>1296</v>
      </c>
      <c r="M477" s="941"/>
      <c r="N477" s="941" t="s">
        <v>1297</v>
      </c>
      <c r="O477" s="941" t="s">
        <v>1095</v>
      </c>
      <c r="P477" s="941" t="s">
        <v>1298</v>
      </c>
    </row>
    <row r="478" spans="1:16">
      <c r="A478" s="937"/>
      <c r="B478" s="937" t="str" cm="1">
        <f t="array" ref="B478">IF(P478="","",_xlfn.XLOOKUP(P478&amp;"",'Units Data'!$I$6:$I$10000&amp;"",'Units Data'!$C$6:$C$10000,"غير موجود",0))</f>
        <v>غير موجود</v>
      </c>
      <c r="C478" s="937" t="str" cm="1">
        <f t="array" ref="C478">IF(P478="","",_xlfn.XLOOKUP(P478&amp;"",'Units Data'!$I$6:$I$10000&amp;"",'Units Data'!$B$6:$B$10000,"غير موجود",0))</f>
        <v>غير موجود</v>
      </c>
      <c r="D478" s="940">
        <v>26914266</v>
      </c>
      <c r="E478" s="941" t="s">
        <v>1076</v>
      </c>
      <c r="F478" s="941" t="s">
        <v>1077</v>
      </c>
      <c r="G478" s="941" t="s">
        <v>1078</v>
      </c>
      <c r="H478" s="941" t="s">
        <v>1083</v>
      </c>
      <c r="I478" s="941">
        <v>1000</v>
      </c>
      <c r="J478" s="944">
        <v>45786</v>
      </c>
      <c r="K478" s="944">
        <v>45784</v>
      </c>
      <c r="L478" s="941" t="s">
        <v>1304</v>
      </c>
      <c r="M478" s="941"/>
      <c r="N478" s="941" t="s">
        <v>1351</v>
      </c>
      <c r="O478" s="941" t="s">
        <v>1122</v>
      </c>
      <c r="P478" s="941" t="s">
        <v>1306</v>
      </c>
    </row>
    <row r="479" spans="1:16">
      <c r="A479" s="937"/>
      <c r="B479" s="937" t="str" cm="1">
        <f t="array" ref="B479">IF(P479="","",_xlfn.XLOOKUP(P479&amp;"",'Units Data'!$I$6:$I$10000&amp;"",'Units Data'!$C$6:$C$10000,"غير موجود",0))</f>
        <v>غير موجود</v>
      </c>
      <c r="C479" s="937" t="str" cm="1">
        <f t="array" ref="C479">IF(P479="","",_xlfn.XLOOKUP(P479&amp;"",'Units Data'!$I$6:$I$10000&amp;"",'Units Data'!$B$6:$B$10000,"غير موجود",0))</f>
        <v>غير موجود</v>
      </c>
      <c r="D479" s="940">
        <v>26914102</v>
      </c>
      <c r="E479" s="941" t="s">
        <v>1076</v>
      </c>
      <c r="F479" s="941" t="s">
        <v>1077</v>
      </c>
      <c r="G479" s="941" t="s">
        <v>1078</v>
      </c>
      <c r="H479" s="941" t="s">
        <v>1083</v>
      </c>
      <c r="I479" s="941">
        <v>500</v>
      </c>
      <c r="J479" s="944">
        <v>45786</v>
      </c>
      <c r="K479" s="944">
        <v>45784</v>
      </c>
      <c r="L479" s="941" t="s">
        <v>1426</v>
      </c>
      <c r="M479" s="941"/>
      <c r="N479" s="941" t="s">
        <v>1427</v>
      </c>
      <c r="O479" s="941" t="s">
        <v>1122</v>
      </c>
      <c r="P479" s="941" t="s">
        <v>1428</v>
      </c>
    </row>
    <row r="480" spans="1:16">
      <c r="A480" s="937"/>
      <c r="B480" s="937" t="str" cm="1">
        <f t="array" ref="B480">IF(P480="","",_xlfn.XLOOKUP(P480&amp;"",'Units Data'!$I$6:$I$10000&amp;"",'Units Data'!$C$6:$C$10000,"غير موجود",0))</f>
        <v>غير موجود</v>
      </c>
      <c r="C480" s="937" t="str" cm="1">
        <f t="array" ref="C480">IF(P480="","",_xlfn.XLOOKUP(P480&amp;"",'Units Data'!$I$6:$I$10000&amp;"",'Units Data'!$B$6:$B$10000,"غير موجود",0))</f>
        <v>غير موجود</v>
      </c>
      <c r="D480" s="940">
        <v>26899311</v>
      </c>
      <c r="E480" s="941" t="s">
        <v>1076</v>
      </c>
      <c r="F480" s="941" t="s">
        <v>1077</v>
      </c>
      <c r="G480" s="941" t="s">
        <v>1078</v>
      </c>
      <c r="H480" s="941" t="s">
        <v>1079</v>
      </c>
      <c r="I480" s="941">
        <v>2000</v>
      </c>
      <c r="J480" s="944">
        <v>45786</v>
      </c>
      <c r="K480" s="944">
        <v>45784</v>
      </c>
      <c r="L480" s="941" t="s">
        <v>1423</v>
      </c>
      <c r="M480" s="941"/>
      <c r="N480" s="941" t="s">
        <v>1424</v>
      </c>
      <c r="O480" s="941" t="s">
        <v>1122</v>
      </c>
      <c r="P480" s="941" t="s">
        <v>1425</v>
      </c>
    </row>
    <row r="481" spans="1:16">
      <c r="A481" s="937"/>
      <c r="B481" s="937" cm="1">
        <f t="array" ref="B481">IF(P481="","",_xlfn.XLOOKUP(P481&amp;"",'Units Data'!$I$6:$I$10000&amp;"",'Units Data'!$C$6:$C$10000,"غير موجود",0))</f>
        <v>102</v>
      </c>
      <c r="C481" s="937" t="str" cm="1">
        <f t="array" ref="C481">IF(P481="","",_xlfn.XLOOKUP(P481&amp;"",'Units Data'!$I$6:$I$10000&amp;"",'Units Data'!$B$6:$B$10000,"غير موجود",0))</f>
        <v>S2</v>
      </c>
      <c r="D481" s="940">
        <v>26822450</v>
      </c>
      <c r="E481" s="941" t="s">
        <v>1076</v>
      </c>
      <c r="F481" s="941" t="s">
        <v>1077</v>
      </c>
      <c r="G481" s="941" t="s">
        <v>1078</v>
      </c>
      <c r="H481" s="941" t="s">
        <v>1083</v>
      </c>
      <c r="I481" s="941">
        <v>1100</v>
      </c>
      <c r="J481" s="944">
        <v>45784</v>
      </c>
      <c r="K481" s="944">
        <v>45782</v>
      </c>
      <c r="L481" s="941" t="s">
        <v>1400</v>
      </c>
      <c r="M481" s="941"/>
      <c r="N481" s="941" t="s">
        <v>1401</v>
      </c>
      <c r="O481" s="941" t="s">
        <v>1095</v>
      </c>
      <c r="P481" s="941" t="s">
        <v>1402</v>
      </c>
    </row>
    <row r="482" spans="1:16">
      <c r="A482" s="937"/>
      <c r="B482" s="937" cm="1">
        <f t="array" ref="B482">IF(P482="","",_xlfn.XLOOKUP(P482&amp;"",'Units Data'!$I$6:$I$10000&amp;"",'Units Data'!$C$6:$C$10000,"غير موجود",0))</f>
        <v>102</v>
      </c>
      <c r="C482" s="937" t="str" cm="1">
        <f t="array" ref="C482">IF(P482="","",_xlfn.XLOOKUP(P482&amp;"",'Units Data'!$I$6:$I$10000&amp;"",'Units Data'!$B$6:$B$10000,"غير موجود",0))</f>
        <v>S2</v>
      </c>
      <c r="D482" s="940">
        <v>26776069</v>
      </c>
      <c r="E482" s="941" t="s">
        <v>1076</v>
      </c>
      <c r="F482" s="941" t="s">
        <v>1077</v>
      </c>
      <c r="G482" s="941" t="s">
        <v>1078</v>
      </c>
      <c r="H482" s="941" t="s">
        <v>1083</v>
      </c>
      <c r="I482" s="941">
        <v>440</v>
      </c>
      <c r="J482" s="944">
        <v>45783</v>
      </c>
      <c r="K482" s="944">
        <v>45781</v>
      </c>
      <c r="L482" s="941" t="s">
        <v>1400</v>
      </c>
      <c r="M482" s="941"/>
      <c r="N482" s="941" t="s">
        <v>1401</v>
      </c>
      <c r="O482" s="941" t="s">
        <v>1095</v>
      </c>
      <c r="P482" s="941" t="s">
        <v>1402</v>
      </c>
    </row>
    <row r="483" spans="1:16">
      <c r="A483" s="937"/>
      <c r="B483" s="937" t="str" cm="1">
        <f t="array" ref="B483">IF(P483="","",_xlfn.XLOOKUP(P483&amp;"",'Units Data'!$I$6:$I$10000&amp;"",'Units Data'!$C$6:$C$10000,"غير موجود",0))</f>
        <v>غير موجود</v>
      </c>
      <c r="C483" s="937" t="str" cm="1">
        <f t="array" ref="C483">IF(P483="","",_xlfn.XLOOKUP(P483&amp;"",'Units Data'!$I$6:$I$10000&amp;"",'Units Data'!$B$6:$B$10000,"غير موجود",0))</f>
        <v>غير موجود</v>
      </c>
      <c r="D483" s="940">
        <v>26750203</v>
      </c>
      <c r="E483" s="941" t="s">
        <v>1076</v>
      </c>
      <c r="F483" s="941" t="s">
        <v>1077</v>
      </c>
      <c r="G483" s="941" t="s">
        <v>1078</v>
      </c>
      <c r="H483" s="941" t="s">
        <v>1083</v>
      </c>
      <c r="I483" s="941">
        <v>1000</v>
      </c>
      <c r="J483" s="944">
        <v>45782</v>
      </c>
      <c r="K483" s="944">
        <v>45780</v>
      </c>
      <c r="L483" s="941" t="s">
        <v>1397</v>
      </c>
      <c r="M483" s="941"/>
      <c r="N483" s="941" t="s">
        <v>1398</v>
      </c>
      <c r="O483" s="941" t="s">
        <v>1122</v>
      </c>
      <c r="P483" s="941" t="s">
        <v>1399</v>
      </c>
    </row>
    <row r="484" spans="1:16">
      <c r="A484" s="937"/>
      <c r="B484" s="937" cm="1">
        <f t="array" ref="B484">IF(P484="","",_xlfn.XLOOKUP(P484&amp;"",'Units Data'!$I$6:$I$10000&amp;"",'Units Data'!$C$6:$C$10000,"غير موجود",0))</f>
        <v>102</v>
      </c>
      <c r="C484" s="937" t="str" cm="1">
        <f t="array" ref="C484">IF(P484="","",_xlfn.XLOOKUP(P484&amp;"",'Units Data'!$I$6:$I$10000&amp;"",'Units Data'!$B$6:$B$10000,"غير موجود",0))</f>
        <v>S2</v>
      </c>
      <c r="D484" s="940">
        <v>26697109</v>
      </c>
      <c r="E484" s="941" t="s">
        <v>1076</v>
      </c>
      <c r="F484" s="941" t="s">
        <v>1077</v>
      </c>
      <c r="G484" s="941" t="s">
        <v>1078</v>
      </c>
      <c r="H484" s="941" t="s">
        <v>1083</v>
      </c>
      <c r="I484" s="941">
        <v>1800</v>
      </c>
      <c r="J484" s="944">
        <v>45783</v>
      </c>
      <c r="K484" s="944">
        <v>45778</v>
      </c>
      <c r="L484" s="941" t="s">
        <v>1400</v>
      </c>
      <c r="M484" s="941"/>
      <c r="N484" s="941" t="s">
        <v>1401</v>
      </c>
      <c r="O484" s="941" t="s">
        <v>1095</v>
      </c>
      <c r="P484" s="941" t="s">
        <v>1402</v>
      </c>
    </row>
    <row r="485" spans="1:16">
      <c r="A485" s="937"/>
      <c r="B485" s="937" t="str" cm="1">
        <f t="array" ref="B485">IF(P485="","",_xlfn.XLOOKUP(P485&amp;"",'Units Data'!$I$6:$I$10000&amp;"",'Units Data'!$C$6:$C$10000,"غير موجود",0))</f>
        <v>غير موجود</v>
      </c>
      <c r="C485" s="937" t="str" cm="1">
        <f t="array" ref="C485">IF(P485="","",_xlfn.XLOOKUP(P485&amp;"",'Units Data'!$I$6:$I$10000&amp;"",'Units Data'!$B$6:$B$10000,"غير موجود",0))</f>
        <v>غير موجود</v>
      </c>
      <c r="D485" s="940">
        <v>26459236</v>
      </c>
      <c r="E485" s="941" t="s">
        <v>1076</v>
      </c>
      <c r="F485" s="941" t="s">
        <v>1077</v>
      </c>
      <c r="G485" s="941" t="s">
        <v>1078</v>
      </c>
      <c r="H485" s="941" t="s">
        <v>1083</v>
      </c>
      <c r="I485" s="941">
        <v>1000</v>
      </c>
      <c r="J485" s="944">
        <v>45776</v>
      </c>
      <c r="K485" s="944">
        <v>45774</v>
      </c>
      <c r="L485" s="941" t="s">
        <v>1317</v>
      </c>
      <c r="M485" s="941"/>
      <c r="N485" s="941" t="s">
        <v>1320</v>
      </c>
      <c r="O485" s="941" t="s">
        <v>1122</v>
      </c>
      <c r="P485" s="941" t="s">
        <v>1319</v>
      </c>
    </row>
    <row r="486" spans="1:16">
      <c r="A486" s="937"/>
      <c r="B486" s="937" t="str" cm="1">
        <f t="array" ref="B486">IF(P486="","",_xlfn.XLOOKUP(P486&amp;"",'Units Data'!$I$6:$I$10000&amp;"",'Units Data'!$C$6:$C$10000,"غير موجود",0))</f>
        <v>غير موجود</v>
      </c>
      <c r="C486" s="937" t="str" cm="1">
        <f t="array" ref="C486">IF(P486="","",_xlfn.XLOOKUP(P486&amp;"",'Units Data'!$I$6:$I$10000&amp;"",'Units Data'!$B$6:$B$10000,"غير موجود",0))</f>
        <v>غير موجود</v>
      </c>
      <c r="D486" s="940">
        <v>26448953</v>
      </c>
      <c r="E486" s="941" t="s">
        <v>1076</v>
      </c>
      <c r="F486" s="941" t="s">
        <v>1077</v>
      </c>
      <c r="G486" s="941" t="s">
        <v>1078</v>
      </c>
      <c r="H486" s="941" t="s">
        <v>1079</v>
      </c>
      <c r="I486" s="941">
        <v>3000</v>
      </c>
      <c r="J486" s="944">
        <v>45775</v>
      </c>
      <c r="K486" s="944">
        <v>45774</v>
      </c>
      <c r="L486" s="941" t="s">
        <v>1329</v>
      </c>
      <c r="M486" s="941"/>
      <c r="N486" s="941" t="s">
        <v>1330</v>
      </c>
      <c r="O486" s="941" t="s">
        <v>1161</v>
      </c>
      <c r="P486" s="941" t="s">
        <v>1331</v>
      </c>
    </row>
    <row r="487" spans="1:16">
      <c r="A487" s="937"/>
      <c r="B487" s="937" t="str" cm="1">
        <f t="array" ref="B487">IF(P487="","",_xlfn.XLOOKUP(P487&amp;"",'Units Data'!$I$6:$I$10000&amp;"",'Units Data'!$C$6:$C$10000,"غير موجود",0))</f>
        <v>غير موجود</v>
      </c>
      <c r="C487" s="937" t="str" cm="1">
        <f t="array" ref="C487">IF(P487="","",_xlfn.XLOOKUP(P487&amp;"",'Units Data'!$I$6:$I$10000&amp;"",'Units Data'!$B$6:$B$10000,"غير موجود",0))</f>
        <v>غير موجود</v>
      </c>
      <c r="D487" s="940">
        <v>26448734</v>
      </c>
      <c r="E487" s="941" t="s">
        <v>1076</v>
      </c>
      <c r="F487" s="941" t="s">
        <v>1077</v>
      </c>
      <c r="G487" s="941" t="s">
        <v>1078</v>
      </c>
      <c r="H487" s="941" t="s">
        <v>1079</v>
      </c>
      <c r="I487" s="941">
        <v>3000</v>
      </c>
      <c r="J487" s="944">
        <v>45775</v>
      </c>
      <c r="K487" s="944">
        <v>45774</v>
      </c>
      <c r="L487" s="941" t="s">
        <v>1380</v>
      </c>
      <c r="M487" s="941"/>
      <c r="N487" s="941" t="s">
        <v>1381</v>
      </c>
      <c r="O487" s="941" t="s">
        <v>1161</v>
      </c>
      <c r="P487" s="941" t="s">
        <v>1382</v>
      </c>
    </row>
    <row r="488" spans="1:16">
      <c r="A488" s="937"/>
      <c r="B488" s="937" t="str" cm="1">
        <f t="array" ref="B488">IF(P488="","",_xlfn.XLOOKUP(P488&amp;"",'Units Data'!$I$6:$I$10000&amp;"",'Units Data'!$C$6:$C$10000,"غير موجود",0))</f>
        <v>غير موجود</v>
      </c>
      <c r="C488" s="937" t="str" cm="1">
        <f t="array" ref="C488">IF(P488="","",_xlfn.XLOOKUP(P488&amp;"",'Units Data'!$I$6:$I$10000&amp;"",'Units Data'!$B$6:$B$10000,"غير موجود",0))</f>
        <v>غير موجود</v>
      </c>
      <c r="D488" s="940">
        <v>26312848</v>
      </c>
      <c r="E488" s="941" t="s">
        <v>1076</v>
      </c>
      <c r="F488" s="941" t="s">
        <v>1077</v>
      </c>
      <c r="G488" s="941" t="s">
        <v>1078</v>
      </c>
      <c r="H488" s="941" t="s">
        <v>1083</v>
      </c>
      <c r="I488" s="941">
        <v>1000</v>
      </c>
      <c r="J488" s="944">
        <v>45771</v>
      </c>
      <c r="K488" s="944">
        <v>45769</v>
      </c>
      <c r="L488" s="941" t="s">
        <v>1153</v>
      </c>
      <c r="M488" s="941"/>
      <c r="N488" s="941" t="s">
        <v>1355</v>
      </c>
      <c r="O488" s="941" t="s">
        <v>1122</v>
      </c>
      <c r="P488" s="941" t="s">
        <v>1155</v>
      </c>
    </row>
    <row r="489" spans="1:16">
      <c r="A489" s="937"/>
      <c r="B489" s="937" t="str" cm="1">
        <f t="array" ref="B489">IF(P489="","",_xlfn.XLOOKUP(P489&amp;"",'Units Data'!$I$6:$I$10000&amp;"",'Units Data'!$C$6:$C$10000,"غير موجود",0))</f>
        <v>غير موجود</v>
      </c>
      <c r="C489" s="937" t="str" cm="1">
        <f t="array" ref="C489">IF(P489="","",_xlfn.XLOOKUP(P489&amp;"",'Units Data'!$I$6:$I$10000&amp;"",'Units Data'!$B$6:$B$10000,"غير موجود",0))</f>
        <v>غير موجود</v>
      </c>
      <c r="D489" s="940">
        <v>26184447</v>
      </c>
      <c r="E489" s="941" t="s">
        <v>1076</v>
      </c>
      <c r="F489" s="941" t="s">
        <v>1077</v>
      </c>
      <c r="G489" s="941" t="s">
        <v>1078</v>
      </c>
      <c r="H489" s="941" t="s">
        <v>1083</v>
      </c>
      <c r="I489" s="941">
        <v>1000</v>
      </c>
      <c r="J489" s="944">
        <v>45766</v>
      </c>
      <c r="K489" s="944">
        <v>45763</v>
      </c>
      <c r="L489" s="941" t="s">
        <v>1227</v>
      </c>
      <c r="M489" s="941"/>
      <c r="N489" s="941" t="s">
        <v>1363</v>
      </c>
      <c r="O489" s="941" t="s">
        <v>1122</v>
      </c>
      <c r="P489" s="941" t="s">
        <v>1229</v>
      </c>
    </row>
    <row r="490" spans="1:16">
      <c r="A490" s="937"/>
      <c r="B490" s="937" t="str" cm="1">
        <f t="array" ref="B490">IF(P490="","",_xlfn.XLOOKUP(P490&amp;"",'Units Data'!$I$6:$I$10000&amp;"",'Units Data'!$C$6:$C$10000,"غير موجود",0))</f>
        <v>غير موجود</v>
      </c>
      <c r="C490" s="937" t="str" cm="1">
        <f t="array" ref="C490">IF(P490="","",_xlfn.XLOOKUP(P490&amp;"",'Units Data'!$I$6:$I$10000&amp;"",'Units Data'!$B$6:$B$10000,"غير موجود",0))</f>
        <v>غير موجود</v>
      </c>
      <c r="D490" s="940">
        <v>26110161</v>
      </c>
      <c r="E490" s="941" t="s">
        <v>1076</v>
      </c>
      <c r="F490" s="941" t="s">
        <v>1077</v>
      </c>
      <c r="G490" s="941" t="s">
        <v>1078</v>
      </c>
      <c r="H490" s="941" t="s">
        <v>1083</v>
      </c>
      <c r="I490" s="941">
        <v>5000</v>
      </c>
      <c r="J490" s="944">
        <v>45762</v>
      </c>
      <c r="K490" s="944">
        <v>45760</v>
      </c>
      <c r="L490" s="941" t="s">
        <v>1407</v>
      </c>
      <c r="M490" s="941"/>
      <c r="N490" s="941" t="s">
        <v>1416</v>
      </c>
      <c r="O490" s="941" t="s">
        <v>1122</v>
      </c>
      <c r="P490" s="941" t="s">
        <v>1417</v>
      </c>
    </row>
    <row r="491" spans="1:16">
      <c r="A491" s="937"/>
      <c r="B491" s="937" cm="1">
        <f t="array" ref="B491">IF(P491="","",_xlfn.XLOOKUP(P491&amp;"",'Units Data'!$I$6:$I$10000&amp;"",'Units Data'!$C$6:$C$10000,"غير موجود",0))</f>
        <v>102</v>
      </c>
      <c r="C491" s="937" t="str" cm="1">
        <f t="array" ref="C491">IF(P491="","",_xlfn.XLOOKUP(P491&amp;"",'Units Data'!$I$6:$I$10000&amp;"",'Units Data'!$B$6:$B$10000,"غير موجود",0))</f>
        <v>S1</v>
      </c>
      <c r="D491" s="940">
        <v>26077339</v>
      </c>
      <c r="E491" s="941" t="s">
        <v>1076</v>
      </c>
      <c r="F491" s="941" t="s">
        <v>1077</v>
      </c>
      <c r="G491" s="941" t="s">
        <v>1078</v>
      </c>
      <c r="H491" s="941" t="s">
        <v>1083</v>
      </c>
      <c r="I491" s="941">
        <v>24000</v>
      </c>
      <c r="J491" s="944">
        <v>45761</v>
      </c>
      <c r="K491" s="944">
        <v>45758</v>
      </c>
      <c r="L491" s="941" t="s">
        <v>1383</v>
      </c>
      <c r="M491" s="941"/>
      <c r="N491" s="941" t="s">
        <v>1384</v>
      </c>
      <c r="O491" s="941" t="s">
        <v>1095</v>
      </c>
      <c r="P491" s="941" t="s">
        <v>1385</v>
      </c>
    </row>
    <row r="492" spans="1:16">
      <c r="A492" s="937"/>
      <c r="B492" s="937" cm="1">
        <f t="array" ref="B492">IF(P492="","",_xlfn.XLOOKUP(P492&amp;"",'Units Data'!$I$6:$I$10000&amp;"",'Units Data'!$C$6:$C$10000,"غير موجود",0))</f>
        <v>102</v>
      </c>
      <c r="C492" s="937" t="str" cm="1">
        <f t="array" ref="C492">IF(P492="","",_xlfn.XLOOKUP(P492&amp;"",'Units Data'!$I$6:$I$10000&amp;"",'Units Data'!$B$6:$B$10000,"غير موجود",0))</f>
        <v>F1</v>
      </c>
      <c r="D492" s="940">
        <v>26042758</v>
      </c>
      <c r="E492" s="941" t="s">
        <v>1076</v>
      </c>
      <c r="F492" s="941" t="s">
        <v>1077</v>
      </c>
      <c r="G492" s="941" t="s">
        <v>1078</v>
      </c>
      <c r="H492" s="941" t="s">
        <v>1079</v>
      </c>
      <c r="I492" s="941">
        <v>3500</v>
      </c>
      <c r="J492" s="944">
        <v>45757</v>
      </c>
      <c r="K492" s="944">
        <v>45756</v>
      </c>
      <c r="L492" s="941" t="s">
        <v>81</v>
      </c>
      <c r="M492" s="941"/>
      <c r="N492" s="941" t="s">
        <v>1310</v>
      </c>
      <c r="O492" s="941" t="s">
        <v>1095</v>
      </c>
      <c r="P492" s="941" t="s">
        <v>1096</v>
      </c>
    </row>
    <row r="493" spans="1:16">
      <c r="A493" s="937"/>
      <c r="B493" s="937" t="str" cm="1">
        <f t="array" ref="B493">IF(P493="","",_xlfn.XLOOKUP(P493&amp;"",'Units Data'!$I$6:$I$10000&amp;"",'Units Data'!$C$6:$C$10000,"غير موجود",0))</f>
        <v>غير موجود</v>
      </c>
      <c r="C493" s="937" t="str" cm="1">
        <f t="array" ref="C493">IF(P493="","",_xlfn.XLOOKUP(P493&amp;"",'Units Data'!$I$6:$I$10000&amp;"",'Units Data'!$B$6:$B$10000,"غير موجود",0))</f>
        <v>غير موجود</v>
      </c>
      <c r="D493" s="940">
        <v>26036606</v>
      </c>
      <c r="E493" s="941" t="s">
        <v>1076</v>
      </c>
      <c r="F493" s="941" t="s">
        <v>1077</v>
      </c>
      <c r="G493" s="941" t="s">
        <v>1078</v>
      </c>
      <c r="H493" s="941" t="s">
        <v>1079</v>
      </c>
      <c r="I493" s="941">
        <v>1000</v>
      </c>
      <c r="J493" s="944">
        <v>45757</v>
      </c>
      <c r="K493" s="944">
        <v>45756</v>
      </c>
      <c r="L493" s="941" t="s">
        <v>1120</v>
      </c>
      <c r="M493" s="941"/>
      <c r="N493" s="941" t="s">
        <v>1364</v>
      </c>
      <c r="O493" s="941" t="s">
        <v>1122</v>
      </c>
      <c r="P493" s="941" t="s">
        <v>1123</v>
      </c>
    </row>
    <row r="494" spans="1:16">
      <c r="A494" s="937"/>
      <c r="B494" s="937" t="str" cm="1">
        <f t="array" ref="B494">IF(P494="","",_xlfn.XLOOKUP(P494&amp;"",'Units Data'!$I$6:$I$10000&amp;"",'Units Data'!$C$6:$C$10000,"غير موجود",0))</f>
        <v>غير موجود</v>
      </c>
      <c r="C494" s="937" t="str" cm="1">
        <f t="array" ref="C494">IF(P494="","",_xlfn.XLOOKUP(P494&amp;"",'Units Data'!$I$6:$I$10000&amp;"",'Units Data'!$B$6:$B$10000,"غير موجود",0))</f>
        <v>غير موجود</v>
      </c>
      <c r="D494" s="940">
        <v>26034467</v>
      </c>
      <c r="E494" s="941" t="s">
        <v>1076</v>
      </c>
      <c r="F494" s="941" t="s">
        <v>1077</v>
      </c>
      <c r="G494" s="941" t="s">
        <v>1078</v>
      </c>
      <c r="H494" s="941" t="s">
        <v>1083</v>
      </c>
      <c r="I494" s="941">
        <v>2000</v>
      </c>
      <c r="J494" s="944">
        <v>45759</v>
      </c>
      <c r="K494" s="944">
        <v>45756</v>
      </c>
      <c r="L494" s="941" t="s">
        <v>1365</v>
      </c>
      <c r="M494" s="941"/>
      <c r="N494" s="941" t="s">
        <v>1366</v>
      </c>
      <c r="O494" s="941" t="s">
        <v>1122</v>
      </c>
      <c r="P494" s="941" t="s">
        <v>1367</v>
      </c>
    </row>
    <row r="495" spans="1:16">
      <c r="A495" s="937"/>
      <c r="B495" s="937" t="str" cm="1">
        <f t="array" ref="B495">IF(P495="","",_xlfn.XLOOKUP(P495&amp;"",'Units Data'!$I$6:$I$10000&amp;"",'Units Data'!$C$6:$C$10000,"غير موجود",0))</f>
        <v>غير موجود</v>
      </c>
      <c r="C495" s="937" t="str" cm="1">
        <f t="array" ref="C495">IF(P495="","",_xlfn.XLOOKUP(P495&amp;"",'Units Data'!$I$6:$I$10000&amp;"",'Units Data'!$B$6:$B$10000,"غير موجود",0))</f>
        <v>غير موجود</v>
      </c>
      <c r="D495" s="940">
        <v>25924409</v>
      </c>
      <c r="E495" s="941" t="s">
        <v>1076</v>
      </c>
      <c r="F495" s="941" t="s">
        <v>1077</v>
      </c>
      <c r="G495" s="941" t="s">
        <v>1078</v>
      </c>
      <c r="H495" s="941" t="s">
        <v>1079</v>
      </c>
      <c r="I495" s="941">
        <v>2000</v>
      </c>
      <c r="J495" s="944">
        <v>45754</v>
      </c>
      <c r="K495" s="944">
        <v>45752</v>
      </c>
      <c r="L495" s="941" t="s">
        <v>1423</v>
      </c>
      <c r="M495" s="941"/>
      <c r="N495" s="941" t="s">
        <v>1424</v>
      </c>
      <c r="O495" s="941" t="s">
        <v>1122</v>
      </c>
      <c r="P495" s="941" t="s">
        <v>1425</v>
      </c>
    </row>
    <row r="496" spans="1:16">
      <c r="A496" s="937"/>
      <c r="B496" s="937" t="str" cm="1">
        <f t="array" ref="B496">IF(P496="","",_xlfn.XLOOKUP(P496&amp;"",'Units Data'!$I$6:$I$10000&amp;"",'Units Data'!$C$6:$C$10000,"غير موجود",0))</f>
        <v>غير موجود</v>
      </c>
      <c r="C496" s="937" t="str" cm="1">
        <f t="array" ref="C496">IF(P496="","",_xlfn.XLOOKUP(P496&amp;"",'Units Data'!$I$6:$I$10000&amp;"",'Units Data'!$B$6:$B$10000,"غير موجود",0))</f>
        <v>غير موجود</v>
      </c>
      <c r="D496" s="940">
        <v>25911507</v>
      </c>
      <c r="E496" s="941" t="s">
        <v>1076</v>
      </c>
      <c r="F496" s="941" t="s">
        <v>1077</v>
      </c>
      <c r="G496" s="941" t="s">
        <v>1078</v>
      </c>
      <c r="H496" s="941" t="s">
        <v>1079</v>
      </c>
      <c r="I496" s="941">
        <v>1000</v>
      </c>
      <c r="J496" s="944">
        <v>45755</v>
      </c>
      <c r="K496" s="944">
        <v>45751</v>
      </c>
      <c r="L496" s="941" t="s">
        <v>1196</v>
      </c>
      <c r="M496" s="941"/>
      <c r="N496" s="941" t="s">
        <v>1336</v>
      </c>
      <c r="O496" s="941" t="s">
        <v>1122</v>
      </c>
      <c r="P496" s="941" t="s">
        <v>1337</v>
      </c>
    </row>
    <row r="497" spans="1:16">
      <c r="A497" s="937"/>
      <c r="B497" s="937" t="str" cm="1">
        <f t="array" ref="B497">IF(P497="","",_xlfn.XLOOKUP(P497&amp;"",'Units Data'!$I$6:$I$10000&amp;"",'Units Data'!$C$6:$C$10000,"غير موجود",0))</f>
        <v>غير موجود</v>
      </c>
      <c r="C497" s="937" t="str" cm="1">
        <f t="array" ref="C497">IF(P497="","",_xlfn.XLOOKUP(P497&amp;"",'Units Data'!$I$6:$I$10000&amp;"",'Units Data'!$B$6:$B$10000,"غير موجود",0))</f>
        <v>غير موجود</v>
      </c>
      <c r="D497" s="940">
        <v>25910442</v>
      </c>
      <c r="E497" s="941" t="s">
        <v>1076</v>
      </c>
      <c r="F497" s="941" t="s">
        <v>1077</v>
      </c>
      <c r="G497" s="941" t="s">
        <v>1078</v>
      </c>
      <c r="H497" s="941" t="s">
        <v>1083</v>
      </c>
      <c r="I497" s="941">
        <v>1000</v>
      </c>
      <c r="J497" s="944">
        <v>45754</v>
      </c>
      <c r="K497" s="944">
        <v>45751</v>
      </c>
      <c r="L497" s="941" t="s">
        <v>1431</v>
      </c>
      <c r="M497" s="941"/>
      <c r="N497" s="941" t="s">
        <v>1432</v>
      </c>
      <c r="O497" s="941" t="s">
        <v>1122</v>
      </c>
      <c r="P497" s="941" t="s">
        <v>1433</v>
      </c>
    </row>
    <row r="498" spans="1:16">
      <c r="A498" s="937"/>
      <c r="B498" s="937" t="str" cm="1">
        <f t="array" ref="B498">IF(P498="","",_xlfn.XLOOKUP(P498&amp;"",'Units Data'!$I$6:$I$10000&amp;"",'Units Data'!$C$6:$C$10000,"غير موجود",0))</f>
        <v>غير موجود</v>
      </c>
      <c r="C498" s="937" t="str" cm="1">
        <f t="array" ref="C498">IF(P498="","",_xlfn.XLOOKUP(P498&amp;"",'Units Data'!$I$6:$I$10000&amp;"",'Units Data'!$B$6:$B$10000,"غير موجود",0))</f>
        <v>غير موجود</v>
      </c>
      <c r="D498" s="940">
        <v>25852696</v>
      </c>
      <c r="E498" s="941" t="s">
        <v>1076</v>
      </c>
      <c r="F498" s="941" t="s">
        <v>1077</v>
      </c>
      <c r="G498" s="941" t="s">
        <v>1078</v>
      </c>
      <c r="H498" s="941" t="s">
        <v>1083</v>
      </c>
      <c r="I498" s="941">
        <v>1000</v>
      </c>
      <c r="J498" s="944">
        <v>45752</v>
      </c>
      <c r="K498" s="944">
        <v>45749</v>
      </c>
      <c r="L498" s="941" t="s">
        <v>1317</v>
      </c>
      <c r="M498" s="941"/>
      <c r="N498" s="941" t="s">
        <v>1320</v>
      </c>
      <c r="O498" s="941" t="s">
        <v>1122</v>
      </c>
      <c r="P498" s="941" t="s">
        <v>1319</v>
      </c>
    </row>
    <row r="499" spans="1:16">
      <c r="A499" s="937"/>
      <c r="B499" s="937" t="str" cm="1">
        <f t="array" ref="B499">IF(P499="","",_xlfn.XLOOKUP(P499&amp;"",'Units Data'!$I$6:$I$10000&amp;"",'Units Data'!$C$6:$C$10000,"غير موجود",0))</f>
        <v>غير موجود</v>
      </c>
      <c r="C499" s="937" t="str" cm="1">
        <f t="array" ref="C499">IF(P499="","",_xlfn.XLOOKUP(P499&amp;"",'Units Data'!$I$6:$I$10000&amp;"",'Units Data'!$B$6:$B$10000,"غير موجود",0))</f>
        <v>غير موجود</v>
      </c>
      <c r="D499" s="940">
        <v>25724502</v>
      </c>
      <c r="E499" s="941" t="s">
        <v>1076</v>
      </c>
      <c r="F499" s="941" t="s">
        <v>1077</v>
      </c>
      <c r="G499" s="941" t="s">
        <v>1078</v>
      </c>
      <c r="H499" s="941" t="s">
        <v>1083</v>
      </c>
      <c r="I499" s="941">
        <v>1000</v>
      </c>
      <c r="J499" s="944">
        <v>45750</v>
      </c>
      <c r="K499" s="944">
        <v>45743</v>
      </c>
      <c r="L499" s="941" t="s">
        <v>1397</v>
      </c>
      <c r="M499" s="941"/>
      <c r="N499" s="941" t="s">
        <v>1398</v>
      </c>
      <c r="O499" s="941" t="s">
        <v>1122</v>
      </c>
      <c r="P499" s="941" t="s">
        <v>1399</v>
      </c>
    </row>
    <row r="500" spans="1:16">
      <c r="A500" s="937"/>
      <c r="B500" s="937" t="str" cm="1">
        <f t="array" ref="B500">IF(P500="","",_xlfn.XLOOKUP(P500&amp;"",'Units Data'!$I$6:$I$10000&amp;"",'Units Data'!$C$6:$C$10000,"غير موجود",0))</f>
        <v>غير موجود</v>
      </c>
      <c r="C500" s="937" t="str" cm="1">
        <f t="array" ref="C500">IF(P500="","",_xlfn.XLOOKUP(P500&amp;"",'Units Data'!$I$6:$I$10000&amp;"",'Units Data'!$B$6:$B$10000,"غير موجود",0))</f>
        <v>غير موجود</v>
      </c>
      <c r="D500" s="940">
        <v>25716505</v>
      </c>
      <c r="E500" s="941" t="s">
        <v>1076</v>
      </c>
      <c r="F500" s="941" t="s">
        <v>1077</v>
      </c>
      <c r="G500" s="941" t="s">
        <v>1078</v>
      </c>
      <c r="H500" s="941" t="s">
        <v>1083</v>
      </c>
      <c r="I500" s="941">
        <v>1000</v>
      </c>
      <c r="J500" s="944">
        <v>45750</v>
      </c>
      <c r="K500" s="944">
        <v>45743</v>
      </c>
      <c r="L500" s="941" t="s">
        <v>1434</v>
      </c>
      <c r="M500" s="941"/>
      <c r="N500" s="941" t="s">
        <v>1435</v>
      </c>
      <c r="O500" s="941" t="s">
        <v>1122</v>
      </c>
      <c r="P500" s="941" t="s">
        <v>1436</v>
      </c>
    </row>
    <row r="501" spans="1:16">
      <c r="A501" s="937"/>
      <c r="B501" s="937" t="str" cm="1">
        <f t="array" ref="B501">IF(P501="","",_xlfn.XLOOKUP(P501&amp;"",'Units Data'!$I$6:$I$10000&amp;"",'Units Data'!$C$6:$C$10000,"غير موجود",0))</f>
        <v>غير موجود</v>
      </c>
      <c r="C501" s="937" t="str" cm="1">
        <f t="array" ref="C501">IF(P501="","",_xlfn.XLOOKUP(P501&amp;"",'Units Data'!$I$6:$I$10000&amp;"",'Units Data'!$B$6:$B$10000,"غير موجود",0))</f>
        <v>غير موجود</v>
      </c>
      <c r="D501" s="940">
        <v>25697534</v>
      </c>
      <c r="E501" s="941" t="s">
        <v>1076</v>
      </c>
      <c r="F501" s="941" t="s">
        <v>1077</v>
      </c>
      <c r="G501" s="941" t="s">
        <v>1078</v>
      </c>
      <c r="H501" s="941" t="s">
        <v>1079</v>
      </c>
      <c r="I501" s="941">
        <v>3000</v>
      </c>
      <c r="J501" s="944">
        <v>45744</v>
      </c>
      <c r="K501" s="944">
        <v>45742</v>
      </c>
      <c r="L501" s="941" t="s">
        <v>1380</v>
      </c>
      <c r="M501" s="941"/>
      <c r="N501" s="941" t="s">
        <v>1381</v>
      </c>
      <c r="O501" s="941" t="s">
        <v>1161</v>
      </c>
      <c r="P501" s="941" t="s">
        <v>1382</v>
      </c>
    </row>
    <row r="502" spans="1:16">
      <c r="A502" s="937"/>
      <c r="B502" s="937" t="str" cm="1">
        <f t="array" ref="B502">IF(P502="","",_xlfn.XLOOKUP(P502&amp;"",'Units Data'!$I$6:$I$10000&amp;"",'Units Data'!$C$6:$C$10000,"غير موجود",0))</f>
        <v>غير موجود</v>
      </c>
      <c r="C502" s="937" t="str" cm="1">
        <f t="array" ref="C502">IF(P502="","",_xlfn.XLOOKUP(P502&amp;"",'Units Data'!$I$6:$I$10000&amp;"",'Units Data'!$B$6:$B$10000,"غير موجود",0))</f>
        <v>غير موجود</v>
      </c>
      <c r="D502" s="940">
        <v>25628094</v>
      </c>
      <c r="E502" s="941" t="s">
        <v>1076</v>
      </c>
      <c r="F502" s="941" t="s">
        <v>1077</v>
      </c>
      <c r="G502" s="941" t="s">
        <v>1078</v>
      </c>
      <c r="H502" s="941" t="s">
        <v>1083</v>
      </c>
      <c r="I502" s="941">
        <v>1000</v>
      </c>
      <c r="J502" s="944">
        <v>45744</v>
      </c>
      <c r="K502" s="944">
        <v>45741</v>
      </c>
      <c r="L502" s="941" t="s">
        <v>1304</v>
      </c>
      <c r="M502" s="941"/>
      <c r="N502" s="941" t="s">
        <v>1351</v>
      </c>
      <c r="O502" s="941" t="s">
        <v>1122</v>
      </c>
      <c r="P502" s="941" t="s">
        <v>1306</v>
      </c>
    </row>
    <row r="503" spans="1:16">
      <c r="A503" s="937"/>
      <c r="B503" s="937" t="str" cm="1">
        <f t="array" ref="B503">IF(P503="","",_xlfn.XLOOKUP(P503&amp;"",'Units Data'!$I$6:$I$10000&amp;"",'Units Data'!$C$6:$C$10000,"غير موجود",0))</f>
        <v>غير موجود</v>
      </c>
      <c r="C503" s="937" t="str" cm="1">
        <f t="array" ref="C503">IF(P503="","",_xlfn.XLOOKUP(P503&amp;"",'Units Data'!$I$6:$I$10000&amp;"",'Units Data'!$B$6:$B$10000,"غير موجود",0))</f>
        <v>غير موجود</v>
      </c>
      <c r="D503" s="940">
        <v>25588687</v>
      </c>
      <c r="E503" s="941" t="s">
        <v>1076</v>
      </c>
      <c r="F503" s="941" t="s">
        <v>1077</v>
      </c>
      <c r="G503" s="941" t="s">
        <v>1078</v>
      </c>
      <c r="H503" s="941" t="s">
        <v>1083</v>
      </c>
      <c r="I503" s="941">
        <v>1000</v>
      </c>
      <c r="J503" s="944">
        <v>45741</v>
      </c>
      <c r="K503" s="944">
        <v>45739</v>
      </c>
      <c r="L503" s="941" t="s">
        <v>1227</v>
      </c>
      <c r="M503" s="941"/>
      <c r="N503" s="941" t="s">
        <v>1363</v>
      </c>
      <c r="O503" s="941" t="s">
        <v>1122</v>
      </c>
      <c r="P503" s="941" t="s">
        <v>1229</v>
      </c>
    </row>
    <row r="504" spans="1:16">
      <c r="A504" s="937"/>
      <c r="B504" s="937" t="str" cm="1">
        <f t="array" ref="B504">IF(P504="","",_xlfn.XLOOKUP(P504&amp;"",'Units Data'!$I$6:$I$10000&amp;"",'Units Data'!$C$6:$C$10000,"غير موجود",0))</f>
        <v>غير موجود</v>
      </c>
      <c r="C504" s="937" t="str" cm="1">
        <f t="array" ref="C504">IF(P504="","",_xlfn.XLOOKUP(P504&amp;"",'Units Data'!$I$6:$I$10000&amp;"",'Units Data'!$B$6:$B$10000,"غير موجود",0))</f>
        <v>غير موجود</v>
      </c>
      <c r="D504" s="940">
        <v>25580059</v>
      </c>
      <c r="E504" s="941" t="s">
        <v>1076</v>
      </c>
      <c r="F504" s="941" t="s">
        <v>1077</v>
      </c>
      <c r="G504" s="941" t="s">
        <v>1078</v>
      </c>
      <c r="H504" s="941" t="s">
        <v>1083</v>
      </c>
      <c r="I504" s="941">
        <v>1000</v>
      </c>
      <c r="J504" s="944">
        <v>45741</v>
      </c>
      <c r="K504" s="944">
        <v>45739</v>
      </c>
      <c r="L504" s="941" t="s">
        <v>1153</v>
      </c>
      <c r="M504" s="941"/>
      <c r="N504" s="941" t="s">
        <v>1355</v>
      </c>
      <c r="O504" s="941" t="s">
        <v>1122</v>
      </c>
      <c r="P504" s="941" t="s">
        <v>1155</v>
      </c>
    </row>
    <row r="505" spans="1:16">
      <c r="A505" s="937"/>
      <c r="B505" s="937" t="str" cm="1">
        <f t="array" ref="B505">IF(P505="","",_xlfn.XLOOKUP(P505&amp;"",'Units Data'!$I$6:$I$10000&amp;"",'Units Data'!$C$6:$C$10000,"غير موجود",0))</f>
        <v>غير موجود</v>
      </c>
      <c r="C505" s="937" t="str" cm="1">
        <f t="array" ref="C505">IF(P505="","",_xlfn.XLOOKUP(P505&amp;"",'Units Data'!$I$6:$I$10000&amp;"",'Units Data'!$B$6:$B$10000,"غير موجود",0))</f>
        <v>غير موجود</v>
      </c>
      <c r="D505" s="940">
        <v>25538057</v>
      </c>
      <c r="E505" s="941" t="s">
        <v>1076</v>
      </c>
      <c r="F505" s="941" t="s">
        <v>1077</v>
      </c>
      <c r="G505" s="941" t="s">
        <v>1078</v>
      </c>
      <c r="H505" s="941" t="s">
        <v>1083</v>
      </c>
      <c r="I505" s="941">
        <v>1000</v>
      </c>
      <c r="J505" s="944">
        <v>45740</v>
      </c>
      <c r="K505" s="944">
        <v>45736</v>
      </c>
      <c r="L505" s="941" t="s">
        <v>1191</v>
      </c>
      <c r="M505" s="941"/>
      <c r="N505" s="941" t="s">
        <v>1356</v>
      </c>
      <c r="O505" s="941" t="s">
        <v>1122</v>
      </c>
      <c r="P505" s="941" t="s">
        <v>1193</v>
      </c>
    </row>
    <row r="506" spans="1:16">
      <c r="A506" s="937"/>
      <c r="B506" s="937" t="str" cm="1">
        <f t="array" ref="B506">IF(P506="","",_xlfn.XLOOKUP(P506&amp;"",'Units Data'!$I$6:$I$10000&amp;"",'Units Data'!$C$6:$C$10000,"غير موجود",0))</f>
        <v>غير موجود</v>
      </c>
      <c r="C506" s="937" t="str" cm="1">
        <f t="array" ref="C506">IF(P506="","",_xlfn.XLOOKUP(P506&amp;"",'Units Data'!$I$6:$I$10000&amp;"",'Units Data'!$B$6:$B$10000,"غير موجود",0))</f>
        <v>غير موجود</v>
      </c>
      <c r="D506" s="940">
        <v>25353937</v>
      </c>
      <c r="E506" s="941" t="s">
        <v>1076</v>
      </c>
      <c r="F506" s="941" t="s">
        <v>1077</v>
      </c>
      <c r="G506" s="941" t="s">
        <v>1078</v>
      </c>
      <c r="H506" s="941" t="s">
        <v>1083</v>
      </c>
      <c r="I506" s="941">
        <v>5000</v>
      </c>
      <c r="J506" s="944">
        <v>45729</v>
      </c>
      <c r="K506" s="944">
        <v>45727</v>
      </c>
      <c r="L506" s="941" t="s">
        <v>1407</v>
      </c>
      <c r="M506" s="941"/>
      <c r="N506" s="941" t="s">
        <v>1416</v>
      </c>
      <c r="O506" s="941" t="s">
        <v>1122</v>
      </c>
      <c r="P506" s="941" t="s">
        <v>1417</v>
      </c>
    </row>
    <row r="507" spans="1:16">
      <c r="A507" s="937"/>
      <c r="B507" s="937" t="str" cm="1">
        <f t="array" ref="B507">IF(P507="","",_xlfn.XLOOKUP(P507&amp;"",'Units Data'!$I$6:$I$10000&amp;"",'Units Data'!$C$6:$C$10000,"غير موجود",0))</f>
        <v>غير موجود</v>
      </c>
      <c r="C507" s="937" t="str" cm="1">
        <f t="array" ref="C507">IF(P507="","",_xlfn.XLOOKUP(P507&amp;"",'Units Data'!$I$6:$I$10000&amp;"",'Units Data'!$B$6:$B$10000,"غير موجود",0))</f>
        <v>غير موجود</v>
      </c>
      <c r="D507" s="940">
        <v>25213597</v>
      </c>
      <c r="E507" s="941" t="s">
        <v>1076</v>
      </c>
      <c r="F507" s="941" t="s">
        <v>1077</v>
      </c>
      <c r="G507" s="941" t="s">
        <v>1078</v>
      </c>
      <c r="H507" s="941" t="s">
        <v>1079</v>
      </c>
      <c r="I507" s="941">
        <v>1000</v>
      </c>
      <c r="J507" s="944">
        <v>45723</v>
      </c>
      <c r="K507" s="944">
        <v>45722</v>
      </c>
      <c r="L507" s="941" t="s">
        <v>1437</v>
      </c>
      <c r="M507" s="941"/>
      <c r="N507" s="941" t="s">
        <v>1438</v>
      </c>
      <c r="O507" s="941" t="s">
        <v>1122</v>
      </c>
      <c r="P507" s="941" t="s">
        <v>1439</v>
      </c>
    </row>
    <row r="508" spans="1:16">
      <c r="A508" s="937"/>
      <c r="B508" s="937" t="str" cm="1">
        <f t="array" ref="B508">IF(P508="","",_xlfn.XLOOKUP(P508&amp;"",'Units Data'!$I$6:$I$10000&amp;"",'Units Data'!$C$6:$C$10000,"غير موجود",0))</f>
        <v>غير موجود</v>
      </c>
      <c r="C508" s="937" t="str" cm="1">
        <f t="array" ref="C508">IF(P508="","",_xlfn.XLOOKUP(P508&amp;"",'Units Data'!$I$6:$I$10000&amp;"",'Units Data'!$B$6:$B$10000,"غير موجود",0))</f>
        <v>غير موجود</v>
      </c>
      <c r="D508" s="940">
        <v>25209360</v>
      </c>
      <c r="E508" s="941" t="s">
        <v>1076</v>
      </c>
      <c r="F508" s="941" t="s">
        <v>1077</v>
      </c>
      <c r="G508" s="941" t="s">
        <v>1078</v>
      </c>
      <c r="H508" s="941" t="s">
        <v>1083</v>
      </c>
      <c r="I508" s="941">
        <v>1000</v>
      </c>
      <c r="J508" s="944">
        <v>45726</v>
      </c>
      <c r="K508" s="944">
        <v>45722</v>
      </c>
      <c r="L508" s="941" t="s">
        <v>1431</v>
      </c>
      <c r="M508" s="941"/>
      <c r="N508" s="941" t="s">
        <v>1432</v>
      </c>
      <c r="O508" s="941" t="s">
        <v>1122</v>
      </c>
      <c r="P508" s="941" t="s">
        <v>1433</v>
      </c>
    </row>
    <row r="509" spans="1:16">
      <c r="A509" s="937"/>
      <c r="B509" s="937" t="str" cm="1">
        <f t="array" ref="B509">IF(P509="","",_xlfn.XLOOKUP(P509&amp;"",'Units Data'!$I$6:$I$10000&amp;"",'Units Data'!$C$6:$C$10000,"غير موجود",0))</f>
        <v>غير موجود</v>
      </c>
      <c r="C509" s="937" t="str" cm="1">
        <f t="array" ref="C509">IF(P509="","",_xlfn.XLOOKUP(P509&amp;"",'Units Data'!$I$6:$I$10000&amp;"",'Units Data'!$B$6:$B$10000,"غير موجود",0))</f>
        <v>غير موجود</v>
      </c>
      <c r="D509" s="940">
        <v>25207641</v>
      </c>
      <c r="E509" s="941" t="s">
        <v>1076</v>
      </c>
      <c r="F509" s="941" t="s">
        <v>1077</v>
      </c>
      <c r="G509" s="941" t="s">
        <v>1078</v>
      </c>
      <c r="H509" s="941" t="s">
        <v>1079</v>
      </c>
      <c r="I509" s="941">
        <v>1000</v>
      </c>
      <c r="J509" s="944">
        <v>45724</v>
      </c>
      <c r="K509" s="944">
        <v>45722</v>
      </c>
      <c r="L509" s="941" t="s">
        <v>1120</v>
      </c>
      <c r="M509" s="941"/>
      <c r="N509" s="941" t="s">
        <v>1364</v>
      </c>
      <c r="O509" s="941" t="s">
        <v>1122</v>
      </c>
      <c r="P509" s="941" t="s">
        <v>1123</v>
      </c>
    </row>
    <row r="510" spans="1:16">
      <c r="A510" s="937"/>
      <c r="B510" s="937" t="str" cm="1">
        <f t="array" ref="B510">IF(P510="","",_xlfn.XLOOKUP(P510&amp;"",'Units Data'!$I$6:$I$10000&amp;"",'Units Data'!$C$6:$C$10000,"غير موجود",0))</f>
        <v>غير موجود</v>
      </c>
      <c r="C510" s="937" t="str" cm="1">
        <f t="array" ref="C510">IF(P510="","",_xlfn.XLOOKUP(P510&amp;"",'Units Data'!$I$6:$I$10000&amp;"",'Units Data'!$B$6:$B$10000,"غير موجود",0))</f>
        <v>غير موجود</v>
      </c>
      <c r="D510" s="940">
        <v>25095637</v>
      </c>
      <c r="E510" s="941" t="s">
        <v>1076</v>
      </c>
      <c r="F510" s="941" t="s">
        <v>1077</v>
      </c>
      <c r="G510" s="941" t="s">
        <v>1078</v>
      </c>
      <c r="H510" s="941" t="s">
        <v>1079</v>
      </c>
      <c r="I510" s="941">
        <v>2000</v>
      </c>
      <c r="J510" s="944">
        <v>45721</v>
      </c>
      <c r="K510" s="944">
        <v>45719</v>
      </c>
      <c r="L510" s="941" t="s">
        <v>1423</v>
      </c>
      <c r="M510" s="941"/>
      <c r="N510" s="941" t="s">
        <v>1424</v>
      </c>
      <c r="O510" s="941" t="s">
        <v>1122</v>
      </c>
      <c r="P510" s="941" t="s">
        <v>1425</v>
      </c>
    </row>
    <row r="511" spans="1:16">
      <c r="A511" s="937"/>
      <c r="B511" s="937" t="str" cm="1">
        <f t="array" ref="B511">IF(P511="","",_xlfn.XLOOKUP(P511&amp;"",'Units Data'!$I$6:$I$10000&amp;"",'Units Data'!$C$6:$C$10000,"غير موجود",0))</f>
        <v>غير موجود</v>
      </c>
      <c r="C511" s="937" t="str" cm="1">
        <f t="array" ref="C511">IF(P511="","",_xlfn.XLOOKUP(P511&amp;"",'Units Data'!$I$6:$I$10000&amp;"",'Units Data'!$B$6:$B$10000,"غير موجود",0))</f>
        <v>غير موجود</v>
      </c>
      <c r="D511" s="940">
        <v>25044089</v>
      </c>
      <c r="E511" s="941" t="s">
        <v>1076</v>
      </c>
      <c r="F511" s="941" t="s">
        <v>1077</v>
      </c>
      <c r="G511" s="941" t="s">
        <v>1078</v>
      </c>
      <c r="H511" s="941" t="s">
        <v>1079</v>
      </c>
      <c r="I511" s="941">
        <v>1000</v>
      </c>
      <c r="J511" s="944">
        <v>45721</v>
      </c>
      <c r="K511" s="944">
        <v>45718</v>
      </c>
      <c r="L511" s="941" t="s">
        <v>1196</v>
      </c>
      <c r="M511" s="941"/>
      <c r="N511" s="941" t="s">
        <v>1336</v>
      </c>
      <c r="O511" s="941" t="s">
        <v>1122</v>
      </c>
      <c r="P511" s="941" t="s">
        <v>1337</v>
      </c>
    </row>
    <row r="512" spans="1:16">
      <c r="A512" s="937"/>
      <c r="B512" s="937" t="str" cm="1">
        <f t="array" ref="B512">IF(P512="","",_xlfn.XLOOKUP(P512&amp;"",'Units Data'!$I$6:$I$10000&amp;"",'Units Data'!$C$6:$C$10000,"غير موجود",0))</f>
        <v>غير موجود</v>
      </c>
      <c r="C512" s="937" t="str" cm="1">
        <f t="array" ref="C512">IF(P512="","",_xlfn.XLOOKUP(P512&amp;"",'Units Data'!$I$6:$I$10000&amp;"",'Units Data'!$B$6:$B$10000,"غير موجود",0))</f>
        <v>غير موجود</v>
      </c>
      <c r="D512" s="940">
        <v>24815346</v>
      </c>
      <c r="E512" s="941" t="s">
        <v>1076</v>
      </c>
      <c r="F512" s="941" t="s">
        <v>1077</v>
      </c>
      <c r="G512" s="941" t="s">
        <v>1078</v>
      </c>
      <c r="H512" s="941" t="s">
        <v>1079</v>
      </c>
      <c r="I512" s="941">
        <v>3000</v>
      </c>
      <c r="J512" s="944">
        <v>45715</v>
      </c>
      <c r="K512" s="944">
        <v>45714</v>
      </c>
      <c r="L512" s="941" t="s">
        <v>1380</v>
      </c>
      <c r="M512" s="941"/>
      <c r="N512" s="941" t="s">
        <v>1381</v>
      </c>
      <c r="O512" s="941" t="s">
        <v>1161</v>
      </c>
      <c r="P512" s="941" t="s">
        <v>1382</v>
      </c>
    </row>
    <row r="513" spans="1:16">
      <c r="A513" s="937"/>
      <c r="B513" s="937" t="str" cm="1">
        <f t="array" ref="B513">IF(P513="","",_xlfn.XLOOKUP(P513&amp;"",'Units Data'!$I$6:$I$10000&amp;"",'Units Data'!$C$6:$C$10000,"غير موجود",0))</f>
        <v>غير موجود</v>
      </c>
      <c r="C513" s="937" t="str" cm="1">
        <f t="array" ref="C513">IF(P513="","",_xlfn.XLOOKUP(P513&amp;"",'Units Data'!$I$6:$I$10000&amp;"",'Units Data'!$B$6:$B$10000,"غير موجود",0))</f>
        <v>غير موجود</v>
      </c>
      <c r="D513" s="940">
        <v>24810524</v>
      </c>
      <c r="E513" s="941" t="s">
        <v>1076</v>
      </c>
      <c r="F513" s="941" t="s">
        <v>1077</v>
      </c>
      <c r="G513" s="941" t="s">
        <v>1078</v>
      </c>
      <c r="H513" s="941" t="s">
        <v>1079</v>
      </c>
      <c r="I513" s="941">
        <v>1000</v>
      </c>
      <c r="J513" s="944">
        <v>45715</v>
      </c>
      <c r="K513" s="944">
        <v>45714</v>
      </c>
      <c r="L513" s="941" t="s">
        <v>1397</v>
      </c>
      <c r="M513" s="941"/>
      <c r="N513" s="941" t="s">
        <v>1398</v>
      </c>
      <c r="O513" s="941" t="s">
        <v>1122</v>
      </c>
      <c r="P513" s="941" t="s">
        <v>1399</v>
      </c>
    </row>
    <row r="514" spans="1:16">
      <c r="A514" s="937"/>
      <c r="B514" s="937" t="str" cm="1">
        <f t="array" ref="B514">IF(P514="","",_xlfn.XLOOKUP(P514&amp;"",'Units Data'!$I$6:$I$10000&amp;"",'Units Data'!$C$6:$C$10000,"غير موجود",0))</f>
        <v>غير موجود</v>
      </c>
      <c r="C514" s="937" t="str" cm="1">
        <f t="array" ref="C514">IF(P514="","",_xlfn.XLOOKUP(P514&amp;"",'Units Data'!$I$6:$I$10000&amp;"",'Units Data'!$B$6:$B$10000,"غير موجود",0))</f>
        <v>غير موجود</v>
      </c>
      <c r="D514" s="940">
        <v>24783011</v>
      </c>
      <c r="E514" s="941" t="s">
        <v>1076</v>
      </c>
      <c r="F514" s="941" t="s">
        <v>1077</v>
      </c>
      <c r="G514" s="941" t="s">
        <v>1078</v>
      </c>
      <c r="H514" s="941" t="s">
        <v>1079</v>
      </c>
      <c r="I514" s="941">
        <v>3000</v>
      </c>
      <c r="J514" s="944">
        <v>45714</v>
      </c>
      <c r="K514" s="944">
        <v>45713</v>
      </c>
      <c r="L514" s="941" t="s">
        <v>1440</v>
      </c>
      <c r="M514" s="941"/>
      <c r="N514" s="941" t="s">
        <v>1441</v>
      </c>
      <c r="O514" s="941" t="s">
        <v>1161</v>
      </c>
      <c r="P514" s="941" t="s">
        <v>1442</v>
      </c>
    </row>
    <row r="515" spans="1:16">
      <c r="A515" s="937"/>
      <c r="B515" s="937" t="str" cm="1">
        <f t="array" ref="B515">IF(P515="","",_xlfn.XLOOKUP(P515&amp;"",'Units Data'!$I$6:$I$10000&amp;"",'Units Data'!$C$6:$C$10000,"غير موجود",0))</f>
        <v>غير موجود</v>
      </c>
      <c r="C515" s="937" t="str" cm="1">
        <f t="array" ref="C515">IF(P515="","",_xlfn.XLOOKUP(P515&amp;"",'Units Data'!$I$6:$I$10000&amp;"",'Units Data'!$B$6:$B$10000,"غير موجود",0))</f>
        <v>غير موجود</v>
      </c>
      <c r="D515" s="940">
        <v>24726262</v>
      </c>
      <c r="E515" s="941" t="s">
        <v>1076</v>
      </c>
      <c r="F515" s="941" t="s">
        <v>1077</v>
      </c>
      <c r="G515" s="941" t="s">
        <v>1078</v>
      </c>
      <c r="H515" s="941" t="s">
        <v>1083</v>
      </c>
      <c r="I515" s="941">
        <v>500</v>
      </c>
      <c r="J515" s="944">
        <v>45713</v>
      </c>
      <c r="K515" s="944">
        <v>45709</v>
      </c>
      <c r="L515" s="941" t="s">
        <v>1426</v>
      </c>
      <c r="M515" s="941"/>
      <c r="N515" s="941" t="s">
        <v>1427</v>
      </c>
      <c r="O515" s="941" t="s">
        <v>1122</v>
      </c>
      <c r="P515" s="941" t="s">
        <v>1428</v>
      </c>
    </row>
    <row r="516" spans="1:16">
      <c r="A516" s="937"/>
      <c r="B516" s="937" t="str" cm="1">
        <f t="array" ref="B516">IF(P516="","",_xlfn.XLOOKUP(P516&amp;"",'Units Data'!$I$6:$I$10000&amp;"",'Units Data'!$C$6:$C$10000,"غير موجود",0))</f>
        <v>غير موجود</v>
      </c>
      <c r="C516" s="937" t="str" cm="1">
        <f t="array" ref="C516">IF(P516="","",_xlfn.XLOOKUP(P516&amp;"",'Units Data'!$I$6:$I$10000&amp;"",'Units Data'!$B$6:$B$10000,"غير موجود",0))</f>
        <v>غير موجود</v>
      </c>
      <c r="D516" s="940">
        <v>24725467</v>
      </c>
      <c r="E516" s="941" t="s">
        <v>1076</v>
      </c>
      <c r="F516" s="941" t="s">
        <v>1077</v>
      </c>
      <c r="G516" s="941" t="s">
        <v>1078</v>
      </c>
      <c r="H516" s="941" t="s">
        <v>1083</v>
      </c>
      <c r="I516" s="941">
        <v>1000</v>
      </c>
      <c r="J516" s="944">
        <v>45713</v>
      </c>
      <c r="K516" s="944">
        <v>45709</v>
      </c>
      <c r="L516" s="941" t="s">
        <v>1153</v>
      </c>
      <c r="M516" s="941"/>
      <c r="N516" s="941" t="s">
        <v>1355</v>
      </c>
      <c r="O516" s="941" t="s">
        <v>1122</v>
      </c>
      <c r="P516" s="941" t="s">
        <v>1155</v>
      </c>
    </row>
    <row r="517" spans="1:16">
      <c r="A517" s="937"/>
      <c r="B517" s="937" t="str" cm="1">
        <f t="array" ref="B517">IF(P517="","",_xlfn.XLOOKUP(P517&amp;"",'Units Data'!$I$6:$I$10000&amp;"",'Units Data'!$C$6:$C$10000,"غير موجود",0))</f>
        <v>غير موجود</v>
      </c>
      <c r="C517" s="937" t="str" cm="1">
        <f t="array" ref="C517">IF(P517="","",_xlfn.XLOOKUP(P517&amp;"",'Units Data'!$I$6:$I$10000&amp;"",'Units Data'!$B$6:$B$10000,"غير موجود",0))</f>
        <v>غير موجود</v>
      </c>
      <c r="D517" s="940">
        <v>24540710</v>
      </c>
      <c r="E517" s="941" t="s">
        <v>1076</v>
      </c>
      <c r="F517" s="941" t="s">
        <v>1077</v>
      </c>
      <c r="G517" s="941" t="s">
        <v>1078</v>
      </c>
      <c r="H517" s="941" t="s">
        <v>1083</v>
      </c>
      <c r="I517" s="941">
        <v>5000</v>
      </c>
      <c r="J517" s="944">
        <v>45703</v>
      </c>
      <c r="K517" s="944">
        <v>45700</v>
      </c>
      <c r="L517" s="941" t="s">
        <v>1407</v>
      </c>
      <c r="M517" s="941"/>
      <c r="N517" s="941" t="s">
        <v>1416</v>
      </c>
      <c r="O517" s="941" t="s">
        <v>1122</v>
      </c>
      <c r="P517" s="941" t="s">
        <v>1417</v>
      </c>
    </row>
    <row r="518" spans="1:16">
      <c r="A518" s="937"/>
      <c r="B518" s="937" t="str" cm="1">
        <f t="array" ref="B518">IF(P518="","",_xlfn.XLOOKUP(P518&amp;"",'Units Data'!$I$6:$I$10000&amp;"",'Units Data'!$C$6:$C$10000,"غير موجود",0))</f>
        <v>غير موجود</v>
      </c>
      <c r="C518" s="937" t="str" cm="1">
        <f t="array" ref="C518">IF(P518="","",_xlfn.XLOOKUP(P518&amp;"",'Units Data'!$I$6:$I$10000&amp;"",'Units Data'!$B$6:$B$10000,"غير موجود",0))</f>
        <v>غير موجود</v>
      </c>
      <c r="D518" s="940">
        <v>24523584</v>
      </c>
      <c r="E518" s="941" t="s">
        <v>1076</v>
      </c>
      <c r="F518" s="941" t="s">
        <v>1077</v>
      </c>
      <c r="G518" s="941" t="s">
        <v>1078</v>
      </c>
      <c r="H518" s="941" t="s">
        <v>1083</v>
      </c>
      <c r="I518" s="941">
        <v>1000</v>
      </c>
      <c r="J518" s="944">
        <v>45703</v>
      </c>
      <c r="K518" s="944">
        <v>45700</v>
      </c>
      <c r="L518" s="941" t="s">
        <v>1191</v>
      </c>
      <c r="M518" s="941"/>
      <c r="N518" s="941" t="s">
        <v>1356</v>
      </c>
      <c r="O518" s="941" t="s">
        <v>1122</v>
      </c>
      <c r="P518" s="941" t="s">
        <v>1193</v>
      </c>
    </row>
    <row r="519" spans="1:16">
      <c r="A519" s="937"/>
      <c r="B519" s="937" t="str" cm="1">
        <f t="array" ref="B519">IF(P519="","",_xlfn.XLOOKUP(P519&amp;"",'Units Data'!$I$6:$I$10000&amp;"",'Units Data'!$C$6:$C$10000,"غير موجود",0))</f>
        <v>غير موجود</v>
      </c>
      <c r="C519" s="937" t="str" cm="1">
        <f t="array" ref="C519">IF(P519="","",_xlfn.XLOOKUP(P519&amp;"",'Units Data'!$I$6:$I$10000&amp;"",'Units Data'!$B$6:$B$10000,"غير موجود",0))</f>
        <v>غير موجود</v>
      </c>
      <c r="D519" s="940">
        <v>24520355</v>
      </c>
      <c r="E519" s="941" t="s">
        <v>1076</v>
      </c>
      <c r="F519" s="941" t="s">
        <v>1077</v>
      </c>
      <c r="G519" s="941" t="s">
        <v>1078</v>
      </c>
      <c r="H519" s="941" t="s">
        <v>1083</v>
      </c>
      <c r="I519" s="941">
        <v>2000</v>
      </c>
      <c r="J519" s="944">
        <v>45703</v>
      </c>
      <c r="K519" s="944">
        <v>45700</v>
      </c>
      <c r="L519" s="941" t="s">
        <v>1227</v>
      </c>
      <c r="M519" s="941"/>
      <c r="N519" s="941" t="s">
        <v>1363</v>
      </c>
      <c r="O519" s="941" t="s">
        <v>1122</v>
      </c>
      <c r="P519" s="941" t="s">
        <v>1229</v>
      </c>
    </row>
    <row r="520" spans="1:16">
      <c r="A520" s="937"/>
      <c r="B520" s="937" t="str" cm="1">
        <f t="array" ref="B520">IF(P520="","",_xlfn.XLOOKUP(P520&amp;"",'Units Data'!$I$6:$I$10000&amp;"",'Units Data'!$C$6:$C$10000,"غير موجود",0))</f>
        <v>غير موجود</v>
      </c>
      <c r="C520" s="937" t="str" cm="1">
        <f t="array" ref="C520">IF(P520="","",_xlfn.XLOOKUP(P520&amp;"",'Units Data'!$I$6:$I$10000&amp;"",'Units Data'!$B$6:$B$10000,"غير موجود",0))</f>
        <v>غير موجود</v>
      </c>
      <c r="D520" s="940">
        <v>24225682</v>
      </c>
      <c r="E520" s="941" t="s">
        <v>1076</v>
      </c>
      <c r="F520" s="941" t="s">
        <v>1077</v>
      </c>
      <c r="G520" s="941" t="s">
        <v>1078</v>
      </c>
      <c r="H520" s="941" t="s">
        <v>1083</v>
      </c>
      <c r="I520" s="941">
        <v>1000</v>
      </c>
      <c r="J520" s="944">
        <v>45693</v>
      </c>
      <c r="K520" s="944">
        <v>45691</v>
      </c>
      <c r="L520" s="941" t="s">
        <v>1437</v>
      </c>
      <c r="M520" s="941"/>
      <c r="N520" s="941" t="s">
        <v>1438</v>
      </c>
      <c r="O520" s="941" t="s">
        <v>1122</v>
      </c>
      <c r="P520" s="941" t="s">
        <v>1439</v>
      </c>
    </row>
    <row r="521" spans="1:16">
      <c r="A521" s="937"/>
      <c r="B521" s="937" t="str" cm="1">
        <f t="array" ref="B521">IF(P521="","",_xlfn.XLOOKUP(P521&amp;"",'Units Data'!$I$6:$I$10000&amp;"",'Units Data'!$C$6:$C$10000,"غير موجود",0))</f>
        <v>غير موجود</v>
      </c>
      <c r="C521" s="937" t="str" cm="1">
        <f t="array" ref="C521">IF(P521="","",_xlfn.XLOOKUP(P521&amp;"",'Units Data'!$I$6:$I$10000&amp;"",'Units Data'!$B$6:$B$10000,"غير موجود",0))</f>
        <v>غير موجود</v>
      </c>
      <c r="D521" s="940">
        <v>24149400</v>
      </c>
      <c r="E521" s="941" t="s">
        <v>1076</v>
      </c>
      <c r="F521" s="941" t="s">
        <v>1077</v>
      </c>
      <c r="G521" s="941" t="s">
        <v>1078</v>
      </c>
      <c r="H521" s="941" t="s">
        <v>1079</v>
      </c>
      <c r="I521" s="941">
        <v>1000</v>
      </c>
      <c r="J521" s="944">
        <v>45692</v>
      </c>
      <c r="K521" s="944">
        <v>45689</v>
      </c>
      <c r="L521" s="941" t="s">
        <v>1120</v>
      </c>
      <c r="M521" s="941"/>
      <c r="N521" s="941" t="s">
        <v>1364</v>
      </c>
      <c r="O521" s="941" t="s">
        <v>1122</v>
      </c>
      <c r="P521" s="941" t="s">
        <v>1123</v>
      </c>
    </row>
    <row r="522" spans="1:16">
      <c r="A522" s="937"/>
      <c r="B522" s="937" t="str" cm="1">
        <f t="array" ref="B522">IF(P522="","",_xlfn.XLOOKUP(P522&amp;"",'Units Data'!$I$6:$I$10000&amp;"",'Units Data'!$C$6:$C$10000,"غير موجود",0))</f>
        <v>غير موجود</v>
      </c>
      <c r="C522" s="937" t="str" cm="1">
        <f t="array" ref="C522">IF(P522="","",_xlfn.XLOOKUP(P522&amp;"",'Units Data'!$I$6:$I$10000&amp;"",'Units Data'!$B$6:$B$10000,"غير موجود",0))</f>
        <v>غير موجود</v>
      </c>
      <c r="D522" s="940">
        <v>24120036</v>
      </c>
      <c r="E522" s="941" t="s">
        <v>1076</v>
      </c>
      <c r="F522" s="941" t="s">
        <v>1077</v>
      </c>
      <c r="G522" s="941" t="s">
        <v>1078</v>
      </c>
      <c r="H522" s="941" t="s">
        <v>1079</v>
      </c>
      <c r="I522" s="941">
        <v>1000</v>
      </c>
      <c r="J522" s="944">
        <v>45691</v>
      </c>
      <c r="K522" s="944">
        <v>45689</v>
      </c>
      <c r="L522" s="941" t="s">
        <v>1304</v>
      </c>
      <c r="M522" s="941"/>
      <c r="N522" s="941" t="s">
        <v>1351</v>
      </c>
      <c r="O522" s="941" t="s">
        <v>1122</v>
      </c>
      <c r="P522" s="941" t="s">
        <v>1306</v>
      </c>
    </row>
    <row r="523" spans="1:16">
      <c r="A523" s="937"/>
      <c r="B523" s="937" t="str" cm="1">
        <f t="array" ref="B523">IF(P523="","",_xlfn.XLOOKUP(P523&amp;"",'Units Data'!$I$6:$I$10000&amp;"",'Units Data'!$C$6:$C$10000,"غير موجود",0))</f>
        <v>غير موجود</v>
      </c>
      <c r="C523" s="937" t="str" cm="1">
        <f t="array" ref="C523">IF(P523="","",_xlfn.XLOOKUP(P523&amp;"",'Units Data'!$I$6:$I$10000&amp;"",'Units Data'!$B$6:$B$10000,"غير موجود",0))</f>
        <v>غير موجود</v>
      </c>
      <c r="D523" s="940">
        <v>24105392</v>
      </c>
      <c r="E523" s="941" t="s">
        <v>1076</v>
      </c>
      <c r="F523" s="941" t="s">
        <v>1077</v>
      </c>
      <c r="G523" s="941" t="s">
        <v>1078</v>
      </c>
      <c r="H523" s="941" t="s">
        <v>1079</v>
      </c>
      <c r="I523" s="941">
        <v>1000</v>
      </c>
      <c r="J523" s="944">
        <v>45691</v>
      </c>
      <c r="K523" s="944">
        <v>45688</v>
      </c>
      <c r="L523" s="941" t="s">
        <v>1423</v>
      </c>
      <c r="M523" s="941"/>
      <c r="N523" s="941" t="s">
        <v>1424</v>
      </c>
      <c r="O523" s="941" t="s">
        <v>1122</v>
      </c>
      <c r="P523" s="941" t="s">
        <v>1425</v>
      </c>
    </row>
    <row r="524" spans="1:16">
      <c r="A524" s="937"/>
      <c r="B524" s="937" t="str" cm="1">
        <f t="array" ref="B524">IF(P524="","",_xlfn.XLOOKUP(P524&amp;"",'Units Data'!$I$6:$I$10000&amp;"",'Units Data'!$C$6:$C$10000,"غير موجود",0))</f>
        <v>غير موجود</v>
      </c>
      <c r="C524" s="937" t="str" cm="1">
        <f t="array" ref="C524">IF(P524="","",_xlfn.XLOOKUP(P524&amp;"",'Units Data'!$I$6:$I$10000&amp;"",'Units Data'!$B$6:$B$10000,"غير موجود",0))</f>
        <v>غير موجود</v>
      </c>
      <c r="D524" s="940">
        <v>24104923</v>
      </c>
      <c r="E524" s="941" t="s">
        <v>1076</v>
      </c>
      <c r="F524" s="941" t="s">
        <v>1077</v>
      </c>
      <c r="G524" s="941" t="s">
        <v>1078</v>
      </c>
      <c r="H524" s="941" t="s">
        <v>1079</v>
      </c>
      <c r="I524" s="941">
        <v>1000</v>
      </c>
      <c r="J524" s="944">
        <v>45691</v>
      </c>
      <c r="K524" s="944">
        <v>45688</v>
      </c>
      <c r="L524" s="941" t="s">
        <v>1423</v>
      </c>
      <c r="M524" s="941"/>
      <c r="N524" s="941" t="s">
        <v>1424</v>
      </c>
      <c r="O524" s="941" t="s">
        <v>1122</v>
      </c>
      <c r="P524" s="941" t="s">
        <v>1425</v>
      </c>
    </row>
    <row r="525" spans="1:16">
      <c r="A525" s="937"/>
      <c r="B525" s="937" t="str" cm="1">
        <f t="array" ref="B525">IF(P525="","",_xlfn.XLOOKUP(P525&amp;"",'Units Data'!$I$6:$I$10000&amp;"",'Units Data'!$C$6:$C$10000,"غير موجود",0))</f>
        <v>غير موجود</v>
      </c>
      <c r="C525" s="937" t="str" cm="1">
        <f t="array" ref="C525">IF(P525="","",_xlfn.XLOOKUP(P525&amp;"",'Units Data'!$I$6:$I$10000&amp;"",'Units Data'!$B$6:$B$10000,"غير موجود",0))</f>
        <v>غير موجود</v>
      </c>
      <c r="D525" s="940">
        <v>23949158</v>
      </c>
      <c r="E525" s="941" t="s">
        <v>1076</v>
      </c>
      <c r="F525" s="941" t="s">
        <v>1077</v>
      </c>
      <c r="G525" s="941" t="s">
        <v>1078</v>
      </c>
      <c r="H525" s="941" t="s">
        <v>1083</v>
      </c>
      <c r="I525" s="941">
        <v>1000</v>
      </c>
      <c r="J525" s="944">
        <v>45687</v>
      </c>
      <c r="K525" s="944">
        <v>45685</v>
      </c>
      <c r="L525" s="941" t="s">
        <v>1431</v>
      </c>
      <c r="M525" s="941"/>
      <c r="N525" s="941" t="s">
        <v>1432</v>
      </c>
      <c r="O525" s="941" t="s">
        <v>1122</v>
      </c>
      <c r="P525" s="941" t="s">
        <v>1433</v>
      </c>
    </row>
    <row r="526" spans="1:16">
      <c r="A526" s="937"/>
      <c r="B526" s="937" t="str" cm="1">
        <f t="array" ref="B526">IF(P526="","",_xlfn.XLOOKUP(P526&amp;"",'Units Data'!$I$6:$I$10000&amp;"",'Units Data'!$C$6:$C$10000,"غير موجود",0))</f>
        <v>غير موجود</v>
      </c>
      <c r="C526" s="937" t="str" cm="1">
        <f t="array" ref="C526">IF(P526="","",_xlfn.XLOOKUP(P526&amp;"",'Units Data'!$I$6:$I$10000&amp;"",'Units Data'!$B$6:$B$10000,"غير موجود",0))</f>
        <v>غير موجود</v>
      </c>
      <c r="D526" s="940">
        <v>23928089</v>
      </c>
      <c r="E526" s="941" t="s">
        <v>1076</v>
      </c>
      <c r="F526" s="941" t="s">
        <v>1077</v>
      </c>
      <c r="G526" s="941" t="s">
        <v>1078</v>
      </c>
      <c r="H526" s="941" t="s">
        <v>1079</v>
      </c>
      <c r="I526" s="941">
        <v>1300</v>
      </c>
      <c r="J526" s="944">
        <v>45686</v>
      </c>
      <c r="K526" s="944">
        <v>45684</v>
      </c>
      <c r="L526" s="941" t="s">
        <v>1443</v>
      </c>
      <c r="M526" s="941"/>
      <c r="N526" s="941" t="s">
        <v>1444</v>
      </c>
      <c r="O526" s="941" t="s">
        <v>1122</v>
      </c>
      <c r="P526" s="941" t="s">
        <v>1445</v>
      </c>
    </row>
    <row r="527" spans="1:16">
      <c r="A527" s="937"/>
      <c r="B527" s="937" t="str" cm="1">
        <f t="array" ref="B527">IF(P527="","",_xlfn.XLOOKUP(P527&amp;"",'Units Data'!$I$6:$I$10000&amp;"",'Units Data'!$C$6:$C$10000,"غير موجود",0))</f>
        <v>غير موجود</v>
      </c>
      <c r="C527" s="937" t="str" cm="1">
        <f t="array" ref="C527">IF(P527="","",_xlfn.XLOOKUP(P527&amp;"",'Units Data'!$I$6:$I$10000&amp;"",'Units Data'!$B$6:$B$10000,"غير موجود",0))</f>
        <v>غير موجود</v>
      </c>
      <c r="D527" s="940">
        <v>23888054</v>
      </c>
      <c r="E527" s="941" t="s">
        <v>1076</v>
      </c>
      <c r="F527" s="941" t="s">
        <v>1077</v>
      </c>
      <c r="G527" s="941" t="s">
        <v>1078</v>
      </c>
      <c r="H527" s="941" t="s">
        <v>1079</v>
      </c>
      <c r="I527" s="941">
        <v>3000</v>
      </c>
      <c r="J527" s="944">
        <v>45686</v>
      </c>
      <c r="K527" s="944">
        <v>45684</v>
      </c>
      <c r="L527" s="941" t="s">
        <v>1380</v>
      </c>
      <c r="M527" s="941"/>
      <c r="N527" s="941" t="s">
        <v>1381</v>
      </c>
      <c r="O527" s="941" t="s">
        <v>1161</v>
      </c>
      <c r="P527" s="941" t="s">
        <v>1382</v>
      </c>
    </row>
    <row r="528" spans="1:16">
      <c r="A528" s="937"/>
      <c r="B528" s="937" t="str" cm="1">
        <f t="array" ref="B528">IF(P528="","",_xlfn.XLOOKUP(P528&amp;"",'Units Data'!$I$6:$I$10000&amp;"",'Units Data'!$C$6:$C$10000,"غير موجود",0))</f>
        <v>غير موجود</v>
      </c>
      <c r="C528" s="937" t="str" cm="1">
        <f t="array" ref="C528">IF(P528="","",_xlfn.XLOOKUP(P528&amp;"",'Units Data'!$I$6:$I$10000&amp;"",'Units Data'!$B$6:$B$10000,"غير موجود",0))</f>
        <v>غير موجود</v>
      </c>
      <c r="D528" s="940">
        <v>23849809</v>
      </c>
      <c r="E528" s="941" t="s">
        <v>1076</v>
      </c>
      <c r="F528" s="941" t="s">
        <v>1077</v>
      </c>
      <c r="G528" s="941" t="s">
        <v>1078</v>
      </c>
      <c r="H528" s="941" t="s">
        <v>1079</v>
      </c>
      <c r="I528" s="941">
        <v>2600</v>
      </c>
      <c r="J528" s="944">
        <v>45684</v>
      </c>
      <c r="K528" s="944">
        <v>45683</v>
      </c>
      <c r="L528" s="941" t="s">
        <v>1443</v>
      </c>
      <c r="M528" s="941"/>
      <c r="N528" s="941" t="s">
        <v>1446</v>
      </c>
      <c r="O528" s="941" t="s">
        <v>1122</v>
      </c>
      <c r="P528" s="941" t="s">
        <v>1447</v>
      </c>
    </row>
    <row r="529" spans="1:16">
      <c r="A529" s="937"/>
      <c r="B529" s="937" t="str" cm="1">
        <f t="array" ref="B529">IF(P529="","",_xlfn.XLOOKUP(P529&amp;"",'Units Data'!$I$6:$I$10000&amp;"",'Units Data'!$C$6:$C$10000,"غير موجود",0))</f>
        <v>غير موجود</v>
      </c>
      <c r="C529" s="937" t="str" cm="1">
        <f t="array" ref="C529">IF(P529="","",_xlfn.XLOOKUP(P529&amp;"",'Units Data'!$I$6:$I$10000&amp;"",'Units Data'!$B$6:$B$10000,"غير موجود",0))</f>
        <v>غير موجود</v>
      </c>
      <c r="D529" s="940">
        <v>23820306</v>
      </c>
      <c r="E529" s="941" t="s">
        <v>1076</v>
      </c>
      <c r="F529" s="941" t="s">
        <v>1077</v>
      </c>
      <c r="G529" s="941" t="s">
        <v>1078</v>
      </c>
      <c r="H529" s="941" t="s">
        <v>1079</v>
      </c>
      <c r="I529" s="941">
        <v>3000</v>
      </c>
      <c r="J529" s="944">
        <v>45683</v>
      </c>
      <c r="K529" s="944">
        <v>45682</v>
      </c>
      <c r="L529" s="941" t="s">
        <v>1440</v>
      </c>
      <c r="M529" s="941"/>
      <c r="N529" s="941" t="s">
        <v>1441</v>
      </c>
      <c r="O529" s="941" t="s">
        <v>1161</v>
      </c>
      <c r="P529" s="941" t="s">
        <v>1442</v>
      </c>
    </row>
    <row r="530" spans="1:16">
      <c r="A530" s="937"/>
      <c r="B530" s="937" t="str" cm="1">
        <f t="array" ref="B530">IF(P530="","",_xlfn.XLOOKUP(P530&amp;"",'Units Data'!$I$6:$I$10000&amp;"",'Units Data'!$C$6:$C$10000,"غير موجود",0))</f>
        <v>غير موجود</v>
      </c>
      <c r="C530" s="937" t="str" cm="1">
        <f t="array" ref="C530">IF(P530="","",_xlfn.XLOOKUP(P530&amp;"",'Units Data'!$I$6:$I$10000&amp;"",'Units Data'!$B$6:$B$10000,"غير موجود",0))</f>
        <v>غير موجود</v>
      </c>
      <c r="D530" s="940">
        <v>23736081</v>
      </c>
      <c r="E530" s="941" t="s">
        <v>1076</v>
      </c>
      <c r="F530" s="941" t="s">
        <v>1077</v>
      </c>
      <c r="G530" s="941" t="s">
        <v>1078</v>
      </c>
      <c r="H530" s="941" t="s">
        <v>1083</v>
      </c>
      <c r="I530" s="941">
        <v>1000</v>
      </c>
      <c r="J530" s="944">
        <v>45679</v>
      </c>
      <c r="K530" s="944">
        <v>45677</v>
      </c>
      <c r="L530" s="941" t="s">
        <v>1153</v>
      </c>
      <c r="M530" s="941"/>
      <c r="N530" s="941" t="s">
        <v>1355</v>
      </c>
      <c r="O530" s="941" t="s">
        <v>1122</v>
      </c>
      <c r="P530" s="941" t="s">
        <v>1155</v>
      </c>
    </row>
    <row r="531" spans="1:16">
      <c r="A531" s="937"/>
      <c r="B531" s="937" t="str" cm="1">
        <f t="array" ref="B531">IF(P531="","",_xlfn.XLOOKUP(P531&amp;"",'Units Data'!$I$6:$I$10000&amp;"",'Units Data'!$C$6:$C$10000,"غير موجود",0))</f>
        <v>غير موجود</v>
      </c>
      <c r="C531" s="937" t="str" cm="1">
        <f t="array" ref="C531">IF(P531="","",_xlfn.XLOOKUP(P531&amp;"",'Units Data'!$I$6:$I$10000&amp;"",'Units Data'!$B$6:$B$10000,"غير موجود",0))</f>
        <v>غير موجود</v>
      </c>
      <c r="D531" s="940">
        <v>23688292</v>
      </c>
      <c r="E531" s="941" t="s">
        <v>1076</v>
      </c>
      <c r="F531" s="941" t="s">
        <v>1077</v>
      </c>
      <c r="G531" s="941" t="s">
        <v>1078</v>
      </c>
      <c r="H531" s="941" t="s">
        <v>1079</v>
      </c>
      <c r="I531" s="941">
        <v>5200</v>
      </c>
      <c r="J531" s="944">
        <v>45677</v>
      </c>
      <c r="K531" s="944">
        <v>45676</v>
      </c>
      <c r="L531" s="941" t="s">
        <v>1443</v>
      </c>
      <c r="M531" s="941"/>
      <c r="N531" s="941" t="s">
        <v>1448</v>
      </c>
      <c r="O531" s="941" t="s">
        <v>1122</v>
      </c>
      <c r="P531" s="941" t="s">
        <v>1449</v>
      </c>
    </row>
    <row r="532" spans="1:16">
      <c r="A532" s="937"/>
      <c r="B532" s="937" t="str" cm="1">
        <f t="array" ref="B532">IF(P532="","",_xlfn.XLOOKUP(P532&amp;"",'Units Data'!$I$6:$I$10000&amp;"",'Units Data'!$C$6:$C$10000,"غير موجود",0))</f>
        <v>غير موجود</v>
      </c>
      <c r="C532" s="937" t="str" cm="1">
        <f t="array" ref="C532">IF(P532="","",_xlfn.XLOOKUP(P532&amp;"",'Units Data'!$I$6:$I$10000&amp;"",'Units Data'!$B$6:$B$10000,"غير موجود",0))</f>
        <v>غير موجود</v>
      </c>
      <c r="D532" s="940">
        <v>23520111</v>
      </c>
      <c r="E532" s="941" t="s">
        <v>1076</v>
      </c>
      <c r="F532" s="941" t="s">
        <v>1077</v>
      </c>
      <c r="G532" s="941" t="s">
        <v>1078</v>
      </c>
      <c r="H532" s="941" t="s">
        <v>1079</v>
      </c>
      <c r="I532" s="941">
        <v>1000</v>
      </c>
      <c r="J532" s="944">
        <v>45670</v>
      </c>
      <c r="K532" s="944">
        <v>45669</v>
      </c>
      <c r="L532" s="941" t="s">
        <v>1423</v>
      </c>
      <c r="M532" s="941"/>
      <c r="N532" s="941" t="s">
        <v>1450</v>
      </c>
      <c r="O532" s="941" t="s">
        <v>1122</v>
      </c>
      <c r="P532" s="941" t="s">
        <v>1451</v>
      </c>
    </row>
    <row r="533" spans="1:16">
      <c r="A533" s="937"/>
      <c r="B533" s="937" t="str" cm="1">
        <f t="array" ref="B533">IF(P533="","",_xlfn.XLOOKUP(P533&amp;"",'Units Data'!$I$6:$I$10000&amp;"",'Units Data'!$C$6:$C$10000,"غير موجود",0))</f>
        <v>غير موجود</v>
      </c>
      <c r="C533" s="937" t="str" cm="1">
        <f t="array" ref="C533">IF(P533="","",_xlfn.XLOOKUP(P533&amp;"",'Units Data'!$I$6:$I$10000&amp;"",'Units Data'!$B$6:$B$10000,"غير موجود",0))</f>
        <v>غير موجود</v>
      </c>
      <c r="D533" s="940">
        <v>23338682</v>
      </c>
      <c r="E533" s="941" t="s">
        <v>1076</v>
      </c>
      <c r="F533" s="941" t="s">
        <v>1077</v>
      </c>
      <c r="G533" s="941" t="s">
        <v>1078</v>
      </c>
      <c r="H533" s="941" t="s">
        <v>1079</v>
      </c>
      <c r="I533" s="941">
        <v>1000</v>
      </c>
      <c r="J533" s="944">
        <v>45664</v>
      </c>
      <c r="K533" s="944">
        <v>45663</v>
      </c>
      <c r="L533" s="941" t="s">
        <v>1191</v>
      </c>
      <c r="M533" s="941"/>
      <c r="N533" s="941" t="s">
        <v>1356</v>
      </c>
      <c r="O533" s="941" t="s">
        <v>1122</v>
      </c>
      <c r="P533" s="941" t="s">
        <v>1193</v>
      </c>
    </row>
    <row r="534" spans="1:16">
      <c r="A534" s="937"/>
      <c r="B534" s="937" t="str" cm="1">
        <f t="array" ref="B534">IF(P534="","",_xlfn.XLOOKUP(P534&amp;"",'Units Data'!$I$6:$I$10000&amp;"",'Units Data'!$C$6:$C$10000,"غير موجود",0))</f>
        <v>غير موجود</v>
      </c>
      <c r="C534" s="937" t="str" cm="1">
        <f t="array" ref="C534">IF(P534="","",_xlfn.XLOOKUP(P534&amp;"",'Units Data'!$I$6:$I$10000&amp;"",'Units Data'!$B$6:$B$10000,"غير موجود",0))</f>
        <v>غير موجود</v>
      </c>
      <c r="D534" s="940">
        <v>23265194</v>
      </c>
      <c r="E534" s="941" t="s">
        <v>1076</v>
      </c>
      <c r="F534" s="941" t="s">
        <v>1077</v>
      </c>
      <c r="G534" s="941" t="s">
        <v>1078</v>
      </c>
      <c r="H534" s="941" t="s">
        <v>1079</v>
      </c>
      <c r="I534" s="941">
        <v>1000</v>
      </c>
      <c r="J534" s="944">
        <v>45663</v>
      </c>
      <c r="K534" s="944">
        <v>45661</v>
      </c>
      <c r="L534" s="941" t="s">
        <v>1120</v>
      </c>
      <c r="M534" s="941"/>
      <c r="N534" s="941" t="s">
        <v>1364</v>
      </c>
      <c r="O534" s="941" t="s">
        <v>1122</v>
      </c>
      <c r="P534" s="941" t="s">
        <v>1123</v>
      </c>
    </row>
    <row r="535" spans="1:16">
      <c r="A535" s="937"/>
      <c r="B535" s="937" t="str" cm="1">
        <f t="array" ref="B535">IF(P535="","",_xlfn.XLOOKUP(P535&amp;"",'Units Data'!$I$6:$I$10000&amp;"",'Units Data'!$C$6:$C$10000,"غير موجود",0))</f>
        <v>غير موجود</v>
      </c>
      <c r="C535" s="937" t="str" cm="1">
        <f t="array" ref="C535">IF(P535="","",_xlfn.XLOOKUP(P535&amp;"",'Units Data'!$I$6:$I$10000&amp;"",'Units Data'!$B$6:$B$10000,"غير موجود",0))</f>
        <v>غير موجود</v>
      </c>
      <c r="D535" s="940">
        <v>23144510</v>
      </c>
      <c r="E535" s="941" t="s">
        <v>1076</v>
      </c>
      <c r="F535" s="941" t="s">
        <v>1077</v>
      </c>
      <c r="G535" s="941" t="s">
        <v>1078</v>
      </c>
      <c r="H535" s="941" t="s">
        <v>1079</v>
      </c>
      <c r="I535" s="941">
        <v>1000</v>
      </c>
      <c r="J535" s="944">
        <v>45660</v>
      </c>
      <c r="K535" s="944">
        <v>45658</v>
      </c>
      <c r="L535" s="941" t="s">
        <v>1365</v>
      </c>
      <c r="M535" s="941"/>
      <c r="N535" s="941" t="s">
        <v>1366</v>
      </c>
      <c r="O535" s="941" t="s">
        <v>1122</v>
      </c>
      <c r="P535" s="941" t="s">
        <v>1367</v>
      </c>
    </row>
    <row r="536" spans="1:16">
      <c r="A536" s="937"/>
      <c r="B536" s="937" t="str" cm="1">
        <f t="array" ref="B536">IF(P536="","",_xlfn.XLOOKUP(P536&amp;"",'Units Data'!$I$6:$I$10000&amp;"",'Units Data'!$C$6:$C$10000,"غير موجود",0))</f>
        <v>غير موجود</v>
      </c>
      <c r="C536" s="937" t="str" cm="1">
        <f t="array" ref="C536">IF(P536="","",_xlfn.XLOOKUP(P536&amp;"",'Units Data'!$I$6:$I$10000&amp;"",'Units Data'!$B$6:$B$10000,"غير موجود",0))</f>
        <v>غير موجود</v>
      </c>
      <c r="D536" s="940">
        <v>22849376</v>
      </c>
      <c r="E536" s="941" t="s">
        <v>1076</v>
      </c>
      <c r="F536" s="941" t="s">
        <v>1077</v>
      </c>
      <c r="G536" s="941" t="s">
        <v>1078</v>
      </c>
      <c r="H536" s="941" t="s">
        <v>1079</v>
      </c>
      <c r="I536" s="941">
        <v>3000</v>
      </c>
      <c r="J536" s="944">
        <v>45652</v>
      </c>
      <c r="K536" s="944">
        <v>45651</v>
      </c>
      <c r="L536" s="941" t="s">
        <v>1380</v>
      </c>
      <c r="M536" s="941"/>
      <c r="N536" s="941" t="s">
        <v>1381</v>
      </c>
      <c r="O536" s="941" t="s">
        <v>1161</v>
      </c>
      <c r="P536" s="941" t="s">
        <v>1382</v>
      </c>
    </row>
    <row r="537" spans="1:16">
      <c r="A537" s="937"/>
      <c r="B537" s="937" t="str" cm="1">
        <f t="array" ref="B537">IF(P537="","",_xlfn.XLOOKUP(P537&amp;"",'Units Data'!$I$6:$I$10000&amp;"",'Units Data'!$C$6:$C$10000,"غير موجود",0))</f>
        <v>غير موجود</v>
      </c>
      <c r="C537" s="937" t="str" cm="1">
        <f t="array" ref="C537">IF(P537="","",_xlfn.XLOOKUP(P537&amp;"",'Units Data'!$I$6:$I$10000&amp;"",'Units Data'!$B$6:$B$10000,"غير موجود",0))</f>
        <v>غير موجود</v>
      </c>
      <c r="D537" s="940">
        <v>22849246</v>
      </c>
      <c r="E537" s="941" t="s">
        <v>1076</v>
      </c>
      <c r="F537" s="941" t="s">
        <v>1077</v>
      </c>
      <c r="G537" s="941" t="s">
        <v>1078</v>
      </c>
      <c r="H537" s="941" t="s">
        <v>1079</v>
      </c>
      <c r="I537" s="941">
        <v>3000</v>
      </c>
      <c r="J537" s="944">
        <v>45652</v>
      </c>
      <c r="K537" s="944">
        <v>45651</v>
      </c>
      <c r="L537" s="941" t="s">
        <v>1440</v>
      </c>
      <c r="M537" s="941"/>
      <c r="N537" s="941" t="s">
        <v>1441</v>
      </c>
      <c r="O537" s="941" t="s">
        <v>1161</v>
      </c>
      <c r="P537" s="941" t="s">
        <v>1442</v>
      </c>
    </row>
    <row r="538" spans="1:16">
      <c r="A538" s="937"/>
      <c r="B538" s="937" t="str" cm="1">
        <f t="array" ref="B538">IF(P538="","",_xlfn.XLOOKUP(P538&amp;"",'Units Data'!$I$6:$I$10000&amp;"",'Units Data'!$C$6:$C$10000,"غير موجود",0))</f>
        <v>غير موجود</v>
      </c>
      <c r="C538" s="937" t="str" cm="1">
        <f t="array" ref="C538">IF(P538="","",_xlfn.XLOOKUP(P538&amp;"",'Units Data'!$I$6:$I$10000&amp;"",'Units Data'!$B$6:$B$10000,"غير موجود",0))</f>
        <v>غير موجود</v>
      </c>
      <c r="D538" s="940">
        <v>22054065</v>
      </c>
      <c r="E538" s="941" t="s">
        <v>1076</v>
      </c>
      <c r="F538" s="941" t="s">
        <v>1077</v>
      </c>
      <c r="G538" s="941" t="s">
        <v>1078</v>
      </c>
      <c r="H538" s="941" t="s">
        <v>1079</v>
      </c>
      <c r="I538" s="941">
        <v>3000</v>
      </c>
      <c r="J538" s="944">
        <v>45625</v>
      </c>
      <c r="K538" s="944">
        <v>45624</v>
      </c>
      <c r="L538" s="941" t="s">
        <v>1380</v>
      </c>
      <c r="M538" s="941"/>
      <c r="N538" s="941" t="s">
        <v>1381</v>
      </c>
      <c r="O538" s="941" t="s">
        <v>1161</v>
      </c>
      <c r="P538" s="941" t="s">
        <v>1382</v>
      </c>
    </row>
    <row r="539" spans="1:16">
      <c r="A539" s="937"/>
      <c r="B539" s="937" t="str" cm="1">
        <f t="array" ref="B539">IF(P539="","",_xlfn.XLOOKUP(P539&amp;"",'Units Data'!$I$6:$I$10000&amp;"",'Units Data'!$C$6:$C$10000,"غير موجود",0))</f>
        <v>غير موجود</v>
      </c>
      <c r="C539" s="937" t="str" cm="1">
        <f t="array" ref="C539">IF(P539="","",_xlfn.XLOOKUP(P539&amp;"",'Units Data'!$I$6:$I$10000&amp;"",'Units Data'!$B$6:$B$10000,"غير موجود",0))</f>
        <v>غير موجود</v>
      </c>
      <c r="D539" s="940">
        <v>21943671</v>
      </c>
      <c r="E539" s="941" t="s">
        <v>1076</v>
      </c>
      <c r="F539" s="941" t="s">
        <v>1077</v>
      </c>
      <c r="G539" s="941" t="s">
        <v>1078</v>
      </c>
      <c r="H539" s="941" t="s">
        <v>1079</v>
      </c>
      <c r="I539" s="941">
        <v>3000</v>
      </c>
      <c r="J539" s="944">
        <v>45622</v>
      </c>
      <c r="K539" s="944">
        <v>45621</v>
      </c>
      <c r="L539" s="941" t="s">
        <v>1440</v>
      </c>
      <c r="M539" s="941"/>
      <c r="N539" s="941" t="s">
        <v>1441</v>
      </c>
      <c r="O539" s="941" t="s">
        <v>1161</v>
      </c>
      <c r="P539" s="941" t="s">
        <v>1442</v>
      </c>
    </row>
    <row r="540" spans="1:16">
      <c r="A540" s="937"/>
      <c r="B540" s="937" t="str" cm="1">
        <f t="array" ref="B540">IF(P540="","",_xlfn.XLOOKUP(P540&amp;"",'Units Data'!$I$6:$I$10000&amp;"",'Units Data'!$C$6:$C$10000,"غير موجود",0))</f>
        <v>غير موجود</v>
      </c>
      <c r="C540" s="937" t="str" cm="1">
        <f t="array" ref="C540">IF(P540="","",_xlfn.XLOOKUP(P540&amp;"",'Units Data'!$I$6:$I$10000&amp;"",'Units Data'!$B$6:$B$10000,"غير موجود",0))</f>
        <v>غير موجود</v>
      </c>
      <c r="D540" s="940">
        <v>21816779</v>
      </c>
      <c r="E540" s="941" t="s">
        <v>1076</v>
      </c>
      <c r="F540" s="941" t="s">
        <v>1077</v>
      </c>
      <c r="G540" s="941" t="s">
        <v>1078</v>
      </c>
      <c r="H540" s="941" t="s">
        <v>1083</v>
      </c>
      <c r="I540" s="941">
        <v>24750</v>
      </c>
      <c r="J540" s="944">
        <v>45616</v>
      </c>
      <c r="K540" s="944">
        <v>45614</v>
      </c>
      <c r="L540" s="941" t="s">
        <v>1368</v>
      </c>
      <c r="M540" s="941"/>
      <c r="N540" s="941" t="s">
        <v>1369</v>
      </c>
      <c r="O540" s="941" t="s">
        <v>1111</v>
      </c>
      <c r="P540" s="941" t="s">
        <v>1370</v>
      </c>
    </row>
    <row r="541" spans="1:16">
      <c r="A541" s="937"/>
      <c r="B541" s="937" t="str" cm="1">
        <f t="array" ref="B541">IF(P541="","",_xlfn.XLOOKUP(P541&amp;"",'Units Data'!$I$6:$I$10000&amp;"",'Units Data'!$C$6:$C$10000,"غير موجود",0))</f>
        <v>غير موجود</v>
      </c>
      <c r="C541" s="937" t="str" cm="1">
        <f t="array" ref="C541">IF(P541="","",_xlfn.XLOOKUP(P541&amp;"",'Units Data'!$I$6:$I$10000&amp;"",'Units Data'!$B$6:$B$10000,"غير موجود",0))</f>
        <v>غير موجود</v>
      </c>
      <c r="D541" s="940">
        <v>18443294</v>
      </c>
      <c r="E541" s="941" t="s">
        <v>1076</v>
      </c>
      <c r="F541" s="941" t="s">
        <v>1077</v>
      </c>
      <c r="G541" s="941" t="s">
        <v>1078</v>
      </c>
      <c r="H541" s="941" t="s">
        <v>1079</v>
      </c>
      <c r="I541" s="941">
        <v>4000</v>
      </c>
      <c r="J541" s="944">
        <v>45496</v>
      </c>
      <c r="K541" s="944">
        <v>45491</v>
      </c>
      <c r="L541" s="941" t="s">
        <v>1452</v>
      </c>
      <c r="M541" s="941"/>
      <c r="N541" s="941" t="s">
        <v>1453</v>
      </c>
      <c r="O541" s="941" t="s">
        <v>1161</v>
      </c>
      <c r="P541" s="941" t="s">
        <v>1454</v>
      </c>
    </row>
    <row r="542" spans="1:16">
      <c r="A542" s="937"/>
      <c r="B542" s="937" t="str" cm="1">
        <f t="array" ref="B542">IF(P542="","",_xlfn.XLOOKUP(P542&amp;"",'Units Data'!$I$6:$I$10000&amp;"",'Units Data'!$C$6:$C$10000,"غير موجود",0))</f>
        <v>غير موجود</v>
      </c>
      <c r="C542" s="937" t="str" cm="1">
        <f t="array" ref="C542">IF(P542="","",_xlfn.XLOOKUP(P542&amp;"",'Units Data'!$I$6:$I$10000&amp;"",'Units Data'!$B$6:$B$10000,"غير موجود",0))</f>
        <v>غير موجود</v>
      </c>
      <c r="D542" s="940">
        <v>17641849</v>
      </c>
      <c r="E542" s="941" t="s">
        <v>1076</v>
      </c>
      <c r="F542" s="941" t="s">
        <v>1077</v>
      </c>
      <c r="G542" s="941" t="s">
        <v>1078</v>
      </c>
      <c r="H542" s="941" t="s">
        <v>1079</v>
      </c>
      <c r="I542" s="941">
        <v>4000</v>
      </c>
      <c r="J542" s="944">
        <v>45467</v>
      </c>
      <c r="K542" s="944">
        <v>45462</v>
      </c>
      <c r="L542" s="941" t="s">
        <v>1452</v>
      </c>
      <c r="M542" s="941"/>
      <c r="N542" s="941" t="s">
        <v>1453</v>
      </c>
      <c r="O542" s="941" t="s">
        <v>1161</v>
      </c>
      <c r="P542" s="941" t="s">
        <v>1454</v>
      </c>
    </row>
    <row r="543" spans="1:16">
      <c r="A543" s="937"/>
      <c r="B543" s="937" t="str" cm="1">
        <f t="array" ref="B543">IF(P543="","",_xlfn.XLOOKUP(P543&amp;"",'Units Data'!$I$6:$I$10000&amp;"",'Units Data'!$C$6:$C$10000,"غير موجود",0))</f>
        <v>غير موجود</v>
      </c>
      <c r="C543" s="937" t="str" cm="1">
        <f t="array" ref="C543">IF(P543="","",_xlfn.XLOOKUP(P543&amp;"",'Units Data'!$I$6:$I$10000&amp;"",'Units Data'!$B$6:$B$10000,"غير موجود",0))</f>
        <v>غير موجود</v>
      </c>
      <c r="D543" s="940">
        <v>16953083</v>
      </c>
      <c r="E543" s="941" t="s">
        <v>1076</v>
      </c>
      <c r="F543" s="941" t="s">
        <v>1077</v>
      </c>
      <c r="G543" s="941" t="s">
        <v>1078</v>
      </c>
      <c r="H543" s="941" t="s">
        <v>1079</v>
      </c>
      <c r="I543" s="941">
        <v>4000</v>
      </c>
      <c r="J543" s="944">
        <v>45434</v>
      </c>
      <c r="K543" s="944">
        <v>45431</v>
      </c>
      <c r="L543" s="941" t="s">
        <v>1452</v>
      </c>
      <c r="M543" s="941"/>
      <c r="N543" s="941" t="s">
        <v>1453</v>
      </c>
      <c r="O543" s="941" t="s">
        <v>1161</v>
      </c>
      <c r="P543" s="941" t="s">
        <v>1454</v>
      </c>
    </row>
    <row r="544" spans="1:16">
      <c r="A544" s="937"/>
      <c r="B544" s="937" t="str" cm="1">
        <f t="array" ref="B544">IF(P544="","",_xlfn.XLOOKUP(P544&amp;"",'Units Data'!$I$6:$I$10000&amp;"",'Units Data'!$C$6:$C$10000,"غير موجود",0))</f>
        <v>غير موجود</v>
      </c>
      <c r="C544" s="937" t="str" cm="1">
        <f t="array" ref="C544">IF(P544="","",_xlfn.XLOOKUP(P544&amp;"",'Units Data'!$I$6:$I$10000&amp;"",'Units Data'!$B$6:$B$10000,"غير موجود",0))</f>
        <v>غير موجود</v>
      </c>
      <c r="D544" s="942">
        <v>16256475</v>
      </c>
      <c r="E544" s="943" t="s">
        <v>1076</v>
      </c>
      <c r="F544" s="943" t="s">
        <v>1077</v>
      </c>
      <c r="G544" s="943" t="s">
        <v>1078</v>
      </c>
      <c r="H544" s="943" t="s">
        <v>1079</v>
      </c>
      <c r="I544" s="943">
        <v>4000</v>
      </c>
      <c r="J544" s="945">
        <v>45404</v>
      </c>
      <c r="K544" s="945">
        <v>45402</v>
      </c>
      <c r="L544" s="943" t="s">
        <v>1452</v>
      </c>
      <c r="M544" s="943" t="s">
        <v>1455</v>
      </c>
      <c r="N544" s="943" t="s">
        <v>1453</v>
      </c>
      <c r="O544" s="943" t="s">
        <v>1161</v>
      </c>
      <c r="P544" s="943" t="s">
        <v>1454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odule12.UpdateDates">
                <anchor moveWithCells="1" sizeWithCells="1">
                  <from>
                    <xdr:col>1</xdr:col>
                    <xdr:colOff>298450</xdr:colOff>
                    <xdr:row>1</xdr:row>
                    <xdr:rowOff>95250</xdr:rowOff>
                  </from>
                  <to>
                    <xdr:col>8</xdr:col>
                    <xdr:colOff>234950</xdr:colOff>
                    <xdr:row>3</xdr:row>
                    <xdr:rowOff>95250</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291F-E05E-4DD6-9AE4-51EC158C52AB}">
  <sheetPr codeName="ورقة33"/>
  <dimension ref="A6:P95"/>
  <sheetViews>
    <sheetView rightToLeft="1" zoomScale="89" workbookViewId="0">
      <selection activeCell="D8" sqref="D8"/>
    </sheetView>
  </sheetViews>
  <sheetFormatPr defaultRowHeight="15.5"/>
  <cols>
    <col min="1" max="1" width="5.3828125" style="737" bestFit="1" customWidth="1"/>
    <col min="2" max="2" width="8.4609375" style="737" bestFit="1" customWidth="1"/>
    <col min="3" max="3" width="8.61328125" style="737" bestFit="1" customWidth="1"/>
    <col min="4" max="4" width="12.921875" style="737" bestFit="1" customWidth="1"/>
    <col min="5" max="5" width="22.4609375" style="737" bestFit="1" customWidth="1"/>
    <col min="6" max="6" width="18.4609375" bestFit="1" customWidth="1"/>
    <col min="7" max="7" width="24.07421875" style="737" bestFit="1" customWidth="1"/>
    <col min="8" max="8" width="19.3046875" style="737" bestFit="1" customWidth="1"/>
    <col min="9" max="9" width="16.4609375" style="737" bestFit="1" customWidth="1"/>
    <col min="10" max="10" width="22" style="737" bestFit="1" customWidth="1"/>
    <col min="11" max="11" width="11.69140625" style="737" bestFit="1" customWidth="1"/>
    <col min="12" max="12" width="10.07421875" style="737" bestFit="1" customWidth="1"/>
    <col min="13" max="13" width="10.3046875" style="737" bestFit="1" customWidth="1"/>
    <col min="14" max="14" width="20.3828125" style="737" bestFit="1" customWidth="1"/>
    <col min="15" max="15" width="20.4609375" style="737" bestFit="1" customWidth="1"/>
    <col min="16" max="16" width="23.3828125" style="737" bestFit="1" customWidth="1"/>
    <col min="17" max="17" width="20.921875" style="737" customWidth="1"/>
    <col min="18" max="16384" width="9.23046875" style="737"/>
  </cols>
  <sheetData>
    <row r="6" spans="1:16">
      <c r="A6" s="737" t="s">
        <v>168</v>
      </c>
      <c r="B6" s="737" t="s">
        <v>27</v>
      </c>
      <c r="C6" s="737" t="s">
        <v>1</v>
      </c>
      <c r="D6" s="737" t="s">
        <v>887</v>
      </c>
      <c r="E6" s="737" t="s">
        <v>1456</v>
      </c>
      <c r="F6" s="737" t="s">
        <v>1457</v>
      </c>
      <c r="G6" s="737" t="s">
        <v>1458</v>
      </c>
      <c r="H6" s="737" t="s">
        <v>1459</v>
      </c>
      <c r="I6" s="737" t="s">
        <v>1460</v>
      </c>
      <c r="J6" s="737" t="s">
        <v>1461</v>
      </c>
      <c r="K6" s="737" t="s">
        <v>1462</v>
      </c>
      <c r="L6" s="737" t="s">
        <v>1463</v>
      </c>
      <c r="M6" s="737" t="s">
        <v>1464</v>
      </c>
      <c r="N6" s="737" t="s">
        <v>1465</v>
      </c>
      <c r="O6" s="737" t="s">
        <v>1466</v>
      </c>
      <c r="P6" s="737" t="s">
        <v>1467</v>
      </c>
    </row>
    <row r="7" spans="1:16">
      <c r="B7" s="948" t="str" cm="1">
        <f t="array" ref="B7">IF(G7="","",_xlfn.XLOOKUP(TRIM(G7&amp;""),TRIM('Units Data'!$I$7:$I$10000&amp;""),'Units Data'!$C$7:$C$10000,"خارجي",0))</f>
        <v>A</v>
      </c>
      <c r="C7" s="737" t="str" cm="1">
        <f t="array" ref="C7">IF(G7="","",_xlfn.XLOOKUP(TRIM(G7&amp;""),TRIM('Units Data'!$I$7:$I$10000&amp;""),'Units Data'!$B$7:$B$10000,"خارجي",0))</f>
        <v>A</v>
      </c>
      <c r="D7" s="737" t="str" cm="1">
        <f t="array" ref="D7">_xlfn.SWITCH(TRIM(E7),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IF(E7="","","غير محدد"))</f>
        <v>رسوم إيجار</v>
      </c>
      <c r="E7" s="737" t="s">
        <v>1468</v>
      </c>
      <c r="F7" s="737" t="s">
        <v>1566</v>
      </c>
      <c r="G7" s="737" t="s">
        <v>1567</v>
      </c>
      <c r="H7" s="737" t="s">
        <v>1085</v>
      </c>
      <c r="K7" s="737">
        <v>750</v>
      </c>
      <c r="L7" s="737" t="s">
        <v>1568</v>
      </c>
      <c r="N7" s="737">
        <v>1750</v>
      </c>
      <c r="O7" s="737">
        <v>47633487</v>
      </c>
    </row>
    <row r="8" spans="1:16">
      <c r="B8" s="737" t="str" cm="1">
        <f t="array" ref="B8">IF(G8="","",_xlfn.XLOOKUP(TRIM(G8&amp;""),TRIM('Units Data'!$I$7:$I$10000&amp;""),'Units Data'!$C$7:$C$10000,"خارجي",0))</f>
        <v>B</v>
      </c>
      <c r="C8" s="737" t="str" cm="1">
        <f t="array" ref="C8">IF(G8="","",_xlfn.XLOOKUP(TRIM(G8&amp;""),TRIM('Units Data'!$I$7:$I$10000&amp;""),'Units Data'!$B$7:$B$10000,"خارجي",0))</f>
        <v>R3</v>
      </c>
      <c r="D8" s="737" t="str" cm="1">
        <f t="array" ref="D8">_xlfn.SWITCH(TRIM(E8),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IF(E8="","","غير محدد"))</f>
        <v>حجز مبلغ</v>
      </c>
      <c r="E8" s="737" t="s">
        <v>499</v>
      </c>
      <c r="F8" s="737" t="s">
        <v>1469</v>
      </c>
      <c r="G8" s="737" t="s">
        <v>1470</v>
      </c>
      <c r="H8" s="737" t="s">
        <v>1092</v>
      </c>
      <c r="K8" s="737">
        <v>125</v>
      </c>
      <c r="L8" s="737" t="s">
        <v>1471</v>
      </c>
      <c r="N8" s="737">
        <v>1625</v>
      </c>
      <c r="O8" s="737">
        <v>0</v>
      </c>
    </row>
    <row r="9" spans="1:16">
      <c r="B9" s="948" t="str" cm="1">
        <f t="array" ref="B9">IF(G9="","",_xlfn.XLOOKUP(TRIM(G9&amp;""),TRIM('Units Data'!$I$7:$I$10000&amp;""),'Units Data'!$C$7:$C$10000,"خارجي",0))</f>
        <v>B</v>
      </c>
      <c r="C9" s="737" t="str" cm="1">
        <f t="array" ref="C9">IF(G9="","",_xlfn.XLOOKUP(TRIM(G9&amp;""),TRIM('Units Data'!$I$7:$I$10000&amp;""),'Units Data'!$B$7:$B$10000,"خارجي",0))</f>
        <v>B</v>
      </c>
      <c r="D9" s="737" t="str" cm="1">
        <f t="array" ref="D9">_xlfn.SWITCH(TRIM(E9),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IF(E9="","","غير محدد"))</f>
        <v>رسوم إيجار</v>
      </c>
      <c r="E9" s="737" t="s">
        <v>1468</v>
      </c>
      <c r="F9" s="737" t="s">
        <v>1561</v>
      </c>
      <c r="G9" s="737" t="s">
        <v>1562</v>
      </c>
      <c r="H9" s="737" t="s">
        <v>1092</v>
      </c>
      <c r="K9" s="948">
        <v>750</v>
      </c>
      <c r="L9" s="737" t="s">
        <v>1563</v>
      </c>
      <c r="N9" s="737">
        <v>1000</v>
      </c>
      <c r="O9" s="737">
        <v>47822330</v>
      </c>
    </row>
    <row r="10" spans="1:16">
      <c r="B10" s="948" t="str" cm="1">
        <f t="array" ref="B10">IF(G10="","",_xlfn.XLOOKUP(TRIM(G10&amp;""),TRIM('Units Data'!$I$7:$I$10000&amp;""),'Units Data'!$C$7:$C$10000,"خارجي",0))</f>
        <v>A</v>
      </c>
      <c r="C10" s="737" t="str" cm="1">
        <f t="array" ref="C10">IF(G10="","",_xlfn.XLOOKUP(TRIM(G10&amp;""),TRIM('Units Data'!$I$7:$I$10000&amp;""),'Units Data'!$B$7:$B$10000,"خارجي",0))</f>
        <v>S2</v>
      </c>
      <c r="D10" s="737" t="str" cm="1">
        <f t="array" ref="D10">_xlfn.SWITCH(TRIM(E10),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IF(E10="","","غير محدد"))</f>
        <v>رسوم إيجار</v>
      </c>
      <c r="E10" s="737" t="s">
        <v>1468</v>
      </c>
      <c r="F10" s="737" t="s">
        <v>1555</v>
      </c>
      <c r="G10" s="737" t="s">
        <v>1178</v>
      </c>
      <c r="H10" s="737" t="s">
        <v>1085</v>
      </c>
      <c r="K10" s="737">
        <v>125</v>
      </c>
      <c r="L10" s="737" t="s">
        <v>1556</v>
      </c>
      <c r="N10" s="737">
        <v>750</v>
      </c>
      <c r="O10" s="737">
        <v>48784842</v>
      </c>
    </row>
    <row r="11" spans="1:16">
      <c r="B11" s="737" cm="1">
        <f t="array" ref="B11">IF(G11="","",_xlfn.XLOOKUP(TRIM(G11&amp;""),TRIM('Units Data'!$I$7:$I$10000&amp;""),'Units Data'!$C$7:$C$10000,"خارجي",0))</f>
        <v>102</v>
      </c>
      <c r="C11" s="737" t="str" cm="1">
        <f t="array" ref="C11">IF(G11="","",_xlfn.XLOOKUP(TRIM(G11&amp;""),TRIM('Units Data'!$I$7:$I$10000&amp;""),'Units Data'!$B$7:$B$10000,"خارجي",0))</f>
        <v>S1</v>
      </c>
      <c r="D11" s="737" t="str" cm="1">
        <f t="array" ref="D11">_xlfn.SWITCH(TRIM(E11),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IF(E11="","","غير محدد"))</f>
        <v>حجز مبلغ</v>
      </c>
      <c r="E11" s="737" t="s">
        <v>499</v>
      </c>
      <c r="F11" s="737" t="s">
        <v>1475</v>
      </c>
      <c r="G11" s="737" t="s">
        <v>1476</v>
      </c>
      <c r="H11" s="737" t="s">
        <v>1477</v>
      </c>
      <c r="K11" s="737">
        <v>125</v>
      </c>
      <c r="L11" s="737" t="s">
        <v>1474</v>
      </c>
      <c r="N11" s="737">
        <v>1750</v>
      </c>
      <c r="O11" s="737">
        <v>0</v>
      </c>
    </row>
    <row r="12" spans="1:16">
      <c r="B12" s="948" t="str" cm="1">
        <f t="array" ref="B12">IF(G12="","",_xlfn.XLOOKUP(TRIM(G12&amp;""),TRIM('Units Data'!$I$7:$I$10000&amp;""),'Units Data'!$C$7:$C$10000,"خارجي",0))</f>
        <v>A</v>
      </c>
      <c r="C12" s="737" t="str" cm="1">
        <f t="array" ref="C12">IF(G12="","",_xlfn.XLOOKUP(TRIM(G12&amp;""),TRIM('Units Data'!$I$7:$I$10000&amp;""),'Units Data'!$B$7:$B$10000,"خارجي",0))</f>
        <v>F4</v>
      </c>
      <c r="D12" s="737" t="str" cm="1">
        <f t="array" ref="D12">_xlfn.SWITCH(TRIM(E12),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IF(E12="","","غير محدد"))</f>
        <v>رسوم إيجار</v>
      </c>
      <c r="E12" s="737" t="s">
        <v>1468</v>
      </c>
      <c r="F12" s="737" t="s">
        <v>1553</v>
      </c>
      <c r="G12" s="737" t="s">
        <v>1086</v>
      </c>
      <c r="H12" s="737" t="s">
        <v>1085</v>
      </c>
      <c r="K12" s="737">
        <v>125</v>
      </c>
      <c r="L12" s="737" t="s">
        <v>1552</v>
      </c>
      <c r="N12" s="737">
        <v>500</v>
      </c>
      <c r="O12" s="737">
        <v>49069361</v>
      </c>
    </row>
    <row r="13" spans="1:16">
      <c r="B13" s="737" t="str" cm="1">
        <f t="array" ref="B13">IF(G13="","",_xlfn.XLOOKUP(TRIM(G13&amp;""),TRIM('Units Data'!$I$7:$I$10000&amp;""),'Units Data'!$C$7:$C$10000,"خارجي",0))</f>
        <v>B</v>
      </c>
      <c r="C13" s="737" t="str" cm="1">
        <f t="array" ref="C13">IF(G13="","",_xlfn.XLOOKUP(TRIM(G13&amp;""),TRIM('Units Data'!$I$7:$I$10000&amp;""),'Units Data'!$B$7:$B$10000,"خارجي",0))</f>
        <v>A11</v>
      </c>
      <c r="D13" s="737" t="str" cm="1">
        <f t="array" ref="D13">_xlfn.SWITCH(TRIM(E13),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IF(E13="","","غير محدد"))</f>
        <v>حجز مبلغ</v>
      </c>
      <c r="E13" s="737" t="s">
        <v>499</v>
      </c>
      <c r="F13" s="737" t="s">
        <v>1478</v>
      </c>
      <c r="G13" s="737" t="s">
        <v>1479</v>
      </c>
      <c r="H13" s="737" t="s">
        <v>1092</v>
      </c>
      <c r="K13" s="737">
        <v>125</v>
      </c>
      <c r="L13" s="737" t="s">
        <v>1474</v>
      </c>
      <c r="N13" s="737">
        <v>1875</v>
      </c>
      <c r="O13" s="737">
        <v>0</v>
      </c>
    </row>
    <row r="14" spans="1:16">
      <c r="B14" s="737" t="str" cm="1">
        <f t="array" ref="B14">IF(G14="","",_xlfn.XLOOKUP(TRIM(G14&amp;""),TRIM('Units Data'!$I$7:$I$10000&amp;""),'Units Data'!$C$7:$C$10000,"خارجي",0))</f>
        <v>B</v>
      </c>
      <c r="C14" s="737" t="str" cm="1">
        <f t="array" ref="C14">IF(G14="","",_xlfn.XLOOKUP(TRIM(G14&amp;""),TRIM('Units Data'!$I$7:$I$10000&amp;""),'Units Data'!$B$7:$B$10000,"خارجي",0))</f>
        <v>R1</v>
      </c>
      <c r="D14" s="737" t="str" cm="1">
        <f t="array" ref="D14">_xlfn.SWITCH(TRIM(E14),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IF(E14="","","غير محدد"))</f>
        <v>حجز مبلغ</v>
      </c>
      <c r="E14" s="737" t="s">
        <v>499</v>
      </c>
      <c r="F14" s="737" t="s">
        <v>1472</v>
      </c>
      <c r="G14" s="737" t="s">
        <v>1473</v>
      </c>
      <c r="H14" s="737" t="s">
        <v>1092</v>
      </c>
      <c r="K14" s="737">
        <v>125</v>
      </c>
      <c r="L14" s="737" t="s">
        <v>1474</v>
      </c>
      <c r="N14" s="737">
        <v>2000</v>
      </c>
      <c r="O14" s="737">
        <v>0</v>
      </c>
    </row>
    <row r="15" spans="1:16">
      <c r="B15" s="737" t="str" cm="1">
        <f t="array" ref="B15">IF(G15="","",_xlfn.XLOOKUP(TRIM(G15&amp;""),TRIM('Units Data'!$I$7:$I$10000&amp;""),'Units Data'!$C$7:$C$10000,"خارجي",0))</f>
        <v>خارجي</v>
      </c>
      <c r="C15" s="737" t="str" cm="1">
        <f t="array" ref="C15">IF(G15="","",_xlfn.XLOOKUP(TRIM(G15&amp;""),TRIM('Units Data'!$I$7:$I$10000&amp;""),'Units Data'!$B$7:$B$10000,"خارجي",0))</f>
        <v>خارجي</v>
      </c>
      <c r="D15" s="737" t="str" cm="1">
        <f t="array" ref="D15">_xlfn.SWITCH(TRIM(E15),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IF(E15="","","غير محدد"))</f>
        <v>استرداد إلى المحفظة</v>
      </c>
      <c r="E15" s="737" t="s">
        <v>1480</v>
      </c>
      <c r="F15" s="737" t="s">
        <v>1481</v>
      </c>
      <c r="G15" s="737" t="s">
        <v>1482</v>
      </c>
      <c r="H15" s="737" t="s">
        <v>1092</v>
      </c>
      <c r="K15" s="737">
        <v>125</v>
      </c>
      <c r="L15" s="737" t="s">
        <v>1474</v>
      </c>
      <c r="N15" s="737">
        <v>2125</v>
      </c>
      <c r="O15" s="737">
        <v>51381488</v>
      </c>
    </row>
    <row r="16" spans="1:16">
      <c r="B16" s="737" t="str" cm="1">
        <f t="array" ref="B16">IF(G16="","",_xlfn.XLOOKUP(TRIM(G16&amp;""),TRIM('Units Data'!$I$7:$I$10000&amp;""),'Units Data'!$C$7:$C$10000,"خارجي",0))</f>
        <v>خارجي</v>
      </c>
      <c r="C16" s="737" t="str" cm="1">
        <f t="array" ref="C16">IF(G16="","",_xlfn.XLOOKUP(TRIM(G16&amp;""),TRIM('Units Data'!$I$7:$I$10000&amp;""),'Units Data'!$B$7:$B$10000,"خارجي",0))</f>
        <v>خارجي</v>
      </c>
      <c r="D16" s="737" t="str" cm="1">
        <f t="array" ref="D16">_xlfn.SWITCH(TRIM(E16),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IF(E16="","","غير محدد"))</f>
        <v>حجز مبلغ</v>
      </c>
      <c r="E16" s="737" t="s">
        <v>499</v>
      </c>
      <c r="F16" s="737" t="s">
        <v>1481</v>
      </c>
      <c r="G16" s="737" t="s">
        <v>1482</v>
      </c>
      <c r="H16" s="737" t="s">
        <v>1092</v>
      </c>
      <c r="K16" s="737">
        <v>125</v>
      </c>
      <c r="L16" s="737" t="s">
        <v>1474</v>
      </c>
      <c r="N16" s="737">
        <v>2000</v>
      </c>
      <c r="O16" s="737">
        <v>0</v>
      </c>
    </row>
    <row r="17" spans="2:16">
      <c r="B17" s="737" t="str" cm="1">
        <f t="array" ref="B17">IF(G17="","",_xlfn.XLOOKUP(TRIM(G17&amp;""),TRIM('Units Data'!$I$7:$I$10000&amp;""),'Units Data'!$C$7:$C$10000,"خارجي",0))</f>
        <v>خارجي</v>
      </c>
      <c r="C17" s="737" t="str" cm="1">
        <f t="array" ref="C17">IF(G17="","",_xlfn.XLOOKUP(TRIM(G17&amp;""),TRIM('Units Data'!$I$7:$I$10000&amp;""),'Units Data'!$B$7:$B$10000,"خارجي",0))</f>
        <v>خارجي</v>
      </c>
      <c r="D17" s="737" t="str" cm="1">
        <f t="array" ref="D17">_xlfn.SWITCH(TRIM(E17),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IF(E17="","","غير محدد"))</f>
        <v>استرداد إلى المحفظة</v>
      </c>
      <c r="E17" s="737" t="s">
        <v>1480</v>
      </c>
      <c r="F17" s="737" t="s">
        <v>1483</v>
      </c>
      <c r="G17" s="737" t="s">
        <v>1484</v>
      </c>
      <c r="H17" s="737" t="s">
        <v>1092</v>
      </c>
      <c r="K17" s="737">
        <v>125</v>
      </c>
      <c r="L17" s="737" t="s">
        <v>1485</v>
      </c>
      <c r="N17" s="737">
        <v>2125</v>
      </c>
      <c r="O17" s="737">
        <v>51348666</v>
      </c>
    </row>
    <row r="18" spans="2:16">
      <c r="B18" s="737" t="str" cm="1">
        <f t="array" ref="B18">IF(G18="","",_xlfn.XLOOKUP(TRIM(G18&amp;""),TRIM('Units Data'!$I$7:$I$10000&amp;""),'Units Data'!$C$7:$C$10000,"خارجي",0))</f>
        <v>خارجي</v>
      </c>
      <c r="C18" s="737" t="str" cm="1">
        <f t="array" ref="C18">IF(G18="","",_xlfn.XLOOKUP(TRIM(G18&amp;""),TRIM('Units Data'!$I$7:$I$10000&amp;""),'Units Data'!$B$7:$B$10000,"خارجي",0))</f>
        <v>خارجي</v>
      </c>
      <c r="D18" s="737" t="str" cm="1">
        <f t="array" ref="D18">_xlfn.SWITCH(TRIM(E18),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IF(E18="","","غير محدد"))</f>
        <v>حجز مبلغ</v>
      </c>
      <c r="E18" s="737" t="s">
        <v>499</v>
      </c>
      <c r="F18" s="737" t="s">
        <v>1483</v>
      </c>
      <c r="G18" s="737" t="s">
        <v>1484</v>
      </c>
      <c r="H18" s="737" t="s">
        <v>1092</v>
      </c>
      <c r="K18" s="737">
        <v>125</v>
      </c>
      <c r="L18" s="737" t="s">
        <v>1485</v>
      </c>
      <c r="N18" s="737">
        <v>2000</v>
      </c>
      <c r="O18" s="737">
        <v>0</v>
      </c>
    </row>
    <row r="19" spans="2:16">
      <c r="B19" s="737" t="str" cm="1">
        <f t="array" ref="B19">IF(G19="","",_xlfn.XLOOKUP(TRIM(G19&amp;""),TRIM('Units Data'!$I$7:$I$10000&amp;""),'Units Data'!$C$7:$C$10000,"خارجي",0))</f>
        <v>خارجي</v>
      </c>
      <c r="C19" s="737" t="str" cm="1">
        <f t="array" ref="C19">IF(G19="","",_xlfn.XLOOKUP(TRIM(G19&amp;""),TRIM('Units Data'!$I$7:$I$10000&amp;""),'Units Data'!$B$7:$B$10000,"خارجي",0))</f>
        <v>خارجي</v>
      </c>
      <c r="D19" s="737" t="str" cm="1">
        <f t="array" ref="D19">_xlfn.SWITCH(TRIM(E19),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IF(E19="","","غير محدد"))</f>
        <v>استرداد إلى المحفظة</v>
      </c>
      <c r="E19" s="737" t="s">
        <v>1480</v>
      </c>
      <c r="F19" s="737" t="s">
        <v>1486</v>
      </c>
      <c r="G19" s="737" t="s">
        <v>1487</v>
      </c>
      <c r="H19" s="737" t="s">
        <v>1092</v>
      </c>
      <c r="K19" s="737">
        <v>125</v>
      </c>
      <c r="L19" s="737" t="s">
        <v>1485</v>
      </c>
      <c r="N19" s="737">
        <v>2125</v>
      </c>
      <c r="O19" s="737">
        <v>51112873</v>
      </c>
    </row>
    <row r="20" spans="2:16">
      <c r="B20" s="948" t="str" cm="1">
        <f t="array" ref="B20">IF(G20="","",_xlfn.XLOOKUP(TRIM(G20&amp;""),TRIM('Units Data'!$I$7:$I$10000&amp;""),'Units Data'!$C$7:$C$10000,"خارجي",0))</f>
        <v>A</v>
      </c>
      <c r="C20" s="737" t="str" cm="1">
        <f t="array" ref="C20">IF(G20="","",_xlfn.XLOOKUP(TRIM(G20&amp;""),TRIM('Units Data'!$I$7:$I$10000&amp;""),'Units Data'!$B$7:$B$10000,"خارجي",0))</f>
        <v>F3</v>
      </c>
      <c r="D20" s="737" t="str" cm="1">
        <f t="array" ref="D20">_xlfn.SWITCH(TRIM(E20),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IF(E20="","","غير محدد"))</f>
        <v>رسوم إيجار</v>
      </c>
      <c r="E20" s="737" t="s">
        <v>1468</v>
      </c>
      <c r="F20" s="737" t="s">
        <v>1535</v>
      </c>
      <c r="G20" s="737" t="s">
        <v>1219</v>
      </c>
      <c r="H20" s="737" t="s">
        <v>1085</v>
      </c>
      <c r="K20" s="737">
        <v>125</v>
      </c>
      <c r="L20" s="737" t="s">
        <v>1536</v>
      </c>
      <c r="N20" s="737">
        <v>1750</v>
      </c>
      <c r="O20" s="737">
        <v>49457163</v>
      </c>
    </row>
    <row r="21" spans="2:16">
      <c r="B21" s="737" t="str" cm="1">
        <f t="array" ref="B21">IF(G21="","",_xlfn.XLOOKUP(TRIM(G21&amp;""),TRIM('Units Data'!$I$7:$I$10000&amp;""),'Units Data'!$C$7:$C$10000,"خارجي",0))</f>
        <v>B</v>
      </c>
      <c r="C21" s="737" t="str" cm="1">
        <f t="array" ref="C21">IF(G21="","",_xlfn.XLOOKUP(TRIM(G21&amp;""),TRIM('Units Data'!$I$7:$I$10000&amp;""),'Units Data'!$B$7:$B$10000,"خارجي",0))</f>
        <v>A9</v>
      </c>
      <c r="D21" s="737" t="str" cm="1">
        <f t="array" ref="D21">_xlfn.SWITCH(TRIM(E21),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IF(E21="","","غير محدد"))</f>
        <v>حجز مبلغ</v>
      </c>
      <c r="E21" s="737" t="s">
        <v>499</v>
      </c>
      <c r="F21" s="737" t="s">
        <v>1488</v>
      </c>
      <c r="G21" s="737" t="s">
        <v>1489</v>
      </c>
      <c r="H21" s="737" t="s">
        <v>1092</v>
      </c>
      <c r="K21" s="737">
        <v>125</v>
      </c>
      <c r="L21" s="737" t="s">
        <v>1490</v>
      </c>
      <c r="N21" s="737">
        <v>2000</v>
      </c>
      <c r="O21" s="737">
        <v>0</v>
      </c>
    </row>
    <row r="22" spans="2:16">
      <c r="B22" s="948" t="str" cm="1">
        <f t="array" ref="B22">IF(G22="","",_xlfn.XLOOKUP(TRIM(G22&amp;""),TRIM('Units Data'!$I$7:$I$10000&amp;""),'Units Data'!$C$7:$C$10000,"خارجي",0))</f>
        <v>A</v>
      </c>
      <c r="C22" s="737" t="str" cm="1">
        <f t="array" ref="C22">IF(G22="","",_xlfn.XLOOKUP(TRIM(G22&amp;""),TRIM('Units Data'!$I$7:$I$10000&amp;""),'Units Data'!$B$7:$B$10000,"خارجي",0))</f>
        <v>S3</v>
      </c>
      <c r="D22" s="737" t="str" cm="1">
        <f t="array" ref="D22">_xlfn.SWITCH(TRIM(E22),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IF(E22="","","غير محدد"))</f>
        <v>رسوم إيجار</v>
      </c>
      <c r="E22" s="737" t="s">
        <v>1468</v>
      </c>
      <c r="F22" s="737" t="s">
        <v>1537</v>
      </c>
      <c r="G22" s="737" t="s">
        <v>1145</v>
      </c>
      <c r="H22" s="737" t="s">
        <v>1085</v>
      </c>
      <c r="K22" s="737">
        <v>125</v>
      </c>
      <c r="L22" s="737" t="s">
        <v>1536</v>
      </c>
      <c r="N22" s="737">
        <v>1875</v>
      </c>
      <c r="O22" s="737">
        <v>49422455</v>
      </c>
    </row>
    <row r="23" spans="2:16">
      <c r="B23" s="737" t="str" cm="1">
        <f t="array" ref="B23">IF(G23="","",_xlfn.XLOOKUP(TRIM(G23&amp;""),TRIM('Units Data'!$I$7:$I$10000&amp;""),'Units Data'!$C$7:$C$10000,"خارجي",0))</f>
        <v>B</v>
      </c>
      <c r="C23" s="737" t="str" cm="1">
        <f t="array" ref="C23">IF(G23="","",_xlfn.XLOOKUP(TRIM(G23&amp;""),TRIM('Units Data'!$I$7:$I$10000&amp;""),'Units Data'!$B$7:$B$10000,"خارجي",0))</f>
        <v>A6</v>
      </c>
      <c r="D23" s="737" t="str" cm="1">
        <f t="array" ref="D23">_xlfn.SWITCH(TRIM(E23),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IF(E23="","","غير محدد"))</f>
        <v>حجز مبلغ</v>
      </c>
      <c r="E23" s="737" t="s">
        <v>499</v>
      </c>
      <c r="F23" s="737" t="s">
        <v>1491</v>
      </c>
      <c r="G23" s="737" t="s">
        <v>1115</v>
      </c>
      <c r="H23" s="737" t="s">
        <v>1092</v>
      </c>
      <c r="K23" s="737">
        <v>125</v>
      </c>
      <c r="L23" s="737" t="s">
        <v>1492</v>
      </c>
      <c r="N23" s="737">
        <v>2125</v>
      </c>
      <c r="O23" s="737">
        <v>0</v>
      </c>
    </row>
    <row r="24" spans="2:16">
      <c r="B24" s="737" t="str" cm="1">
        <f t="array" ref="B24">IF(G24="","",_xlfn.XLOOKUP(TRIM(G24&amp;""),TRIM('Units Data'!$I$7:$I$10000&amp;""),'Units Data'!$C$7:$C$10000,"خارجي",0))</f>
        <v>خارجي</v>
      </c>
      <c r="C24" s="737" t="str" cm="1">
        <f t="array" ref="C24">IF(G24="","",_xlfn.XLOOKUP(TRIM(G24&amp;""),TRIM('Units Data'!$I$7:$I$10000&amp;""),'Units Data'!$B$7:$B$10000,"خارجي",0))</f>
        <v>خارجي</v>
      </c>
      <c r="D24" s="737" t="str" cm="1">
        <f t="array" ref="D24">_xlfn.SWITCH(TRIM(E24),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IF(E24="","","غير محدد"))</f>
        <v>استرداد إلى المحفظة</v>
      </c>
      <c r="E24" s="737" t="s">
        <v>1480</v>
      </c>
      <c r="F24" s="737" t="s">
        <v>1493</v>
      </c>
      <c r="G24" s="737" t="s">
        <v>1494</v>
      </c>
      <c r="H24" s="737" t="s">
        <v>1092</v>
      </c>
      <c r="K24" s="737">
        <v>125</v>
      </c>
      <c r="L24" s="737" t="s">
        <v>1492</v>
      </c>
      <c r="N24" s="737">
        <v>2250</v>
      </c>
      <c r="O24" s="737">
        <v>51228223</v>
      </c>
    </row>
    <row r="25" spans="2:16">
      <c r="B25" s="737" t="str" cm="1">
        <f t="array" ref="B25">IF(G25="","",_xlfn.XLOOKUP(TRIM(G25&amp;""),TRIM('Units Data'!$I$7:$I$10000&amp;""),'Units Data'!$C$7:$C$10000,"خارجي",0))</f>
        <v>خارجي</v>
      </c>
      <c r="C25" s="737" t="str" cm="1">
        <f t="array" ref="C25">IF(G25="","",_xlfn.XLOOKUP(TRIM(G25&amp;""),TRIM('Units Data'!$I$7:$I$10000&amp;""),'Units Data'!$B$7:$B$10000,"خارجي",0))</f>
        <v>خارجي</v>
      </c>
      <c r="D25" s="737" t="str" cm="1">
        <f t="array" ref="D25">_xlfn.SWITCH(TRIM(E25),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IF(E25="","","غير محدد"))</f>
        <v>حجز مبلغ</v>
      </c>
      <c r="E25" s="737" t="s">
        <v>499</v>
      </c>
      <c r="F25" s="737" t="s">
        <v>1493</v>
      </c>
      <c r="G25" s="737" t="s">
        <v>1494</v>
      </c>
      <c r="H25" s="737" t="s">
        <v>1092</v>
      </c>
      <c r="K25" s="737">
        <v>125</v>
      </c>
      <c r="L25" s="737" t="s">
        <v>1492</v>
      </c>
      <c r="N25" s="737">
        <v>2125</v>
      </c>
      <c r="O25" s="737">
        <v>0</v>
      </c>
    </row>
    <row r="26" spans="2:16">
      <c r="B26" s="737" t="str" cm="1">
        <f t="array" ref="B26">IF(G26="","",_xlfn.XLOOKUP(TRIM(G26&amp;""),TRIM('Units Data'!$I$7:$I$10000&amp;""),'Units Data'!$C$7:$C$10000,"خارجي",0))</f>
        <v>خارجي</v>
      </c>
      <c r="C26" s="737" t="str" cm="1">
        <f t="array" ref="C26">IF(G26="","",_xlfn.XLOOKUP(TRIM(G26&amp;""),TRIM('Units Data'!$I$7:$I$10000&amp;""),'Units Data'!$B$7:$B$10000,"خارجي",0))</f>
        <v>خارجي</v>
      </c>
      <c r="D26" s="737" t="str" cm="1">
        <f t="array" ref="D26">_xlfn.SWITCH(TRIM(E26),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IF(E26="","","غير محدد"))</f>
        <v>استرداد إلى المحفظة</v>
      </c>
      <c r="E26" s="737" t="s">
        <v>1480</v>
      </c>
      <c r="F26" s="737" t="s">
        <v>1495</v>
      </c>
      <c r="G26" s="737" t="s">
        <v>1496</v>
      </c>
      <c r="H26" s="737" t="s">
        <v>1085</v>
      </c>
      <c r="K26" s="737">
        <v>125</v>
      </c>
      <c r="L26" s="737" t="s">
        <v>1497</v>
      </c>
      <c r="N26" s="737">
        <v>2250</v>
      </c>
      <c r="O26" s="737">
        <v>51112814</v>
      </c>
    </row>
    <row r="27" spans="2:16">
      <c r="B27" s="737" t="str" cm="1">
        <f t="array" ref="B27">IF(G27="","",_xlfn.XLOOKUP(TRIM(G27&amp;""),TRIM('Units Data'!$I$7:$I$10000&amp;""),'Units Data'!$C$7:$C$10000,"خارجي",0))</f>
        <v/>
      </c>
      <c r="C27" s="737" t="str" cm="1">
        <f t="array" ref="C27">IF(G27="","",_xlfn.XLOOKUP(TRIM(G27&amp;""),TRIM('Units Data'!$I$7:$I$10000&amp;""),'Units Data'!$B$7:$B$10000,"خارجي",0))</f>
        <v/>
      </c>
      <c r="D27" s="737" t="str" cm="1">
        <f t="array" ref="D27">_xlfn.SWITCH(TRIM(E27),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IF(E27="","","غير محدد"))</f>
        <v>شحن المحفظة</v>
      </c>
      <c r="E27" s="737" t="s">
        <v>1498</v>
      </c>
      <c r="F27" s="737" t="s">
        <v>1499</v>
      </c>
      <c r="G27" s="737" t="s">
        <v>1500</v>
      </c>
      <c r="K27" s="737">
        <v>2000</v>
      </c>
      <c r="L27" s="737" t="s">
        <v>1497</v>
      </c>
      <c r="N27" s="737">
        <v>2125</v>
      </c>
      <c r="O27" s="737">
        <v>0</v>
      </c>
      <c r="P27" s="737" t="s">
        <v>1501</v>
      </c>
    </row>
    <row r="28" spans="2:16">
      <c r="B28" s="737" t="str" cm="1">
        <f t="array" ref="B28">IF(G28="","",_xlfn.XLOOKUP(TRIM(G28&amp;""),TRIM('Units Data'!$I$7:$I$10000&amp;""),'Units Data'!$C$7:$C$10000,"خارجي",0))</f>
        <v>خارجي</v>
      </c>
      <c r="C28" s="737" t="str" cm="1">
        <f t="array" ref="C28">IF(G28="","",_xlfn.XLOOKUP(TRIM(G28&amp;""),TRIM('Units Data'!$I$7:$I$10000&amp;""),'Units Data'!$B$7:$B$10000,"خارجي",0))</f>
        <v>خارجي</v>
      </c>
      <c r="D28" s="737" t="str" cm="1">
        <f t="array" ref="D28">_xlfn.SWITCH(TRIM(E28),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IF(E28="","","غير محدد"))</f>
        <v>حجز مبلغ</v>
      </c>
      <c r="E28" s="737" t="s">
        <v>499</v>
      </c>
      <c r="F28" s="737" t="s">
        <v>1486</v>
      </c>
      <c r="G28" s="737" t="s">
        <v>1487</v>
      </c>
      <c r="H28" s="737" t="s">
        <v>1092</v>
      </c>
      <c r="K28" s="737">
        <v>125</v>
      </c>
      <c r="L28" s="737" t="s">
        <v>1497</v>
      </c>
      <c r="N28" s="737">
        <v>125</v>
      </c>
      <c r="O28" s="737">
        <v>0</v>
      </c>
    </row>
    <row r="29" spans="2:16">
      <c r="B29" s="737" t="str" cm="1">
        <f t="array" ref="B29">IF(G29="","",_xlfn.XLOOKUP(TRIM(G29&amp;""),TRIM('Units Data'!$I$7:$I$10000&amp;""),'Units Data'!$C$7:$C$10000,"خارجي",0))</f>
        <v>خارجي</v>
      </c>
      <c r="C29" s="737" t="str" cm="1">
        <f t="array" ref="C29">IF(G29="","",_xlfn.XLOOKUP(TRIM(G29&amp;""),TRIM('Units Data'!$I$7:$I$10000&amp;""),'Units Data'!$B$7:$B$10000,"خارجي",0))</f>
        <v>خارجي</v>
      </c>
      <c r="D29" s="737" t="str" cm="1">
        <f t="array" ref="D29">_xlfn.SWITCH(TRIM(E29),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IF(E29="","","غير محدد"))</f>
        <v>حجز مبلغ</v>
      </c>
      <c r="E29" s="737" t="s">
        <v>499</v>
      </c>
      <c r="F29" s="737" t="s">
        <v>1495</v>
      </c>
      <c r="G29" s="737" t="s">
        <v>1496</v>
      </c>
      <c r="H29" s="737" t="s">
        <v>1085</v>
      </c>
      <c r="K29" s="737">
        <v>125</v>
      </c>
      <c r="L29" s="737" t="s">
        <v>1497</v>
      </c>
      <c r="N29" s="737">
        <v>250</v>
      </c>
      <c r="O29" s="737">
        <v>0</v>
      </c>
    </row>
    <row r="30" spans="2:16">
      <c r="B30" s="948" t="str" cm="1">
        <f t="array" ref="B30">IF(G30="","",_xlfn.XLOOKUP(TRIM(G30&amp;""),TRIM('Units Data'!$I$7:$I$10000&amp;""),'Units Data'!$C$7:$C$10000,"خارجي",0))</f>
        <v>A</v>
      </c>
      <c r="C30" s="737" t="str" cm="1">
        <f t="array" ref="C30">IF(G30="","",_xlfn.XLOOKUP(TRIM(G30&amp;""),TRIM('Units Data'!$I$7:$I$10000&amp;""),'Units Data'!$B$7:$B$10000,"خارجي",0))</f>
        <v>F8</v>
      </c>
      <c r="D30" s="737" t="str" cm="1">
        <f t="array" ref="D30">_xlfn.SWITCH(TRIM(E30),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IF(E30="","","غير محدد"))</f>
        <v>رسوم إيجار</v>
      </c>
      <c r="E30" s="737" t="s">
        <v>1468</v>
      </c>
      <c r="F30" s="737" t="s">
        <v>1538</v>
      </c>
      <c r="G30" s="737" t="s">
        <v>1539</v>
      </c>
      <c r="H30" s="737" t="s">
        <v>1085</v>
      </c>
      <c r="K30" s="737">
        <v>125</v>
      </c>
      <c r="L30" s="737" t="s">
        <v>1536</v>
      </c>
      <c r="N30" s="737">
        <v>1875</v>
      </c>
      <c r="O30" s="737">
        <v>49456550</v>
      </c>
    </row>
    <row r="31" spans="2:16">
      <c r="B31" s="948" t="str" cm="1">
        <f t="array" ref="B31">IF(G31="","",_xlfn.XLOOKUP(TRIM(G31&amp;""),TRIM('Units Data'!$I$7:$I$10000&amp;""),'Units Data'!$C$7:$C$10000,"خارجي",0))</f>
        <v>A</v>
      </c>
      <c r="C31" s="737" t="str" cm="1">
        <f t="array" ref="C31">IF(G31="","",_xlfn.XLOOKUP(TRIM(G31&amp;""),TRIM('Units Data'!$I$7:$I$10000&amp;""),'Units Data'!$B$7:$B$10000,"خارجي",0))</f>
        <v>F7</v>
      </c>
      <c r="D31" s="737" t="str" cm="1">
        <f t="array" ref="D31">_xlfn.SWITCH(TRIM(E31),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IF(E31="","","غير محدد"))</f>
        <v>رسوم إيجار</v>
      </c>
      <c r="E31" s="737" t="s">
        <v>1468</v>
      </c>
      <c r="F31" s="737" t="s">
        <v>1540</v>
      </c>
      <c r="G31" s="737" t="s">
        <v>1214</v>
      </c>
      <c r="H31" s="737" t="s">
        <v>1085</v>
      </c>
      <c r="K31" s="737">
        <v>125</v>
      </c>
      <c r="L31" s="737" t="s">
        <v>1536</v>
      </c>
      <c r="N31" s="737">
        <v>1875</v>
      </c>
      <c r="O31" s="737">
        <v>49422737</v>
      </c>
    </row>
    <row r="32" spans="2:16">
      <c r="B32" s="737" t="str" cm="1">
        <f t="array" ref="B32">IF(G32="","",_xlfn.XLOOKUP(TRIM(G32&amp;""),TRIM('Units Data'!$I$7:$I$10000&amp;""),'Units Data'!$C$7:$C$10000,"خارجي",0))</f>
        <v>B</v>
      </c>
      <c r="C32" s="737" t="str" cm="1">
        <f t="array" ref="C32">IF(G32="","",_xlfn.XLOOKUP(TRIM(G32&amp;""),TRIM('Units Data'!$I$7:$I$10000&amp;""),'Units Data'!$B$7:$B$10000,"خارجي",0))</f>
        <v>R4</v>
      </c>
      <c r="D32" s="737" t="str" cm="1">
        <f t="array" ref="D32">_xlfn.SWITCH(TRIM(E32),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IF(E32="","","غير محدد"))</f>
        <v>حجز مبلغ</v>
      </c>
      <c r="E32" s="737" t="s">
        <v>499</v>
      </c>
      <c r="F32" s="737" t="s">
        <v>1502</v>
      </c>
      <c r="G32" s="737" t="s">
        <v>1135</v>
      </c>
      <c r="H32" s="737" t="s">
        <v>1092</v>
      </c>
      <c r="K32" s="737">
        <v>125</v>
      </c>
      <c r="L32" s="737" t="s">
        <v>1505</v>
      </c>
      <c r="N32" s="737">
        <v>375</v>
      </c>
      <c r="O32" s="737">
        <v>0</v>
      </c>
    </row>
    <row r="33" spans="2:15">
      <c r="B33" s="737" t="str" cm="1">
        <f t="array" ref="B33">IF(G33="","",_xlfn.XLOOKUP(TRIM(G33&amp;""),TRIM('Units Data'!$I$7:$I$10000&amp;""),'Units Data'!$C$7:$C$10000,"خارجي",0))</f>
        <v>B</v>
      </c>
      <c r="C33" s="737" t="str" cm="1">
        <f t="array" ref="C33">IF(G33="","",_xlfn.XLOOKUP(TRIM(G33&amp;""),TRIM('Units Data'!$I$7:$I$10000&amp;""),'Units Data'!$B$7:$B$10000,"خارجي",0))</f>
        <v>A7</v>
      </c>
      <c r="D33" s="737" t="str" cm="1">
        <f t="array" ref="D33">_xlfn.SWITCH(TRIM(E33),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IF(E33="","","غير محدد"))</f>
        <v>حجز مبلغ</v>
      </c>
      <c r="E33" s="737" t="s">
        <v>499</v>
      </c>
      <c r="F33" s="737" t="s">
        <v>1504</v>
      </c>
      <c r="G33" s="737" t="s">
        <v>1108</v>
      </c>
      <c r="H33" s="737" t="s">
        <v>1092</v>
      </c>
      <c r="K33" s="737">
        <v>125</v>
      </c>
      <c r="L33" s="737" t="s">
        <v>1505</v>
      </c>
      <c r="N33" s="737">
        <v>500</v>
      </c>
      <c r="O33" s="737">
        <v>0</v>
      </c>
    </row>
    <row r="34" spans="2:15">
      <c r="B34" s="948" t="str" cm="1">
        <f t="array" ref="B34">IF(G34="","",_xlfn.XLOOKUP(TRIM(G34&amp;""),TRIM('Units Data'!$I$7:$I$10000&amp;""),'Units Data'!$C$7:$C$10000,"خارجي",0))</f>
        <v>A</v>
      </c>
      <c r="C34" s="737" t="str" cm="1">
        <f t="array" ref="C34">IF(G34="","",_xlfn.XLOOKUP(TRIM(G34&amp;""),TRIM('Units Data'!$I$7:$I$10000&amp;""),'Units Data'!$B$7:$B$10000,"خارجي",0))</f>
        <v>F6</v>
      </c>
      <c r="D34" s="737" t="str" cm="1">
        <f t="array" ref="D34">_xlfn.SWITCH(TRIM(E34),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IF(E34="","","غير محدد"))</f>
        <v>رسوم إيجار</v>
      </c>
      <c r="E34" s="737" t="s">
        <v>1468</v>
      </c>
      <c r="F34" s="737" t="s">
        <v>1541</v>
      </c>
      <c r="G34" s="737" t="s">
        <v>1166</v>
      </c>
      <c r="H34" s="737" t="s">
        <v>1085</v>
      </c>
      <c r="K34" s="737">
        <v>125</v>
      </c>
      <c r="L34" s="737" t="s">
        <v>1536</v>
      </c>
      <c r="N34" s="737">
        <v>1875</v>
      </c>
      <c r="O34" s="737">
        <v>49433324</v>
      </c>
    </row>
    <row r="35" spans="2:15">
      <c r="B35" s="948" t="str" cm="1">
        <f t="array" ref="B35">IF(G35="","",_xlfn.XLOOKUP(TRIM(G35&amp;""),TRIM('Units Data'!$I$7:$I$10000&amp;""),'Units Data'!$C$7:$C$10000,"خارجي",0))</f>
        <v>A</v>
      </c>
      <c r="C35" s="737" t="str" cm="1">
        <f t="array" ref="C35">IF(G35="","",_xlfn.XLOOKUP(TRIM(G35&amp;""),TRIM('Units Data'!$I$7:$I$10000&amp;""),'Units Data'!$B$7:$B$10000,"خارجي",0))</f>
        <v>S1</v>
      </c>
      <c r="D35" s="737" t="str" cm="1">
        <f t="array" ref="D35">_xlfn.SWITCH(TRIM(E35),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IF(E35="","","غير محدد"))</f>
        <v>رسوم إيجار</v>
      </c>
      <c r="E35" s="737" t="s">
        <v>1468</v>
      </c>
      <c r="F35" s="737" t="s">
        <v>1533</v>
      </c>
      <c r="G35" s="737" t="s">
        <v>1172</v>
      </c>
      <c r="H35" s="737" t="s">
        <v>1085</v>
      </c>
      <c r="K35" s="737">
        <v>125</v>
      </c>
      <c r="L35" s="737" t="s">
        <v>1534</v>
      </c>
      <c r="N35" s="737">
        <v>1750</v>
      </c>
      <c r="O35" s="737">
        <v>49456042</v>
      </c>
    </row>
    <row r="36" spans="2:15">
      <c r="B36" s="737" t="str" cm="1">
        <f t="array" ref="B36">IF(G36="","",_xlfn.XLOOKUP(TRIM(G36&amp;""),TRIM('Units Data'!$I$7:$I$10000&amp;""),'Units Data'!$C$7:$C$10000,"خارجي",0))</f>
        <v>A</v>
      </c>
      <c r="C36" s="737" t="str" cm="1">
        <f t="array" ref="C36">IF(G36="","",_xlfn.XLOOKUP(TRIM(G36&amp;""),TRIM('Units Data'!$I$7:$I$10000&amp;""),'Units Data'!$B$7:$B$10000,"خارجي",0))</f>
        <v>F3</v>
      </c>
      <c r="D36" s="737" t="str" cm="1">
        <f t="array" ref="D36">_xlfn.SWITCH(TRIM(E36),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IF(E36="","","غير محدد"))</f>
        <v>حجز مبلغ</v>
      </c>
      <c r="E36" s="737" t="s">
        <v>499</v>
      </c>
      <c r="F36" s="737" t="s">
        <v>1506</v>
      </c>
      <c r="G36" s="737" t="s">
        <v>1142</v>
      </c>
      <c r="H36" s="737" t="s">
        <v>1085</v>
      </c>
      <c r="K36" s="737">
        <v>125</v>
      </c>
      <c r="L36" s="737" t="s">
        <v>1509</v>
      </c>
      <c r="N36" s="737">
        <v>625</v>
      </c>
      <c r="O36" s="737">
        <v>0</v>
      </c>
    </row>
    <row r="37" spans="2:15">
      <c r="B37" s="737" t="str" cm="1">
        <f t="array" ref="B37">IF(G37="","",_xlfn.XLOOKUP(TRIM(G37&amp;""),TRIM('Units Data'!$I$7:$I$10000&amp;""),'Units Data'!$C$7:$C$10000,"خارجي",0))</f>
        <v>B</v>
      </c>
      <c r="C37" s="737" t="str" cm="1">
        <f t="array" ref="C37">IF(G37="","",_xlfn.XLOOKUP(TRIM(G37&amp;""),TRIM('Units Data'!$I$7:$I$10000&amp;""),'Units Data'!$B$7:$B$10000,"خارجي",0))</f>
        <v>A4</v>
      </c>
      <c r="D37" s="737" t="str" cm="1">
        <f t="array" ref="D37">_xlfn.SWITCH(TRIM(E37),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IF(E37="","","غير محدد"))</f>
        <v>حجز مبلغ</v>
      </c>
      <c r="E37" s="737" t="s">
        <v>499</v>
      </c>
      <c r="F37" s="737" t="s">
        <v>1508</v>
      </c>
      <c r="G37" s="737" t="s">
        <v>1183</v>
      </c>
      <c r="H37" s="737" t="s">
        <v>1092</v>
      </c>
      <c r="K37" s="737">
        <v>125</v>
      </c>
      <c r="L37" s="737" t="s">
        <v>1510</v>
      </c>
      <c r="N37" s="737">
        <v>750</v>
      </c>
      <c r="O37" s="737">
        <v>0</v>
      </c>
    </row>
    <row r="38" spans="2:15">
      <c r="B38" s="948" t="str" cm="1">
        <f t="array" ref="B38">IF(G38="","",_xlfn.XLOOKUP(TRIM(G38&amp;""),TRIM('Units Data'!$I$7:$I$10000&amp;""),'Units Data'!$C$7:$C$10000,"خارجي",0))</f>
        <v>A</v>
      </c>
      <c r="C38" s="737" t="str" cm="1">
        <f t="array" ref="C38">IF(G38="","",_xlfn.XLOOKUP(TRIM(G38&amp;""),TRIM('Units Data'!$I$7:$I$10000&amp;""),'Units Data'!$B$7:$B$10000,"خارجي",0))</f>
        <v>F9</v>
      </c>
      <c r="D38" s="737" t="str" cm="1">
        <f t="array" ref="D38">_xlfn.SWITCH(TRIM(E38),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IF(E38="","","غير محدد"))</f>
        <v>رسوم إيجار</v>
      </c>
      <c r="E38" s="737" t="s">
        <v>1468</v>
      </c>
      <c r="F38" s="737" t="s">
        <v>1531</v>
      </c>
      <c r="G38" s="737" t="s">
        <v>1185</v>
      </c>
      <c r="H38" s="737" t="s">
        <v>1085</v>
      </c>
      <c r="K38" s="737">
        <v>125</v>
      </c>
      <c r="L38" s="737" t="s">
        <v>1532</v>
      </c>
      <c r="N38" s="737">
        <v>1625</v>
      </c>
      <c r="O38" s="737">
        <v>49574900</v>
      </c>
    </row>
    <row r="39" spans="2:15">
      <c r="B39" s="737" t="str" cm="1">
        <f t="array" ref="B39">IF(G39="","",_xlfn.XLOOKUP(TRIM(G39&amp;""),TRIM('Units Data'!$I$7:$I$10000&amp;""),'Units Data'!$C$7:$C$10000,"خارجي",0))</f>
        <v>B</v>
      </c>
      <c r="C39" s="737" t="str" cm="1">
        <f t="array" ref="C39">IF(G39="","",_xlfn.XLOOKUP(TRIM(G39&amp;""),TRIM('Units Data'!$I$7:$I$10000&amp;""),'Units Data'!$B$7:$B$10000,"خارجي",0))</f>
        <v>A1</v>
      </c>
      <c r="D39" s="737" t="str" cm="1">
        <f t="array" ref="D39">_xlfn.SWITCH(TRIM(E39),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IF(E39="","","غير محدد"))</f>
        <v>حجز مبلغ</v>
      </c>
      <c r="E39" s="737" t="s">
        <v>499</v>
      </c>
      <c r="F39" s="737" t="s">
        <v>1511</v>
      </c>
      <c r="G39" s="737" t="s">
        <v>1093</v>
      </c>
      <c r="H39" s="737" t="s">
        <v>1092</v>
      </c>
      <c r="K39" s="737">
        <v>125</v>
      </c>
      <c r="L39" s="737" t="s">
        <v>1512</v>
      </c>
      <c r="N39" s="737">
        <v>875</v>
      </c>
      <c r="O39" s="737">
        <v>0</v>
      </c>
    </row>
    <row r="40" spans="2:15">
      <c r="B40" s="948" t="str" cm="1">
        <f t="array" ref="B40">IF(G40="","",_xlfn.XLOOKUP(TRIM(G40&amp;""),TRIM('Units Data'!$I$7:$I$10000&amp;""),'Units Data'!$C$7:$C$10000,"خارجي",0))</f>
        <v>A</v>
      </c>
      <c r="C40" s="737" t="str" cm="1">
        <f t="array" ref="C40">IF(G40="","",_xlfn.XLOOKUP(TRIM(G40&amp;""),TRIM('Units Data'!$I$7:$I$10000&amp;""),'Units Data'!$B$7:$B$10000,"خارجي",0))</f>
        <v>F2</v>
      </c>
      <c r="D40" s="737" t="str" cm="1">
        <f t="array" ref="D40">_xlfn.SWITCH(TRIM(E40),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IF(E40="","","غير محدد"))</f>
        <v>رسوم إيجار</v>
      </c>
      <c r="E40" s="737" t="s">
        <v>1468</v>
      </c>
      <c r="F40" s="737" t="s">
        <v>1526</v>
      </c>
      <c r="G40" s="737" t="s">
        <v>1212</v>
      </c>
      <c r="H40" s="737" t="s">
        <v>1085</v>
      </c>
      <c r="K40" s="737">
        <v>125</v>
      </c>
      <c r="L40" s="737" t="s">
        <v>1527</v>
      </c>
      <c r="N40" s="737">
        <v>1125</v>
      </c>
      <c r="O40" s="737">
        <v>49751289</v>
      </c>
    </row>
    <row r="41" spans="2:15">
      <c r="B41" s="948" t="str" cm="1">
        <f t="array" ref="B41">IF(G41="","",_xlfn.XLOOKUP(TRIM(G41&amp;""),TRIM('Units Data'!$I$7:$I$10000&amp;""),'Units Data'!$C$7:$C$10000,"خارجي",0))</f>
        <v>A</v>
      </c>
      <c r="C41" s="737" t="str" cm="1">
        <f t="array" ref="C41">IF(G41="","",_xlfn.XLOOKUP(TRIM(G41&amp;""),TRIM('Units Data'!$I$7:$I$10000&amp;""),'Units Data'!$B$7:$B$10000,"خارجي",0))</f>
        <v>F1</v>
      </c>
      <c r="D41" s="737" t="str" cm="1">
        <f t="array" ref="D41">_xlfn.SWITCH(TRIM(E41),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IF(E41="","","غير محدد"))</f>
        <v>رسوم إيجار</v>
      </c>
      <c r="E41" s="737" t="s">
        <v>1468</v>
      </c>
      <c r="F41" s="737" t="s">
        <v>1528</v>
      </c>
      <c r="G41" s="737" t="s">
        <v>1168</v>
      </c>
      <c r="H41" s="737" t="s">
        <v>1085</v>
      </c>
      <c r="K41" s="737">
        <v>125</v>
      </c>
      <c r="L41" s="737" t="s">
        <v>1527</v>
      </c>
      <c r="N41" s="737">
        <v>1125</v>
      </c>
      <c r="O41" s="737">
        <v>49747051</v>
      </c>
    </row>
    <row r="42" spans="2:15">
      <c r="B42" s="737" t="str" cm="1">
        <f t="array" ref="B42">IF(G42="","",_xlfn.XLOOKUP(TRIM(G42&amp;""),TRIM('Units Data'!$I$7:$I$10000&amp;""),'Units Data'!$C$7:$C$10000,"خارجي",0))</f>
        <v>A</v>
      </c>
      <c r="C42" s="737" t="str" cm="1">
        <f t="array" ref="C42">IF(G42="","",_xlfn.XLOOKUP(TRIM(G42&amp;""),TRIM('Units Data'!$I$7:$I$10000&amp;""),'Units Data'!$B$7:$B$10000,"خارجي",0))</f>
        <v>F7</v>
      </c>
      <c r="D42" s="737" t="str" cm="1">
        <f t="array" ref="D42">_xlfn.SWITCH(TRIM(E42),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IF(E42="","","غير محدد"))</f>
        <v>حجز مبلغ</v>
      </c>
      <c r="E42" s="737" t="s">
        <v>499</v>
      </c>
      <c r="F42" s="737" t="s">
        <v>1515</v>
      </c>
      <c r="G42" s="737" t="s">
        <v>1132</v>
      </c>
      <c r="H42" s="737" t="s">
        <v>1085</v>
      </c>
      <c r="K42" s="737">
        <v>125</v>
      </c>
      <c r="L42" s="737" t="s">
        <v>1516</v>
      </c>
      <c r="N42" s="737">
        <v>1000</v>
      </c>
      <c r="O42" s="737">
        <v>0</v>
      </c>
    </row>
    <row r="43" spans="2:15">
      <c r="B43" s="737" t="str" cm="1">
        <f t="array" ref="B43">IF(G43="","",_xlfn.XLOOKUP(TRIM(G43&amp;""),TRIM('Units Data'!$I$7:$I$10000&amp;""),'Units Data'!$C$7:$C$10000,"خارجي",0))</f>
        <v>B</v>
      </c>
      <c r="C43" s="737" t="str" cm="1">
        <f t="array" ref="C43">IF(G43="","",_xlfn.XLOOKUP(TRIM(G43&amp;""),TRIM('Units Data'!$I$7:$I$10000&amp;""),'Units Data'!$B$7:$B$10000,"خارجي",0))</f>
        <v>A3</v>
      </c>
      <c r="D43" s="737" t="str" cm="1">
        <f t="array" ref="D43">_xlfn.SWITCH(TRIM(E43),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IF(E43="","","غير محدد"))</f>
        <v>حجز مبلغ</v>
      </c>
      <c r="E43" s="737" t="s">
        <v>499</v>
      </c>
      <c r="F43" s="737" t="s">
        <v>1513</v>
      </c>
      <c r="G43" s="737" t="s">
        <v>1164</v>
      </c>
      <c r="H43" s="737" t="s">
        <v>1092</v>
      </c>
      <c r="K43" s="737">
        <v>125</v>
      </c>
      <c r="L43" s="737" t="s">
        <v>1516</v>
      </c>
      <c r="N43" s="737">
        <v>1125</v>
      </c>
      <c r="O43" s="737">
        <v>0</v>
      </c>
    </row>
    <row r="44" spans="2:15">
      <c r="B44" s="737" t="str" cm="1">
        <f t="array" ref="B44">IF(G44="","",_xlfn.XLOOKUP(TRIM(G44&amp;""),TRIM('Units Data'!$I$7:$I$10000&amp;""),'Units Data'!$C$7:$C$10000,"خارجي",0))</f>
        <v>خارجي</v>
      </c>
      <c r="C44" s="737" t="str" cm="1">
        <f t="array" ref="C44">IF(G44="","",_xlfn.XLOOKUP(TRIM(G44&amp;""),TRIM('Units Data'!$I$7:$I$10000&amp;""),'Units Data'!$B$7:$B$10000,"خارجي",0))</f>
        <v>خارجي</v>
      </c>
      <c r="D44" s="737" t="str" cm="1">
        <f t="array" ref="D44">_xlfn.SWITCH(TRIM(E44),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IF(E44="","","غير محدد"))</f>
        <v>استرداد إلى المحفظة</v>
      </c>
      <c r="E44" s="737" t="s">
        <v>1480</v>
      </c>
      <c r="F44" s="737" t="s">
        <v>1517</v>
      </c>
      <c r="G44" s="737" t="s">
        <v>1518</v>
      </c>
      <c r="H44" s="737" t="s">
        <v>1085</v>
      </c>
      <c r="K44" s="737">
        <v>125</v>
      </c>
      <c r="L44" s="737" t="s">
        <v>1519</v>
      </c>
      <c r="N44" s="737">
        <v>1250</v>
      </c>
      <c r="O44" s="737">
        <v>49751115</v>
      </c>
    </row>
    <row r="45" spans="2:15">
      <c r="B45" s="948" t="str" cm="1">
        <f t="array" ref="B45">IF(G45="","",_xlfn.XLOOKUP(TRIM(G45&amp;""),TRIM('Units Data'!$I$7:$I$10000&amp;""),'Units Data'!$C$7:$C$10000,"خارجي",0))</f>
        <v>A</v>
      </c>
      <c r="C45" s="737" t="str" cm="1">
        <f t="array" ref="C45">IF(G45="","",_xlfn.XLOOKUP(TRIM(G45&amp;""),TRIM('Units Data'!$I$7:$I$10000&amp;""),'Units Data'!$B$7:$B$10000,"خارجي",0))</f>
        <v>F5</v>
      </c>
      <c r="D45" s="737" t="str" cm="1">
        <f t="array" ref="D45">_xlfn.SWITCH(TRIM(E45),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IF(E45="","","غير محدد"))</f>
        <v>رسوم إيجار</v>
      </c>
      <c r="E45" s="737" t="s">
        <v>1468</v>
      </c>
      <c r="F45" s="737" t="s">
        <v>1520</v>
      </c>
      <c r="G45" s="737" t="s">
        <v>1152</v>
      </c>
      <c r="H45" s="737" t="s">
        <v>1085</v>
      </c>
      <c r="K45" s="737">
        <v>125</v>
      </c>
      <c r="L45" s="737" t="s">
        <v>1521</v>
      </c>
      <c r="N45" s="737">
        <v>1125</v>
      </c>
      <c r="O45" s="737">
        <v>49995946</v>
      </c>
    </row>
    <row r="46" spans="2:15">
      <c r="B46" s="737" t="str" cm="1">
        <f t="array" ref="B46">IF(G46="","",_xlfn.XLOOKUP(TRIM(G46&amp;""),TRIM('Units Data'!$I$7:$I$10000&amp;""),'Units Data'!$C$7:$C$10000,"خارجي",0))</f>
        <v>خارجي</v>
      </c>
      <c r="C46" s="737" t="str" cm="1">
        <f t="array" ref="C46">IF(G46="","",_xlfn.XLOOKUP(TRIM(G46&amp;""),TRIM('Units Data'!$I$7:$I$10000&amp;""),'Units Data'!$B$7:$B$10000,"خارجي",0))</f>
        <v>خارجي</v>
      </c>
      <c r="D46" s="737" t="str" cm="1">
        <f t="array" ref="D46">_xlfn.SWITCH(TRIM(E46),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IF(E46="","","غير محدد"))</f>
        <v>استرداد إلى المحفظة</v>
      </c>
      <c r="E46" s="737" t="s">
        <v>1480</v>
      </c>
      <c r="F46" s="737" t="s">
        <v>1522</v>
      </c>
      <c r="G46" s="737" t="s">
        <v>1523</v>
      </c>
      <c r="H46" s="737" t="s">
        <v>1085</v>
      </c>
      <c r="K46" s="737">
        <v>125</v>
      </c>
      <c r="L46" s="737" t="s">
        <v>1521</v>
      </c>
      <c r="N46" s="737">
        <v>1125</v>
      </c>
      <c r="O46" s="737">
        <v>49732091</v>
      </c>
    </row>
    <row r="47" spans="2:15">
      <c r="B47" s="737" t="str" cm="1">
        <f t="array" ref="B47">IF(G47="","",_xlfn.XLOOKUP(TRIM(G47&amp;""),TRIM('Units Data'!$I$7:$I$10000&amp;""),'Units Data'!$C$7:$C$10000,"خارجي",0))</f>
        <v>A</v>
      </c>
      <c r="C47" s="737" t="str" cm="1">
        <f t="array" ref="C47">IF(G47="","",_xlfn.XLOOKUP(TRIM(G47&amp;""),TRIM('Units Data'!$I$7:$I$10000&amp;""),'Units Data'!$B$7:$B$10000,"خارجي",0))</f>
        <v>F5</v>
      </c>
      <c r="D47" s="737" t="str" cm="1">
        <f t="array" ref="D47">_xlfn.SWITCH(TRIM(E47),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IF(E47="","","غير محدد"))</f>
        <v>حجز مبلغ</v>
      </c>
      <c r="E47" s="737" t="s">
        <v>499</v>
      </c>
      <c r="F47" s="737" t="s">
        <v>1520</v>
      </c>
      <c r="G47" s="737" t="s">
        <v>1152</v>
      </c>
      <c r="H47" s="737" t="s">
        <v>1085</v>
      </c>
      <c r="K47" s="737">
        <v>125</v>
      </c>
      <c r="L47" s="737" t="s">
        <v>1524</v>
      </c>
      <c r="N47" s="737">
        <v>1000</v>
      </c>
      <c r="O47" s="737">
        <v>0</v>
      </c>
    </row>
    <row r="48" spans="2:15">
      <c r="B48" s="737" t="str" cm="1">
        <f t="array" ref="B48">IF(G48="","",_xlfn.XLOOKUP(TRIM(G48&amp;""),TRIM('Units Data'!$I$7:$I$10000&amp;""),'Units Data'!$C$7:$C$10000,"خارجي",0))</f>
        <v>A</v>
      </c>
      <c r="C48" s="737" t="str" cm="1">
        <f t="array" ref="C48">IF(G48="","",_xlfn.XLOOKUP(TRIM(G48&amp;""),TRIM('Units Data'!$I$7:$I$10000&amp;""),'Units Data'!$B$7:$B$10000,"خارجي",0))</f>
        <v>F5</v>
      </c>
      <c r="D48" s="737" t="str" cm="1">
        <f t="array" ref="D48">_xlfn.SWITCH(TRIM(E48),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IF(E48="","","غير محدد"))</f>
        <v>استرداد إلى المحفظة</v>
      </c>
      <c r="E48" s="737" t="s">
        <v>1480</v>
      </c>
      <c r="F48" s="737" t="s">
        <v>1525</v>
      </c>
      <c r="G48" s="737" t="s">
        <v>1152</v>
      </c>
      <c r="H48" s="737" t="s">
        <v>1085</v>
      </c>
      <c r="K48" s="737">
        <v>125</v>
      </c>
      <c r="L48" s="737" t="s">
        <v>1524</v>
      </c>
      <c r="N48" s="737">
        <v>1125</v>
      </c>
      <c r="O48" s="737">
        <v>49981593</v>
      </c>
    </row>
    <row r="49" spans="2:15">
      <c r="B49" s="737" t="str" cm="1">
        <f t="array" ref="B49">IF(G49="","",_xlfn.XLOOKUP(TRIM(G49&amp;""),TRIM('Units Data'!$I$7:$I$10000&amp;""),'Units Data'!$C$7:$C$10000,"خارجي",0))</f>
        <v>A</v>
      </c>
      <c r="C49" s="737" t="str" cm="1">
        <f t="array" ref="C49">IF(G49="","",_xlfn.XLOOKUP(TRIM(G49&amp;""),TRIM('Units Data'!$I$7:$I$10000&amp;""),'Units Data'!$B$7:$B$10000,"خارجي",0))</f>
        <v>F5</v>
      </c>
      <c r="D49" s="737" t="str" cm="1">
        <f t="array" ref="D49">_xlfn.SWITCH(TRIM(E49),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IF(E49="","","غير محدد"))</f>
        <v>حجز مبلغ</v>
      </c>
      <c r="E49" s="737" t="s">
        <v>499</v>
      </c>
      <c r="F49" s="737" t="s">
        <v>1525</v>
      </c>
      <c r="G49" s="737" t="s">
        <v>1152</v>
      </c>
      <c r="H49" s="737" t="s">
        <v>1085</v>
      </c>
      <c r="K49" s="737">
        <v>125</v>
      </c>
      <c r="L49" s="737" t="s">
        <v>1524</v>
      </c>
      <c r="N49" s="737">
        <v>1000</v>
      </c>
      <c r="O49" s="737">
        <v>0</v>
      </c>
    </row>
    <row r="50" spans="2:15">
      <c r="B50" s="948" t="str" cm="1">
        <f t="array" ref="B50">IF(G50="","",_xlfn.XLOOKUP(TRIM(G50&amp;""),TRIM('Units Data'!$I$7:$I$10000&amp;""),'Units Data'!$C$7:$C$10000,"خارجي",0))</f>
        <v>A</v>
      </c>
      <c r="C50" s="737" t="str" cm="1">
        <f t="array" ref="C50">IF(G50="","",_xlfn.XLOOKUP(TRIM(G50&amp;""),TRIM('Units Data'!$I$7:$I$10000&amp;""),'Units Data'!$B$7:$B$10000,"خارجي",0))</f>
        <v>F7</v>
      </c>
      <c r="D50" s="737" t="str" cm="1">
        <f t="array" ref="D50">_xlfn.SWITCH(TRIM(E50),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IF(E50="","","غير محدد"))</f>
        <v>رسوم إيجار</v>
      </c>
      <c r="E50" s="737" t="s">
        <v>1468</v>
      </c>
      <c r="F50" s="737" t="s">
        <v>1515</v>
      </c>
      <c r="G50" s="737" t="s">
        <v>1132</v>
      </c>
      <c r="H50" s="737" t="s">
        <v>1085</v>
      </c>
      <c r="K50" s="737">
        <v>125</v>
      </c>
      <c r="L50" s="737" t="s">
        <v>1514</v>
      </c>
      <c r="N50" s="737">
        <v>1000</v>
      </c>
      <c r="O50" s="737">
        <v>50222469</v>
      </c>
    </row>
    <row r="51" spans="2:15">
      <c r="B51" s="948" t="str" cm="1">
        <f t="array" ref="B51">IF(G51="","",_xlfn.XLOOKUP(TRIM(G51&amp;""),TRIM('Units Data'!$I$7:$I$10000&amp;""),'Units Data'!$C$7:$C$10000,"خارجي",0))</f>
        <v>B</v>
      </c>
      <c r="C51" s="737" t="str" cm="1">
        <f t="array" ref="C51">IF(G51="","",_xlfn.XLOOKUP(TRIM(G51&amp;""),TRIM('Units Data'!$I$7:$I$10000&amp;""),'Units Data'!$B$7:$B$10000,"خارجي",0))</f>
        <v>A3</v>
      </c>
      <c r="D51" s="737" t="str" cm="1">
        <f t="array" ref="D51">_xlfn.SWITCH(TRIM(E51),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IF(E51="","","غير محدد"))</f>
        <v>رسوم إيجار</v>
      </c>
      <c r="E51" s="737" t="s">
        <v>1468</v>
      </c>
      <c r="F51" s="737" t="s">
        <v>1513</v>
      </c>
      <c r="G51" s="737" t="s">
        <v>1164</v>
      </c>
      <c r="H51" s="737" t="s">
        <v>1092</v>
      </c>
      <c r="K51" s="948">
        <v>125</v>
      </c>
      <c r="L51" s="737" t="s">
        <v>1514</v>
      </c>
      <c r="N51" s="737">
        <v>1000</v>
      </c>
      <c r="O51" s="737">
        <v>50222408</v>
      </c>
    </row>
    <row r="52" spans="2:15">
      <c r="B52" s="737" t="str" cm="1">
        <f t="array" ref="B52">IF(G52="","",_xlfn.XLOOKUP(TRIM(G52&amp;""),TRIM('Units Data'!$I$7:$I$10000&amp;""),'Units Data'!$C$7:$C$10000,"خارجي",0))</f>
        <v>A</v>
      </c>
      <c r="C52" s="737" t="str" cm="1">
        <f t="array" ref="C52">IF(G52="","",_xlfn.XLOOKUP(TRIM(G52&amp;""),TRIM('Units Data'!$I$7:$I$10000&amp;""),'Units Data'!$B$7:$B$10000,"خارجي",0))</f>
        <v>F2</v>
      </c>
      <c r="D52" s="737" t="str" cm="1">
        <f t="array" ref="D52">_xlfn.SWITCH(TRIM(E52),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IF(E52="","","غير محدد"))</f>
        <v>حجز مبلغ</v>
      </c>
      <c r="E52" s="737" t="s">
        <v>499</v>
      </c>
      <c r="F52" s="737" t="s">
        <v>1526</v>
      </c>
      <c r="G52" s="737" t="s">
        <v>1212</v>
      </c>
      <c r="H52" s="737" t="s">
        <v>1085</v>
      </c>
      <c r="K52" s="737">
        <v>125</v>
      </c>
      <c r="L52" s="737" t="s">
        <v>1529</v>
      </c>
      <c r="N52" s="737">
        <v>1125</v>
      </c>
      <c r="O52" s="737">
        <v>0</v>
      </c>
    </row>
    <row r="53" spans="2:15">
      <c r="B53" s="737" t="str" cm="1">
        <f t="array" ref="B53">IF(G53="","",_xlfn.XLOOKUP(TRIM(G53&amp;""),TRIM('Units Data'!$I$7:$I$10000&amp;""),'Units Data'!$C$7:$C$10000,"خارجي",0))</f>
        <v>خارجي</v>
      </c>
      <c r="C53" s="737" t="str" cm="1">
        <f t="array" ref="C53">IF(G53="","",_xlfn.XLOOKUP(TRIM(G53&amp;""),TRIM('Units Data'!$I$7:$I$10000&amp;""),'Units Data'!$B$7:$B$10000,"خارجي",0))</f>
        <v>خارجي</v>
      </c>
      <c r="D53" s="737" t="str" cm="1">
        <f t="array" ref="D53">_xlfn.SWITCH(TRIM(E53),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IF(E53="","","غير محدد"))</f>
        <v>حجز مبلغ</v>
      </c>
      <c r="E53" s="737" t="s">
        <v>499</v>
      </c>
      <c r="F53" s="737" t="s">
        <v>1517</v>
      </c>
      <c r="G53" s="737" t="s">
        <v>1518</v>
      </c>
      <c r="H53" s="737" t="s">
        <v>1085</v>
      </c>
      <c r="K53" s="737">
        <v>125</v>
      </c>
      <c r="L53" s="737" t="s">
        <v>1529</v>
      </c>
      <c r="N53" s="737">
        <v>1250</v>
      </c>
      <c r="O53" s="737">
        <v>0</v>
      </c>
    </row>
    <row r="54" spans="2:15">
      <c r="B54" s="737" t="str" cm="1">
        <f t="array" ref="B54">IF(G54="","",_xlfn.XLOOKUP(TRIM(G54&amp;""),TRIM('Units Data'!$I$7:$I$10000&amp;""),'Units Data'!$C$7:$C$10000,"خارجي",0))</f>
        <v>A</v>
      </c>
      <c r="C54" s="737" t="str" cm="1">
        <f t="array" ref="C54">IF(G54="","",_xlfn.XLOOKUP(TRIM(G54&amp;""),TRIM('Units Data'!$I$7:$I$10000&amp;""),'Units Data'!$B$7:$B$10000,"خارجي",0))</f>
        <v>F1</v>
      </c>
      <c r="D54" s="737" t="str" cm="1">
        <f t="array" ref="D54">_xlfn.SWITCH(TRIM(E54),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IF(E54="","","غير محدد"))</f>
        <v>حجز مبلغ</v>
      </c>
      <c r="E54" s="737" t="s">
        <v>499</v>
      </c>
      <c r="F54" s="737" t="s">
        <v>1528</v>
      </c>
      <c r="G54" s="737" t="s">
        <v>1168</v>
      </c>
      <c r="H54" s="737" t="s">
        <v>1085</v>
      </c>
      <c r="K54" s="737">
        <v>125</v>
      </c>
      <c r="L54" s="737" t="s">
        <v>1529</v>
      </c>
      <c r="N54" s="737">
        <v>1375</v>
      </c>
      <c r="O54" s="737">
        <v>0</v>
      </c>
    </row>
    <row r="55" spans="2:15">
      <c r="B55" s="737" t="str" cm="1">
        <f t="array" ref="B55">IF(G55="","",_xlfn.XLOOKUP(TRIM(G55&amp;""),TRIM('Units Data'!$I$7:$I$10000&amp;""),'Units Data'!$C$7:$C$10000,"خارجي",0))</f>
        <v>خارجي</v>
      </c>
      <c r="C55" s="737" t="str" cm="1">
        <f t="array" ref="C55">IF(G55="","",_xlfn.XLOOKUP(TRIM(G55&amp;""),TRIM('Units Data'!$I$7:$I$10000&amp;""),'Units Data'!$B$7:$B$10000,"خارجي",0))</f>
        <v>خارجي</v>
      </c>
      <c r="D55" s="737" t="str" cm="1">
        <f t="array" ref="D55">_xlfn.SWITCH(TRIM(E55),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IF(E55="","","غير محدد"))</f>
        <v>حجز مبلغ</v>
      </c>
      <c r="E55" s="737" t="s">
        <v>499</v>
      </c>
      <c r="F55" s="737" t="s">
        <v>1522</v>
      </c>
      <c r="G55" s="737" t="s">
        <v>1523</v>
      </c>
      <c r="H55" s="737" t="s">
        <v>1085</v>
      </c>
      <c r="K55" s="737">
        <v>125</v>
      </c>
      <c r="L55" s="737" t="s">
        <v>1530</v>
      </c>
      <c r="N55" s="737">
        <v>1500</v>
      </c>
      <c r="O55" s="737">
        <v>0</v>
      </c>
    </row>
    <row r="56" spans="2:15">
      <c r="B56" s="948" t="str" cm="1">
        <f t="array" ref="B56">IF(G56="","",_xlfn.XLOOKUP(TRIM(G56&amp;""),TRIM('Units Data'!$I$7:$I$10000&amp;""),'Units Data'!$C$7:$C$10000,"خارجي",0))</f>
        <v>B</v>
      </c>
      <c r="C56" s="737" t="str" cm="1">
        <f t="array" ref="C56">IF(G56="","",_xlfn.XLOOKUP(TRIM(G56&amp;""),TRIM('Units Data'!$I$7:$I$10000&amp;""),'Units Data'!$B$7:$B$10000,"خارجي",0))</f>
        <v>A1</v>
      </c>
      <c r="D56" s="737" t="str" cm="1">
        <f t="array" ref="D56">_xlfn.SWITCH(TRIM(E56),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IF(E56="","","غير محدد"))</f>
        <v>رسوم إيجار</v>
      </c>
      <c r="E56" s="737" t="s">
        <v>1468</v>
      </c>
      <c r="F56" s="737" t="s">
        <v>1511</v>
      </c>
      <c r="G56" s="737" t="s">
        <v>1093</v>
      </c>
      <c r="H56" s="737" t="s">
        <v>1092</v>
      </c>
      <c r="K56" s="948">
        <v>125</v>
      </c>
      <c r="L56" s="737" t="s">
        <v>1512</v>
      </c>
      <c r="N56" s="737">
        <v>875</v>
      </c>
      <c r="O56" s="737">
        <v>50429134</v>
      </c>
    </row>
    <row r="57" spans="2:15">
      <c r="B57" s="737" t="str" cm="1">
        <f t="array" ref="B57">IF(G57="","",_xlfn.XLOOKUP(TRIM(G57&amp;""),TRIM('Units Data'!$I$7:$I$10000&amp;""),'Units Data'!$C$7:$C$10000,"خارجي",0))</f>
        <v>A</v>
      </c>
      <c r="C57" s="737" t="str" cm="1">
        <f t="array" ref="C57">IF(G57="","",_xlfn.XLOOKUP(TRIM(G57&amp;""),TRIM('Units Data'!$I$7:$I$10000&amp;""),'Units Data'!$B$7:$B$10000,"خارجي",0))</f>
        <v>F9</v>
      </c>
      <c r="D57" s="737" t="str" cm="1">
        <f t="array" ref="D57">_xlfn.SWITCH(TRIM(E57),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IF(E57="","","غير محدد"))</f>
        <v>حجز مبلغ</v>
      </c>
      <c r="E57" s="737" t="s">
        <v>499</v>
      </c>
      <c r="F57" s="737" t="s">
        <v>1531</v>
      </c>
      <c r="G57" s="737" t="s">
        <v>1185</v>
      </c>
      <c r="H57" s="737" t="s">
        <v>1085</v>
      </c>
      <c r="K57" s="737">
        <v>125</v>
      </c>
      <c r="L57" s="737" t="s">
        <v>1532</v>
      </c>
      <c r="N57" s="737">
        <v>1625</v>
      </c>
      <c r="O57" s="737">
        <v>0</v>
      </c>
    </row>
    <row r="58" spans="2:15">
      <c r="B58" s="948" t="str" cm="1">
        <f t="array" ref="B58">IF(G58="","",_xlfn.XLOOKUP(TRIM(G58&amp;""),TRIM('Units Data'!$I$7:$I$10000&amp;""),'Units Data'!$C$7:$C$10000,"خارجي",0))</f>
        <v>A</v>
      </c>
      <c r="C58" s="737" t="str" cm="1">
        <f t="array" ref="C58">IF(G58="","",_xlfn.XLOOKUP(TRIM(G58&amp;""),TRIM('Units Data'!$I$7:$I$10000&amp;""),'Units Data'!$B$7:$B$10000,"خارجي",0))</f>
        <v>F3</v>
      </c>
      <c r="D58" s="737" t="str" cm="1">
        <f t="array" ref="D58">_xlfn.SWITCH(TRIM(E58),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IF(E58="","","غير محدد"))</f>
        <v>رسوم إيجار</v>
      </c>
      <c r="E58" s="737" t="s">
        <v>1468</v>
      </c>
      <c r="F58" s="737" t="s">
        <v>1506</v>
      </c>
      <c r="G58" s="737" t="s">
        <v>1142</v>
      </c>
      <c r="H58" s="737" t="s">
        <v>1085</v>
      </c>
      <c r="K58" s="737">
        <v>125</v>
      </c>
      <c r="L58" s="737" t="s">
        <v>1507</v>
      </c>
      <c r="N58" s="737">
        <v>625</v>
      </c>
      <c r="O58" s="737">
        <v>50554453</v>
      </c>
    </row>
    <row r="59" spans="2:15">
      <c r="B59" s="948" t="str" cm="1">
        <f t="array" ref="B59">IF(G59="","",_xlfn.XLOOKUP(TRIM(G59&amp;""),TRIM('Units Data'!$I$7:$I$10000&amp;""),'Units Data'!$C$7:$C$10000,"خارجي",0))</f>
        <v>B</v>
      </c>
      <c r="C59" s="737" t="str" cm="1">
        <f t="array" ref="C59">IF(G59="","",_xlfn.XLOOKUP(TRIM(G59&amp;""),TRIM('Units Data'!$I$7:$I$10000&amp;""),'Units Data'!$B$7:$B$10000,"خارجي",0))</f>
        <v>A4</v>
      </c>
      <c r="D59" s="737" t="str" cm="1">
        <f t="array" ref="D59">_xlfn.SWITCH(TRIM(E59),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IF(E59="","","غير محدد"))</f>
        <v>رسوم إيجار</v>
      </c>
      <c r="E59" s="737" t="s">
        <v>1468</v>
      </c>
      <c r="F59" s="737" t="s">
        <v>1508</v>
      </c>
      <c r="G59" s="737" t="s">
        <v>1183</v>
      </c>
      <c r="H59" s="737" t="s">
        <v>1092</v>
      </c>
      <c r="K59" s="948">
        <v>125</v>
      </c>
      <c r="L59" s="737" t="s">
        <v>1507</v>
      </c>
      <c r="N59" s="737">
        <v>625</v>
      </c>
      <c r="O59" s="737">
        <v>50539470</v>
      </c>
    </row>
    <row r="60" spans="2:15">
      <c r="B60" s="737" t="str" cm="1">
        <f t="array" ref="B60">IF(G60="","",_xlfn.XLOOKUP(TRIM(G60&amp;""),TRIM('Units Data'!$I$7:$I$10000&amp;""),'Units Data'!$C$7:$C$10000,"خارجي",0))</f>
        <v>A</v>
      </c>
      <c r="C60" s="737" t="str" cm="1">
        <f t="array" ref="C60">IF(G60="","",_xlfn.XLOOKUP(TRIM(G60&amp;""),TRIM('Units Data'!$I$7:$I$10000&amp;""),'Units Data'!$B$7:$B$10000,"خارجي",0))</f>
        <v>F3</v>
      </c>
      <c r="D60" s="737" t="str" cm="1">
        <f t="array" ref="D60">_xlfn.SWITCH(TRIM(E60),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IF(E60="","","غير محدد"))</f>
        <v>حجز مبلغ</v>
      </c>
      <c r="E60" s="737" t="s">
        <v>499</v>
      </c>
      <c r="F60" s="737" t="s">
        <v>1535</v>
      </c>
      <c r="G60" s="737" t="s">
        <v>1219</v>
      </c>
      <c r="H60" s="737" t="s">
        <v>1085</v>
      </c>
      <c r="K60" s="737">
        <v>125</v>
      </c>
      <c r="L60" s="737" t="s">
        <v>1536</v>
      </c>
      <c r="N60" s="737">
        <v>1750</v>
      </c>
      <c r="O60" s="737">
        <v>0</v>
      </c>
    </row>
    <row r="61" spans="2:15">
      <c r="B61" s="948" t="str" cm="1">
        <f t="array" ref="B61">IF(G61="","",_xlfn.XLOOKUP(TRIM(G61&amp;""),TRIM('Units Data'!$I$7:$I$10000&amp;""),'Units Data'!$C$7:$C$10000,"خارجي",0))</f>
        <v>B</v>
      </c>
      <c r="C61" s="737" t="str" cm="1">
        <f t="array" ref="C61">IF(G61="","",_xlfn.XLOOKUP(TRIM(G61&amp;""),TRIM('Units Data'!$I$7:$I$10000&amp;""),'Units Data'!$B$7:$B$10000,"خارجي",0))</f>
        <v>R4</v>
      </c>
      <c r="D61" s="737" t="str" cm="1">
        <f t="array" ref="D61">_xlfn.SWITCH(TRIM(E61),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IF(E61="","","غير محدد"))</f>
        <v>رسوم إيجار</v>
      </c>
      <c r="E61" s="737" t="s">
        <v>1468</v>
      </c>
      <c r="F61" s="737" t="s">
        <v>1502</v>
      </c>
      <c r="G61" s="737" t="s">
        <v>1135</v>
      </c>
      <c r="H61" s="737" t="s">
        <v>1092</v>
      </c>
      <c r="K61" s="948">
        <v>125</v>
      </c>
      <c r="L61" s="737" t="s">
        <v>1503</v>
      </c>
      <c r="N61" s="737">
        <v>375</v>
      </c>
      <c r="O61" s="737">
        <v>50946043</v>
      </c>
    </row>
    <row r="62" spans="2:15">
      <c r="B62" s="948" t="str" cm="1">
        <f t="array" ref="B62">IF(G62="","",_xlfn.XLOOKUP(TRIM(G62&amp;""),TRIM('Units Data'!$I$7:$I$10000&amp;""),'Units Data'!$C$7:$C$10000,"خارجي",0))</f>
        <v>B</v>
      </c>
      <c r="C62" s="737" t="str" cm="1">
        <f t="array" ref="C62">IF(G62="","",_xlfn.XLOOKUP(TRIM(G62&amp;""),TRIM('Units Data'!$I$7:$I$10000&amp;""),'Units Data'!$B$7:$B$10000,"خارجي",0))</f>
        <v>A7</v>
      </c>
      <c r="D62" s="737" t="str" cm="1">
        <f t="array" ref="D62">_xlfn.SWITCH(TRIM(E62),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IF(E62="","","غير محدد"))</f>
        <v>رسوم إيجار</v>
      </c>
      <c r="E62" s="737" t="s">
        <v>1468</v>
      </c>
      <c r="F62" s="737" t="s">
        <v>1504</v>
      </c>
      <c r="G62" s="737" t="s">
        <v>1108</v>
      </c>
      <c r="H62" s="737" t="s">
        <v>1092</v>
      </c>
      <c r="K62" s="948">
        <v>125</v>
      </c>
      <c r="L62" s="737" t="s">
        <v>1503</v>
      </c>
      <c r="N62" s="737">
        <v>375</v>
      </c>
      <c r="O62" s="737">
        <v>50941856</v>
      </c>
    </row>
    <row r="63" spans="2:15">
      <c r="B63" s="948" t="str" cm="1">
        <f t="array" ref="B63">IF(G63="","",_xlfn.XLOOKUP(TRIM(G63&amp;""),TRIM('Units Data'!$I$7:$I$10000&amp;""),'Units Data'!$C$7:$C$10000,"خارجي",0))</f>
        <v>B</v>
      </c>
      <c r="C63" s="737" t="str" cm="1">
        <f t="array" ref="C63">IF(G63="","",_xlfn.XLOOKUP(TRIM(G63&amp;""),TRIM('Units Data'!$I$7:$I$10000&amp;""),'Units Data'!$B$7:$B$10000,"خارجي",0))</f>
        <v>A6</v>
      </c>
      <c r="D63" s="737" t="str" cm="1">
        <f t="array" ref="D63">_xlfn.SWITCH(TRIM(E63),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IF(E63="","","غير محدد"))</f>
        <v>رسوم إيجار</v>
      </c>
      <c r="E63" s="737" t="s">
        <v>1468</v>
      </c>
      <c r="F63" s="737" t="s">
        <v>1491</v>
      </c>
      <c r="G63" s="737" t="s">
        <v>1115</v>
      </c>
      <c r="H63" s="737" t="s">
        <v>1092</v>
      </c>
      <c r="K63" s="948">
        <v>125</v>
      </c>
      <c r="L63" s="737" t="s">
        <v>1492</v>
      </c>
      <c r="N63" s="737">
        <v>2125</v>
      </c>
      <c r="O63" s="737">
        <v>51230305</v>
      </c>
    </row>
    <row r="64" spans="2:15">
      <c r="B64" s="948" t="str" cm="1">
        <f t="array" ref="B64">IF(G64="","",_xlfn.XLOOKUP(TRIM(G64&amp;""),TRIM('Units Data'!$I$7:$I$10000&amp;""),'Units Data'!$C$7:$C$10000,"خارجي",0))</f>
        <v>B</v>
      </c>
      <c r="C64" s="737" t="str" cm="1">
        <f t="array" ref="C64">IF(G64="","",_xlfn.XLOOKUP(TRIM(G64&amp;""),TRIM('Units Data'!$I$7:$I$10000&amp;""),'Units Data'!$B$7:$B$10000,"خارجي",0))</f>
        <v>A9</v>
      </c>
      <c r="D64" s="737" t="str" cm="1">
        <f t="array" ref="D64">_xlfn.SWITCH(TRIM(E64),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IF(E64="","","غير محدد"))</f>
        <v>رسوم إيجار</v>
      </c>
      <c r="E64" s="737" t="s">
        <v>1468</v>
      </c>
      <c r="F64" s="737" t="s">
        <v>1488</v>
      </c>
      <c r="G64" s="737" t="s">
        <v>1489</v>
      </c>
      <c r="H64" s="737" t="s">
        <v>1092</v>
      </c>
      <c r="K64" s="948">
        <v>125</v>
      </c>
      <c r="L64" s="737" t="s">
        <v>1490</v>
      </c>
      <c r="N64" s="737">
        <v>2000</v>
      </c>
      <c r="O64" s="737">
        <v>51317664</v>
      </c>
    </row>
    <row r="65" spans="2:16">
      <c r="B65" s="737" t="str" cm="1">
        <f t="array" ref="B65">IF(G65="","",_xlfn.XLOOKUP(TRIM(G65&amp;""),TRIM('Units Data'!$I$7:$I$10000&amp;""),'Units Data'!$C$7:$C$10000,"خارجي",0))</f>
        <v>A</v>
      </c>
      <c r="C65" s="737" t="str" cm="1">
        <f t="array" ref="C65">IF(G65="","",_xlfn.XLOOKUP(TRIM(G65&amp;""),TRIM('Units Data'!$I$7:$I$10000&amp;""),'Units Data'!$B$7:$B$10000,"خارجي",0))</f>
        <v>F8</v>
      </c>
      <c r="D65" s="737" t="str" cm="1">
        <f t="array" ref="D65">_xlfn.SWITCH(TRIM(E65),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IF(E65="","","غير محدد"))</f>
        <v>حجز مبلغ</v>
      </c>
      <c r="E65" s="737" t="s">
        <v>499</v>
      </c>
      <c r="F65" s="737" t="s">
        <v>1538</v>
      </c>
      <c r="G65" s="737" t="s">
        <v>1539</v>
      </c>
      <c r="H65" s="737" t="s">
        <v>1085</v>
      </c>
      <c r="K65" s="737">
        <v>125</v>
      </c>
      <c r="L65" s="737" t="s">
        <v>1536</v>
      </c>
      <c r="N65" s="737">
        <v>1875</v>
      </c>
      <c r="O65" s="737">
        <v>0</v>
      </c>
    </row>
    <row r="66" spans="2:16">
      <c r="B66" s="737" t="str" cm="1">
        <f t="array" ref="B66">IF(G66="","",_xlfn.XLOOKUP(TRIM(G66&amp;""),TRIM('Units Data'!$I$7:$I$10000&amp;""),'Units Data'!$C$7:$C$10000,"خارجي",0))</f>
        <v/>
      </c>
      <c r="C66" s="737" t="str" cm="1">
        <f t="array" ref="C66">IF(G66="","",_xlfn.XLOOKUP(TRIM(G66&amp;""),TRIM('Units Data'!$I$7:$I$10000&amp;""),'Units Data'!$B$7:$B$10000,"خارجي",0))</f>
        <v/>
      </c>
      <c r="D66" s="737" t="str" cm="1">
        <f t="array" ref="D66">_xlfn.SWITCH(TRIM(E66),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IF(E66="","","غير محدد"))</f>
        <v>شحن المحفظة</v>
      </c>
      <c r="E66" s="737" t="s">
        <v>1498</v>
      </c>
      <c r="F66" s="737" t="s">
        <v>1542</v>
      </c>
      <c r="G66" s="737" t="s">
        <v>1500</v>
      </c>
      <c r="K66" s="737">
        <v>2000</v>
      </c>
      <c r="L66" s="737" t="s">
        <v>1536</v>
      </c>
      <c r="N66" s="737">
        <v>2000</v>
      </c>
      <c r="O66" s="737">
        <v>0</v>
      </c>
      <c r="P66" s="737" t="s">
        <v>1501</v>
      </c>
    </row>
    <row r="67" spans="2:16">
      <c r="B67" s="737" t="str" cm="1">
        <f t="array" ref="B67">IF(G67="","",_xlfn.XLOOKUP(TRIM(G67&amp;""),TRIM('Units Data'!$I$7:$I$10000&amp;""),'Units Data'!$C$7:$C$10000,"خارجي",0))</f>
        <v>A</v>
      </c>
      <c r="C67" s="737" t="str" cm="1">
        <f t="array" ref="C67">IF(G67="","",_xlfn.XLOOKUP(TRIM(G67&amp;""),TRIM('Units Data'!$I$7:$I$10000&amp;""),'Units Data'!$B$7:$B$10000,"خارجي",0))</f>
        <v>S1</v>
      </c>
      <c r="D67" s="737" t="str" cm="1">
        <f t="array" ref="D67">_xlfn.SWITCH(TRIM(E67),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IF(E67="","","غير محدد"))</f>
        <v>حجز مبلغ</v>
      </c>
      <c r="E67" s="737" t="s">
        <v>499</v>
      </c>
      <c r="F67" s="737" t="s">
        <v>1533</v>
      </c>
      <c r="G67" s="737" t="s">
        <v>1172</v>
      </c>
      <c r="H67" s="737" t="s">
        <v>1085</v>
      </c>
      <c r="K67" s="737">
        <v>125</v>
      </c>
      <c r="L67" s="737" t="s">
        <v>1536</v>
      </c>
      <c r="N67" s="737">
        <v>0</v>
      </c>
      <c r="O67" s="737">
        <v>0</v>
      </c>
    </row>
    <row r="68" spans="2:16">
      <c r="B68" s="737" t="str" cm="1">
        <f t="array" ref="B68">IF(G68="","",_xlfn.XLOOKUP(TRIM(G68&amp;""),TRIM('Units Data'!$I$7:$I$10000&amp;""),'Units Data'!$C$7:$C$10000,"خارجي",0))</f>
        <v>A</v>
      </c>
      <c r="C68" s="737" t="str" cm="1">
        <f t="array" ref="C68">IF(G68="","",_xlfn.XLOOKUP(TRIM(G68&amp;""),TRIM('Units Data'!$I$7:$I$10000&amp;""),'Units Data'!$B$7:$B$10000,"خارجي",0))</f>
        <v>S1</v>
      </c>
      <c r="D68" s="737" t="str" cm="1">
        <f t="array" ref="D68">_xlfn.SWITCH(TRIM(E68),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IF(E68="","","غير محدد"))</f>
        <v>استرداد إلى المحفظة</v>
      </c>
      <c r="E68" s="737" t="s">
        <v>1480</v>
      </c>
      <c r="F68" s="737" t="s">
        <v>1543</v>
      </c>
      <c r="G68" s="737" t="s">
        <v>1172</v>
      </c>
      <c r="H68" s="737" t="s">
        <v>1085</v>
      </c>
      <c r="K68" s="737">
        <v>125</v>
      </c>
      <c r="L68" s="737" t="s">
        <v>1536</v>
      </c>
      <c r="N68" s="737">
        <v>125</v>
      </c>
      <c r="O68" s="737">
        <v>49277402</v>
      </c>
    </row>
    <row r="69" spans="2:16">
      <c r="B69" s="737" t="str" cm="1">
        <f t="array" ref="B69">IF(G69="","",_xlfn.XLOOKUP(TRIM(G69&amp;""),TRIM('Units Data'!$I$7:$I$10000&amp;""),'Units Data'!$C$7:$C$10000,"خارجي",0))</f>
        <v>A</v>
      </c>
      <c r="C69" s="737" t="str" cm="1">
        <f t="array" ref="C69">IF(G69="","",_xlfn.XLOOKUP(TRIM(G69&amp;""),TRIM('Units Data'!$I$7:$I$10000&amp;""),'Units Data'!$B$7:$B$10000,"خارجي",0))</f>
        <v>F6</v>
      </c>
      <c r="D69" s="737" t="str" cm="1">
        <f t="array" ref="D69">_xlfn.SWITCH(TRIM(E69),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IF(E69="","","غير محدد"))</f>
        <v>حجز مبلغ</v>
      </c>
      <c r="E69" s="737" t="s">
        <v>499</v>
      </c>
      <c r="F69" s="737" t="s">
        <v>1541</v>
      </c>
      <c r="G69" s="737" t="s">
        <v>1166</v>
      </c>
      <c r="H69" s="737" t="s">
        <v>1085</v>
      </c>
      <c r="K69" s="737">
        <v>125</v>
      </c>
      <c r="L69" s="737" t="s">
        <v>1544</v>
      </c>
      <c r="N69" s="737">
        <v>0</v>
      </c>
      <c r="O69" s="737">
        <v>0</v>
      </c>
    </row>
    <row r="70" spans="2:16">
      <c r="B70" s="737" t="str" cm="1">
        <f t="array" ref="B70">IF(G70="","",_xlfn.XLOOKUP(TRIM(G70&amp;""),TRIM('Units Data'!$I$7:$I$10000&amp;""),'Units Data'!$C$7:$C$10000,"خارجي",0))</f>
        <v>A</v>
      </c>
      <c r="C70" s="737" t="str" cm="1">
        <f t="array" ref="C70">IF(G70="","",_xlfn.XLOOKUP(TRIM(G70&amp;""),TRIM('Units Data'!$I$7:$I$10000&amp;""),'Units Data'!$B$7:$B$10000,"خارجي",0))</f>
        <v>F7</v>
      </c>
      <c r="D70" s="737" t="str" cm="1">
        <f t="array" ref="D70">_xlfn.SWITCH(TRIM(E70),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IF(E70="","","غير محدد"))</f>
        <v>حجز مبلغ</v>
      </c>
      <c r="E70" s="737" t="s">
        <v>499</v>
      </c>
      <c r="F70" s="737" t="s">
        <v>1540</v>
      </c>
      <c r="G70" s="737" t="s">
        <v>1214</v>
      </c>
      <c r="H70" s="737" t="s">
        <v>1085</v>
      </c>
      <c r="K70" s="737">
        <v>125</v>
      </c>
      <c r="L70" s="737" t="s">
        <v>1544</v>
      </c>
      <c r="N70" s="737">
        <v>125</v>
      </c>
      <c r="O70" s="737">
        <v>0</v>
      </c>
    </row>
    <row r="71" spans="2:16">
      <c r="B71" s="737" t="str" cm="1">
        <f t="array" ref="B71">IF(G71="","",_xlfn.XLOOKUP(TRIM(G71&amp;""),TRIM('Units Data'!$I$7:$I$10000&amp;""),'Units Data'!$C$7:$C$10000,"خارجي",0))</f>
        <v>A</v>
      </c>
      <c r="C71" s="737" t="str" cm="1">
        <f t="array" ref="C71">IF(G71="","",_xlfn.XLOOKUP(TRIM(G71&amp;""),TRIM('Units Data'!$I$7:$I$10000&amp;""),'Units Data'!$B$7:$B$10000,"خارجي",0))</f>
        <v>F7</v>
      </c>
      <c r="D71" s="737" t="str" cm="1">
        <f t="array" ref="D71">_xlfn.SWITCH(TRIM(E71),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IF(E71="","","غير محدد"))</f>
        <v>استرداد إلى المحفظة</v>
      </c>
      <c r="E71" s="737" t="s">
        <v>1480</v>
      </c>
      <c r="F71" s="737" t="s">
        <v>1545</v>
      </c>
      <c r="G71" s="737" t="s">
        <v>1214</v>
      </c>
      <c r="H71" s="737" t="s">
        <v>1085</v>
      </c>
      <c r="K71" s="737">
        <v>125</v>
      </c>
      <c r="L71" s="737" t="s">
        <v>1544</v>
      </c>
      <c r="N71" s="737">
        <v>250</v>
      </c>
      <c r="O71" s="737">
        <v>49386861</v>
      </c>
    </row>
    <row r="72" spans="2:16">
      <c r="B72" s="737" t="str" cm="1">
        <f t="array" ref="B72">IF(G72="","",_xlfn.XLOOKUP(TRIM(G72&amp;""),TRIM('Units Data'!$I$7:$I$10000&amp;""),'Units Data'!$C$7:$C$10000,"خارجي",0))</f>
        <v>A</v>
      </c>
      <c r="C72" s="737" t="str" cm="1">
        <f t="array" ref="C72">IF(G72="","",_xlfn.XLOOKUP(TRIM(G72&amp;""),TRIM('Units Data'!$I$7:$I$10000&amp;""),'Units Data'!$B$7:$B$10000,"خارجي",0))</f>
        <v>S3</v>
      </c>
      <c r="D72" s="737" t="str" cm="1">
        <f t="array" ref="D72">_xlfn.SWITCH(TRIM(E72),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IF(E72="","","غير محدد"))</f>
        <v>حجز مبلغ</v>
      </c>
      <c r="E72" s="737" t="s">
        <v>499</v>
      </c>
      <c r="F72" s="737" t="s">
        <v>1537</v>
      </c>
      <c r="G72" s="737" t="s">
        <v>1145</v>
      </c>
      <c r="H72" s="737" t="s">
        <v>1085</v>
      </c>
      <c r="K72" s="737">
        <v>125</v>
      </c>
      <c r="L72" s="737" t="s">
        <v>1544</v>
      </c>
      <c r="N72" s="737">
        <v>125</v>
      </c>
      <c r="O72" s="737">
        <v>0</v>
      </c>
    </row>
    <row r="73" spans="2:16">
      <c r="B73" s="737" t="str" cm="1">
        <f t="array" ref="B73">IF(G73="","",_xlfn.XLOOKUP(TRIM(G73&amp;""),TRIM('Units Data'!$I$7:$I$10000&amp;""),'Units Data'!$C$7:$C$10000,"خارجي",0))</f>
        <v>A</v>
      </c>
      <c r="C73" s="737" t="str" cm="1">
        <f t="array" ref="C73">IF(G73="","",_xlfn.XLOOKUP(TRIM(G73&amp;""),TRIM('Units Data'!$I$7:$I$10000&amp;""),'Units Data'!$B$7:$B$10000,"خارجي",0))</f>
        <v>S3</v>
      </c>
      <c r="D73" s="737" t="str" cm="1">
        <f t="array" ref="D73">_xlfn.SWITCH(TRIM(E73),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IF(E73="","","غير محدد"))</f>
        <v>استرداد إلى المحفظة</v>
      </c>
      <c r="E73" s="737" t="s">
        <v>1480</v>
      </c>
      <c r="F73" s="737" t="s">
        <v>1546</v>
      </c>
      <c r="G73" s="737" t="s">
        <v>1145</v>
      </c>
      <c r="H73" s="737" t="s">
        <v>1085</v>
      </c>
      <c r="K73" s="737">
        <v>125</v>
      </c>
      <c r="L73" s="737" t="s">
        <v>1544</v>
      </c>
      <c r="N73" s="737">
        <v>250</v>
      </c>
      <c r="O73" s="737">
        <v>49418369</v>
      </c>
    </row>
    <row r="74" spans="2:16">
      <c r="B74" s="737" t="str" cm="1">
        <f t="array" ref="B74">IF(G74="","",_xlfn.XLOOKUP(TRIM(G74&amp;""),TRIM('Units Data'!$I$7:$I$10000&amp;""),'Units Data'!$C$7:$C$10000,"خارجي",0))</f>
        <v>A</v>
      </c>
      <c r="C74" s="737" t="str" cm="1">
        <f t="array" ref="C74">IF(G74="","",_xlfn.XLOOKUP(TRIM(G74&amp;""),TRIM('Units Data'!$I$7:$I$10000&amp;""),'Units Data'!$B$7:$B$10000,"خارجي",0))</f>
        <v>S3</v>
      </c>
      <c r="D74" s="737" t="str" cm="1">
        <f t="array" ref="D74">_xlfn.SWITCH(TRIM(E74),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IF(E74="","","غير محدد"))</f>
        <v>حجز مبلغ</v>
      </c>
      <c r="E74" s="737" t="s">
        <v>499</v>
      </c>
      <c r="F74" s="737" t="s">
        <v>1546</v>
      </c>
      <c r="G74" s="737" t="s">
        <v>1145</v>
      </c>
      <c r="H74" s="737" t="s">
        <v>1085</v>
      </c>
      <c r="K74" s="737">
        <v>125</v>
      </c>
      <c r="L74" s="737" t="s">
        <v>1544</v>
      </c>
      <c r="N74" s="737">
        <v>125</v>
      </c>
      <c r="O74" s="737">
        <v>0</v>
      </c>
    </row>
    <row r="75" spans="2:16">
      <c r="B75" s="737" t="str" cm="1">
        <f t="array" ref="B75">IF(G75="","",_xlfn.XLOOKUP(TRIM(G75&amp;""),TRIM('Units Data'!$I$7:$I$10000&amp;""),'Units Data'!$C$7:$C$10000,"خارجي",0))</f>
        <v>A</v>
      </c>
      <c r="C75" s="737" t="str" cm="1">
        <f t="array" ref="C75">IF(G75="","",_xlfn.XLOOKUP(TRIM(G75&amp;""),TRIM('Units Data'!$I$7:$I$10000&amp;""),'Units Data'!$B$7:$B$10000,"خارجي",0))</f>
        <v>F7</v>
      </c>
      <c r="D75" s="737" t="str" cm="1">
        <f t="array" ref="D75">_xlfn.SWITCH(TRIM(E75),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IF(E75="","","غير محدد"))</f>
        <v>حجز مبلغ</v>
      </c>
      <c r="E75" s="737" t="s">
        <v>499</v>
      </c>
      <c r="F75" s="737" t="s">
        <v>1545</v>
      </c>
      <c r="G75" s="737" t="s">
        <v>1214</v>
      </c>
      <c r="H75" s="737" t="s">
        <v>1085</v>
      </c>
      <c r="K75" s="737">
        <v>125</v>
      </c>
      <c r="L75" s="737" t="s">
        <v>1547</v>
      </c>
      <c r="N75" s="737">
        <v>250</v>
      </c>
      <c r="O75" s="737">
        <v>0</v>
      </c>
    </row>
    <row r="76" spans="2:16">
      <c r="B76" s="737" t="str" cm="1">
        <f t="array" ref="B76">IF(G76="","",_xlfn.XLOOKUP(TRIM(G76&amp;""),TRIM('Units Data'!$I$7:$I$10000&amp;""),'Units Data'!$C$7:$C$10000,"خارجي",0))</f>
        <v>A</v>
      </c>
      <c r="C76" s="737" t="str" cm="1">
        <f t="array" ref="C76">IF(G76="","",_xlfn.XLOOKUP(TRIM(G76&amp;""),TRIM('Units Data'!$I$7:$I$10000&amp;""),'Units Data'!$B$7:$B$10000,"خارجي",0))</f>
        <v>S1</v>
      </c>
      <c r="D76" s="737" t="str" cm="1">
        <f t="array" ref="D76">_xlfn.SWITCH(TRIM(E76),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IF(E76="","","غير محدد"))</f>
        <v>حجز مبلغ</v>
      </c>
      <c r="E76" s="737" t="s">
        <v>499</v>
      </c>
      <c r="F76" s="737" t="s">
        <v>1543</v>
      </c>
      <c r="G76" s="737" t="s">
        <v>1172</v>
      </c>
      <c r="H76" s="737" t="s">
        <v>1085</v>
      </c>
      <c r="K76" s="737">
        <v>125</v>
      </c>
      <c r="L76" s="737" t="s">
        <v>1548</v>
      </c>
      <c r="N76" s="737">
        <v>375</v>
      </c>
      <c r="O76" s="737">
        <v>0</v>
      </c>
    </row>
    <row r="77" spans="2:16">
      <c r="B77" s="948" t="str" cm="1">
        <f t="array" ref="B77">IF(G77="","",_xlfn.XLOOKUP(TRIM(G77&amp;""),TRIM('Units Data'!$I$7:$I$10000&amp;""),'Units Data'!$C$7:$C$10000,"خارجي",0))</f>
        <v>خارجي</v>
      </c>
      <c r="C77" s="948" t="str" cm="1">
        <f t="array" ref="C77">IF(G77="","",_xlfn.XLOOKUP(TRIM(G77&amp;""),TRIM('Units Data'!$I$7:$I$10000&amp;""),'Units Data'!$B$7:$B$10000,"خارجي",0))</f>
        <v>خارجي</v>
      </c>
      <c r="D77" s="948" t="str" cm="1">
        <f t="array" ref="D77">_xlfn.SWITCH(TRIM(E77),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IF(E77="","","غير محدد"))</f>
        <v>رسوم إيجار</v>
      </c>
      <c r="E77" s="737" t="s">
        <v>1468</v>
      </c>
      <c r="F77" s="737" t="s">
        <v>1549</v>
      </c>
      <c r="G77" s="737" t="s">
        <v>1550</v>
      </c>
      <c r="H77" s="737" t="s">
        <v>1551</v>
      </c>
      <c r="K77" s="948">
        <v>125</v>
      </c>
      <c r="L77" s="737" t="s">
        <v>1552</v>
      </c>
      <c r="N77" s="737">
        <v>500</v>
      </c>
      <c r="O77" s="737">
        <v>49085034</v>
      </c>
    </row>
    <row r="78" spans="2:16">
      <c r="B78" s="948" cm="1">
        <f t="array" ref="B78">IF(G78="","",_xlfn.XLOOKUP(TRIM(G78&amp;""),TRIM('Units Data'!$I$7:$I$10000&amp;""),'Units Data'!$C$7:$C$10000,"خارجي",0))</f>
        <v>102</v>
      </c>
      <c r="C78" s="737" t="str" cm="1">
        <f t="array" ref="C78">IF(G78="","",_xlfn.XLOOKUP(TRIM(G78&amp;""),TRIM('Units Data'!$I$7:$I$10000&amp;""),'Units Data'!$B$7:$B$10000,"خارجي",0))</f>
        <v>S1</v>
      </c>
      <c r="D78" s="737" t="str" cm="1">
        <f t="array" ref="D78">_xlfn.SWITCH(TRIM(E78),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IF(E78="","","غير محدد"))</f>
        <v>رسوم إيجار</v>
      </c>
      <c r="E78" s="737" t="s">
        <v>1468</v>
      </c>
      <c r="F78" s="737" t="s">
        <v>1475</v>
      </c>
      <c r="G78" s="737" t="s">
        <v>1476</v>
      </c>
      <c r="H78" s="737" t="s">
        <v>1477</v>
      </c>
      <c r="K78" s="737">
        <v>125</v>
      </c>
      <c r="L78" s="737" t="s">
        <v>1474</v>
      </c>
      <c r="N78" s="737">
        <v>1750</v>
      </c>
      <c r="O78" s="737">
        <v>51397731</v>
      </c>
    </row>
    <row r="79" spans="2:16">
      <c r="B79" s="737" t="str" cm="1">
        <f t="array" ref="B79">IF(G79="","",_xlfn.XLOOKUP(TRIM(G79&amp;""),TRIM('Units Data'!$I$7:$I$10000&amp;""),'Units Data'!$C$7:$C$10000,"خارجي",0))</f>
        <v>خارجي</v>
      </c>
      <c r="C79" s="737" t="str" cm="1">
        <f t="array" ref="C79">IF(G79="","",_xlfn.XLOOKUP(TRIM(G79&amp;""),TRIM('Units Data'!$I$7:$I$10000&amp;""),'Units Data'!$B$7:$B$10000,"خارجي",0))</f>
        <v>خارجي</v>
      </c>
      <c r="D79" s="737" t="str" cm="1">
        <f t="array" ref="D79">_xlfn.SWITCH(TRIM(E79),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IF(E79="","","غير محدد"))</f>
        <v>حجز مبلغ</v>
      </c>
      <c r="E79" s="737" t="s">
        <v>499</v>
      </c>
      <c r="F79" s="737" t="s">
        <v>1549</v>
      </c>
      <c r="G79" s="737" t="s">
        <v>1550</v>
      </c>
      <c r="H79" s="737" t="s">
        <v>1551</v>
      </c>
      <c r="K79" s="737">
        <v>125</v>
      </c>
      <c r="L79" s="737" t="s">
        <v>1552</v>
      </c>
      <c r="N79" s="737">
        <v>500</v>
      </c>
      <c r="O79" s="737">
        <v>0</v>
      </c>
    </row>
    <row r="80" spans="2:16">
      <c r="B80" s="737" t="str" cm="1">
        <f t="array" ref="B80">IF(G80="","",_xlfn.XLOOKUP(TRIM(G80&amp;""),TRIM('Units Data'!$I$7:$I$10000&amp;""),'Units Data'!$C$7:$C$10000,"خارجي",0))</f>
        <v>A</v>
      </c>
      <c r="C80" s="737" t="str" cm="1">
        <f t="array" ref="C80">IF(G80="","",_xlfn.XLOOKUP(TRIM(G80&amp;""),TRIM('Units Data'!$I$7:$I$10000&amp;""),'Units Data'!$B$7:$B$10000,"خارجي",0))</f>
        <v>F4</v>
      </c>
      <c r="D80" s="737" t="str" cm="1">
        <f t="array" ref="D80">_xlfn.SWITCH(TRIM(E80),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IF(E80="","","غير محدد"))</f>
        <v>حجز مبلغ</v>
      </c>
      <c r="E80" s="737" t="s">
        <v>499</v>
      </c>
      <c r="F80" s="737" t="s">
        <v>1553</v>
      </c>
      <c r="G80" s="737" t="s">
        <v>1086</v>
      </c>
      <c r="H80" s="737" t="s">
        <v>1085</v>
      </c>
      <c r="K80" s="737">
        <v>125</v>
      </c>
      <c r="L80" s="737" t="s">
        <v>1554</v>
      </c>
      <c r="N80" s="737">
        <v>625</v>
      </c>
      <c r="O80" s="737">
        <v>0</v>
      </c>
    </row>
    <row r="81" spans="2:16">
      <c r="B81" s="948" t="str" cm="1">
        <f t="array" ref="B81">IF(G81="","",_xlfn.XLOOKUP(TRIM(G81&amp;""),TRIM('Units Data'!$I$7:$I$10000&amp;""),'Units Data'!$C$7:$C$10000,"خارجي",0))</f>
        <v>B</v>
      </c>
      <c r="C81" s="737" t="str" cm="1">
        <f t="array" ref="C81">IF(G81="","",_xlfn.XLOOKUP(TRIM(G81&amp;""),TRIM('Units Data'!$I$7:$I$10000&amp;""),'Units Data'!$B$7:$B$10000,"خارجي",0))</f>
        <v>R1</v>
      </c>
      <c r="D81" s="737" t="str" cm="1">
        <f t="array" ref="D81">_xlfn.SWITCH(TRIM(E81),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IF(E81="","","غير محدد"))</f>
        <v>رسوم إيجار</v>
      </c>
      <c r="E81" s="737" t="s">
        <v>1468</v>
      </c>
      <c r="F81" s="737" t="s">
        <v>1472</v>
      </c>
      <c r="G81" s="737" t="s">
        <v>1473</v>
      </c>
      <c r="H81" s="737" t="s">
        <v>1092</v>
      </c>
      <c r="K81" s="948">
        <v>125</v>
      </c>
      <c r="L81" s="737" t="s">
        <v>1474</v>
      </c>
      <c r="N81" s="737">
        <v>1750</v>
      </c>
      <c r="O81" s="737">
        <v>51381697</v>
      </c>
    </row>
    <row r="82" spans="2:16">
      <c r="B82" s="737" t="str" cm="1">
        <f t="array" ref="B82">IF(G82="","",_xlfn.XLOOKUP(TRIM(G82&amp;""),TRIM('Units Data'!$I$7:$I$10000&amp;""),'Units Data'!$C$7:$C$10000,"خارجي",0))</f>
        <v>A</v>
      </c>
      <c r="C82" s="737" t="str" cm="1">
        <f t="array" ref="C82">IF(G82="","",_xlfn.XLOOKUP(TRIM(G82&amp;""),TRIM('Units Data'!$I$7:$I$10000&amp;""),'Units Data'!$B$7:$B$10000,"خارجي",0))</f>
        <v>S2</v>
      </c>
      <c r="D82" s="737" t="str" cm="1">
        <f t="array" ref="D82">_xlfn.SWITCH(TRIM(E82),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IF(E82="","","غير محدد"))</f>
        <v>حجز مبلغ</v>
      </c>
      <c r="E82" s="737" t="s">
        <v>499</v>
      </c>
      <c r="F82" s="737" t="s">
        <v>1555</v>
      </c>
      <c r="G82" s="737" t="s">
        <v>1178</v>
      </c>
      <c r="H82" s="737" t="s">
        <v>1085</v>
      </c>
      <c r="K82" s="737">
        <v>125</v>
      </c>
      <c r="L82" s="737" t="s">
        <v>1556</v>
      </c>
      <c r="N82" s="737">
        <v>750</v>
      </c>
      <c r="O82" s="737">
        <v>0</v>
      </c>
    </row>
    <row r="83" spans="2:16">
      <c r="B83" s="948" t="str" cm="1">
        <f t="array" ref="B83">IF(G83="","",_xlfn.XLOOKUP(TRIM(G83&amp;""),TRIM('Units Data'!$I$7:$I$10000&amp;""),'Units Data'!$C$7:$C$10000,"خارجي",0))</f>
        <v>خارجي</v>
      </c>
      <c r="C83" s="948" t="str" cm="1">
        <f t="array" ref="C83">IF(G83="","",_xlfn.XLOOKUP(TRIM(G83&amp;""),TRIM('Units Data'!$I$7:$I$10000&amp;""),'Units Data'!$B$7:$B$10000,"خارجي",0))</f>
        <v>خارجي</v>
      </c>
      <c r="D83" s="948" t="str" cm="1">
        <f t="array" ref="D83">_xlfn.SWITCH(TRIM(E83),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IF(E83="","","غير محدد"))</f>
        <v>رسوم إيجار</v>
      </c>
      <c r="E83" s="737" t="s">
        <v>1468</v>
      </c>
      <c r="F83" s="737" t="s">
        <v>1557</v>
      </c>
      <c r="G83" s="737" t="s">
        <v>1558</v>
      </c>
      <c r="H83" s="737" t="s">
        <v>1559</v>
      </c>
      <c r="K83" s="948">
        <v>125</v>
      </c>
      <c r="L83" s="737" t="s">
        <v>1560</v>
      </c>
      <c r="N83" s="737">
        <v>875</v>
      </c>
      <c r="O83" s="737">
        <v>48510258</v>
      </c>
    </row>
    <row r="84" spans="2:16">
      <c r="B84" s="737" t="str" cm="1">
        <f t="array" ref="B84">IF(G84="","",_xlfn.XLOOKUP(TRIM(G84&amp;""),TRIM('Units Data'!$I$7:$I$10000&amp;""),'Units Data'!$C$7:$C$10000,"خارجي",0))</f>
        <v>خارجي</v>
      </c>
      <c r="C84" s="737" t="str" cm="1">
        <f t="array" ref="C84">IF(G84="","",_xlfn.XLOOKUP(TRIM(G84&amp;""),TRIM('Units Data'!$I$7:$I$10000&amp;""),'Units Data'!$B$7:$B$10000,"خارجي",0))</f>
        <v>خارجي</v>
      </c>
      <c r="D84" s="737" t="str" cm="1">
        <f t="array" ref="D84">_xlfn.SWITCH(TRIM(E84),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IF(E84="","","غير محدد"))</f>
        <v>حجز مبلغ</v>
      </c>
      <c r="E84" s="737" t="s">
        <v>499</v>
      </c>
      <c r="F84" s="737" t="s">
        <v>1557</v>
      </c>
      <c r="G84" s="737" t="s">
        <v>1558</v>
      </c>
      <c r="H84" s="737" t="s">
        <v>1559</v>
      </c>
      <c r="K84" s="737">
        <v>125</v>
      </c>
      <c r="L84" s="737" t="s">
        <v>1560</v>
      </c>
      <c r="N84" s="737">
        <v>875</v>
      </c>
      <c r="O84" s="737">
        <v>0</v>
      </c>
    </row>
    <row r="85" spans="2:16">
      <c r="B85" s="948" t="str" cm="1">
        <f t="array" ref="B85">IF(G85="","",_xlfn.XLOOKUP(TRIM(G85&amp;""),TRIM('Units Data'!$I$7:$I$10000&amp;""),'Units Data'!$C$7:$C$10000,"خارجي",0))</f>
        <v>B</v>
      </c>
      <c r="C85" s="737" t="str" cm="1">
        <f t="array" ref="C85">IF(G85="","",_xlfn.XLOOKUP(TRIM(G85&amp;""),TRIM('Units Data'!$I$7:$I$10000&amp;""),'Units Data'!$B$7:$B$10000,"خارجي",0))</f>
        <v>A11</v>
      </c>
      <c r="D85" s="737" t="str" cm="1">
        <f t="array" ref="D85">_xlfn.SWITCH(TRIM(E85),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IF(E85="","","غير محدد"))</f>
        <v>رسوم إيجار</v>
      </c>
      <c r="E85" s="737" t="s">
        <v>1468</v>
      </c>
      <c r="F85" s="737" t="s">
        <v>1478</v>
      </c>
      <c r="G85" s="737" t="s">
        <v>1479</v>
      </c>
      <c r="H85" s="737" t="s">
        <v>1092</v>
      </c>
      <c r="K85" s="948">
        <v>125</v>
      </c>
      <c r="L85" s="737" t="s">
        <v>1474</v>
      </c>
      <c r="N85" s="737">
        <v>1875</v>
      </c>
      <c r="O85" s="737">
        <v>51381850</v>
      </c>
    </row>
    <row r="86" spans="2:16">
      <c r="B86" s="737" t="str" cm="1">
        <f t="array" ref="B86">IF(G86="","",_xlfn.XLOOKUP(TRIM(G86&amp;""),TRIM('Units Data'!$I$7:$I$10000&amp;""),'Units Data'!$C$7:$C$10000,"خارجي",0))</f>
        <v>B</v>
      </c>
      <c r="C86" s="737" t="str" cm="1">
        <f t="array" ref="C86">IF(G86="","",_xlfn.XLOOKUP(TRIM(G86&amp;""),TRIM('Units Data'!$I$7:$I$10000&amp;""),'Units Data'!$B$7:$B$10000,"خارجي",0))</f>
        <v>B</v>
      </c>
      <c r="D86" s="737" t="str" cm="1">
        <f t="array" ref="D86">_xlfn.SWITCH(TRIM(E86),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IF(E86="","","غير محدد"))</f>
        <v>حجز مبلغ</v>
      </c>
      <c r="E86" s="737" t="s">
        <v>499</v>
      </c>
      <c r="F86" s="737" t="s">
        <v>1561</v>
      </c>
      <c r="G86" s="737" t="s">
        <v>1562</v>
      </c>
      <c r="H86" s="737" t="s">
        <v>1092</v>
      </c>
      <c r="K86" s="737">
        <v>750</v>
      </c>
      <c r="L86" s="737" t="s">
        <v>1563</v>
      </c>
      <c r="N86" s="737">
        <v>1000</v>
      </c>
      <c r="O86" s="737">
        <v>0</v>
      </c>
    </row>
    <row r="87" spans="2:16">
      <c r="B87" s="737" t="str" cm="1">
        <f t="array" ref="B87">IF(G87="","",_xlfn.XLOOKUP(TRIM(G87&amp;""),TRIM('Units Data'!$I$7:$I$10000&amp;""),'Units Data'!$C$7:$C$10000,"خارجي",0))</f>
        <v>B</v>
      </c>
      <c r="C87" s="737" t="str" cm="1">
        <f t="array" ref="C87">IF(G87="","",_xlfn.XLOOKUP(TRIM(G87&amp;""),TRIM('Units Data'!$I$7:$I$10000&amp;""),'Units Data'!$B$7:$B$10000,"خارجي",0))</f>
        <v>B</v>
      </c>
      <c r="D87" s="737" t="str" cm="1">
        <f t="array" ref="D87">_xlfn.SWITCH(TRIM(E87),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IF(E87="","","غير محدد"))</f>
        <v>استرداد إلى المحفظة</v>
      </c>
      <c r="E87" s="737" t="s">
        <v>1480</v>
      </c>
      <c r="F87" s="737" t="s">
        <v>1564</v>
      </c>
      <c r="G87" s="737" t="s">
        <v>1562</v>
      </c>
      <c r="H87" s="737" t="s">
        <v>1092</v>
      </c>
      <c r="K87" s="737">
        <v>750</v>
      </c>
      <c r="L87" s="737" t="s">
        <v>1565</v>
      </c>
      <c r="N87" s="737">
        <v>1750</v>
      </c>
      <c r="O87" s="737">
        <v>47801241</v>
      </c>
    </row>
    <row r="88" spans="2:16">
      <c r="B88" s="737" t="str" cm="1">
        <f t="array" ref="B88">IF(G88="","",_xlfn.XLOOKUP(TRIM(G88&amp;""),TRIM('Units Data'!$I$7:$I$10000&amp;""),'Units Data'!$C$7:$C$10000,"خارجي",0))</f>
        <v>B</v>
      </c>
      <c r="C88" s="737" t="str" cm="1">
        <f t="array" ref="C88">IF(G88="","",_xlfn.XLOOKUP(TRIM(G88&amp;""),TRIM('Units Data'!$I$7:$I$10000&amp;""),'Units Data'!$B$7:$B$10000,"خارجي",0))</f>
        <v>B</v>
      </c>
      <c r="D88" s="737" t="str" cm="1">
        <f t="array" ref="D88">_xlfn.SWITCH(TRIM(E88),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IF(E88="","","غير محدد"))</f>
        <v>حجز مبلغ</v>
      </c>
      <c r="E88" s="737" t="s">
        <v>499</v>
      </c>
      <c r="F88" s="737" t="s">
        <v>1564</v>
      </c>
      <c r="G88" s="737" t="s">
        <v>1562</v>
      </c>
      <c r="H88" s="737" t="s">
        <v>1092</v>
      </c>
      <c r="K88" s="737">
        <v>750</v>
      </c>
      <c r="L88" s="737" t="s">
        <v>1565</v>
      </c>
      <c r="N88" s="737">
        <v>1000</v>
      </c>
      <c r="O88" s="737">
        <v>0</v>
      </c>
    </row>
    <row r="89" spans="2:16">
      <c r="B89" s="948" t="str" cm="1">
        <f t="array" ref="B89">IF(G89="","",_xlfn.XLOOKUP(TRIM(G89&amp;""),TRIM('Units Data'!$I$7:$I$10000&amp;""),'Units Data'!$C$7:$C$10000,"خارجي",0))</f>
        <v>B</v>
      </c>
      <c r="C89" s="737" t="str" cm="1">
        <f t="array" ref="C89">IF(G89="","",_xlfn.XLOOKUP(TRIM(G89&amp;""),TRIM('Units Data'!$I$7:$I$10000&amp;""),'Units Data'!$B$7:$B$10000,"خارجي",0))</f>
        <v>R3</v>
      </c>
      <c r="D89" s="737" t="str" cm="1">
        <f t="array" ref="D89">_xlfn.SWITCH(TRIM(E89),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IF(E89="","","غير محدد"))</f>
        <v>رسوم إيجار</v>
      </c>
      <c r="E89" s="737" t="s">
        <v>1468</v>
      </c>
      <c r="F89" s="737" t="s">
        <v>1469</v>
      </c>
      <c r="G89" s="737" t="s">
        <v>1470</v>
      </c>
      <c r="H89" s="737" t="s">
        <v>1092</v>
      </c>
      <c r="K89" s="948">
        <v>125</v>
      </c>
      <c r="L89" s="737" t="s">
        <v>1471</v>
      </c>
      <c r="N89" s="737">
        <v>1625</v>
      </c>
      <c r="O89" s="737">
        <v>51531126</v>
      </c>
    </row>
    <row r="90" spans="2:16">
      <c r="B90" s="737" t="str" cm="1">
        <f t="array" ref="B90">IF(G90="","",_xlfn.XLOOKUP(TRIM(G90&amp;""),TRIM('Units Data'!$I$7:$I$10000&amp;""),'Units Data'!$C$7:$C$10000,"خارجي",0))</f>
        <v>A</v>
      </c>
      <c r="C90" s="737" t="str" cm="1">
        <f t="array" ref="C90">IF(G90="","",_xlfn.XLOOKUP(TRIM(G90&amp;""),TRIM('Units Data'!$I$7:$I$10000&amp;""),'Units Data'!$B$7:$B$10000,"خارجي",0))</f>
        <v>A</v>
      </c>
      <c r="D90" s="737" t="str" cm="1">
        <f t="array" ref="D90">_xlfn.SWITCH(TRIM(E90),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IF(E90="","","غير محدد"))</f>
        <v>حجز مبلغ</v>
      </c>
      <c r="E90" s="737" t="s">
        <v>499</v>
      </c>
      <c r="F90" s="737" t="s">
        <v>1566</v>
      </c>
      <c r="G90" s="737" t="s">
        <v>1567</v>
      </c>
      <c r="H90" s="737" t="s">
        <v>1085</v>
      </c>
      <c r="K90" s="737">
        <v>750</v>
      </c>
      <c r="L90" s="737" t="s">
        <v>1568</v>
      </c>
      <c r="N90" s="737">
        <v>1750</v>
      </c>
      <c r="O90" s="737">
        <v>0</v>
      </c>
    </row>
    <row r="91" spans="2:16">
      <c r="B91" s="737" t="str" cm="1">
        <f t="array" ref="B91">IF(G91="","",_xlfn.XLOOKUP(TRIM(G91&amp;""),TRIM('Units Data'!$I$7:$I$10000&amp;""),'Units Data'!$C$7:$C$10000,"خارجي",0))</f>
        <v>A</v>
      </c>
      <c r="C91" s="737" t="str" cm="1">
        <f t="array" ref="C91">IF(G91="","",_xlfn.XLOOKUP(TRIM(G91&amp;""),TRIM('Units Data'!$I$7:$I$10000&amp;""),'Units Data'!$B$7:$B$10000,"خارجي",0))</f>
        <v>A</v>
      </c>
      <c r="D91" s="737" t="str" cm="1">
        <f t="array" ref="D91">_xlfn.SWITCH(TRIM(E91),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IF(E91="","","غير محدد"))</f>
        <v>استرداد إلى المحفظة</v>
      </c>
      <c r="E91" s="737" t="s">
        <v>1480</v>
      </c>
      <c r="F91" s="737" t="s">
        <v>1569</v>
      </c>
      <c r="G91" s="737" t="s">
        <v>1567</v>
      </c>
      <c r="H91" s="737" t="s">
        <v>1085</v>
      </c>
      <c r="K91" s="737">
        <v>750</v>
      </c>
      <c r="L91" s="737" t="s">
        <v>1570</v>
      </c>
      <c r="N91" s="737">
        <v>2500</v>
      </c>
      <c r="O91" s="737">
        <v>47616317</v>
      </c>
    </row>
    <row r="92" spans="2:16">
      <c r="B92" s="737" t="str" cm="1">
        <f t="array" ref="B92">IF(G92="","",_xlfn.XLOOKUP(TRIM(G92&amp;""),TRIM('Units Data'!$I$7:$I$10000&amp;""),'Units Data'!$C$7:$C$10000,"خارجي",0))</f>
        <v>A</v>
      </c>
      <c r="C92" s="737" t="str" cm="1">
        <f t="array" ref="C92">IF(G92="","",_xlfn.XLOOKUP(TRIM(G92&amp;""),TRIM('Units Data'!$I$7:$I$10000&amp;""),'Units Data'!$B$7:$B$10000,"خارجي",0))</f>
        <v>A</v>
      </c>
      <c r="D92" s="737" t="str" cm="1">
        <f t="array" ref="D92">_xlfn.SWITCH(TRIM(E92),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IF(E92="","","غير محدد"))</f>
        <v>حجز مبلغ</v>
      </c>
      <c r="E92" s="737" t="s">
        <v>499</v>
      </c>
      <c r="F92" s="737" t="s">
        <v>1569</v>
      </c>
      <c r="G92" s="737" t="s">
        <v>1567</v>
      </c>
      <c r="H92" s="737" t="s">
        <v>1085</v>
      </c>
      <c r="K92" s="737">
        <v>750</v>
      </c>
      <c r="L92" s="737" t="s">
        <v>1570</v>
      </c>
      <c r="N92" s="737">
        <v>1750</v>
      </c>
      <c r="O92" s="737">
        <v>0</v>
      </c>
    </row>
    <row r="93" spans="2:16">
      <c r="B93" s="737" t="str" cm="1">
        <f t="array" ref="B93">IF(G93="","",_xlfn.XLOOKUP(TRIM(G93&amp;""),TRIM('Units Data'!$I$7:$I$10000&amp;""),'Units Data'!$C$7:$C$10000,"خارجي",0))</f>
        <v/>
      </c>
      <c r="C93" s="737" t="str" cm="1">
        <f t="array" ref="C93">IF(G93="","",_xlfn.XLOOKUP(TRIM(G93&amp;""),TRIM('Units Data'!$I$7:$I$10000&amp;""),'Units Data'!$B$7:$B$10000,"خارجي",0))</f>
        <v/>
      </c>
      <c r="D93" s="737" t="str" cm="1">
        <f t="array" ref="D93">_xlfn.SWITCH(TRIM(E93),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IF(E93="","","غير محدد"))</f>
        <v>شحن المحفظة</v>
      </c>
      <c r="E93" s="737" t="s">
        <v>1498</v>
      </c>
      <c r="F93" s="737" t="s">
        <v>1571</v>
      </c>
      <c r="G93" s="737" t="s">
        <v>1500</v>
      </c>
      <c r="K93" s="737">
        <v>2000</v>
      </c>
      <c r="L93" s="737" t="s">
        <v>1570</v>
      </c>
      <c r="N93" s="737">
        <v>2500</v>
      </c>
      <c r="O93" s="737">
        <v>0</v>
      </c>
      <c r="P93" s="737" t="s">
        <v>1501</v>
      </c>
    </row>
    <row r="94" spans="2:16">
      <c r="B94" s="737" t="str" cm="1">
        <f t="array" ref="B94">IF(G94="","",_xlfn.XLOOKUP(TRIM(G94&amp;""),TRIM('Units Data'!$I$7:$I$10000&amp;""),'Units Data'!$C$7:$C$10000,"خارجي",0))</f>
        <v/>
      </c>
      <c r="C94" s="737" t="str" cm="1">
        <f t="array" ref="C94">IF(G94="","",_xlfn.XLOOKUP(TRIM(G94&amp;""),TRIM('Units Data'!$I$7:$I$10000&amp;""),'Units Data'!$B$7:$B$10000,"خارجي",0))</f>
        <v/>
      </c>
      <c r="D94" s="737" t="str" cm="1">
        <f t="array" ref="D94">_xlfn.SWITCH(TRIM(E94),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IF(E94="","","غير محدد"))</f>
        <v>شحن المحفظة</v>
      </c>
      <c r="E94" s="737" t="s">
        <v>1498</v>
      </c>
      <c r="F94" s="737" t="s">
        <v>1572</v>
      </c>
      <c r="G94" s="737" t="s">
        <v>1500</v>
      </c>
      <c r="K94" s="737">
        <v>500</v>
      </c>
      <c r="L94" s="737" t="s">
        <v>1573</v>
      </c>
      <c r="N94" s="737">
        <v>500</v>
      </c>
      <c r="O94" s="737">
        <v>0</v>
      </c>
      <c r="P94" s="737" t="s">
        <v>1501</v>
      </c>
    </row>
    <row r="95" spans="2:16">
      <c r="B95" s="950" t="str" cm="1">
        <f t="array" ref="B95">IF(G95="","",_xlfn.XLOOKUP(TRIM(G95&amp;""),TRIM('Units Data'!$I$7:$I$10000&amp;""),'Units Data'!$C$7:$C$10000,"خارجي",0))</f>
        <v>A</v>
      </c>
      <c r="C95" s="950" t="str" cm="1">
        <f t="array" ref="C95">IF(G95="","",_xlfn.XLOOKUP(TRIM(G95&amp;""),TRIM('Units Data'!$I$7:$I$10000&amp;""),'Units Data'!$B$7:$B$10000,"خارجي",0))</f>
        <v>F0</v>
      </c>
      <c r="D95" s="950" t="str" cm="1">
        <f t="array" ref="D95">_xlfn.SWITCH(TRIM(E95),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IF(E95="","","غير محدد"))</f>
        <v>رسوم إيجار</v>
      </c>
      <c r="E95" s="737" t="s">
        <v>1468</v>
      </c>
      <c r="F95" s="737"/>
      <c r="G95" s="857">
        <v>10349815150</v>
      </c>
      <c r="I95" s="737" t="s">
        <v>1574</v>
      </c>
      <c r="K95" s="948">
        <v>125</v>
      </c>
      <c r="L95" s="949">
        <v>46296</v>
      </c>
    </row>
  </sheetData>
  <phoneticPr fontId="84"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649B4-FE31-4EFA-BE6E-A6E677097DD0}">
  <sheetPr codeName="ورقة34"/>
  <dimension ref="A6:P138"/>
  <sheetViews>
    <sheetView rightToLeft="1" workbookViewId="0">
      <selection activeCell="B21" sqref="B18:C21"/>
    </sheetView>
  </sheetViews>
  <sheetFormatPr defaultRowHeight="15.5"/>
  <cols>
    <col min="1" max="1" width="5.3828125" style="737" bestFit="1" customWidth="1"/>
    <col min="2" max="2" width="8.4609375" style="737" bestFit="1" customWidth="1"/>
    <col min="3" max="3" width="8.61328125" style="737" bestFit="1" customWidth="1"/>
    <col min="4" max="4" width="19" style="737" bestFit="1" customWidth="1"/>
    <col min="5" max="5" width="46.765625" style="737" bestFit="1" customWidth="1"/>
    <col min="6" max="6" width="18.4609375" bestFit="1" customWidth="1"/>
    <col min="7" max="7" width="24.07421875" style="737" bestFit="1" customWidth="1"/>
    <col min="8" max="8" width="17.765625" style="737" bestFit="1" customWidth="1"/>
    <col min="9" max="9" width="25.53515625" style="737" bestFit="1" customWidth="1"/>
    <col min="10" max="10" width="22" style="737" bestFit="1" customWidth="1"/>
    <col min="11" max="11" width="11.69140625" style="737" bestFit="1" customWidth="1"/>
    <col min="12" max="12" width="10.07421875" style="737" bestFit="1" customWidth="1"/>
    <col min="13" max="13" width="10.3046875" style="737" bestFit="1" customWidth="1"/>
    <col min="14" max="14" width="20.3828125" style="737" bestFit="1" customWidth="1"/>
    <col min="15" max="15" width="20.4609375" style="737" bestFit="1" customWidth="1"/>
    <col min="16" max="17" width="23.3828125" style="737" bestFit="1" customWidth="1"/>
    <col min="18" max="16384" width="9.23046875" style="737"/>
  </cols>
  <sheetData>
    <row r="6" spans="1:16">
      <c r="A6" s="737" t="s">
        <v>168</v>
      </c>
      <c r="B6" s="737" t="s">
        <v>27</v>
      </c>
      <c r="C6" s="737" t="s">
        <v>1</v>
      </c>
      <c r="D6" s="737" t="s">
        <v>134</v>
      </c>
      <c r="E6" s="737" t="s">
        <v>1456</v>
      </c>
      <c r="F6" s="737" t="s">
        <v>1457</v>
      </c>
      <c r="G6" s="737" t="s">
        <v>1458</v>
      </c>
      <c r="H6" s="737" t="s">
        <v>1459</v>
      </c>
      <c r="I6" s="737" t="s">
        <v>1460</v>
      </c>
      <c r="J6" s="737" t="s">
        <v>1461</v>
      </c>
      <c r="K6" s="737" t="s">
        <v>1462</v>
      </c>
      <c r="L6" s="737" t="s">
        <v>1463</v>
      </c>
      <c r="M6" s="737" t="s">
        <v>1464</v>
      </c>
      <c r="N6" s="737" t="s">
        <v>1465</v>
      </c>
      <c r="O6" s="737" t="s">
        <v>1466</v>
      </c>
      <c r="P6" s="737" t="s">
        <v>1467</v>
      </c>
    </row>
    <row r="7" spans="1:16" hidden="1">
      <c r="B7" s="737" t="str" cm="1">
        <f t="array" ref="B7">IF(E7="Recharge","شحن المحفظة",IF(G7="","",_xlfn.XLOOKUP(TRIM(G7&amp;""),TRIM('Units Data'!$I$7:$I$10000&amp;""),'Units Data'!$C$7:$C$10000,"خارجي",0)))</f>
        <v>خارجي</v>
      </c>
      <c r="C7" s="737" t="str" cm="1">
        <f t="array" ref="C7">IF(E7="Recharge","شحن المحفظة",IF(G7="","",_xlfn.XLOOKUP(TRIM(G7&amp;""),TRIM('Units Data'!$I$7:$I$10000&amp;""),'Units Data'!$B$7:$B$10000,"خارجي",0)))</f>
        <v>خارجي</v>
      </c>
      <c r="D7" s="737" t="str" cm="1">
        <f t="array" ref="D7">_xlfn.SWITCH(TRIM(E7),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IF(E7="","","غير محدد"))</f>
        <v>خصم مديونية من تجديد العقد</v>
      </c>
      <c r="E7" s="737" t="s">
        <v>1575</v>
      </c>
      <c r="F7" s="737" t="s">
        <v>1576</v>
      </c>
      <c r="G7" s="737" t="s">
        <v>1245</v>
      </c>
      <c r="H7" s="737" t="s">
        <v>1118</v>
      </c>
      <c r="K7" s="737">
        <v>125</v>
      </c>
      <c r="L7" s="737" t="s">
        <v>1577</v>
      </c>
      <c r="N7" s="737">
        <v>0</v>
      </c>
      <c r="O7" s="737">
        <v>0</v>
      </c>
    </row>
    <row r="8" spans="1:16">
      <c r="B8" s="948" cm="1">
        <f t="array" ref="B8">IF(E8="Recharge","شحن المحفظة",IF(G8="","",_xlfn.XLOOKUP(TRIM(G8&amp;""),TRIM('Units Data'!$I$7:$I$10000&amp;""),'Units Data'!$C$7:$C$10000,"خارجي",0)))</f>
        <v>102</v>
      </c>
      <c r="C8" s="948" t="str" cm="1">
        <f t="array" ref="C8">IF(E8="Recharge","شحن المحفظة",IF(G8="","",_xlfn.XLOOKUP(TRIM(G8&amp;""),TRIM('Units Data'!$I$7:$I$10000&amp;""),'Units Data'!$B$7:$B$10000,"خارجي",0)))</f>
        <v>F7</v>
      </c>
      <c r="D8" s="737" t="str" cm="1">
        <f t="array" ref="D8">_xlfn.SWITCH(TRIM(E8),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IF(E8="","","غير محدد"))</f>
        <v>خصم مديونية من دفعة إيجارية</v>
      </c>
      <c r="E8" s="737" t="s">
        <v>1578</v>
      </c>
      <c r="F8" s="737" t="s">
        <v>1080</v>
      </c>
      <c r="G8" s="737" t="s">
        <v>1082</v>
      </c>
      <c r="H8" s="737" t="s">
        <v>1081</v>
      </c>
      <c r="K8" s="737">
        <v>125</v>
      </c>
      <c r="L8" s="737" t="s">
        <v>1577</v>
      </c>
      <c r="N8" s="737">
        <v>125</v>
      </c>
      <c r="O8" s="737">
        <v>0</v>
      </c>
    </row>
    <row r="9" spans="1:16" hidden="1">
      <c r="B9" s="737" t="str" cm="1">
        <f t="array" ref="B9">IF(E9="Recharge","شحن المحفظة",IF(G9="","",_xlfn.XLOOKUP(TRIM(G9&amp;""),TRIM('Units Data'!$I$7:$I$10000&amp;""),'Units Data'!$C$7:$C$10000,"خارجي",0)))</f>
        <v>خارجي</v>
      </c>
      <c r="C9" s="737" t="str" cm="1">
        <f t="array" ref="C9">IF(E9="Recharge","شحن المحفظة",IF(G9="","",_xlfn.XLOOKUP(TRIM(G9&amp;""),TRIM('Units Data'!$I$7:$I$10000&amp;""),'Units Data'!$B$7:$B$10000,"خارجي",0)))</f>
        <v>خارجي</v>
      </c>
      <c r="D9" s="737" t="str" cm="1">
        <f t="array" ref="D9">_xlfn.SWITCH(TRIM(E9),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IF(E9="","","غير محدد"))</f>
        <v>خصم مديونية من تجديد العقد</v>
      </c>
      <c r="E9" s="737" t="s">
        <v>1575</v>
      </c>
      <c r="F9" s="737" t="s">
        <v>1579</v>
      </c>
      <c r="G9" s="737" t="s">
        <v>1580</v>
      </c>
      <c r="H9" s="737" t="s">
        <v>1161</v>
      </c>
      <c r="K9" s="737">
        <v>125</v>
      </c>
      <c r="L9" s="737" t="s">
        <v>1581</v>
      </c>
      <c r="N9" s="737">
        <v>0</v>
      </c>
      <c r="O9" s="737">
        <v>0</v>
      </c>
    </row>
    <row r="10" spans="1:16" hidden="1">
      <c r="B10" s="737" t="str" cm="1">
        <f t="array" ref="B10">IF(E10="Recharge","شحن المحفظة",IF(G10="","",_xlfn.XLOOKUP(TRIM(G10&amp;""),TRIM('Units Data'!$I$7:$I$10000&amp;""),'Units Data'!$C$7:$C$10000,"خارجي",0)))</f>
        <v>خارجي</v>
      </c>
      <c r="C10" s="737" t="str" cm="1">
        <f t="array" ref="C10">IF(E10="Recharge","شحن المحفظة",IF(G10="","",_xlfn.XLOOKUP(TRIM(G10&amp;""),TRIM('Units Data'!$I$7:$I$10000&amp;""),'Units Data'!$B$7:$B$10000,"خارجي",0)))</f>
        <v>خارجي</v>
      </c>
      <c r="D10" s="737" t="str" cm="1">
        <f t="array" ref="D10">_xlfn.SWITCH(TRIM(E10),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IF(E10="","","غير محدد"))</f>
        <v>خصم مديونية من دفعة إيجارية</v>
      </c>
      <c r="E10" s="737" t="s">
        <v>1578</v>
      </c>
      <c r="F10" s="737" t="s">
        <v>1110</v>
      </c>
      <c r="G10" s="737" t="s">
        <v>1112</v>
      </c>
      <c r="H10" s="737" t="s">
        <v>1111</v>
      </c>
      <c r="K10" s="737">
        <v>125</v>
      </c>
      <c r="L10" s="737" t="s">
        <v>1581</v>
      </c>
      <c r="N10" s="737">
        <v>125</v>
      </c>
      <c r="O10" s="737">
        <v>0</v>
      </c>
    </row>
    <row r="11" spans="1:16">
      <c r="B11" s="948" cm="1">
        <f t="array" ref="B11">IF(E11="Recharge","شحن المحفظة",IF(G11="","",_xlfn.XLOOKUP(TRIM(G11&amp;""),TRIM('Units Data'!$I$7:$I$10000&amp;""),'Units Data'!$C$7:$C$10000,"خارجي",0)))</f>
        <v>102</v>
      </c>
      <c r="C11" s="948" t="str" cm="1">
        <f t="array" ref="C11">IF(E11="Recharge","شحن المحفظة",IF(G11="","",_xlfn.XLOOKUP(TRIM(G11&amp;""),TRIM('Units Data'!$I$7:$I$10000&amp;""),'Units Data'!$B$7:$B$10000,"خارجي",0)))</f>
        <v>F6</v>
      </c>
      <c r="D11" s="737" t="str" cm="1">
        <f t="array" ref="D11">_xlfn.SWITCH(TRIM(E11),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IF(E11="","","غير محدد"))</f>
        <v>خصم مديونية من تجديد العقد</v>
      </c>
      <c r="E11" s="737" t="s">
        <v>1575</v>
      </c>
      <c r="F11" s="737" t="s">
        <v>1582</v>
      </c>
      <c r="G11" s="737" t="s">
        <v>1130</v>
      </c>
      <c r="H11" s="737" t="s">
        <v>1081</v>
      </c>
      <c r="K11" s="737">
        <v>125</v>
      </c>
      <c r="L11" s="737" t="s">
        <v>1583</v>
      </c>
      <c r="N11" s="737">
        <v>0</v>
      </c>
      <c r="O11" s="737">
        <v>0</v>
      </c>
    </row>
    <row r="12" spans="1:16">
      <c r="B12" s="948" cm="1">
        <f t="array" ref="B12">IF(E12="Recharge","شحن المحفظة",IF(G12="","",_xlfn.XLOOKUP(TRIM(G12&amp;""),TRIM('Units Data'!$I$7:$I$10000&amp;""),'Units Data'!$C$7:$C$10000,"خارجي",0)))</f>
        <v>102</v>
      </c>
      <c r="C12" s="948" t="str" cm="1">
        <f t="array" ref="C12">IF(E12="Recharge","شحن المحفظة",IF(G12="","",_xlfn.XLOOKUP(TRIM(G12&amp;""),TRIM('Units Data'!$I$7:$I$10000&amp;""),'Units Data'!$B$7:$B$10000,"خارجي",0)))</f>
        <v>F8</v>
      </c>
      <c r="D12" s="737" t="str" cm="1">
        <f t="array" ref="D12">_xlfn.SWITCH(TRIM(E12),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IF(E12="","","غير محدد"))</f>
        <v>خصم مديونية من تجديد العقد</v>
      </c>
      <c r="E12" s="737" t="s">
        <v>1575</v>
      </c>
      <c r="F12" s="737" t="s">
        <v>1584</v>
      </c>
      <c r="G12" s="737" t="s">
        <v>1150</v>
      </c>
      <c r="H12" s="737" t="s">
        <v>1081</v>
      </c>
      <c r="K12" s="737">
        <v>125</v>
      </c>
      <c r="L12" s="737" t="s">
        <v>1583</v>
      </c>
      <c r="N12" s="737">
        <v>125</v>
      </c>
      <c r="O12" s="737">
        <v>0</v>
      </c>
    </row>
    <row r="13" spans="1:16">
      <c r="B13" s="948" cm="1">
        <f t="array" ref="B13">IF(E13="Recharge","شحن المحفظة",IF(G13="","",_xlfn.XLOOKUP(TRIM(G13&amp;""),TRIM('Units Data'!$I$7:$I$10000&amp;""),'Units Data'!$C$7:$C$10000,"خارجي",0)))</f>
        <v>102</v>
      </c>
      <c r="C13" s="948" t="str" cm="1">
        <f t="array" ref="C13">IF(E13="Recharge","شحن المحفظة",IF(G13="","",_xlfn.XLOOKUP(TRIM(G13&amp;""),TRIM('Units Data'!$I$7:$I$10000&amp;""),'Units Data'!$B$7:$B$10000,"خارجي",0)))</f>
        <v>F8</v>
      </c>
      <c r="D13" s="737" t="str" cm="1">
        <f t="array" ref="D13">_xlfn.SWITCH(TRIM(E13),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IF(E13="","","غير محدد"))</f>
        <v>خصم مديونية من دفعة إيجارية</v>
      </c>
      <c r="E13" s="737" t="s">
        <v>1578</v>
      </c>
      <c r="F13" s="737" t="s">
        <v>1149</v>
      </c>
      <c r="G13" s="737" t="s">
        <v>1150</v>
      </c>
      <c r="H13" s="737" t="s">
        <v>1081</v>
      </c>
      <c r="K13" s="737">
        <v>125</v>
      </c>
      <c r="L13" s="737" t="s">
        <v>1583</v>
      </c>
      <c r="N13" s="737">
        <v>250</v>
      </c>
      <c r="O13" s="737">
        <v>0</v>
      </c>
    </row>
    <row r="14" spans="1:16">
      <c r="B14" s="948" cm="1">
        <f t="array" ref="B14">IF(E14="Recharge","شحن المحفظة",IF(G14="","",_xlfn.XLOOKUP(TRIM(G14&amp;""),TRIM('Units Data'!$I$7:$I$10000&amp;""),'Units Data'!$C$7:$C$10000,"خارجي",0)))</f>
        <v>102</v>
      </c>
      <c r="C14" s="948" t="str" cm="1">
        <f t="array" ref="C14">IF(E14="Recharge","شحن المحفظة",IF(G14="","",_xlfn.XLOOKUP(TRIM(G14&amp;""),TRIM('Units Data'!$I$7:$I$10000&amp;""),'Units Data'!$B$7:$B$10000,"خارجي",0)))</f>
        <v>F8</v>
      </c>
      <c r="D14" s="737" t="str" cm="1">
        <f t="array" ref="D14">_xlfn.SWITCH(TRIM(E14),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IF(E14="","","غير محدد"))</f>
        <v>خصم مديونية من دفعة إيجارية</v>
      </c>
      <c r="E14" s="737" t="s">
        <v>1578</v>
      </c>
      <c r="F14" s="737" t="s">
        <v>1149</v>
      </c>
      <c r="G14" s="737" t="s">
        <v>1150</v>
      </c>
      <c r="H14" s="737" t="s">
        <v>1081</v>
      </c>
      <c r="K14" s="737">
        <v>125</v>
      </c>
      <c r="L14" s="737" t="s">
        <v>1583</v>
      </c>
      <c r="N14" s="737">
        <v>125</v>
      </c>
      <c r="O14" s="737">
        <v>0</v>
      </c>
    </row>
    <row r="15" spans="1:16" hidden="1">
      <c r="B15" s="737" t="str" cm="1">
        <f t="array" ref="B15">IF(E15="Recharge","شحن المحفظة",IF(G15="","",_xlfn.XLOOKUP(TRIM(G15&amp;""),TRIM('Units Data'!$I$7:$I$10000&amp;""),'Units Data'!$C$7:$C$10000,"خارجي",0)))</f>
        <v>خارجي</v>
      </c>
      <c r="C15" s="737" t="str" cm="1">
        <f t="array" ref="C15">IF(E15="Recharge","شحن المحفظة",IF(G15="","",_xlfn.XLOOKUP(TRIM(G15&amp;""),TRIM('Units Data'!$I$7:$I$10000&amp;""),'Units Data'!$B$7:$B$10000,"خارجي",0)))</f>
        <v>خارجي</v>
      </c>
      <c r="D15" s="737" t="str" cm="1">
        <f t="array" ref="D15">_xlfn.SWITCH(TRIM(E15),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IF(E15="","","غير محدد"))</f>
        <v>خصم مديونية من تجديد العقد</v>
      </c>
      <c r="E15" s="737" t="s">
        <v>1575</v>
      </c>
      <c r="F15" s="737" t="s">
        <v>1585</v>
      </c>
      <c r="G15" s="737" t="s">
        <v>1586</v>
      </c>
      <c r="H15" s="737" t="s">
        <v>1161</v>
      </c>
      <c r="K15" s="737">
        <v>125</v>
      </c>
      <c r="L15" s="737" t="s">
        <v>1587</v>
      </c>
      <c r="N15" s="737">
        <v>0</v>
      </c>
      <c r="O15" s="737">
        <v>0</v>
      </c>
    </row>
    <row r="16" spans="1:16" hidden="1">
      <c r="B16" s="737" t="str" cm="1">
        <f t="array" ref="B16">IF(E16="Recharge","شحن المحفظة",IF(G16="","",_xlfn.XLOOKUP(TRIM(G16&amp;""),TRIM('Units Data'!$I$7:$I$10000&amp;""),'Units Data'!$C$7:$C$10000,"خارجي",0)))</f>
        <v>خارجي</v>
      </c>
      <c r="C16" s="737" t="str" cm="1">
        <f t="array" ref="C16">IF(E16="Recharge","شحن المحفظة",IF(G16="","",_xlfn.XLOOKUP(TRIM(G16&amp;""),TRIM('Units Data'!$I$7:$I$10000&amp;""),'Units Data'!$B$7:$B$10000,"خارجي",0)))</f>
        <v>خارجي</v>
      </c>
      <c r="D16" s="737" t="str" cm="1">
        <f t="array" ref="D16">_xlfn.SWITCH(TRIM(E16),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IF(E16="","","غير محدد"))</f>
        <v>خصم مديونية من دفعة إيجارية</v>
      </c>
      <c r="E16" s="737" t="s">
        <v>1578</v>
      </c>
      <c r="F16" s="737" t="s">
        <v>1189</v>
      </c>
      <c r="G16" s="737" t="s">
        <v>1190</v>
      </c>
      <c r="H16" s="737" t="s">
        <v>1099</v>
      </c>
      <c r="K16" s="737">
        <v>125</v>
      </c>
      <c r="L16" s="737" t="s">
        <v>1587</v>
      </c>
      <c r="N16" s="737">
        <v>125</v>
      </c>
      <c r="O16" s="737">
        <v>0</v>
      </c>
    </row>
    <row r="17" spans="2:15" hidden="1">
      <c r="B17" s="737" t="str" cm="1">
        <f t="array" ref="B17">IF(E17="Recharge","شحن المحفظة",IF(G17="","",_xlfn.XLOOKUP(TRIM(G17&amp;""),TRIM('Units Data'!$I$7:$I$10000&amp;""),'Units Data'!$C$7:$C$10000,"خارجي",0)))</f>
        <v>خارجي</v>
      </c>
      <c r="C17" s="737" t="str" cm="1">
        <f t="array" ref="C17">IF(E17="Recharge","شحن المحفظة",IF(G17="","",_xlfn.XLOOKUP(TRIM(G17&amp;""),TRIM('Units Data'!$I$7:$I$10000&amp;""),'Units Data'!$B$7:$B$10000,"خارجي",0)))</f>
        <v>خارجي</v>
      </c>
      <c r="D17" s="737" t="str" cm="1">
        <f t="array" ref="D17">_xlfn.SWITCH(TRIM(E17),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IF(E17="","","غير محدد"))</f>
        <v>خصم مديونية من تجديد العقد</v>
      </c>
      <c r="E17" s="737" t="s">
        <v>1575</v>
      </c>
      <c r="F17" s="737" t="s">
        <v>1588</v>
      </c>
      <c r="G17" s="737" t="s">
        <v>1198</v>
      </c>
      <c r="H17" s="737" t="s">
        <v>1118</v>
      </c>
      <c r="K17" s="737">
        <v>125</v>
      </c>
      <c r="L17" s="737" t="s">
        <v>1532</v>
      </c>
      <c r="N17" s="737">
        <v>0</v>
      </c>
      <c r="O17" s="737">
        <v>0</v>
      </c>
    </row>
    <row r="18" spans="2:15">
      <c r="B18" s="948" cm="1">
        <f t="array" ref="B18">IF(E18="Recharge","شحن المحفظة",IF(G18="","",_xlfn.XLOOKUP(TRIM(G18&amp;""),TRIM('Units Data'!$I$7:$I$10000&amp;""),'Units Data'!$C$7:$C$10000,"خارجي",0)))</f>
        <v>102</v>
      </c>
      <c r="C18" s="948" t="str" cm="1">
        <f t="array" ref="C18">IF(E18="Recharge","شحن المحفظة",IF(G18="","",_xlfn.XLOOKUP(TRIM(G18&amp;""),TRIM('Units Data'!$I$7:$I$10000&amp;""),'Units Data'!$B$7:$B$10000,"خارجي",0)))</f>
        <v>F3</v>
      </c>
      <c r="D18" s="737" t="str" cm="1">
        <f t="array" ref="D18">_xlfn.SWITCH(TRIM(E18),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IF(E18="","","غير محدد"))</f>
        <v>خصم مديونية من تجديد العقد</v>
      </c>
      <c r="E18" s="737" t="s">
        <v>1575</v>
      </c>
      <c r="F18" s="737" t="s">
        <v>1589</v>
      </c>
      <c r="G18" s="737" t="s">
        <v>1195</v>
      </c>
      <c r="H18" s="737" t="s">
        <v>1081</v>
      </c>
      <c r="K18" s="737">
        <v>125</v>
      </c>
      <c r="L18" s="737" t="s">
        <v>1532</v>
      </c>
      <c r="N18" s="737">
        <v>125</v>
      </c>
      <c r="O18" s="737">
        <v>0</v>
      </c>
    </row>
    <row r="19" spans="2:15" hidden="1">
      <c r="B19" s="737" t="str" cm="1">
        <f t="array" ref="B19">IF(E19="Recharge","شحن المحفظة",IF(G19="","",_xlfn.XLOOKUP(TRIM(G19&amp;""),TRIM('Units Data'!$I$7:$I$10000&amp;""),'Units Data'!$C$7:$C$10000,"خارجي",0)))</f>
        <v>خارجي</v>
      </c>
      <c r="C19" s="737" t="str" cm="1">
        <f t="array" ref="C19">IF(E19="Recharge","شحن المحفظة",IF(G19="","",_xlfn.XLOOKUP(TRIM(G19&amp;""),TRIM('Units Data'!$I$7:$I$10000&amp;""),'Units Data'!$B$7:$B$10000,"خارجي",0)))</f>
        <v>خارجي</v>
      </c>
      <c r="D19" s="737" t="str" cm="1">
        <f t="array" ref="D19">_xlfn.SWITCH(TRIM(E19),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IF(E19="","","غير محدد"))</f>
        <v>خصم مديونية من دفعة إيجارية</v>
      </c>
      <c r="E19" s="737" t="s">
        <v>1578</v>
      </c>
      <c r="F19" s="737" t="s">
        <v>1160</v>
      </c>
      <c r="G19" s="737" t="s">
        <v>1162</v>
      </c>
      <c r="H19" s="737" t="s">
        <v>1161</v>
      </c>
      <c r="K19" s="737">
        <v>125</v>
      </c>
      <c r="L19" s="737" t="s">
        <v>1532</v>
      </c>
      <c r="N19" s="737">
        <v>250</v>
      </c>
      <c r="O19" s="737">
        <v>0</v>
      </c>
    </row>
    <row r="20" spans="2:15" hidden="1">
      <c r="B20" s="737" t="str" cm="1">
        <f t="array" ref="B20">IF(E20="Recharge","شحن المحفظة",IF(G20="","",_xlfn.XLOOKUP(TRIM(G20&amp;""),TRIM('Units Data'!$I$7:$I$10000&amp;""),'Units Data'!$C$7:$C$10000,"خارجي",0)))</f>
        <v>خارجي</v>
      </c>
      <c r="C20" s="737" t="str" cm="1">
        <f t="array" ref="C20">IF(E20="Recharge","شحن المحفظة",IF(G20="","",_xlfn.XLOOKUP(TRIM(G20&amp;""),TRIM('Units Data'!$I$7:$I$10000&amp;""),'Units Data'!$B$7:$B$10000,"خارجي",0)))</f>
        <v>خارجي</v>
      </c>
      <c r="D20" s="737" t="str" cm="1">
        <f t="array" ref="D20">_xlfn.SWITCH(TRIM(E20),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IF(E20="","","غير محدد"))</f>
        <v>خصم مديونية من دفعة إيجارية</v>
      </c>
      <c r="E20" s="737" t="s">
        <v>1578</v>
      </c>
      <c r="F20" s="737" t="s">
        <v>1160</v>
      </c>
      <c r="G20" s="737" t="s">
        <v>1162</v>
      </c>
      <c r="H20" s="737" t="s">
        <v>1161</v>
      </c>
      <c r="K20" s="737">
        <v>125</v>
      </c>
      <c r="L20" s="737" t="s">
        <v>1532</v>
      </c>
      <c r="N20" s="737">
        <v>125</v>
      </c>
      <c r="O20" s="737">
        <v>0</v>
      </c>
    </row>
    <row r="21" spans="2:15">
      <c r="B21" s="948" cm="1">
        <f t="array" ref="B21">IF(E21="Recharge","شحن المحفظة",IF(G21="","",_xlfn.XLOOKUP(TRIM(G21&amp;""),TRIM('Units Data'!$I$7:$I$10000&amp;""),'Units Data'!$C$7:$C$10000,"خارجي",0)))</f>
        <v>102</v>
      </c>
      <c r="C21" s="948" t="str" cm="1">
        <f t="array" ref="C21">IF(E21="Recharge","شحن المحفظة",IF(G21="","",_xlfn.XLOOKUP(TRIM(G21&amp;""),TRIM('Units Data'!$I$7:$I$10000&amp;""),'Units Data'!$B$7:$B$10000,"خارجي",0)))</f>
        <v>F2</v>
      </c>
      <c r="D21" s="737" t="str" cm="1">
        <f t="array" ref="D21">_xlfn.SWITCH(TRIM(E21),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IF(E21="","","غير محدد"))</f>
        <v>خصم مديونية من تجديد العقد</v>
      </c>
      <c r="E21" s="737" t="s">
        <v>1575</v>
      </c>
      <c r="F21" s="737" t="s">
        <v>1590</v>
      </c>
      <c r="G21" s="737" t="s">
        <v>1174</v>
      </c>
      <c r="H21" s="737" t="s">
        <v>1081</v>
      </c>
      <c r="K21" s="737">
        <v>125</v>
      </c>
      <c r="L21" s="737" t="s">
        <v>1544</v>
      </c>
      <c r="N21" s="737">
        <v>0</v>
      </c>
      <c r="O21" s="737">
        <v>0</v>
      </c>
    </row>
    <row r="22" spans="2:15">
      <c r="B22" s="948" t="str" cm="1">
        <f t="array" ref="B22">IF(E22="Recharge","شحن المحفظة",IF(G22="","",_xlfn.XLOOKUP(TRIM(G22&amp;""),TRIM('Units Data'!$I$7:$I$10000&amp;""),'Units Data'!$C$7:$C$10000,"خارجي",0)))</f>
        <v>A</v>
      </c>
      <c r="C22" s="948" t="str" cm="1">
        <f t="array" ref="C22">IF(E22="Recharge","شحن المحفظة",IF(G22="","",_xlfn.XLOOKUP(TRIM(G22&amp;""),TRIM('Units Data'!$I$7:$I$10000&amp;""),'Units Data'!$B$7:$B$10000,"خارجي",0)))</f>
        <v>S2</v>
      </c>
      <c r="D22" s="737" t="str" cm="1">
        <f t="array" ref="D22">_xlfn.SWITCH(TRIM(E22),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IF(E22="","","غير محدد"))</f>
        <v>خصم مديونية من دفعة إيجارية</v>
      </c>
      <c r="E22" s="737" t="s">
        <v>1578</v>
      </c>
      <c r="F22" s="737" t="s">
        <v>1221</v>
      </c>
      <c r="G22" s="737" t="s">
        <v>1178</v>
      </c>
      <c r="H22" s="737" t="s">
        <v>1085</v>
      </c>
      <c r="K22" s="737">
        <v>125</v>
      </c>
      <c r="L22" s="737" t="s">
        <v>1544</v>
      </c>
      <c r="N22" s="737">
        <v>125</v>
      </c>
      <c r="O22" s="737">
        <v>0</v>
      </c>
    </row>
    <row r="23" spans="2:15" hidden="1">
      <c r="B23" s="737" t="str" cm="1">
        <f t="array" ref="B23">IF(E23="Recharge","شحن المحفظة",IF(G23="","",_xlfn.XLOOKUP(TRIM(G23&amp;""),TRIM('Units Data'!$I$7:$I$10000&amp;""),'Units Data'!$C$7:$C$10000,"خارجي",0)))</f>
        <v>خارجي</v>
      </c>
      <c r="C23" s="737" t="str" cm="1">
        <f t="array" ref="C23">IF(E23="Recharge","شحن المحفظة",IF(G23="","",_xlfn.XLOOKUP(TRIM(G23&amp;""),TRIM('Units Data'!$I$7:$I$10000&amp;""),'Units Data'!$B$7:$B$10000,"خارجي",0)))</f>
        <v>خارجي</v>
      </c>
      <c r="D23" s="737" t="str" cm="1">
        <f t="array" ref="D23">_xlfn.SWITCH(TRIM(E23),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IF(E23="","","غير محدد"))</f>
        <v>خصم مديونية من تجديد العقد</v>
      </c>
      <c r="E23" s="737" t="s">
        <v>1575</v>
      </c>
      <c r="F23" s="737" t="s">
        <v>1591</v>
      </c>
      <c r="G23" s="737" t="s">
        <v>1592</v>
      </c>
      <c r="H23" s="737" t="s">
        <v>1118</v>
      </c>
      <c r="K23" s="737">
        <v>125</v>
      </c>
      <c r="L23" s="737" t="s">
        <v>1556</v>
      </c>
      <c r="N23" s="737">
        <v>0</v>
      </c>
      <c r="O23" s="737">
        <v>0</v>
      </c>
    </row>
    <row r="24" spans="2:15" hidden="1">
      <c r="B24" s="737" t="str" cm="1">
        <f t="array" ref="B24">IF(E24="Recharge","شحن المحفظة",IF(G24="","",_xlfn.XLOOKUP(TRIM(G24&amp;""),TRIM('Units Data'!$I$7:$I$10000&amp;""),'Units Data'!$C$7:$C$10000,"خارجي",0)))</f>
        <v>خارجي</v>
      </c>
      <c r="C24" s="737" t="str" cm="1">
        <f t="array" ref="C24">IF(E24="Recharge","شحن المحفظة",IF(G24="","",_xlfn.XLOOKUP(TRIM(G24&amp;""),TRIM('Units Data'!$I$7:$I$10000&amp;""),'Units Data'!$B$7:$B$10000,"خارجي",0)))</f>
        <v>خارجي</v>
      </c>
      <c r="D24" s="737" t="str" cm="1">
        <f t="array" ref="D24">_xlfn.SWITCH(TRIM(E24),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IF(E24="","","غير محدد"))</f>
        <v>خصم مديونية من تجديد العقد</v>
      </c>
      <c r="E24" s="737" t="s">
        <v>1575</v>
      </c>
      <c r="F24" s="737" t="s">
        <v>1593</v>
      </c>
      <c r="G24" s="737" t="s">
        <v>1286</v>
      </c>
      <c r="H24" s="737" t="s">
        <v>1111</v>
      </c>
      <c r="K24" s="737">
        <v>125</v>
      </c>
      <c r="L24" s="737" t="s">
        <v>1556</v>
      </c>
      <c r="N24" s="737">
        <v>125</v>
      </c>
      <c r="O24" s="737">
        <v>0</v>
      </c>
    </row>
    <row r="25" spans="2:15">
      <c r="B25" s="737" cm="1">
        <f t="array" ref="B25">IF(E25="Recharge","شحن المحفظة",IF(G25="","",_xlfn.XLOOKUP(TRIM(G25&amp;""),TRIM('Units Data'!$I$7:$I$10000&amp;""),'Units Data'!$C$7:$C$10000,"خارجي",0)))</f>
        <v>102</v>
      </c>
      <c r="C25" s="737" t="str" cm="1">
        <f t="array" ref="C25">IF(E25="Recharge","شحن المحفظة",IF(G25="","",_xlfn.XLOOKUP(TRIM(G25&amp;""),TRIM('Units Data'!$I$7:$I$10000&amp;""),'Units Data'!$B$7:$B$10000,"خارجي",0)))</f>
        <v>S3</v>
      </c>
      <c r="D25" s="737" t="str" cm="1">
        <f t="array" ref="D25">_xlfn.SWITCH(TRIM(E25),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IF(E25="","","غير محدد"))</f>
        <v>خصم مديونية من دفعة إيجارية</v>
      </c>
      <c r="E25" s="737" t="s">
        <v>1578</v>
      </c>
      <c r="F25" s="737" t="s">
        <v>1136</v>
      </c>
      <c r="G25" s="737" t="s">
        <v>1137</v>
      </c>
      <c r="H25" s="737" t="s">
        <v>1095</v>
      </c>
      <c r="K25" s="737">
        <v>125</v>
      </c>
      <c r="L25" s="737" t="s">
        <v>1556</v>
      </c>
      <c r="N25" s="737">
        <v>250</v>
      </c>
      <c r="O25" s="737">
        <v>0</v>
      </c>
    </row>
    <row r="26" spans="2:15">
      <c r="B26" s="737" cm="1">
        <f t="array" ref="B26">IF(E26="Recharge","شحن المحفظة",IF(G26="","",_xlfn.XLOOKUP(TRIM(G26&amp;""),TRIM('Units Data'!$I$7:$I$10000&amp;""),'Units Data'!$C$7:$C$10000,"خارجي",0)))</f>
        <v>102</v>
      </c>
      <c r="C26" s="737" t="str" cm="1">
        <f t="array" ref="C26">IF(E26="Recharge","شحن المحفظة",IF(G26="","",_xlfn.XLOOKUP(TRIM(G26&amp;""),TRIM('Units Data'!$I$7:$I$10000&amp;""),'Units Data'!$B$7:$B$10000,"خارجي",0)))</f>
        <v>S3</v>
      </c>
      <c r="D26" s="737" t="str" cm="1">
        <f t="array" ref="D26">_xlfn.SWITCH(TRIM(E26),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IF(E26="","","غير محدد"))</f>
        <v>خصم مديونية من دفعة إيجارية</v>
      </c>
      <c r="E26" s="737" t="s">
        <v>1578</v>
      </c>
      <c r="F26" s="737" t="s">
        <v>1136</v>
      </c>
      <c r="G26" s="737" t="s">
        <v>1137</v>
      </c>
      <c r="H26" s="737" t="s">
        <v>1095</v>
      </c>
      <c r="K26" s="737">
        <v>125</v>
      </c>
      <c r="L26" s="737" t="s">
        <v>1556</v>
      </c>
      <c r="N26" s="737">
        <v>125</v>
      </c>
      <c r="O26" s="737">
        <v>0</v>
      </c>
    </row>
    <row r="27" spans="2:15">
      <c r="B27" s="737" cm="1">
        <f t="array" ref="B27">IF(E27="Recharge","شحن المحفظة",IF(G27="","",_xlfn.XLOOKUP(TRIM(G27&amp;""),TRIM('Units Data'!$I$7:$I$10000&amp;""),'Units Data'!$C$7:$C$10000,"خارجي",0)))</f>
        <v>102</v>
      </c>
      <c r="C27" s="737" t="str" cm="1">
        <f t="array" ref="C27">IF(E27="Recharge","شحن المحفظة",IF(G27="","",_xlfn.XLOOKUP(TRIM(G27&amp;""),TRIM('Units Data'!$I$7:$I$10000&amp;""),'Units Data'!$B$7:$B$10000,"خارجي",0)))</f>
        <v>F5</v>
      </c>
      <c r="D27" s="737" t="str" cm="1">
        <f t="array" ref="D27">_xlfn.SWITCH(TRIM(E27),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IF(E27="","","غير محدد"))</f>
        <v>خصم مديونية من تجديد العقد</v>
      </c>
      <c r="E27" s="737" t="s">
        <v>1575</v>
      </c>
      <c r="F27" s="737" t="s">
        <v>1594</v>
      </c>
      <c r="G27" s="737" t="s">
        <v>1139</v>
      </c>
      <c r="H27" s="737" t="s">
        <v>1081</v>
      </c>
      <c r="K27" s="737">
        <v>125</v>
      </c>
      <c r="L27" s="737" t="s">
        <v>1595</v>
      </c>
      <c r="N27" s="737">
        <v>0</v>
      </c>
      <c r="O27" s="737">
        <v>0</v>
      </c>
    </row>
    <row r="28" spans="2:15" hidden="1">
      <c r="B28" s="737" t="str" cm="1">
        <f t="array" ref="B28">IF(E28="Recharge","شحن المحفظة",IF(G28="","",_xlfn.XLOOKUP(TRIM(G28&amp;""),TRIM('Units Data'!$I$7:$I$10000&amp;""),'Units Data'!$C$7:$C$10000,"خارجي",0)))</f>
        <v>خارجي</v>
      </c>
      <c r="C28" s="737" t="str" cm="1">
        <f t="array" ref="C28">IF(E28="Recharge","شحن المحفظة",IF(G28="","",_xlfn.XLOOKUP(TRIM(G28&amp;""),TRIM('Units Data'!$I$7:$I$10000&amp;""),'Units Data'!$B$7:$B$10000,"خارجي",0)))</f>
        <v>خارجي</v>
      </c>
      <c r="D28" s="737" t="str" cm="1">
        <f t="array" ref="D28">_xlfn.SWITCH(TRIM(E28),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IF(E28="","","غير محدد"))</f>
        <v>خصم مديونية من دفعة إيجارية</v>
      </c>
      <c r="E28" s="737" t="s">
        <v>1578</v>
      </c>
      <c r="F28" s="737" t="s">
        <v>1206</v>
      </c>
      <c r="G28" s="737" t="s">
        <v>1207</v>
      </c>
      <c r="H28" s="737" t="s">
        <v>1161</v>
      </c>
      <c r="K28" s="737">
        <v>125</v>
      </c>
      <c r="L28" s="737" t="s">
        <v>1595</v>
      </c>
      <c r="N28" s="737">
        <v>125</v>
      </c>
      <c r="O28" s="737">
        <v>0</v>
      </c>
    </row>
    <row r="29" spans="2:15" hidden="1">
      <c r="B29" s="737" t="str" cm="1">
        <f t="array" ref="B29">IF(E29="Recharge","شحن المحفظة",IF(G29="","",_xlfn.XLOOKUP(TRIM(G29&amp;""),TRIM('Units Data'!$I$7:$I$10000&amp;""),'Units Data'!$C$7:$C$10000,"خارجي",0)))</f>
        <v>خارجي</v>
      </c>
      <c r="C29" s="737" t="str" cm="1">
        <f t="array" ref="C29">IF(E29="Recharge","شحن المحفظة",IF(G29="","",_xlfn.XLOOKUP(TRIM(G29&amp;""),TRIM('Units Data'!$I$7:$I$10000&amp;""),'Units Data'!$B$7:$B$10000,"خارجي",0)))</f>
        <v>خارجي</v>
      </c>
      <c r="D29" s="737" t="str" cm="1">
        <f t="array" ref="D29">_xlfn.SWITCH(TRIM(E29),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IF(E29="","","غير محدد"))</f>
        <v>خصم مديونية من تجديد العقد</v>
      </c>
      <c r="E29" s="737" t="s">
        <v>1575</v>
      </c>
      <c r="F29" s="737" t="s">
        <v>1596</v>
      </c>
      <c r="G29" s="737" t="s">
        <v>1198</v>
      </c>
      <c r="H29" s="737" t="s">
        <v>1118</v>
      </c>
      <c r="K29" s="737">
        <v>125</v>
      </c>
      <c r="L29" s="737" t="s">
        <v>1597</v>
      </c>
      <c r="N29" s="737">
        <v>0</v>
      </c>
      <c r="O29" s="737">
        <v>0</v>
      </c>
    </row>
    <row r="30" spans="2:15" hidden="1">
      <c r="B30" s="737" t="str" cm="1">
        <f t="array" ref="B30">IF(E30="Recharge","شحن المحفظة",IF(G30="","",_xlfn.XLOOKUP(TRIM(G30&amp;""),TRIM('Units Data'!$I$7:$I$10000&amp;""),'Units Data'!$C$7:$C$10000,"خارجي",0)))</f>
        <v>خارجي</v>
      </c>
      <c r="C30" s="737" t="str" cm="1">
        <f t="array" ref="C30">IF(E30="Recharge","شحن المحفظة",IF(G30="","",_xlfn.XLOOKUP(TRIM(G30&amp;""),TRIM('Units Data'!$I$7:$I$10000&amp;""),'Units Data'!$B$7:$B$10000,"خارجي",0)))</f>
        <v>خارجي</v>
      </c>
      <c r="D30" s="737" t="str" cm="1">
        <f t="array" ref="D30">_xlfn.SWITCH(TRIM(E30),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IF(E30="","","غير محدد"))</f>
        <v>خصم مديونية من دفعة إيجارية</v>
      </c>
      <c r="E30" s="737" t="s">
        <v>1578</v>
      </c>
      <c r="F30" s="737" t="s">
        <v>1160</v>
      </c>
      <c r="G30" s="737" t="s">
        <v>1162</v>
      </c>
      <c r="H30" s="737" t="s">
        <v>1161</v>
      </c>
      <c r="K30" s="737">
        <v>125</v>
      </c>
      <c r="L30" s="737" t="s">
        <v>1597</v>
      </c>
      <c r="N30" s="737">
        <v>125</v>
      </c>
      <c r="O30" s="737">
        <v>0</v>
      </c>
    </row>
    <row r="31" spans="2:15">
      <c r="B31" s="737" cm="1">
        <f t="array" ref="B31">IF(E31="Recharge","شحن المحفظة",IF(G31="","",_xlfn.XLOOKUP(TRIM(G31&amp;""),TRIM('Units Data'!$I$7:$I$10000&amp;""),'Units Data'!$C$7:$C$10000,"خارجي",0)))</f>
        <v>102</v>
      </c>
      <c r="C31" s="737" t="str" cm="1">
        <f t="array" ref="C31">IF(E31="Recharge","شحن المحفظة",IF(G31="","",_xlfn.XLOOKUP(TRIM(G31&amp;""),TRIM('Units Data'!$I$7:$I$10000&amp;""),'Units Data'!$B$7:$B$10000,"خارجي",0)))</f>
        <v>F4</v>
      </c>
      <c r="D31" s="737" t="str" cm="1">
        <f t="array" ref="D31">_xlfn.SWITCH(TRIM(E31),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IF(E31="","","غير محدد"))</f>
        <v>خصم مديونية من تجديد العقد</v>
      </c>
      <c r="E31" s="737" t="s">
        <v>1575</v>
      </c>
      <c r="F31" s="737" t="s">
        <v>1598</v>
      </c>
      <c r="G31" s="737" t="s">
        <v>1298</v>
      </c>
      <c r="H31" s="737" t="s">
        <v>1095</v>
      </c>
      <c r="K31" s="737">
        <v>125</v>
      </c>
      <c r="L31" s="737" t="s">
        <v>1599</v>
      </c>
      <c r="N31" s="737">
        <v>0</v>
      </c>
      <c r="O31" s="737">
        <v>0</v>
      </c>
    </row>
    <row r="32" spans="2:15" hidden="1">
      <c r="B32" s="737" t="str" cm="1">
        <f t="array" ref="B32">IF(E32="Recharge","شحن المحفظة",IF(G32="","",_xlfn.XLOOKUP(TRIM(G32&amp;""),TRIM('Units Data'!$I$7:$I$10000&amp;""),'Units Data'!$C$7:$C$10000,"خارجي",0)))</f>
        <v>خارجي</v>
      </c>
      <c r="C32" s="737" t="str" cm="1">
        <f t="array" ref="C32">IF(E32="Recharge","شحن المحفظة",IF(G32="","",_xlfn.XLOOKUP(TRIM(G32&amp;""),TRIM('Units Data'!$I$7:$I$10000&amp;""),'Units Data'!$B$7:$B$10000,"خارجي",0)))</f>
        <v>خارجي</v>
      </c>
      <c r="D32" s="737" t="str" cm="1">
        <f t="array" ref="D32">_xlfn.SWITCH(TRIM(E32),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IF(E32="","","غير محدد"))</f>
        <v>خصم مديونية من دفعة إيجارية</v>
      </c>
      <c r="E32" s="737" t="s">
        <v>1578</v>
      </c>
      <c r="F32" s="737" t="s">
        <v>1206</v>
      </c>
      <c r="G32" s="737" t="s">
        <v>1207</v>
      </c>
      <c r="H32" s="737" t="s">
        <v>1161</v>
      </c>
      <c r="K32" s="737">
        <v>125</v>
      </c>
      <c r="L32" s="737" t="s">
        <v>1599</v>
      </c>
      <c r="N32" s="737">
        <v>125</v>
      </c>
      <c r="O32" s="737">
        <v>0</v>
      </c>
    </row>
    <row r="33" spans="2:16">
      <c r="B33" s="737" cm="1">
        <f t="array" ref="B33">IF(E33="Recharge","شحن المحفظة",IF(G33="","",_xlfn.XLOOKUP(TRIM(G33&amp;""),TRIM('Units Data'!$I$7:$I$10000&amp;""),'Units Data'!$C$7:$C$10000,"خارجي",0)))</f>
        <v>102</v>
      </c>
      <c r="C33" s="737" t="str" cm="1">
        <f t="array" ref="C33">IF(E33="Recharge","شحن المحفظة",IF(G33="","",_xlfn.XLOOKUP(TRIM(G33&amp;""),TRIM('Units Data'!$I$7:$I$10000&amp;""),'Units Data'!$B$7:$B$10000,"خارجي",0)))</f>
        <v>F3</v>
      </c>
      <c r="D33" s="737" t="str" cm="1">
        <f t="array" ref="D33">_xlfn.SWITCH(TRIM(E33),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IF(E33="","","غير محدد"))</f>
        <v>رسوم إيجار</v>
      </c>
      <c r="E33" s="737" t="s">
        <v>1468</v>
      </c>
      <c r="F33" s="737" t="s">
        <v>1600</v>
      </c>
      <c r="G33" s="737" t="s">
        <v>1195</v>
      </c>
      <c r="H33" s="737" t="s">
        <v>1081</v>
      </c>
      <c r="K33" s="737">
        <v>125</v>
      </c>
      <c r="L33" s="737" t="s">
        <v>1601</v>
      </c>
      <c r="N33" s="737">
        <v>0</v>
      </c>
      <c r="O33" s="737">
        <v>45733543</v>
      </c>
    </row>
    <row r="34" spans="2:16">
      <c r="B34" s="737" cm="1">
        <f t="array" ref="B34">IF(E34="Recharge","شحن المحفظة",IF(G34="","",_xlfn.XLOOKUP(TRIM(G34&amp;""),TRIM('Units Data'!$I$7:$I$10000&amp;""),'Units Data'!$C$7:$C$10000,"خارجي",0)))</f>
        <v>102</v>
      </c>
      <c r="C34" s="737" t="str" cm="1">
        <f t="array" ref="C34">IF(E34="Recharge","شحن المحفظة",IF(G34="","",_xlfn.XLOOKUP(TRIM(G34&amp;""),TRIM('Units Data'!$I$7:$I$10000&amp;""),'Units Data'!$B$7:$B$10000,"خارجي",0)))</f>
        <v>F3</v>
      </c>
      <c r="D34" s="737" t="str" cm="1">
        <f t="array" ref="D34">_xlfn.SWITCH(TRIM(E34),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IF(E34="","","غير محدد"))</f>
        <v>حجز مبلغ</v>
      </c>
      <c r="E34" s="737" t="s">
        <v>499</v>
      </c>
      <c r="F34" s="737" t="s">
        <v>1600</v>
      </c>
      <c r="G34" s="737" t="s">
        <v>1195</v>
      </c>
      <c r="H34" s="737" t="s">
        <v>1081</v>
      </c>
      <c r="K34" s="737">
        <v>125</v>
      </c>
      <c r="L34" s="737" t="s">
        <v>1601</v>
      </c>
      <c r="N34" s="737">
        <v>0</v>
      </c>
      <c r="O34" s="737">
        <v>0</v>
      </c>
    </row>
    <row r="35" spans="2:16" hidden="1">
      <c r="B35" s="737" t="str" cm="1">
        <f t="array" ref="B35">IF(E35="Recharge","شحن المحفظة",IF(G35="","",_xlfn.XLOOKUP(TRIM(G35&amp;""),TRIM('Units Data'!$I$7:$I$10000&amp;""),'Units Data'!$C$7:$C$10000,"خارجي",0)))</f>
        <v>شحن المحفظة</v>
      </c>
      <c r="C35" s="737" t="str" cm="1">
        <f t="array" ref="C35">IF(E35="Recharge","شحن المحفظة",IF(G35="","",_xlfn.XLOOKUP(TRIM(G35&amp;""),TRIM('Units Data'!$I$7:$I$10000&amp;""),'Units Data'!$B$7:$B$10000,"خارجي",0)))</f>
        <v>شحن المحفظة</v>
      </c>
      <c r="D35" s="737" t="str" cm="1">
        <f t="array" ref="D35">_xlfn.SWITCH(TRIM(E35),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IF(E35="","","غير محدد"))</f>
        <v>شحن المحفظة</v>
      </c>
      <c r="E35" s="737" t="s">
        <v>1498</v>
      </c>
      <c r="F35" s="737" t="s">
        <v>1602</v>
      </c>
      <c r="G35" s="737" t="s">
        <v>1500</v>
      </c>
      <c r="K35" s="737">
        <v>125</v>
      </c>
      <c r="L35" s="737" t="s">
        <v>1603</v>
      </c>
      <c r="N35" s="737">
        <v>125</v>
      </c>
      <c r="O35" s="737">
        <v>0</v>
      </c>
      <c r="P35" s="737" t="s">
        <v>1604</v>
      </c>
    </row>
    <row r="36" spans="2:16" hidden="1">
      <c r="B36" s="737" t="str" cm="1">
        <f t="array" ref="B36">IF(E36="Recharge","شحن المحفظة",IF(G36="","",_xlfn.XLOOKUP(TRIM(G36&amp;""),TRIM('Units Data'!$I$7:$I$10000&amp;""),'Units Data'!$C$7:$C$10000,"خارجي",0)))</f>
        <v>خارجي</v>
      </c>
      <c r="C36" s="737" t="str" cm="1">
        <f t="array" ref="C36">IF(E36="Recharge","شحن المحفظة",IF(G36="","",_xlfn.XLOOKUP(TRIM(G36&amp;""),TRIM('Units Data'!$I$7:$I$10000&amp;""),'Units Data'!$B$7:$B$10000,"خارجي",0)))</f>
        <v>خارجي</v>
      </c>
      <c r="D36" s="737" t="str" cm="1">
        <f t="array" ref="D36">_xlfn.SWITCH(TRIM(E36),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IF(E36="","","غير محدد"))</f>
        <v>خصم مديونية من تجديد العقد</v>
      </c>
      <c r="E36" s="737" t="s">
        <v>1575</v>
      </c>
      <c r="F36" s="737" t="s">
        <v>1605</v>
      </c>
      <c r="G36" s="737" t="s">
        <v>1606</v>
      </c>
      <c r="H36" s="737" t="s">
        <v>1111</v>
      </c>
      <c r="K36" s="737">
        <v>125</v>
      </c>
      <c r="L36" s="737" t="s">
        <v>1607</v>
      </c>
      <c r="N36" s="737">
        <v>0</v>
      </c>
      <c r="O36" s="737">
        <v>0</v>
      </c>
    </row>
    <row r="37" spans="2:16">
      <c r="B37" s="737" cm="1">
        <f t="array" ref="B37">IF(E37="Recharge","شحن المحفظة",IF(G37="","",_xlfn.XLOOKUP(TRIM(G37&amp;""),TRIM('Units Data'!$I$7:$I$10000&amp;""),'Units Data'!$C$7:$C$10000,"خارجي",0)))</f>
        <v>102</v>
      </c>
      <c r="C37" s="737" t="str" cm="1">
        <f t="array" ref="C37">IF(E37="Recharge","شحن المحفظة",IF(G37="","",_xlfn.XLOOKUP(TRIM(G37&amp;""),TRIM('Units Data'!$I$7:$I$10000&amp;""),'Units Data'!$B$7:$B$10000,"خارجي",0)))</f>
        <v>F2</v>
      </c>
      <c r="D37" s="737" t="str" cm="1">
        <f t="array" ref="D37">_xlfn.SWITCH(TRIM(E37),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IF(E37="","","غير محدد"))</f>
        <v>خصم مديونية من دفعة إيجارية</v>
      </c>
      <c r="E37" s="737" t="s">
        <v>1578</v>
      </c>
      <c r="F37" s="737" t="s">
        <v>1302</v>
      </c>
      <c r="G37" s="737" t="s">
        <v>1303</v>
      </c>
      <c r="H37" s="737" t="s">
        <v>1081</v>
      </c>
      <c r="K37" s="737">
        <v>125</v>
      </c>
      <c r="L37" s="737" t="s">
        <v>1607</v>
      </c>
      <c r="N37" s="737">
        <v>125</v>
      </c>
      <c r="O37" s="737">
        <v>0</v>
      </c>
    </row>
    <row r="38" spans="2:16">
      <c r="B38" s="737" cm="1">
        <f t="array" ref="B38">IF(E38="Recharge","شحن المحفظة",IF(G38="","",_xlfn.XLOOKUP(TRIM(G38&amp;""),TRIM('Units Data'!$I$7:$I$10000&amp;""),'Units Data'!$C$7:$C$10000,"خارجي",0)))</f>
        <v>102</v>
      </c>
      <c r="C38" s="737" t="str" cm="1">
        <f t="array" ref="C38">IF(E38="Recharge","شحن المحفظة",IF(G38="","",_xlfn.XLOOKUP(TRIM(G38&amp;""),TRIM('Units Data'!$I$7:$I$10000&amp;""),'Units Data'!$B$7:$B$10000,"خارجي",0)))</f>
        <v>F1</v>
      </c>
      <c r="D38" s="737" t="str" cm="1">
        <f t="array" ref="D38">_xlfn.SWITCH(TRIM(E38),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IF(E38="","","غير محدد"))</f>
        <v>خصم مديونية من تجديد العقد</v>
      </c>
      <c r="E38" s="737" t="s">
        <v>1575</v>
      </c>
      <c r="F38" s="737" t="s">
        <v>1608</v>
      </c>
      <c r="G38" s="737" t="s">
        <v>1096</v>
      </c>
      <c r="H38" s="737" t="s">
        <v>1095</v>
      </c>
      <c r="K38" s="737">
        <v>125</v>
      </c>
      <c r="L38" s="737" t="s">
        <v>1609</v>
      </c>
      <c r="N38" s="737">
        <v>0</v>
      </c>
      <c r="O38" s="737">
        <v>0</v>
      </c>
    </row>
    <row r="39" spans="2:16" hidden="1">
      <c r="B39" s="737" t="str" cm="1">
        <f t="array" ref="B39">IF(E39="Recharge","شحن المحفظة",IF(G39="","",_xlfn.XLOOKUP(TRIM(G39&amp;""),TRIM('Units Data'!$I$7:$I$10000&amp;""),'Units Data'!$C$7:$C$10000,"خارجي",0)))</f>
        <v>خارجي</v>
      </c>
      <c r="C39" s="737" t="str" cm="1">
        <f t="array" ref="C39">IF(E39="Recharge","شحن المحفظة",IF(G39="","",_xlfn.XLOOKUP(TRIM(G39&amp;""),TRIM('Units Data'!$I$7:$I$10000&amp;""),'Units Data'!$B$7:$B$10000,"خارجي",0)))</f>
        <v>خارجي</v>
      </c>
      <c r="D39" s="737" t="str" cm="1">
        <f t="array" ref="D39">_xlfn.SWITCH(TRIM(E39),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IF(E39="","","غير محدد"))</f>
        <v>خصم مديونية من دفعة إيجارية</v>
      </c>
      <c r="E39" s="737" t="s">
        <v>1578</v>
      </c>
      <c r="F39" s="737" t="s">
        <v>1206</v>
      </c>
      <c r="G39" s="737" t="s">
        <v>1207</v>
      </c>
      <c r="H39" s="737" t="s">
        <v>1161</v>
      </c>
      <c r="K39" s="737">
        <v>125</v>
      </c>
      <c r="L39" s="737" t="s">
        <v>1609</v>
      </c>
      <c r="N39" s="737">
        <v>125</v>
      </c>
      <c r="O39" s="737">
        <v>0</v>
      </c>
    </row>
    <row r="40" spans="2:16">
      <c r="B40" s="737" cm="1">
        <f t="array" ref="B40">IF(E40="Recharge","شحن المحفظة",IF(G40="","",_xlfn.XLOOKUP(TRIM(G40&amp;""),TRIM('Units Data'!$I$7:$I$10000&amp;""),'Units Data'!$C$7:$C$10000,"خارجي",0)))</f>
        <v>102</v>
      </c>
      <c r="C40" s="737" t="str" cm="1">
        <f t="array" ref="C40">IF(E40="Recharge","شحن المحفظة",IF(G40="","",_xlfn.XLOOKUP(TRIM(G40&amp;""),TRIM('Units Data'!$I$7:$I$10000&amp;""),'Units Data'!$B$7:$B$10000,"خارجي",0)))</f>
        <v>F5</v>
      </c>
      <c r="D40" s="737" t="str" cm="1">
        <f t="array" ref="D40">_xlfn.SWITCH(TRIM(E40),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IF(E40="","","غير محدد"))</f>
        <v>خصم مديونية من تجديد العقد</v>
      </c>
      <c r="E40" s="737" t="s">
        <v>1575</v>
      </c>
      <c r="F40" s="737" t="s">
        <v>1610</v>
      </c>
      <c r="G40" s="737" t="s">
        <v>1139</v>
      </c>
      <c r="H40" s="737" t="s">
        <v>1081</v>
      </c>
      <c r="K40" s="737">
        <v>125</v>
      </c>
      <c r="L40" s="737" t="s">
        <v>1611</v>
      </c>
      <c r="N40" s="737">
        <v>0</v>
      </c>
      <c r="O40" s="737">
        <v>0</v>
      </c>
    </row>
    <row r="41" spans="2:16">
      <c r="B41" s="737" cm="1">
        <f t="array" ref="B41">IF(E41="Recharge","شحن المحفظة",IF(G41="","",_xlfn.XLOOKUP(TRIM(G41&amp;""),TRIM('Units Data'!$I$7:$I$10000&amp;""),'Units Data'!$C$7:$C$10000,"خارجي",0)))</f>
        <v>102</v>
      </c>
      <c r="C41" s="737" t="str" cm="1">
        <f t="array" ref="C41">IF(E41="Recharge","شحن المحفظة",IF(G41="","",_xlfn.XLOOKUP(TRIM(G41&amp;""),TRIM('Units Data'!$I$7:$I$10000&amp;""),'Units Data'!$B$7:$B$10000,"خارجي",0)))</f>
        <v>S5</v>
      </c>
      <c r="D41" s="737" t="str" cm="1">
        <f t="array" ref="D41">_xlfn.SWITCH(TRIM(E41),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IF(E41="","","غير محدد"))</f>
        <v>خصم مديونية من دفعة إيجارية</v>
      </c>
      <c r="E41" s="737" t="s">
        <v>1578</v>
      </c>
      <c r="F41" s="737" t="s">
        <v>1288</v>
      </c>
      <c r="G41" s="737" t="s">
        <v>1289</v>
      </c>
      <c r="H41" s="737" t="s">
        <v>1095</v>
      </c>
      <c r="K41" s="737">
        <v>125</v>
      </c>
      <c r="L41" s="737" t="s">
        <v>1611</v>
      </c>
      <c r="N41" s="737">
        <v>125</v>
      </c>
      <c r="O41" s="737">
        <v>0</v>
      </c>
    </row>
    <row r="42" spans="2:16">
      <c r="B42" s="737" cm="1">
        <f t="array" ref="B42">IF(E42="Recharge","شحن المحفظة",IF(G42="","",_xlfn.XLOOKUP(TRIM(G42&amp;""),TRIM('Units Data'!$I$7:$I$10000&amp;""),'Units Data'!$C$7:$C$10000,"خارجي",0)))</f>
        <v>102</v>
      </c>
      <c r="C42" s="737" t="str" cm="1">
        <f t="array" ref="C42">IF(E42="Recharge","شحن المحفظة",IF(G42="","",_xlfn.XLOOKUP(TRIM(G42&amp;""),TRIM('Units Data'!$I$7:$I$10000&amp;""),'Units Data'!$B$7:$B$10000,"خارجي",0)))</f>
        <v>F2</v>
      </c>
      <c r="D42" s="737" t="str" cm="1">
        <f t="array" ref="D42">_xlfn.SWITCH(TRIM(E42),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IF(E42="","","غير محدد"))</f>
        <v>رسوم إيجار</v>
      </c>
      <c r="E42" s="737" t="s">
        <v>1468</v>
      </c>
      <c r="F42" s="737" t="s">
        <v>1612</v>
      </c>
      <c r="G42" s="737" t="s">
        <v>1312</v>
      </c>
      <c r="H42" s="737" t="s">
        <v>1081</v>
      </c>
      <c r="K42" s="737">
        <v>125</v>
      </c>
      <c r="L42" s="737" t="s">
        <v>1613</v>
      </c>
      <c r="N42" s="737">
        <v>0</v>
      </c>
      <c r="O42" s="737">
        <v>44584177</v>
      </c>
    </row>
    <row r="43" spans="2:16">
      <c r="B43" s="737" cm="1">
        <f t="array" ref="B43">IF(E43="Recharge","شحن المحفظة",IF(G43="","",_xlfn.XLOOKUP(TRIM(G43&amp;""),TRIM('Units Data'!$I$7:$I$10000&amp;""),'Units Data'!$C$7:$C$10000,"خارجي",0)))</f>
        <v>102</v>
      </c>
      <c r="C43" s="737" t="str" cm="1">
        <f t="array" ref="C43">IF(E43="Recharge","شحن المحفظة",IF(G43="","",_xlfn.XLOOKUP(TRIM(G43&amp;""),TRIM('Units Data'!$I$7:$I$10000&amp;""),'Units Data'!$B$7:$B$10000,"خارجي",0)))</f>
        <v>F2</v>
      </c>
      <c r="D43" s="737" t="str" cm="1">
        <f t="array" ref="D43">_xlfn.SWITCH(TRIM(E43),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IF(E43="","","غير محدد"))</f>
        <v>حجز مبلغ</v>
      </c>
      <c r="E43" s="737" t="s">
        <v>499</v>
      </c>
      <c r="F43" s="737" t="s">
        <v>1612</v>
      </c>
      <c r="G43" s="737" t="s">
        <v>1312</v>
      </c>
      <c r="H43" s="737" t="s">
        <v>1081</v>
      </c>
      <c r="K43" s="737">
        <v>125</v>
      </c>
      <c r="L43" s="737" t="s">
        <v>1613</v>
      </c>
      <c r="N43" s="737">
        <v>0</v>
      </c>
      <c r="O43" s="737">
        <v>0</v>
      </c>
    </row>
    <row r="44" spans="2:16">
      <c r="B44" s="737" cm="1">
        <f t="array" ref="B44">IF(E44="Recharge","شحن المحفظة",IF(G44="","",_xlfn.XLOOKUP(TRIM(G44&amp;""),TRIM('Units Data'!$I$7:$I$10000&amp;""),'Units Data'!$C$7:$C$10000,"خارجي",0)))</f>
        <v>102</v>
      </c>
      <c r="C44" s="737" t="str" cm="1">
        <f t="array" ref="C44">IF(E44="Recharge","شحن المحفظة",IF(G44="","",_xlfn.XLOOKUP(TRIM(G44&amp;""),TRIM('Units Data'!$I$7:$I$10000&amp;""),'Units Data'!$B$7:$B$10000,"خارجي",0)))</f>
        <v>S4</v>
      </c>
      <c r="D44" s="737" t="str" cm="1">
        <f t="array" ref="D44">_xlfn.SWITCH(TRIM(E44),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IF(E44="","","غير محدد"))</f>
        <v>رسوم إيجار</v>
      </c>
      <c r="E44" s="737" t="s">
        <v>1468</v>
      </c>
      <c r="F44" s="737" t="s">
        <v>1614</v>
      </c>
      <c r="G44" s="737" t="s">
        <v>1309</v>
      </c>
      <c r="H44" s="737" t="s">
        <v>1095</v>
      </c>
      <c r="K44" s="737">
        <v>125</v>
      </c>
      <c r="L44" s="737" t="s">
        <v>1613</v>
      </c>
      <c r="N44" s="737">
        <v>125</v>
      </c>
      <c r="O44" s="737">
        <v>44584155</v>
      </c>
    </row>
    <row r="45" spans="2:16">
      <c r="B45" s="737" cm="1">
        <f t="array" ref="B45">IF(E45="Recharge","شحن المحفظة",IF(G45="","",_xlfn.XLOOKUP(TRIM(G45&amp;""),TRIM('Units Data'!$I$7:$I$10000&amp;""),'Units Data'!$C$7:$C$10000,"خارجي",0)))</f>
        <v>102</v>
      </c>
      <c r="C45" s="737" t="str" cm="1">
        <f t="array" ref="C45">IF(E45="Recharge","شحن المحفظة",IF(G45="","",_xlfn.XLOOKUP(TRIM(G45&amp;""),TRIM('Units Data'!$I$7:$I$10000&amp;""),'Units Data'!$B$7:$B$10000,"خارجي",0)))</f>
        <v>S4</v>
      </c>
      <c r="D45" s="737" t="str" cm="1">
        <f t="array" ref="D45">_xlfn.SWITCH(TRIM(E45),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IF(E45="","","غير محدد"))</f>
        <v>حجز مبلغ</v>
      </c>
      <c r="E45" s="737" t="s">
        <v>499</v>
      </c>
      <c r="F45" s="737" t="s">
        <v>1614</v>
      </c>
      <c r="G45" s="737" t="s">
        <v>1309</v>
      </c>
      <c r="H45" s="737" t="s">
        <v>1095</v>
      </c>
      <c r="K45" s="737">
        <v>125</v>
      </c>
      <c r="L45" s="737" t="s">
        <v>1613</v>
      </c>
      <c r="N45" s="737">
        <v>125</v>
      </c>
      <c r="O45" s="737">
        <v>0</v>
      </c>
    </row>
    <row r="46" spans="2:16" hidden="1">
      <c r="B46" s="737" t="str" cm="1">
        <f t="array" ref="B46">IF(E46="Recharge","شحن المحفظة",IF(G46="","",_xlfn.XLOOKUP(TRIM(G46&amp;""),TRIM('Units Data'!$I$7:$I$10000&amp;""),'Units Data'!$C$7:$C$10000,"خارجي",0)))</f>
        <v>شحن المحفظة</v>
      </c>
      <c r="C46" s="737" t="str" cm="1">
        <f t="array" ref="C46">IF(E46="Recharge","شحن المحفظة",IF(G46="","",_xlfn.XLOOKUP(TRIM(G46&amp;""),TRIM('Units Data'!$I$7:$I$10000&amp;""),'Units Data'!$B$7:$B$10000,"خارجي",0)))</f>
        <v>شحن المحفظة</v>
      </c>
      <c r="D46" s="737" t="str" cm="1">
        <f t="array" ref="D46">_xlfn.SWITCH(TRIM(E46),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IF(E46="","","غير محدد"))</f>
        <v>شحن المحفظة</v>
      </c>
      <c r="E46" s="737" t="s">
        <v>1498</v>
      </c>
      <c r="F46" s="737" t="s">
        <v>1615</v>
      </c>
      <c r="G46" s="737" t="s">
        <v>1500</v>
      </c>
      <c r="K46" s="737">
        <v>250</v>
      </c>
      <c r="L46" s="737" t="s">
        <v>1613</v>
      </c>
      <c r="N46" s="737">
        <v>250</v>
      </c>
      <c r="O46" s="737">
        <v>0</v>
      </c>
      <c r="P46" s="737" t="s">
        <v>1616</v>
      </c>
    </row>
    <row r="47" spans="2:16" hidden="1">
      <c r="B47" s="737" t="str" cm="1">
        <f t="array" ref="B47">IF(E47="Recharge","شحن المحفظة",IF(G47="","",_xlfn.XLOOKUP(TRIM(G47&amp;""),TRIM('Units Data'!$I$7:$I$10000&amp;""),'Units Data'!$C$7:$C$10000,"خارجي",0)))</f>
        <v>خارجي</v>
      </c>
      <c r="C47" s="737" t="str" cm="1">
        <f t="array" ref="C47">IF(E47="Recharge","شحن المحفظة",IF(G47="","",_xlfn.XLOOKUP(TRIM(G47&amp;""),TRIM('Units Data'!$I$7:$I$10000&amp;""),'Units Data'!$B$7:$B$10000,"خارجي",0)))</f>
        <v>خارجي</v>
      </c>
      <c r="D47" s="737" t="str" cm="1">
        <f t="array" ref="D47">_xlfn.SWITCH(TRIM(E47),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IF(E47="","","غير محدد"))</f>
        <v>خصم مديونية من تجديد العقد</v>
      </c>
      <c r="E47" s="737" t="s">
        <v>1575</v>
      </c>
      <c r="F47" s="737" t="s">
        <v>1617</v>
      </c>
      <c r="G47" s="737" t="s">
        <v>1328</v>
      </c>
      <c r="H47" s="737" t="s">
        <v>1161</v>
      </c>
      <c r="K47" s="737">
        <v>125</v>
      </c>
      <c r="L47" s="737" t="s">
        <v>1618</v>
      </c>
      <c r="N47" s="737">
        <v>0</v>
      </c>
      <c r="O47" s="737">
        <v>0</v>
      </c>
    </row>
    <row r="48" spans="2:16" hidden="1">
      <c r="B48" s="737" t="str" cm="1">
        <f t="array" ref="B48">IF(E48="Recharge","شحن المحفظة",IF(G48="","",_xlfn.XLOOKUP(TRIM(G48&amp;""),TRIM('Units Data'!$I$7:$I$10000&amp;""),'Units Data'!$C$7:$C$10000,"خارجي",0)))</f>
        <v>خارجي</v>
      </c>
      <c r="C48" s="737" t="str" cm="1">
        <f t="array" ref="C48">IF(E48="Recharge","شحن المحفظة",IF(G48="","",_xlfn.XLOOKUP(TRIM(G48&amp;""),TRIM('Units Data'!$I$7:$I$10000&amp;""),'Units Data'!$B$7:$B$10000,"خارجي",0)))</f>
        <v>خارجي</v>
      </c>
      <c r="D48" s="737" t="str" cm="1">
        <f t="array" ref="D48">_xlfn.SWITCH(TRIM(E48),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IF(E48="","","غير محدد"))</f>
        <v>خصم مديونية من دفعة إيجارية</v>
      </c>
      <c r="E48" s="737" t="s">
        <v>1578</v>
      </c>
      <c r="F48" s="737" t="s">
        <v>1206</v>
      </c>
      <c r="G48" s="737" t="s">
        <v>1207</v>
      </c>
      <c r="H48" s="737" t="s">
        <v>1161</v>
      </c>
      <c r="K48" s="737">
        <v>125</v>
      </c>
      <c r="L48" s="737" t="s">
        <v>1618</v>
      </c>
      <c r="N48" s="737">
        <v>125</v>
      </c>
      <c r="O48" s="737">
        <v>0</v>
      </c>
    </row>
    <row r="49" spans="2:16" hidden="1">
      <c r="B49" s="737" t="str" cm="1">
        <f t="array" ref="B49">IF(E49="Recharge","شحن المحفظة",IF(G49="","",_xlfn.XLOOKUP(TRIM(G49&amp;""),TRIM('Units Data'!$I$7:$I$10000&amp;""),'Units Data'!$C$7:$C$10000,"خارجي",0)))</f>
        <v>خارجي</v>
      </c>
      <c r="C49" s="737" t="str" cm="1">
        <f t="array" ref="C49">IF(E49="Recharge","شحن المحفظة",IF(G49="","",_xlfn.XLOOKUP(TRIM(G49&amp;""),TRIM('Units Data'!$I$7:$I$10000&amp;""),'Units Data'!$B$7:$B$10000,"خارجي",0)))</f>
        <v>خارجي</v>
      </c>
      <c r="D49" s="737" t="str" cm="1">
        <f t="array" ref="D49">_xlfn.SWITCH(TRIM(E49),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IF(E49="","","غير محدد"))</f>
        <v>خصم مديونية من تجديد العقد</v>
      </c>
      <c r="E49" s="737" t="s">
        <v>1575</v>
      </c>
      <c r="F49" s="737" t="s">
        <v>1619</v>
      </c>
      <c r="G49" s="737" t="s">
        <v>1399</v>
      </c>
      <c r="H49" s="737" t="s">
        <v>1122</v>
      </c>
      <c r="K49" s="737">
        <v>125</v>
      </c>
      <c r="L49" s="737" t="s">
        <v>1620</v>
      </c>
      <c r="N49" s="737">
        <v>0</v>
      </c>
      <c r="O49" s="737">
        <v>0</v>
      </c>
    </row>
    <row r="50" spans="2:16" hidden="1">
      <c r="B50" s="737" t="str" cm="1">
        <f t="array" ref="B50">IF(E50="Recharge","شحن المحفظة",IF(G50="","",_xlfn.XLOOKUP(TRIM(G50&amp;""),TRIM('Units Data'!$I$7:$I$10000&amp;""),'Units Data'!$C$7:$C$10000,"خارجي",0)))</f>
        <v>خارجي</v>
      </c>
      <c r="C50" s="737" t="str" cm="1">
        <f t="array" ref="C50">IF(E50="Recharge","شحن المحفظة",IF(G50="","",_xlfn.XLOOKUP(TRIM(G50&amp;""),TRIM('Units Data'!$I$7:$I$10000&amp;""),'Units Data'!$B$7:$B$10000,"خارجي",0)))</f>
        <v>خارجي</v>
      </c>
      <c r="D50" s="737" t="str" cm="1">
        <f t="array" ref="D50">_xlfn.SWITCH(TRIM(E50),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IF(E50="","","غير محدد"))</f>
        <v>خصم مديونية من تجديد العقد</v>
      </c>
      <c r="E50" s="737" t="s">
        <v>1575</v>
      </c>
      <c r="F50" s="737" t="s">
        <v>1621</v>
      </c>
      <c r="G50" s="737" t="s">
        <v>1319</v>
      </c>
      <c r="H50" s="737" t="s">
        <v>1122</v>
      </c>
      <c r="K50" s="737">
        <v>125</v>
      </c>
      <c r="L50" s="737" t="s">
        <v>1620</v>
      </c>
      <c r="N50" s="737">
        <v>125</v>
      </c>
      <c r="O50" s="737">
        <v>0</v>
      </c>
    </row>
    <row r="51" spans="2:16" hidden="1">
      <c r="B51" s="737" t="str" cm="1">
        <f t="array" ref="B51">IF(E51="Recharge","شحن المحفظة",IF(G51="","",_xlfn.XLOOKUP(TRIM(G51&amp;""),TRIM('Units Data'!$I$7:$I$10000&amp;""),'Units Data'!$C$7:$C$10000,"خارجي",0)))</f>
        <v>خارجي</v>
      </c>
      <c r="C51" s="737" t="str" cm="1">
        <f t="array" ref="C51">IF(E51="Recharge","شحن المحفظة",IF(G51="","",_xlfn.XLOOKUP(TRIM(G51&amp;""),TRIM('Units Data'!$I$7:$I$10000&amp;""),'Units Data'!$B$7:$B$10000,"خارجي",0)))</f>
        <v>خارجي</v>
      </c>
      <c r="D51" s="737" t="str" cm="1">
        <f t="array" ref="D51">_xlfn.SWITCH(TRIM(E51),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IF(E51="","","غير محدد"))</f>
        <v>خصم مديونية من دفعة إيجارية</v>
      </c>
      <c r="E51" s="737" t="s">
        <v>1578</v>
      </c>
      <c r="F51" s="737" t="s">
        <v>1330</v>
      </c>
      <c r="G51" s="737" t="s">
        <v>1331</v>
      </c>
      <c r="H51" s="737" t="s">
        <v>1161</v>
      </c>
      <c r="K51" s="737">
        <v>125</v>
      </c>
      <c r="L51" s="737" t="s">
        <v>1620</v>
      </c>
      <c r="N51" s="737">
        <v>250</v>
      </c>
      <c r="O51" s="737">
        <v>0</v>
      </c>
    </row>
    <row r="52" spans="2:16" hidden="1">
      <c r="B52" s="737" t="str" cm="1">
        <f t="array" ref="B52">IF(E52="Recharge","شحن المحفظة",IF(G52="","",_xlfn.XLOOKUP(TRIM(G52&amp;""),TRIM('Units Data'!$I$7:$I$10000&amp;""),'Units Data'!$C$7:$C$10000,"خارجي",0)))</f>
        <v>خارجي</v>
      </c>
      <c r="C52" s="737" t="str" cm="1">
        <f t="array" ref="C52">IF(E52="Recharge","شحن المحفظة",IF(G52="","",_xlfn.XLOOKUP(TRIM(G52&amp;""),TRIM('Units Data'!$I$7:$I$10000&amp;""),'Units Data'!$B$7:$B$10000,"خارجي",0)))</f>
        <v>خارجي</v>
      </c>
      <c r="D52" s="737" t="str" cm="1">
        <f t="array" ref="D52">_xlfn.SWITCH(TRIM(E52),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IF(E52="","","غير محدد"))</f>
        <v>خصم مديونية من دفعة إيجارية</v>
      </c>
      <c r="E52" s="737" t="s">
        <v>1578</v>
      </c>
      <c r="F52" s="737" t="s">
        <v>1330</v>
      </c>
      <c r="G52" s="737" t="s">
        <v>1331</v>
      </c>
      <c r="H52" s="737" t="s">
        <v>1161</v>
      </c>
      <c r="K52" s="737">
        <v>125</v>
      </c>
      <c r="L52" s="737" t="s">
        <v>1620</v>
      </c>
      <c r="N52" s="737">
        <v>125</v>
      </c>
      <c r="O52" s="737">
        <v>0</v>
      </c>
    </row>
    <row r="53" spans="2:16" hidden="1">
      <c r="B53" s="737" t="str" cm="1">
        <f t="array" ref="B53">IF(E53="Recharge","شحن المحفظة",IF(G53="","",_xlfn.XLOOKUP(TRIM(G53&amp;""),TRIM('Units Data'!$I$7:$I$10000&amp;""),'Units Data'!$C$7:$C$10000,"خارجي",0)))</f>
        <v>خارجي</v>
      </c>
      <c r="C53" s="737" t="str" cm="1">
        <f t="array" ref="C53">IF(E53="Recharge","شحن المحفظة",IF(G53="","",_xlfn.XLOOKUP(TRIM(G53&amp;""),TRIM('Units Data'!$I$7:$I$10000&amp;""),'Units Data'!$B$7:$B$10000,"خارجي",0)))</f>
        <v>خارجي</v>
      </c>
      <c r="D53" s="737" t="str" cm="1">
        <f t="array" ref="D53">_xlfn.SWITCH(TRIM(E53),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IF(E53="","","غير محدد"))</f>
        <v>خصم مديونية من تجديد العقد</v>
      </c>
      <c r="E53" s="737" t="s">
        <v>1575</v>
      </c>
      <c r="F53" s="737" t="s">
        <v>1622</v>
      </c>
      <c r="G53" s="737" t="s">
        <v>1428</v>
      </c>
      <c r="H53" s="737" t="s">
        <v>1122</v>
      </c>
      <c r="K53" s="737">
        <v>125</v>
      </c>
      <c r="L53" s="737" t="s">
        <v>1623</v>
      </c>
      <c r="N53" s="737">
        <v>0</v>
      </c>
      <c r="O53" s="737">
        <v>0</v>
      </c>
    </row>
    <row r="54" spans="2:16">
      <c r="B54" s="737" cm="1">
        <f t="array" ref="B54">IF(E54="Recharge","شحن المحفظة",IF(G54="","",_xlfn.XLOOKUP(TRIM(G54&amp;""),TRIM('Units Data'!$I$7:$I$10000&amp;""),'Units Data'!$C$7:$C$10000,"خارجي",0)))</f>
        <v>102</v>
      </c>
      <c r="C54" s="737" t="str" cm="1">
        <f t="array" ref="C54">IF(E54="Recharge","شحن المحفظة",IF(G54="","",_xlfn.XLOOKUP(TRIM(G54&amp;""),TRIM('Units Data'!$I$7:$I$10000&amp;""),'Units Data'!$B$7:$B$10000,"خارجي",0)))</f>
        <v>F3</v>
      </c>
      <c r="D54" s="737" t="str" cm="1">
        <f t="array" ref="D54">_xlfn.SWITCH(TRIM(E54),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IF(E54="","","غير محدد"))</f>
        <v>خصم مديونية من دفعة إيجارية</v>
      </c>
      <c r="E54" s="737" t="s">
        <v>1578</v>
      </c>
      <c r="F54" s="737" t="s">
        <v>1334</v>
      </c>
      <c r="G54" s="737" t="s">
        <v>1335</v>
      </c>
      <c r="H54" s="737" t="s">
        <v>1095</v>
      </c>
      <c r="K54" s="737">
        <v>125</v>
      </c>
      <c r="L54" s="737" t="s">
        <v>1623</v>
      </c>
      <c r="N54" s="737">
        <v>125</v>
      </c>
      <c r="O54" s="737">
        <v>0</v>
      </c>
    </row>
    <row r="55" spans="2:16" hidden="1">
      <c r="B55" s="737" t="str" cm="1">
        <f t="array" ref="B55">IF(E55="Recharge","شحن المحفظة",IF(G55="","",_xlfn.XLOOKUP(TRIM(G55&amp;""),TRIM('Units Data'!$I$7:$I$10000&amp;""),'Units Data'!$C$7:$C$10000,"خارجي",0)))</f>
        <v>خارجي</v>
      </c>
      <c r="C55" s="737" t="str" cm="1">
        <f t="array" ref="C55">IF(E55="Recharge","شحن المحفظة",IF(G55="","",_xlfn.XLOOKUP(TRIM(G55&amp;""),TRIM('Units Data'!$I$7:$I$10000&amp;""),'Units Data'!$B$7:$B$10000,"خارجي",0)))</f>
        <v>خارجي</v>
      </c>
      <c r="D55" s="737" t="str" cm="1">
        <f t="array" ref="D55">_xlfn.SWITCH(TRIM(E55),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IF(E55="","","غير محدد"))</f>
        <v>خصم مديونية من تجديد العقد</v>
      </c>
      <c r="E55" s="737" t="s">
        <v>1575</v>
      </c>
      <c r="F55" s="737" t="s">
        <v>1624</v>
      </c>
      <c r="G55" s="737" t="s">
        <v>1625</v>
      </c>
      <c r="H55" s="737" t="s">
        <v>555</v>
      </c>
      <c r="K55" s="737">
        <v>600</v>
      </c>
      <c r="L55" s="737" t="s">
        <v>1626</v>
      </c>
      <c r="N55" s="737">
        <v>0</v>
      </c>
      <c r="O55" s="737">
        <v>0</v>
      </c>
    </row>
    <row r="56" spans="2:16" hidden="1">
      <c r="B56" s="737" t="str" cm="1">
        <f t="array" ref="B56">IF(E56="Recharge","شحن المحفظة",IF(G56="","",_xlfn.XLOOKUP(TRIM(G56&amp;""),TRIM('Units Data'!$I$7:$I$10000&amp;""),'Units Data'!$C$7:$C$10000,"خارجي",0)))</f>
        <v>خارجي</v>
      </c>
      <c r="C56" s="737" t="str" cm="1">
        <f t="array" ref="C56">IF(E56="Recharge","شحن المحفظة",IF(G56="","",_xlfn.XLOOKUP(TRIM(G56&amp;""),TRIM('Units Data'!$I$7:$I$10000&amp;""),'Units Data'!$B$7:$B$10000,"خارجي",0)))</f>
        <v>خارجي</v>
      </c>
      <c r="D56" s="737" t="str" cm="1">
        <f t="array" ref="D56">_xlfn.SWITCH(TRIM(E56),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IF(E56="","","غير محدد"))</f>
        <v>خصم مديونية من تجديد العقد</v>
      </c>
      <c r="E56" s="737" t="s">
        <v>1575</v>
      </c>
      <c r="F56" s="737" t="s">
        <v>1627</v>
      </c>
      <c r="G56" s="737" t="s">
        <v>1628</v>
      </c>
      <c r="H56" s="737" t="s">
        <v>555</v>
      </c>
      <c r="K56" s="737">
        <v>600</v>
      </c>
      <c r="L56" s="737" t="s">
        <v>1626</v>
      </c>
      <c r="N56" s="737">
        <v>600</v>
      </c>
      <c r="O56" s="737">
        <v>0</v>
      </c>
    </row>
    <row r="57" spans="2:16">
      <c r="B57" s="737" cm="1">
        <f t="array" ref="B57">IF(E57="Recharge","شحن المحفظة",IF(G57="","",_xlfn.XLOOKUP(TRIM(G57&amp;""),TRIM('Units Data'!$I$7:$I$10000&amp;""),'Units Data'!$C$7:$C$10000,"خارجي",0)))</f>
        <v>102</v>
      </c>
      <c r="C57" s="737" t="str" cm="1">
        <f t="array" ref="C57">IF(E57="Recharge","شحن المحفظة",IF(G57="","",_xlfn.XLOOKUP(TRIM(G57&amp;""),TRIM('Units Data'!$I$7:$I$10000&amp;""),'Units Data'!$B$7:$B$10000,"خارجي",0)))</f>
        <v>S7</v>
      </c>
      <c r="D57" s="737" t="str" cm="1">
        <f t="array" ref="D57">_xlfn.SWITCH(TRIM(E57),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IF(E57="","","غير محدد"))</f>
        <v>خصم مديونية من دفعة إيجارية</v>
      </c>
      <c r="E57" s="737" t="s">
        <v>1578</v>
      </c>
      <c r="F57" s="737" t="s">
        <v>1316</v>
      </c>
      <c r="G57" s="737" t="s">
        <v>1268</v>
      </c>
      <c r="H57" s="737" t="s">
        <v>1095</v>
      </c>
      <c r="K57" s="737">
        <v>600</v>
      </c>
      <c r="L57" s="737" t="s">
        <v>1626</v>
      </c>
      <c r="N57" s="737">
        <v>1200</v>
      </c>
      <c r="O57" s="737">
        <v>0</v>
      </c>
    </row>
    <row r="58" spans="2:16">
      <c r="B58" s="737" cm="1">
        <f t="array" ref="B58">IF(E58="Recharge","شحن المحفظة",IF(G58="","",_xlfn.XLOOKUP(TRIM(G58&amp;""),TRIM('Units Data'!$I$7:$I$10000&amp;""),'Units Data'!$C$7:$C$10000,"خارجي",0)))</f>
        <v>102</v>
      </c>
      <c r="C58" s="737" t="str" cm="1">
        <f t="array" ref="C58">IF(E58="Recharge","شحن المحفظة",IF(G58="","",_xlfn.XLOOKUP(TRIM(G58&amp;""),TRIM('Units Data'!$I$7:$I$10000&amp;""),'Units Data'!$B$7:$B$10000,"خارجي",0)))</f>
        <v>S7</v>
      </c>
      <c r="D58" s="737" t="str" cm="1">
        <f t="array" ref="D58">_xlfn.SWITCH(TRIM(E58),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IF(E58="","","غير محدد"))</f>
        <v>خصم مديونية من دفعة إيجارية</v>
      </c>
      <c r="E58" s="737" t="s">
        <v>1578</v>
      </c>
      <c r="F58" s="737" t="s">
        <v>1316</v>
      </c>
      <c r="G58" s="737" t="s">
        <v>1268</v>
      </c>
      <c r="H58" s="737" t="s">
        <v>1095</v>
      </c>
      <c r="K58" s="737">
        <v>600</v>
      </c>
      <c r="L58" s="737" t="s">
        <v>1626</v>
      </c>
      <c r="N58" s="737">
        <v>600</v>
      </c>
      <c r="O58" s="737">
        <v>0</v>
      </c>
    </row>
    <row r="59" spans="2:16" hidden="1">
      <c r="B59" s="737" t="str" cm="1">
        <f t="array" ref="B59">IF(E59="Recharge","شحن المحفظة",IF(G59="","",_xlfn.XLOOKUP(TRIM(G59&amp;""),TRIM('Units Data'!$I$7:$I$10000&amp;""),'Units Data'!$C$7:$C$10000,"خارجي",0)))</f>
        <v>خارجي</v>
      </c>
      <c r="C59" s="737" t="str" cm="1">
        <f t="array" ref="C59">IF(E59="Recharge","شحن المحفظة",IF(G59="","",_xlfn.XLOOKUP(TRIM(G59&amp;""),TRIM('Units Data'!$I$7:$I$10000&amp;""),'Units Data'!$B$7:$B$10000,"خارجي",0)))</f>
        <v>خارجي</v>
      </c>
      <c r="D59" s="737" t="str" cm="1">
        <f t="array" ref="D59">_xlfn.SWITCH(TRIM(E59),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IF(E59="","","غير محدد"))</f>
        <v>خصم مديونية من تجديد العقد</v>
      </c>
      <c r="E59" s="737" t="s">
        <v>1575</v>
      </c>
      <c r="F59" s="737" t="s">
        <v>1629</v>
      </c>
      <c r="G59" s="737" t="s">
        <v>1252</v>
      </c>
      <c r="H59" s="737" t="s">
        <v>1122</v>
      </c>
      <c r="K59" s="737">
        <v>125</v>
      </c>
      <c r="L59" s="737" t="s">
        <v>1630</v>
      </c>
      <c r="N59" s="737">
        <v>0</v>
      </c>
      <c r="O59" s="737">
        <v>0</v>
      </c>
    </row>
    <row r="60" spans="2:16" hidden="1">
      <c r="B60" s="737" t="str" cm="1">
        <f t="array" ref="B60">IF(E60="Recharge","شحن المحفظة",IF(G60="","",_xlfn.XLOOKUP(TRIM(G60&amp;""),TRIM('Units Data'!$I$7:$I$10000&amp;""),'Units Data'!$C$7:$C$10000,"خارجي",0)))</f>
        <v>خارجي</v>
      </c>
      <c r="C60" s="737" t="str" cm="1">
        <f t="array" ref="C60">IF(E60="Recharge","شحن المحفظة",IF(G60="","",_xlfn.XLOOKUP(TRIM(G60&amp;""),TRIM('Units Data'!$I$7:$I$10000&amp;""),'Units Data'!$B$7:$B$10000,"خارجي",0)))</f>
        <v>خارجي</v>
      </c>
      <c r="D60" s="737" t="str" cm="1">
        <f t="array" ref="D60">_xlfn.SWITCH(TRIM(E60),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IF(E60="","","غير محدد"))</f>
        <v>خصم مديونية من دفعة إيجارية</v>
      </c>
      <c r="E60" s="737" t="s">
        <v>1578</v>
      </c>
      <c r="F60" s="737" t="s">
        <v>1228</v>
      </c>
      <c r="G60" s="737" t="s">
        <v>1229</v>
      </c>
      <c r="H60" s="737" t="s">
        <v>1122</v>
      </c>
      <c r="K60" s="737">
        <v>125</v>
      </c>
      <c r="L60" s="737" t="s">
        <v>1630</v>
      </c>
      <c r="N60" s="737">
        <v>125</v>
      </c>
      <c r="O60" s="737">
        <v>0</v>
      </c>
    </row>
    <row r="61" spans="2:16" hidden="1">
      <c r="B61" s="737" t="str" cm="1">
        <f t="array" ref="B61">IF(E61="Recharge","شحن المحفظة",IF(G61="","",_xlfn.XLOOKUP(TRIM(G61&amp;""),TRIM('Units Data'!$I$7:$I$10000&amp;""),'Units Data'!$C$7:$C$10000,"خارجي",0)))</f>
        <v>خارجي</v>
      </c>
      <c r="C61" s="737" t="str" cm="1">
        <f t="array" ref="C61">IF(E61="Recharge","شحن المحفظة",IF(G61="","",_xlfn.XLOOKUP(TRIM(G61&amp;""),TRIM('Units Data'!$I$7:$I$10000&amp;""),'Units Data'!$B$7:$B$10000,"خارجي",0)))</f>
        <v>خارجي</v>
      </c>
      <c r="D61" s="737" t="str" cm="1">
        <f t="array" ref="D61">_xlfn.SWITCH(TRIM(E61),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IF(E61="","","غير محدد"))</f>
        <v>رسوم إيجار</v>
      </c>
      <c r="E61" s="737" t="s">
        <v>1468</v>
      </c>
      <c r="F61" s="737" t="s">
        <v>1631</v>
      </c>
      <c r="G61" s="737" t="s">
        <v>1306</v>
      </c>
      <c r="H61" s="737" t="s">
        <v>1122</v>
      </c>
      <c r="K61" s="737">
        <v>125</v>
      </c>
      <c r="L61" s="737" t="s">
        <v>1632</v>
      </c>
      <c r="N61" s="737">
        <v>0</v>
      </c>
      <c r="O61" s="737">
        <v>43333527</v>
      </c>
    </row>
    <row r="62" spans="2:16" hidden="1">
      <c r="B62" s="737" t="str" cm="1">
        <f t="array" ref="B62">IF(E62="Recharge","شحن المحفظة",IF(G62="","",_xlfn.XLOOKUP(TRIM(G62&amp;""),TRIM('Units Data'!$I$7:$I$10000&amp;""),'Units Data'!$C$7:$C$10000,"خارجي",0)))</f>
        <v>خارجي</v>
      </c>
      <c r="C62" s="737" t="str" cm="1">
        <f t="array" ref="C62">IF(E62="Recharge","شحن المحفظة",IF(G62="","",_xlfn.XLOOKUP(TRIM(G62&amp;""),TRIM('Units Data'!$I$7:$I$10000&amp;""),'Units Data'!$B$7:$B$10000,"خارجي",0)))</f>
        <v>خارجي</v>
      </c>
      <c r="D62" s="737" t="str" cm="1">
        <f t="array" ref="D62">_xlfn.SWITCH(TRIM(E62),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IF(E62="","","غير محدد"))</f>
        <v>حجز مبلغ</v>
      </c>
      <c r="E62" s="737" t="s">
        <v>499</v>
      </c>
      <c r="F62" s="737" t="s">
        <v>1631</v>
      </c>
      <c r="G62" s="737" t="s">
        <v>1306</v>
      </c>
      <c r="H62" s="737" t="s">
        <v>1122</v>
      </c>
      <c r="K62" s="737">
        <v>125</v>
      </c>
      <c r="L62" s="737" t="s">
        <v>1632</v>
      </c>
      <c r="N62" s="737">
        <v>0</v>
      </c>
      <c r="O62" s="737">
        <v>0</v>
      </c>
    </row>
    <row r="63" spans="2:16" hidden="1">
      <c r="B63" s="737" t="str" cm="1">
        <f t="array" ref="B63">IF(E63="Recharge","شحن المحفظة",IF(G63="","",_xlfn.XLOOKUP(TRIM(G63&amp;""),TRIM('Units Data'!$I$7:$I$10000&amp;""),'Units Data'!$C$7:$C$10000,"خارجي",0)))</f>
        <v>شحن المحفظة</v>
      </c>
      <c r="C63" s="737" t="str" cm="1">
        <f t="array" ref="C63">IF(E63="Recharge","شحن المحفظة",IF(G63="","",_xlfn.XLOOKUP(TRIM(G63&amp;""),TRIM('Units Data'!$I$7:$I$10000&amp;""),'Units Data'!$B$7:$B$10000,"خارجي",0)))</f>
        <v>شحن المحفظة</v>
      </c>
      <c r="D63" s="737" t="str" cm="1">
        <f t="array" ref="D63">_xlfn.SWITCH(TRIM(E63),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IF(E63="","","غير محدد"))</f>
        <v>شحن المحفظة</v>
      </c>
      <c r="E63" s="737" t="s">
        <v>1498</v>
      </c>
      <c r="F63" s="737" t="s">
        <v>1633</v>
      </c>
      <c r="G63" s="737" t="s">
        <v>1500</v>
      </c>
      <c r="K63" s="737">
        <v>125</v>
      </c>
      <c r="L63" s="737" t="s">
        <v>1634</v>
      </c>
      <c r="N63" s="737">
        <v>125</v>
      </c>
      <c r="O63" s="737">
        <v>0</v>
      </c>
      <c r="P63" s="737" t="s">
        <v>1616</v>
      </c>
    </row>
    <row r="64" spans="2:16">
      <c r="B64" s="737" cm="1">
        <f t="array" ref="B64">IF(E64="Recharge","شحن المحفظة",IF(G64="","",_xlfn.XLOOKUP(TRIM(G64&amp;""),TRIM('Units Data'!$I$7:$I$10000&amp;""),'Units Data'!$C$7:$C$10000,"خارجي",0)))</f>
        <v>102</v>
      </c>
      <c r="C64" s="737" t="str" cm="1">
        <f t="array" ref="C64">IF(E64="Recharge","شحن المحفظة",IF(G64="","",_xlfn.XLOOKUP(TRIM(G64&amp;""),TRIM('Units Data'!$I$7:$I$10000&amp;""),'Units Data'!$B$7:$B$10000,"خارجي",0)))</f>
        <v>F2</v>
      </c>
      <c r="D64" s="737" t="str" cm="1">
        <f t="array" ref="D64">_xlfn.SWITCH(TRIM(E64),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IF(E64="","","غير محدد"))</f>
        <v>رسوم إيجار</v>
      </c>
      <c r="E64" s="737" t="s">
        <v>1468</v>
      </c>
      <c r="F64" s="737" t="s">
        <v>1635</v>
      </c>
      <c r="G64" s="737" t="s">
        <v>1344</v>
      </c>
      <c r="H64" s="737" t="s">
        <v>1095</v>
      </c>
      <c r="K64" s="737">
        <v>125</v>
      </c>
      <c r="L64" s="737" t="s">
        <v>1636</v>
      </c>
      <c r="N64" s="737">
        <v>0</v>
      </c>
      <c r="O64" s="737">
        <v>42756745</v>
      </c>
    </row>
    <row r="65" spans="2:16">
      <c r="B65" s="737" cm="1">
        <f t="array" ref="B65">IF(E65="Recharge","شحن المحفظة",IF(G65="","",_xlfn.XLOOKUP(TRIM(G65&amp;""),TRIM('Units Data'!$I$7:$I$10000&amp;""),'Units Data'!$C$7:$C$10000,"خارجي",0)))</f>
        <v>102</v>
      </c>
      <c r="C65" s="737" t="str" cm="1">
        <f t="array" ref="C65">IF(E65="Recharge","شحن المحفظة",IF(G65="","",_xlfn.XLOOKUP(TRIM(G65&amp;""),TRIM('Units Data'!$I$7:$I$10000&amp;""),'Units Data'!$B$7:$B$10000,"خارجي",0)))</f>
        <v>F2</v>
      </c>
      <c r="D65" s="737" t="str" cm="1">
        <f t="array" ref="D65">_xlfn.SWITCH(TRIM(E65),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IF(E65="","","غير محدد"))</f>
        <v>حجز مبلغ</v>
      </c>
      <c r="E65" s="737" t="s">
        <v>499</v>
      </c>
      <c r="F65" s="737" t="s">
        <v>1635</v>
      </c>
      <c r="G65" s="737" t="s">
        <v>1344</v>
      </c>
      <c r="H65" s="737" t="s">
        <v>1095</v>
      </c>
      <c r="K65" s="737">
        <v>125</v>
      </c>
      <c r="L65" s="737" t="s">
        <v>1636</v>
      </c>
      <c r="N65" s="737">
        <v>0</v>
      </c>
      <c r="O65" s="737">
        <v>0</v>
      </c>
    </row>
    <row r="66" spans="2:16" hidden="1">
      <c r="B66" s="737" t="str" cm="1">
        <f t="array" ref="B66">IF(E66="Recharge","شحن المحفظة",IF(G66="","",_xlfn.XLOOKUP(TRIM(G66&amp;""),TRIM('Units Data'!$I$7:$I$10000&amp;""),'Units Data'!$C$7:$C$10000,"خارجي",0)))</f>
        <v>شحن المحفظة</v>
      </c>
      <c r="C66" s="737" t="str" cm="1">
        <f t="array" ref="C66">IF(E66="Recharge","شحن المحفظة",IF(G66="","",_xlfn.XLOOKUP(TRIM(G66&amp;""),TRIM('Units Data'!$I$7:$I$10000&amp;""),'Units Data'!$B$7:$B$10000,"خارجي",0)))</f>
        <v>شحن المحفظة</v>
      </c>
      <c r="D66" s="737" t="str" cm="1">
        <f t="array" ref="D66">_xlfn.SWITCH(TRIM(E66),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IF(E66="","","غير محدد"))</f>
        <v>شحن المحفظة</v>
      </c>
      <c r="E66" s="737" t="s">
        <v>1498</v>
      </c>
      <c r="F66" s="737" t="s">
        <v>1637</v>
      </c>
      <c r="G66" s="737" t="s">
        <v>1500</v>
      </c>
      <c r="K66" s="737">
        <v>125</v>
      </c>
      <c r="L66" s="737" t="s">
        <v>1636</v>
      </c>
      <c r="N66" s="737">
        <v>125</v>
      </c>
      <c r="O66" s="737">
        <v>0</v>
      </c>
      <c r="P66" s="737" t="s">
        <v>1501</v>
      </c>
    </row>
    <row r="67" spans="2:16">
      <c r="B67" s="737" cm="1">
        <f t="array" ref="B67">IF(E67="Recharge","شحن المحفظة",IF(G67="","",_xlfn.XLOOKUP(TRIM(G67&amp;""),TRIM('Units Data'!$I$7:$I$10000&amp;""),'Units Data'!$C$7:$C$10000,"خارجي",0)))</f>
        <v>102</v>
      </c>
      <c r="C67" s="737" t="str" cm="1">
        <f t="array" ref="C67">IF(E67="Recharge","شحن المحفظة",IF(G67="","",_xlfn.XLOOKUP(TRIM(G67&amp;""),TRIM('Units Data'!$I$7:$I$10000&amp;""),'Units Data'!$B$7:$B$10000,"خارجي",0)))</f>
        <v>F5</v>
      </c>
      <c r="D67" s="737" t="str" cm="1">
        <f t="array" ref="D67">_xlfn.SWITCH(TRIM(E67),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IF(E67="","","غير محدد"))</f>
        <v>خصم مديونية من تجديد العقد</v>
      </c>
      <c r="E67" s="737" t="s">
        <v>1575</v>
      </c>
      <c r="F67" s="737" t="s">
        <v>1638</v>
      </c>
      <c r="G67" s="737" t="s">
        <v>1354</v>
      </c>
      <c r="H67" s="737" t="s">
        <v>1081</v>
      </c>
      <c r="K67" s="737">
        <v>125</v>
      </c>
      <c r="L67" s="737" t="s">
        <v>1639</v>
      </c>
      <c r="N67" s="737">
        <v>0</v>
      </c>
      <c r="O67" s="737">
        <v>0</v>
      </c>
    </row>
    <row r="68" spans="2:16" hidden="1">
      <c r="B68" s="737" t="str" cm="1">
        <f t="array" ref="B68">IF(E68="Recharge","شحن المحفظة",IF(G68="","",_xlfn.XLOOKUP(TRIM(G68&amp;""),TRIM('Units Data'!$I$7:$I$10000&amp;""),'Units Data'!$C$7:$C$10000,"خارجي",0)))</f>
        <v>خارجي</v>
      </c>
      <c r="C68" s="737" t="str" cm="1">
        <f t="array" ref="C68">IF(E68="Recharge","شحن المحفظة",IF(G68="","",_xlfn.XLOOKUP(TRIM(G68&amp;""),TRIM('Units Data'!$I$7:$I$10000&amp;""),'Units Data'!$B$7:$B$10000,"خارجي",0)))</f>
        <v>خارجي</v>
      </c>
      <c r="D68" s="737" t="str" cm="1">
        <f t="array" ref="D68">_xlfn.SWITCH(TRIM(E68),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IF(E68="","","غير محدد"))</f>
        <v>خصم مديونية من دفعة إيجارية</v>
      </c>
      <c r="E68" s="737" t="s">
        <v>1578</v>
      </c>
      <c r="F68" s="737" t="s">
        <v>1350</v>
      </c>
      <c r="G68" s="737" t="s">
        <v>1252</v>
      </c>
      <c r="H68" s="737" t="s">
        <v>1122</v>
      </c>
      <c r="K68" s="737">
        <v>125</v>
      </c>
      <c r="L68" s="737" t="s">
        <v>1639</v>
      </c>
      <c r="N68" s="737">
        <v>125</v>
      </c>
      <c r="O68" s="737">
        <v>0</v>
      </c>
    </row>
    <row r="69" spans="2:16" hidden="1">
      <c r="B69" s="737" t="str" cm="1">
        <f t="array" ref="B69">IF(E69="Recharge","شحن المحفظة",IF(G69="","",_xlfn.XLOOKUP(TRIM(G69&amp;""),TRIM('Units Data'!$I$7:$I$10000&amp;""),'Units Data'!$C$7:$C$10000,"خارجي",0)))</f>
        <v>خارجي</v>
      </c>
      <c r="C69" s="737" t="str" cm="1">
        <f t="array" ref="C69">IF(E69="Recharge","شحن المحفظة",IF(G69="","",_xlfn.XLOOKUP(TRIM(G69&amp;""),TRIM('Units Data'!$I$7:$I$10000&amp;""),'Units Data'!$B$7:$B$10000,"خارجي",0)))</f>
        <v>خارجي</v>
      </c>
      <c r="D69" s="737" t="str" cm="1">
        <f t="array" ref="D69">_xlfn.SWITCH(TRIM(E69),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IF(E69="","","غير محدد"))</f>
        <v>خصم مديونية من تجديد العقد</v>
      </c>
      <c r="E69" s="737" t="s">
        <v>1575</v>
      </c>
      <c r="F69" s="737" t="s">
        <v>1640</v>
      </c>
      <c r="G69" s="737" t="s">
        <v>1123</v>
      </c>
      <c r="H69" s="737" t="s">
        <v>1122</v>
      </c>
      <c r="K69" s="737">
        <v>125</v>
      </c>
      <c r="L69" s="737" t="s">
        <v>1641</v>
      </c>
      <c r="N69" s="737">
        <v>0</v>
      </c>
      <c r="O69" s="737">
        <v>0</v>
      </c>
    </row>
    <row r="70" spans="2:16" hidden="1">
      <c r="B70" s="737" t="str" cm="1">
        <f t="array" ref="B70">IF(E70="Recharge","شحن المحفظة",IF(G70="","",_xlfn.XLOOKUP(TRIM(G70&amp;""),TRIM('Units Data'!$I$7:$I$10000&amp;""),'Units Data'!$C$7:$C$10000,"خارجي",0)))</f>
        <v>خارجي</v>
      </c>
      <c r="C70" s="737" t="str" cm="1">
        <f t="array" ref="C70">IF(E70="Recharge","شحن المحفظة",IF(G70="","",_xlfn.XLOOKUP(TRIM(G70&amp;""),TRIM('Units Data'!$I$7:$I$10000&amp;""),'Units Data'!$B$7:$B$10000,"خارجي",0)))</f>
        <v>خارجي</v>
      </c>
      <c r="D70" s="737" t="str" cm="1">
        <f t="array" ref="D70">_xlfn.SWITCH(TRIM(E70),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IF(E70="","","غير محدد"))</f>
        <v>خصم مديونية من تجديد العقد</v>
      </c>
      <c r="E70" s="737" t="s">
        <v>1575</v>
      </c>
      <c r="F70" s="737" t="s">
        <v>1642</v>
      </c>
      <c r="G70" s="737" t="s">
        <v>1229</v>
      </c>
      <c r="H70" s="737" t="s">
        <v>1122</v>
      </c>
      <c r="K70" s="737">
        <v>125</v>
      </c>
      <c r="L70" s="737" t="s">
        <v>1641</v>
      </c>
      <c r="N70" s="737">
        <v>125</v>
      </c>
      <c r="O70" s="737">
        <v>0</v>
      </c>
    </row>
    <row r="71" spans="2:16" hidden="1">
      <c r="B71" s="737" t="str" cm="1">
        <f t="array" ref="B71">IF(E71="Recharge","شحن المحفظة",IF(G71="","",_xlfn.XLOOKUP(TRIM(G71&amp;""),TRIM('Units Data'!$I$7:$I$10000&amp;""),'Units Data'!$C$7:$C$10000,"خارجي",0)))</f>
        <v>خارجي</v>
      </c>
      <c r="C71" s="737" t="str" cm="1">
        <f t="array" ref="C71">IF(E71="Recharge","شحن المحفظة",IF(G71="","",_xlfn.XLOOKUP(TRIM(G71&amp;""),TRIM('Units Data'!$I$7:$I$10000&amp;""),'Units Data'!$B$7:$B$10000,"خارجي",0)))</f>
        <v>خارجي</v>
      </c>
      <c r="D71" s="737" t="str" cm="1">
        <f t="array" ref="D71">_xlfn.SWITCH(TRIM(E71),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IF(E71="","","غير محدد"))</f>
        <v>خصم مديونية من تجديد العقد</v>
      </c>
      <c r="E71" s="737" t="s">
        <v>1575</v>
      </c>
      <c r="F71" s="737" t="s">
        <v>1643</v>
      </c>
      <c r="G71" s="737" t="s">
        <v>1155</v>
      </c>
      <c r="H71" s="737" t="s">
        <v>1122</v>
      </c>
      <c r="K71" s="737">
        <v>125</v>
      </c>
      <c r="L71" s="737" t="s">
        <v>1641</v>
      </c>
      <c r="N71" s="737">
        <v>250</v>
      </c>
      <c r="O71" s="737">
        <v>0</v>
      </c>
    </row>
    <row r="72" spans="2:16" hidden="1">
      <c r="B72" s="737" t="str" cm="1">
        <f t="array" ref="B72">IF(E72="Recharge","شحن المحفظة",IF(G72="","",_xlfn.XLOOKUP(TRIM(G72&amp;""),TRIM('Units Data'!$I$7:$I$10000&amp;""),'Units Data'!$C$7:$C$10000,"خارجي",0)))</f>
        <v>خارجي</v>
      </c>
      <c r="C72" s="737" t="str" cm="1">
        <f t="array" ref="C72">IF(E72="Recharge","شحن المحفظة",IF(G72="","",_xlfn.XLOOKUP(TRIM(G72&amp;""),TRIM('Units Data'!$I$7:$I$10000&amp;""),'Units Data'!$B$7:$B$10000,"خارجي",0)))</f>
        <v>خارجي</v>
      </c>
      <c r="D72" s="737" t="str" cm="1">
        <f t="array" ref="D72">_xlfn.SWITCH(TRIM(E72),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IF(E72="","","غير محدد"))</f>
        <v>خصم مديونية من تجديد العقد</v>
      </c>
      <c r="E72" s="737" t="s">
        <v>1575</v>
      </c>
      <c r="F72" s="737" t="s">
        <v>1644</v>
      </c>
      <c r="G72" s="737" t="s">
        <v>1367</v>
      </c>
      <c r="H72" s="737" t="s">
        <v>1122</v>
      </c>
      <c r="K72" s="737">
        <v>125</v>
      </c>
      <c r="L72" s="737" t="s">
        <v>1641</v>
      </c>
      <c r="N72" s="737">
        <v>375</v>
      </c>
      <c r="O72" s="737">
        <v>0</v>
      </c>
    </row>
    <row r="73" spans="2:16">
      <c r="B73" s="737" cm="1">
        <f t="array" ref="B73">IF(E73="Recharge","شحن المحفظة",IF(G73="","",_xlfn.XLOOKUP(TRIM(G73&amp;""),TRIM('Units Data'!$I$7:$I$10000&amp;""),'Units Data'!$C$7:$C$10000,"خارجي",0)))</f>
        <v>102</v>
      </c>
      <c r="C73" s="737" t="str" cm="1">
        <f t="array" ref="C73">IF(E73="Recharge","شحن المحفظة",IF(G73="","",_xlfn.XLOOKUP(TRIM(G73&amp;""),TRIM('Units Data'!$I$7:$I$10000&amp;""),'Units Data'!$B$7:$B$10000,"خارجي",0)))</f>
        <v>F5</v>
      </c>
      <c r="D73" s="737" t="str" cm="1">
        <f t="array" ref="D73">_xlfn.SWITCH(TRIM(E73),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IF(E73="","","غير محدد"))</f>
        <v>خصم مديونية من دفعة إيجارية</v>
      </c>
      <c r="E73" s="737" t="s">
        <v>1578</v>
      </c>
      <c r="F73" s="737" t="s">
        <v>1353</v>
      </c>
      <c r="G73" s="737" t="s">
        <v>1354</v>
      </c>
      <c r="H73" s="737" t="s">
        <v>1081</v>
      </c>
      <c r="K73" s="737">
        <v>125</v>
      </c>
      <c r="L73" s="737" t="s">
        <v>1641</v>
      </c>
      <c r="N73" s="737">
        <v>500</v>
      </c>
      <c r="O73" s="737">
        <v>0</v>
      </c>
    </row>
    <row r="74" spans="2:16" hidden="1">
      <c r="B74" s="737" t="str" cm="1">
        <f t="array" ref="B74">IF(E74="Recharge","شحن المحفظة",IF(G74="","",_xlfn.XLOOKUP(TRIM(G74&amp;""),TRIM('Units Data'!$I$7:$I$10000&amp;""),'Units Data'!$C$7:$C$10000,"خارجي",0)))</f>
        <v>خارجي</v>
      </c>
      <c r="C74" s="737" t="str" cm="1">
        <f t="array" ref="C74">IF(E74="Recharge","شحن المحفظة",IF(G74="","",_xlfn.XLOOKUP(TRIM(G74&amp;""),TRIM('Units Data'!$I$7:$I$10000&amp;""),'Units Data'!$B$7:$B$10000,"خارجي",0)))</f>
        <v>خارجي</v>
      </c>
      <c r="D74" s="737" t="str" cm="1">
        <f t="array" ref="D74">_xlfn.SWITCH(TRIM(E74),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IF(E74="","","غير محدد"))</f>
        <v>خصم مديونية من تجديد العقد</v>
      </c>
      <c r="E74" s="737" t="s">
        <v>1575</v>
      </c>
      <c r="F74" s="737" t="s">
        <v>1645</v>
      </c>
      <c r="G74" s="737" t="s">
        <v>1193</v>
      </c>
      <c r="H74" s="737" t="s">
        <v>1122</v>
      </c>
      <c r="K74" s="737">
        <v>125</v>
      </c>
      <c r="L74" s="737" t="s">
        <v>1641</v>
      </c>
      <c r="N74" s="737">
        <v>375</v>
      </c>
      <c r="O74" s="737">
        <v>0</v>
      </c>
    </row>
    <row r="75" spans="2:16">
      <c r="B75" s="737" cm="1">
        <f t="array" ref="B75">IF(E75="Recharge","شحن المحفظة",IF(G75="","",_xlfn.XLOOKUP(TRIM(G75&amp;""),TRIM('Units Data'!$I$7:$I$10000&amp;""),'Units Data'!$C$7:$C$10000,"خارجي",0)))</f>
        <v>102</v>
      </c>
      <c r="C75" s="737" t="str" cm="1">
        <f t="array" ref="C75">IF(E75="Recharge","شحن المحفظة",IF(G75="","",_xlfn.XLOOKUP(TRIM(G75&amp;""),TRIM('Units Data'!$I$7:$I$10000&amp;""),'Units Data'!$B$7:$B$10000,"خارجي",0)))</f>
        <v>F5</v>
      </c>
      <c r="D75" s="737" t="str" cm="1">
        <f t="array" ref="D75">_xlfn.SWITCH(TRIM(E75),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IF(E75="","","غير محدد"))</f>
        <v>خصم مديونية من دفعة إيجارية</v>
      </c>
      <c r="E75" s="737" t="s">
        <v>1578</v>
      </c>
      <c r="F75" s="737" t="s">
        <v>1353</v>
      </c>
      <c r="G75" s="737" t="s">
        <v>1354</v>
      </c>
      <c r="H75" s="737" t="s">
        <v>1081</v>
      </c>
      <c r="K75" s="737">
        <v>125</v>
      </c>
      <c r="L75" s="737" t="s">
        <v>1641</v>
      </c>
      <c r="N75" s="737">
        <v>500</v>
      </c>
      <c r="O75" s="737">
        <v>0</v>
      </c>
    </row>
    <row r="76" spans="2:16">
      <c r="B76" s="737" cm="1">
        <f t="array" ref="B76">IF(E76="Recharge","شحن المحفظة",IF(G76="","",_xlfn.XLOOKUP(TRIM(G76&amp;""),TRIM('Units Data'!$I$7:$I$10000&amp;""),'Units Data'!$C$7:$C$10000,"خارجي",0)))</f>
        <v>102</v>
      </c>
      <c r="C76" s="737" t="str" cm="1">
        <f t="array" ref="C76">IF(E76="Recharge","شحن المحفظة",IF(G76="","",_xlfn.XLOOKUP(TRIM(G76&amp;""),TRIM('Units Data'!$I$7:$I$10000&amp;""),'Units Data'!$B$7:$B$10000,"خارجي",0)))</f>
        <v>F5</v>
      </c>
      <c r="D76" s="737" t="str" cm="1">
        <f t="array" ref="D76">_xlfn.SWITCH(TRIM(E76),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IF(E76="","","غير محدد"))</f>
        <v>خصم مديونية من دفعة إيجارية</v>
      </c>
      <c r="E76" s="737" t="s">
        <v>1578</v>
      </c>
      <c r="F76" s="737" t="s">
        <v>1353</v>
      </c>
      <c r="G76" s="737" t="s">
        <v>1354</v>
      </c>
      <c r="H76" s="737" t="s">
        <v>1081</v>
      </c>
      <c r="K76" s="737">
        <v>125</v>
      </c>
      <c r="L76" s="737" t="s">
        <v>1641</v>
      </c>
      <c r="N76" s="737">
        <v>375</v>
      </c>
      <c r="O76" s="737">
        <v>0</v>
      </c>
    </row>
    <row r="77" spans="2:16">
      <c r="B77" s="737" cm="1">
        <f t="array" ref="B77">IF(E77="Recharge","شحن المحفظة",IF(G77="","",_xlfn.XLOOKUP(TRIM(G77&amp;""),TRIM('Units Data'!$I$7:$I$10000&amp;""),'Units Data'!$C$7:$C$10000,"خارجي",0)))</f>
        <v>102</v>
      </c>
      <c r="C77" s="737" t="str" cm="1">
        <f t="array" ref="C77">IF(E77="Recharge","شحن المحفظة",IF(G77="","",_xlfn.XLOOKUP(TRIM(G77&amp;""),TRIM('Units Data'!$I$7:$I$10000&amp;""),'Units Data'!$B$7:$B$10000,"خارجي",0)))</f>
        <v>F5</v>
      </c>
      <c r="D77" s="737" t="str" cm="1">
        <f t="array" ref="D77">_xlfn.SWITCH(TRIM(E77),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IF(E77="","","غير محدد"))</f>
        <v>خصم مديونية من دفعة إيجارية</v>
      </c>
      <c r="E77" s="737" t="s">
        <v>1578</v>
      </c>
      <c r="F77" s="737" t="s">
        <v>1353</v>
      </c>
      <c r="G77" s="737" t="s">
        <v>1354</v>
      </c>
      <c r="H77" s="737" t="s">
        <v>1081</v>
      </c>
      <c r="K77" s="737">
        <v>125</v>
      </c>
      <c r="L77" s="737" t="s">
        <v>1641</v>
      </c>
      <c r="N77" s="737">
        <v>250</v>
      </c>
      <c r="O77" s="737">
        <v>0</v>
      </c>
    </row>
    <row r="78" spans="2:16">
      <c r="B78" s="737" cm="1">
        <f t="array" ref="B78">IF(E78="Recharge","شحن المحفظة",IF(G78="","",_xlfn.XLOOKUP(TRIM(G78&amp;""),TRIM('Units Data'!$I$7:$I$10000&amp;""),'Units Data'!$C$7:$C$10000,"خارجي",0)))</f>
        <v>102</v>
      </c>
      <c r="C78" s="737" t="str" cm="1">
        <f t="array" ref="C78">IF(E78="Recharge","شحن المحفظة",IF(G78="","",_xlfn.XLOOKUP(TRIM(G78&amp;""),TRIM('Units Data'!$I$7:$I$10000&amp;""),'Units Data'!$B$7:$B$10000,"خارجي",0)))</f>
        <v>F5</v>
      </c>
      <c r="D78" s="737" t="str" cm="1">
        <f t="array" ref="D78">_xlfn.SWITCH(TRIM(E78),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IF(E78="","","غير محدد"))</f>
        <v>خصم مديونية من دفعة إيجارية</v>
      </c>
      <c r="E78" s="737" t="s">
        <v>1578</v>
      </c>
      <c r="F78" s="737" t="s">
        <v>1353</v>
      </c>
      <c r="G78" s="737" t="s">
        <v>1354</v>
      </c>
      <c r="H78" s="737" t="s">
        <v>1081</v>
      </c>
      <c r="K78" s="737">
        <v>125</v>
      </c>
      <c r="L78" s="737" t="s">
        <v>1641</v>
      </c>
      <c r="N78" s="737">
        <v>125</v>
      </c>
      <c r="O78" s="737">
        <v>0</v>
      </c>
    </row>
    <row r="79" spans="2:16" hidden="1">
      <c r="B79" s="737" t="str" cm="1">
        <f t="array" ref="B79">IF(E79="Recharge","شحن المحفظة",IF(G79="","",_xlfn.XLOOKUP(TRIM(G79&amp;""),TRIM('Units Data'!$I$7:$I$10000&amp;""),'Units Data'!$C$7:$C$10000,"خارجي",0)))</f>
        <v>خارجي</v>
      </c>
      <c r="C79" s="737" t="str" cm="1">
        <f t="array" ref="C79">IF(E79="Recharge","شحن المحفظة",IF(G79="","",_xlfn.XLOOKUP(TRIM(G79&amp;""),TRIM('Units Data'!$I$7:$I$10000&amp;""),'Units Data'!$B$7:$B$10000,"خارجي",0)))</f>
        <v>خارجي</v>
      </c>
      <c r="D79" s="737" t="str" cm="1">
        <f t="array" ref="D79">_xlfn.SWITCH(TRIM(E79),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IF(E79="","","غير محدد"))</f>
        <v>خصم مديونية من تجديد العقد</v>
      </c>
      <c r="E79" s="737" t="s">
        <v>1575</v>
      </c>
      <c r="F79" s="737" t="s">
        <v>1646</v>
      </c>
      <c r="G79" s="737" t="s">
        <v>1382</v>
      </c>
      <c r="H79" s="737" t="s">
        <v>1161</v>
      </c>
      <c r="K79" s="737">
        <v>125</v>
      </c>
      <c r="L79" s="737" t="s">
        <v>1647</v>
      </c>
      <c r="N79" s="737">
        <v>0</v>
      </c>
      <c r="O79" s="737">
        <v>0</v>
      </c>
    </row>
    <row r="80" spans="2:16" hidden="1">
      <c r="B80" s="737" t="str" cm="1">
        <f t="array" ref="B80">IF(E80="Recharge","شحن المحفظة",IF(G80="","",_xlfn.XLOOKUP(TRIM(G80&amp;""),TRIM('Units Data'!$I$7:$I$10000&amp;""),'Units Data'!$C$7:$C$10000,"خارجي",0)))</f>
        <v>خارجي</v>
      </c>
      <c r="C80" s="737" t="str" cm="1">
        <f t="array" ref="C80">IF(E80="Recharge","شحن المحفظة",IF(G80="","",_xlfn.XLOOKUP(TRIM(G80&amp;""),TRIM('Units Data'!$I$7:$I$10000&amp;""),'Units Data'!$B$7:$B$10000,"خارجي",0)))</f>
        <v>خارجي</v>
      </c>
      <c r="D80" s="737" t="str" cm="1">
        <f t="array" ref="D80">_xlfn.SWITCH(TRIM(E80),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IF(E80="","","غير محدد"))</f>
        <v>خصم مديونية من دفعة إيجارية</v>
      </c>
      <c r="E80" s="737" t="s">
        <v>1578</v>
      </c>
      <c r="F80" s="737" t="s">
        <v>1160</v>
      </c>
      <c r="G80" s="737" t="s">
        <v>1162</v>
      </c>
      <c r="H80" s="737" t="s">
        <v>1161</v>
      </c>
      <c r="K80" s="737">
        <v>125</v>
      </c>
      <c r="L80" s="737" t="s">
        <v>1647</v>
      </c>
      <c r="N80" s="737">
        <v>125</v>
      </c>
      <c r="O80" s="737">
        <v>0</v>
      </c>
    </row>
    <row r="81" spans="2:16" hidden="1">
      <c r="B81" s="737" t="str" cm="1">
        <f t="array" ref="B81">IF(E81="Recharge","شحن المحفظة",IF(G81="","",_xlfn.XLOOKUP(TRIM(G81&amp;""),TRIM('Units Data'!$I$7:$I$10000&amp;""),'Units Data'!$C$7:$C$10000,"خارجي",0)))</f>
        <v>خارجي</v>
      </c>
      <c r="C81" s="737" t="str" cm="1">
        <f t="array" ref="C81">IF(E81="Recharge","شحن المحفظة",IF(G81="","",_xlfn.XLOOKUP(TRIM(G81&amp;""),TRIM('Units Data'!$I$7:$I$10000&amp;""),'Units Data'!$B$7:$B$10000,"خارجي",0)))</f>
        <v>خارجي</v>
      </c>
      <c r="D81" s="737" t="str" cm="1">
        <f t="array" ref="D81">_xlfn.SWITCH(TRIM(E81),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IF(E81="","","غير محدد"))</f>
        <v>رسوم إيجار</v>
      </c>
      <c r="E81" s="737" t="s">
        <v>1468</v>
      </c>
      <c r="F81" s="737" t="s">
        <v>1648</v>
      </c>
      <c r="G81" s="737" t="s">
        <v>1580</v>
      </c>
      <c r="H81" s="737" t="s">
        <v>1161</v>
      </c>
      <c r="K81" s="737">
        <v>125</v>
      </c>
      <c r="L81" s="737" t="s">
        <v>1649</v>
      </c>
      <c r="N81" s="737">
        <v>0</v>
      </c>
      <c r="O81" s="737">
        <v>36483807</v>
      </c>
    </row>
    <row r="82" spans="2:16" hidden="1">
      <c r="B82" s="737" t="str" cm="1">
        <f t="array" ref="B82">IF(E82="Recharge","شحن المحفظة",IF(G82="","",_xlfn.XLOOKUP(TRIM(G82&amp;""),TRIM('Units Data'!$I$7:$I$10000&amp;""),'Units Data'!$C$7:$C$10000,"خارجي",0)))</f>
        <v>خارجي</v>
      </c>
      <c r="C82" s="737" t="str" cm="1">
        <f t="array" ref="C82">IF(E82="Recharge","شحن المحفظة",IF(G82="","",_xlfn.XLOOKUP(TRIM(G82&amp;""),TRIM('Units Data'!$I$7:$I$10000&amp;""),'Units Data'!$B$7:$B$10000,"خارجي",0)))</f>
        <v>خارجي</v>
      </c>
      <c r="D82" s="737" t="str" cm="1">
        <f t="array" ref="D82">_xlfn.SWITCH(TRIM(E82),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IF(E82="","","غير محدد"))</f>
        <v>رسوم إيجار</v>
      </c>
      <c r="E82" s="737" t="s">
        <v>1468</v>
      </c>
      <c r="F82" s="737" t="s">
        <v>1650</v>
      </c>
      <c r="G82" s="737" t="s">
        <v>1328</v>
      </c>
      <c r="H82" s="737" t="s">
        <v>1161</v>
      </c>
      <c r="K82" s="737">
        <v>125</v>
      </c>
      <c r="L82" s="737" t="s">
        <v>1651</v>
      </c>
      <c r="N82" s="737">
        <v>0</v>
      </c>
      <c r="O82" s="737">
        <v>39582503</v>
      </c>
    </row>
    <row r="83" spans="2:16" hidden="1">
      <c r="B83" s="737" t="str" cm="1">
        <f t="array" ref="B83">IF(E83="Recharge","شحن المحفظة",IF(G83="","",_xlfn.XLOOKUP(TRIM(G83&amp;""),TRIM('Units Data'!$I$7:$I$10000&amp;""),'Units Data'!$C$7:$C$10000,"خارجي",0)))</f>
        <v/>
      </c>
      <c r="C83" s="737" t="str" cm="1">
        <f t="array" ref="C83">IF(E83="Recharge","شحن المحفظة",IF(G83="","",_xlfn.XLOOKUP(TRIM(G83&amp;""),TRIM('Units Data'!$I$7:$I$10000&amp;""),'Units Data'!$B$7:$B$10000,"خارجي",0)))</f>
        <v/>
      </c>
      <c r="D83" s="737" t="str" cm="1">
        <f t="array" ref="D83">_xlfn.SWITCH(TRIM(E83),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IF(E83="","","غير محدد"))</f>
        <v>سحب من المحفظة</v>
      </c>
      <c r="E83" s="737" t="s">
        <v>1652</v>
      </c>
      <c r="F83" s="737"/>
      <c r="I83" s="737" t="s">
        <v>1077</v>
      </c>
      <c r="K83" s="737">
        <v>126</v>
      </c>
      <c r="L83" s="737" t="s">
        <v>1653</v>
      </c>
      <c r="M83" s="737" t="s">
        <v>1654</v>
      </c>
      <c r="N83" s="737">
        <v>0</v>
      </c>
      <c r="O83" s="737">
        <v>0</v>
      </c>
    </row>
    <row r="84" spans="2:16" hidden="1">
      <c r="B84" s="737" t="str" cm="1">
        <f t="array" ref="B84">IF(E84="Recharge","شحن المحفظة",IF(G84="","",_xlfn.XLOOKUP(TRIM(G84&amp;""),TRIM('Units Data'!$I$7:$I$10000&amp;""),'Units Data'!$C$7:$C$10000,"خارجي",0)))</f>
        <v>شحن المحفظة</v>
      </c>
      <c r="C84" s="737" t="str" cm="1">
        <f t="array" ref="C84">IF(E84="Recharge","شحن المحفظة",IF(G84="","",_xlfn.XLOOKUP(TRIM(G84&amp;""),TRIM('Units Data'!$I$7:$I$10000&amp;""),'Units Data'!$B$7:$B$10000,"خارجي",0)))</f>
        <v>شحن المحفظة</v>
      </c>
      <c r="D84" s="737" t="str" cm="1">
        <f t="array" ref="D84">_xlfn.SWITCH(TRIM(E84),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IF(E84="","","غير محدد"))</f>
        <v>شحن المحفظة</v>
      </c>
      <c r="E84" s="737" t="s">
        <v>1498</v>
      </c>
      <c r="F84" s="737" t="s">
        <v>1655</v>
      </c>
      <c r="G84" s="737" t="s">
        <v>1500</v>
      </c>
      <c r="K84" s="737">
        <v>125</v>
      </c>
      <c r="L84" s="737" t="s">
        <v>1653</v>
      </c>
      <c r="N84" s="737">
        <v>126</v>
      </c>
      <c r="O84" s="737">
        <v>0</v>
      </c>
      <c r="P84" s="737" t="s">
        <v>1604</v>
      </c>
    </row>
    <row r="85" spans="2:16" hidden="1">
      <c r="B85" s="737" t="str" cm="1">
        <f t="array" ref="B85">IF(E85="Recharge","شحن المحفظة",IF(G85="","",_xlfn.XLOOKUP(TRIM(G85&amp;""),TRIM('Units Data'!$I$7:$I$10000&amp;""),'Units Data'!$C$7:$C$10000,"خارجي",0)))</f>
        <v>خارجي</v>
      </c>
      <c r="C85" s="737" t="str" cm="1">
        <f t="array" ref="C85">IF(E85="Recharge","شحن المحفظة",IF(G85="","",_xlfn.XLOOKUP(TRIM(G85&amp;""),TRIM('Units Data'!$I$7:$I$10000&amp;""),'Units Data'!$B$7:$B$10000,"خارجي",0)))</f>
        <v>خارجي</v>
      </c>
      <c r="D85" s="737" t="str" cm="1">
        <f t="array" ref="D85">_xlfn.SWITCH(TRIM(E85),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IF(E85="","","غير محدد"))</f>
        <v>حجز مبلغ</v>
      </c>
      <c r="E85" s="737" t="s">
        <v>499</v>
      </c>
      <c r="F85" s="737" t="s">
        <v>1650</v>
      </c>
      <c r="G85" s="737" t="s">
        <v>1328</v>
      </c>
      <c r="H85" s="737" t="s">
        <v>1161</v>
      </c>
      <c r="K85" s="737">
        <v>125</v>
      </c>
      <c r="L85" s="737" t="s">
        <v>1653</v>
      </c>
      <c r="N85" s="737">
        <v>1</v>
      </c>
      <c r="O85" s="737">
        <v>0</v>
      </c>
    </row>
    <row r="86" spans="2:16" hidden="1">
      <c r="B86" s="737" t="str" cm="1">
        <f t="array" ref="B86">IF(E86="Recharge","شحن المحفظة",IF(G86="","",_xlfn.XLOOKUP(TRIM(G86&amp;""),TRIM('Units Data'!$I$7:$I$10000&amp;""),'Units Data'!$C$7:$C$10000,"خارجي",0)))</f>
        <v>شحن المحفظة</v>
      </c>
      <c r="C86" s="737" t="str" cm="1">
        <f t="array" ref="C86">IF(E86="Recharge","شحن المحفظة",IF(G86="","",_xlfn.XLOOKUP(TRIM(G86&amp;""),TRIM('Units Data'!$I$7:$I$10000&amp;""),'Units Data'!$B$7:$B$10000,"خارجي",0)))</f>
        <v>شحن المحفظة</v>
      </c>
      <c r="D86" s="737" t="str" cm="1">
        <f t="array" ref="D86">_xlfn.SWITCH(TRIM(E86),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IF(E86="","","غير محدد"))</f>
        <v>شحن المحفظة</v>
      </c>
      <c r="E86" s="737" t="s">
        <v>1498</v>
      </c>
      <c r="F86" s="737" t="s">
        <v>1656</v>
      </c>
      <c r="G86" s="737" t="s">
        <v>1500</v>
      </c>
      <c r="K86" s="737">
        <v>125</v>
      </c>
      <c r="L86" s="737" t="s">
        <v>1653</v>
      </c>
      <c r="N86" s="737">
        <v>126</v>
      </c>
      <c r="O86" s="737">
        <v>0</v>
      </c>
      <c r="P86" s="737" t="s">
        <v>1616</v>
      </c>
    </row>
    <row r="87" spans="2:16" hidden="1">
      <c r="B87" s="737" t="str" cm="1">
        <f t="array" ref="B87">IF(E87="Recharge","شحن المحفظة",IF(G87="","",_xlfn.XLOOKUP(TRIM(G87&amp;""),TRIM('Units Data'!$I$7:$I$10000&amp;""),'Units Data'!$C$7:$C$10000,"خارجي",0)))</f>
        <v>خارجي</v>
      </c>
      <c r="C87" s="737" t="str" cm="1">
        <f t="array" ref="C87">IF(E87="Recharge","شحن المحفظة",IF(G87="","",_xlfn.XLOOKUP(TRIM(G87&amp;""),TRIM('Units Data'!$I$7:$I$10000&amp;""),'Units Data'!$B$7:$B$10000,"خارجي",0)))</f>
        <v>خارجي</v>
      </c>
      <c r="D87" s="737" t="str" cm="1">
        <f t="array" ref="D87">_xlfn.SWITCH(TRIM(E87),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IF(E87="","","غير محدد"))</f>
        <v>رسوم إيجار</v>
      </c>
      <c r="E87" s="737" t="s">
        <v>1468</v>
      </c>
      <c r="F87" s="737" t="s">
        <v>1657</v>
      </c>
      <c r="G87" s="737" t="s">
        <v>1586</v>
      </c>
      <c r="H87" s="737" t="s">
        <v>1161</v>
      </c>
      <c r="K87" s="737">
        <v>125</v>
      </c>
      <c r="L87" s="737" t="s">
        <v>1658</v>
      </c>
      <c r="N87" s="737">
        <v>1</v>
      </c>
      <c r="O87" s="737">
        <v>36659530</v>
      </c>
    </row>
    <row r="88" spans="2:16" hidden="1">
      <c r="B88" s="737" t="str" cm="1">
        <f t="array" ref="B88">IF(E88="Recharge","شحن المحفظة",IF(G88="","",_xlfn.XLOOKUP(TRIM(G88&amp;""),TRIM('Units Data'!$I$7:$I$10000&amp;""),'Units Data'!$C$7:$C$10000,"خارجي",0)))</f>
        <v>خارجي</v>
      </c>
      <c r="C88" s="737" t="str" cm="1">
        <f t="array" ref="C88">IF(E88="Recharge","شحن المحفظة",IF(G88="","",_xlfn.XLOOKUP(TRIM(G88&amp;""),TRIM('Units Data'!$I$7:$I$10000&amp;""),'Units Data'!$B$7:$B$10000,"خارجي",0)))</f>
        <v>خارجي</v>
      </c>
      <c r="D88" s="737" t="str" cm="1">
        <f t="array" ref="D88">_xlfn.SWITCH(TRIM(E88),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IF(E88="","","غير محدد"))</f>
        <v>حجز مبلغ</v>
      </c>
      <c r="E88" s="737" t="s">
        <v>499</v>
      </c>
      <c r="F88" s="737" t="s">
        <v>1657</v>
      </c>
      <c r="G88" s="737" t="s">
        <v>1586</v>
      </c>
      <c r="H88" s="737" t="s">
        <v>1161</v>
      </c>
      <c r="K88" s="737">
        <v>125</v>
      </c>
      <c r="L88" s="737" t="s">
        <v>1659</v>
      </c>
      <c r="N88" s="737">
        <v>1</v>
      </c>
      <c r="O88" s="737">
        <v>0</v>
      </c>
    </row>
    <row r="89" spans="2:16" hidden="1">
      <c r="B89" s="737" t="str" cm="1">
        <f t="array" ref="B89">IF(E89="Recharge","شحن المحفظة",IF(G89="","",_xlfn.XLOOKUP(TRIM(G89&amp;""),TRIM('Units Data'!$I$7:$I$10000&amp;""),'Units Data'!$C$7:$C$10000,"خارجي",0)))</f>
        <v>شحن المحفظة</v>
      </c>
      <c r="C89" s="737" t="str" cm="1">
        <f t="array" ref="C89">IF(E89="Recharge","شحن المحفظة",IF(G89="","",_xlfn.XLOOKUP(TRIM(G89&amp;""),TRIM('Units Data'!$I$7:$I$10000&amp;""),'Units Data'!$B$7:$B$10000,"خارجي",0)))</f>
        <v>شحن المحفظة</v>
      </c>
      <c r="D89" s="737" t="str" cm="1">
        <f t="array" ref="D89">_xlfn.SWITCH(TRIM(E89),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IF(E89="","","غير محدد"))</f>
        <v>شحن المحفظة</v>
      </c>
      <c r="E89" s="737" t="s">
        <v>1498</v>
      </c>
      <c r="F89" s="737" t="s">
        <v>1660</v>
      </c>
      <c r="G89" s="737" t="s">
        <v>1500</v>
      </c>
      <c r="K89" s="737">
        <v>125</v>
      </c>
      <c r="L89" s="737" t="s">
        <v>1661</v>
      </c>
      <c r="N89" s="737">
        <v>126</v>
      </c>
      <c r="O89" s="737">
        <v>0</v>
      </c>
      <c r="P89" s="737" t="s">
        <v>1604</v>
      </c>
    </row>
    <row r="90" spans="2:16" hidden="1">
      <c r="B90" s="737" t="str" cm="1">
        <f t="array" ref="B90">IF(E90="Recharge","شحن المحفظة",IF(G90="","",_xlfn.XLOOKUP(TRIM(G90&amp;""),TRIM('Units Data'!$I$7:$I$10000&amp;""),'Units Data'!$C$7:$C$10000,"خارجي",0)))</f>
        <v>خارجي</v>
      </c>
      <c r="C90" s="737" t="str" cm="1">
        <f t="array" ref="C90">IF(E90="Recharge","شحن المحفظة",IF(G90="","",_xlfn.XLOOKUP(TRIM(G90&amp;""),TRIM('Units Data'!$I$7:$I$10000&amp;""),'Units Data'!$B$7:$B$10000,"خارجي",0)))</f>
        <v>خارجي</v>
      </c>
      <c r="D90" s="737" t="str" cm="1">
        <f t="array" ref="D90">_xlfn.SWITCH(TRIM(E90),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IF(E90="","","غير محدد"))</f>
        <v>حجز مبلغ</v>
      </c>
      <c r="E90" s="737" t="s">
        <v>499</v>
      </c>
      <c r="F90" s="737" t="s">
        <v>1648</v>
      </c>
      <c r="G90" s="737" t="s">
        <v>1580</v>
      </c>
      <c r="H90" s="737" t="s">
        <v>1161</v>
      </c>
      <c r="K90" s="737">
        <v>125</v>
      </c>
      <c r="L90" s="737" t="s">
        <v>1662</v>
      </c>
      <c r="N90" s="737">
        <v>1</v>
      </c>
      <c r="O90" s="737">
        <v>0</v>
      </c>
    </row>
    <row r="91" spans="2:16" hidden="1">
      <c r="B91" s="737" t="str" cm="1">
        <f t="array" ref="B91">IF(E91="Recharge","شحن المحفظة",IF(G91="","",_xlfn.XLOOKUP(TRIM(G91&amp;""),TRIM('Units Data'!$I$7:$I$10000&amp;""),'Units Data'!$C$7:$C$10000,"خارجي",0)))</f>
        <v>شحن المحفظة</v>
      </c>
      <c r="C91" s="737" t="str" cm="1">
        <f t="array" ref="C91">IF(E91="Recharge","شحن المحفظة",IF(G91="","",_xlfn.XLOOKUP(TRIM(G91&amp;""),TRIM('Units Data'!$I$7:$I$10000&amp;""),'Units Data'!$B$7:$B$10000,"خارجي",0)))</f>
        <v>شحن المحفظة</v>
      </c>
      <c r="D91" s="737" t="str" cm="1">
        <f t="array" ref="D91">_xlfn.SWITCH(TRIM(E91),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IF(E91="","","غير محدد"))</f>
        <v>شحن المحفظة</v>
      </c>
      <c r="E91" s="737" t="s">
        <v>1498</v>
      </c>
      <c r="F91" s="737" t="s">
        <v>1663</v>
      </c>
      <c r="G91" s="737" t="s">
        <v>1500</v>
      </c>
      <c r="K91" s="737">
        <v>125</v>
      </c>
      <c r="L91" s="737" t="s">
        <v>1664</v>
      </c>
      <c r="N91" s="737">
        <v>126</v>
      </c>
      <c r="O91" s="737">
        <v>0</v>
      </c>
      <c r="P91" s="737" t="s">
        <v>1604</v>
      </c>
    </row>
    <row r="92" spans="2:16" hidden="1">
      <c r="B92" s="737" t="str" cm="1">
        <f t="array" ref="B92">IF(E92="Recharge","شحن المحفظة",IF(G92="","",_xlfn.XLOOKUP(TRIM(G92&amp;""),TRIM('Units Data'!$I$7:$I$10000&amp;""),'Units Data'!$C$7:$C$10000,"خارجي",0)))</f>
        <v>خارجي</v>
      </c>
      <c r="C92" s="737" t="str" cm="1">
        <f t="array" ref="C92">IF(E92="Recharge","شحن المحفظة",IF(G92="","",_xlfn.XLOOKUP(TRIM(G92&amp;""),TRIM('Units Data'!$I$7:$I$10000&amp;""),'Units Data'!$B$7:$B$10000,"خارجي",0)))</f>
        <v>خارجي</v>
      </c>
      <c r="D92" s="737" t="str" cm="1">
        <f t="array" ref="D92">_xlfn.SWITCH(TRIM(E92),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IF(E92="","","غير محدد"))</f>
        <v>رسوم إيجار</v>
      </c>
      <c r="E92" s="737" t="s">
        <v>1468</v>
      </c>
      <c r="F92" s="737" t="s">
        <v>1665</v>
      </c>
      <c r="G92" s="737" t="s">
        <v>1286</v>
      </c>
      <c r="H92" s="737" t="s">
        <v>1111</v>
      </c>
      <c r="K92" s="737">
        <v>125</v>
      </c>
      <c r="L92" s="737" t="s">
        <v>1666</v>
      </c>
      <c r="N92" s="737">
        <v>1</v>
      </c>
      <c r="O92" s="737">
        <v>34106450</v>
      </c>
    </row>
    <row r="93" spans="2:16" hidden="1">
      <c r="B93" s="737" t="str" cm="1">
        <f t="array" ref="B93">IF(E93="Recharge","شحن المحفظة",IF(G93="","",_xlfn.XLOOKUP(TRIM(G93&amp;""),TRIM('Units Data'!$I$7:$I$10000&amp;""),'Units Data'!$C$7:$C$10000,"خارجي",0)))</f>
        <v>خارجي</v>
      </c>
      <c r="C93" s="737" t="str" cm="1">
        <f t="array" ref="C93">IF(E93="Recharge","شحن المحفظة",IF(G93="","",_xlfn.XLOOKUP(TRIM(G93&amp;""),TRIM('Units Data'!$I$7:$I$10000&amp;""),'Units Data'!$B$7:$B$10000,"خارجي",0)))</f>
        <v>خارجي</v>
      </c>
      <c r="D93" s="737" t="str" cm="1">
        <f t="array" ref="D93">_xlfn.SWITCH(TRIM(E93),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IF(E93="","","غير محدد"))</f>
        <v>حجز مبلغ</v>
      </c>
      <c r="E93" s="737" t="s">
        <v>499</v>
      </c>
      <c r="F93" s="737" t="s">
        <v>1665</v>
      </c>
      <c r="G93" s="737" t="s">
        <v>1286</v>
      </c>
      <c r="H93" s="737" t="s">
        <v>1111</v>
      </c>
      <c r="K93" s="737">
        <v>125</v>
      </c>
      <c r="L93" s="737" t="s">
        <v>1667</v>
      </c>
      <c r="N93" s="737">
        <v>1</v>
      </c>
      <c r="O93" s="737">
        <v>0</v>
      </c>
    </row>
    <row r="94" spans="2:16" hidden="1">
      <c r="B94" s="737" t="str" cm="1">
        <f t="array" ref="B94">IF(E94="Recharge","شحن المحفظة",IF(G94="","",_xlfn.XLOOKUP(TRIM(G94&amp;""),TRIM('Units Data'!$I$7:$I$10000&amp;""),'Units Data'!$C$7:$C$10000,"خارجي",0)))</f>
        <v>شحن المحفظة</v>
      </c>
      <c r="C94" s="737" t="str" cm="1">
        <f t="array" ref="C94">IF(E94="Recharge","شحن المحفظة",IF(G94="","",_xlfn.XLOOKUP(TRIM(G94&amp;""),TRIM('Units Data'!$I$7:$I$10000&amp;""),'Units Data'!$B$7:$B$10000,"خارجي",0)))</f>
        <v>شحن المحفظة</v>
      </c>
      <c r="D94" s="737" t="str" cm="1">
        <f t="array" ref="D94">_xlfn.SWITCH(TRIM(E94),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IF(E94="","","غير محدد"))</f>
        <v>شحن المحفظة</v>
      </c>
      <c r="E94" s="737" t="s">
        <v>1498</v>
      </c>
      <c r="F94" s="737" t="s">
        <v>1668</v>
      </c>
      <c r="G94" s="737" t="s">
        <v>1500</v>
      </c>
      <c r="K94" s="737">
        <v>125</v>
      </c>
      <c r="L94" s="737" t="s">
        <v>1667</v>
      </c>
      <c r="N94" s="737">
        <v>126</v>
      </c>
      <c r="O94" s="737">
        <v>0</v>
      </c>
      <c r="P94" s="737" t="s">
        <v>1604</v>
      </c>
    </row>
    <row r="95" spans="2:16" hidden="1">
      <c r="B95" s="737" t="str" cm="1">
        <f t="array" ref="B95">IF(E95="Recharge","شحن المحفظة",IF(G95="","",_xlfn.XLOOKUP(TRIM(G95&amp;""),TRIM('Units Data'!$I$7:$I$10000&amp;""),'Units Data'!$C$7:$C$10000,"خارجي",0)))</f>
        <v>خارجي</v>
      </c>
      <c r="C95" s="737" t="str" cm="1">
        <f t="array" ref="C95">IF(E95="Recharge","شحن المحفظة",IF(G95="","",_xlfn.XLOOKUP(TRIM(G95&amp;""),TRIM('Units Data'!$I$7:$I$10000&amp;""),'Units Data'!$B$7:$B$10000,"خارجي",0)))</f>
        <v>خارجي</v>
      </c>
      <c r="D95" s="737" t="str" cm="1">
        <f t="array" ref="D95">_xlfn.SWITCH(TRIM(E95),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IF(E95="","","غير محدد"))</f>
        <v>استرداد مبلغ التأمين</v>
      </c>
      <c r="E95" s="737" t="s">
        <v>1669</v>
      </c>
      <c r="F95" s="737" t="s">
        <v>1670</v>
      </c>
      <c r="G95" s="737" t="s">
        <v>1671</v>
      </c>
      <c r="K95" s="737">
        <v>1</v>
      </c>
      <c r="L95" s="737" t="s">
        <v>1672</v>
      </c>
      <c r="N95" s="737">
        <v>1</v>
      </c>
      <c r="O95" s="737">
        <v>0</v>
      </c>
    </row>
    <row r="96" spans="2:16" hidden="1">
      <c r="B96" s="737" t="str" cm="1">
        <f t="array" ref="B96">IF(E96="Recharge","شحن المحفظة",IF(G96="","",_xlfn.XLOOKUP(TRIM(G96&amp;""),TRIM('Units Data'!$I$7:$I$10000&amp;""),'Units Data'!$C$7:$C$10000,"خارجي",0)))</f>
        <v>خارجي</v>
      </c>
      <c r="C96" s="737" t="str" cm="1">
        <f t="array" ref="C96">IF(E96="Recharge","شحن المحفظة",IF(G96="","",_xlfn.XLOOKUP(TRIM(G96&amp;""),TRIM('Units Data'!$I$7:$I$10000&amp;""),'Units Data'!$B$7:$B$10000,"خارجي",0)))</f>
        <v>خارجي</v>
      </c>
      <c r="D96" s="737" t="str" cm="1">
        <f t="array" ref="D96">_xlfn.SWITCH(TRIM(E96),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IF(E96="","","غير محدد"))</f>
        <v>حجز مبلغ التأمين</v>
      </c>
      <c r="E96" s="737" t="s">
        <v>1673</v>
      </c>
      <c r="F96" s="737" t="s">
        <v>1670</v>
      </c>
      <c r="G96" s="737" t="s">
        <v>1671</v>
      </c>
      <c r="K96" s="737">
        <v>1</v>
      </c>
      <c r="L96" s="737" t="s">
        <v>1674</v>
      </c>
      <c r="N96" s="737">
        <v>0</v>
      </c>
      <c r="O96" s="737">
        <v>33369982</v>
      </c>
    </row>
    <row r="97" spans="2:16" hidden="1">
      <c r="B97" s="737" t="str" cm="1">
        <f t="array" ref="B97">IF(E97="Recharge","شحن المحفظة",IF(G97="","",_xlfn.XLOOKUP(TRIM(G97&amp;""),TRIM('Units Data'!$I$7:$I$10000&amp;""),'Units Data'!$C$7:$C$10000,"خارجي",0)))</f>
        <v>خارجي</v>
      </c>
      <c r="C97" s="737" t="str" cm="1">
        <f t="array" ref="C97">IF(E97="Recharge","شحن المحفظة",IF(G97="","",_xlfn.XLOOKUP(TRIM(G97&amp;""),TRIM('Units Data'!$I$7:$I$10000&amp;""),'Units Data'!$B$7:$B$10000,"خارجي",0)))</f>
        <v>خارجي</v>
      </c>
      <c r="D97" s="737" t="str" cm="1">
        <f t="array" ref="D97">_xlfn.SWITCH(TRIM(E97),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IF(E97="","","غير محدد"))</f>
        <v>حجز مبلغ التأمين</v>
      </c>
      <c r="E97" s="737" t="s">
        <v>1675</v>
      </c>
      <c r="F97" s="737" t="s">
        <v>1670</v>
      </c>
      <c r="G97" s="737" t="s">
        <v>1671</v>
      </c>
      <c r="K97" s="737">
        <v>1</v>
      </c>
      <c r="L97" s="737" t="s">
        <v>1674</v>
      </c>
      <c r="N97" s="737">
        <v>0</v>
      </c>
      <c r="O97" s="737">
        <v>0</v>
      </c>
    </row>
    <row r="98" spans="2:16" hidden="1">
      <c r="B98" s="737" t="str" cm="1">
        <f t="array" ref="B98">IF(E98="Recharge","شحن المحفظة",IF(G98="","",_xlfn.XLOOKUP(TRIM(G98&amp;""),TRIM('Units Data'!$I$7:$I$10000&amp;""),'Units Data'!$C$7:$C$10000,"خارجي",0)))</f>
        <v>شحن المحفظة</v>
      </c>
      <c r="C98" s="737" t="str" cm="1">
        <f t="array" ref="C98">IF(E98="Recharge","شحن المحفظة",IF(G98="","",_xlfn.XLOOKUP(TRIM(G98&amp;""),TRIM('Units Data'!$I$7:$I$10000&amp;""),'Units Data'!$B$7:$B$10000,"خارجي",0)))</f>
        <v>شحن المحفظة</v>
      </c>
      <c r="D98" s="737" t="str" cm="1">
        <f t="array" ref="D98">_xlfn.SWITCH(TRIM(E98),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IF(E98="","","غير محدد"))</f>
        <v>شحن المحفظة</v>
      </c>
      <c r="E98" s="737" t="s">
        <v>1498</v>
      </c>
      <c r="F98" s="737" t="s">
        <v>1676</v>
      </c>
      <c r="G98" s="737" t="s">
        <v>1500</v>
      </c>
      <c r="K98" s="737">
        <v>1</v>
      </c>
      <c r="L98" s="737" t="s">
        <v>1674</v>
      </c>
      <c r="N98" s="737">
        <v>1</v>
      </c>
      <c r="O98" s="737">
        <v>0</v>
      </c>
      <c r="P98" s="737" t="s">
        <v>1677</v>
      </c>
    </row>
    <row r="99" spans="2:16" hidden="1">
      <c r="B99" s="737" t="str" cm="1">
        <f t="array" ref="B99">IF(E99="Recharge","شحن المحفظة",IF(G99="","",_xlfn.XLOOKUP(TRIM(G99&amp;""),TRIM('Units Data'!$I$7:$I$10000&amp;""),'Units Data'!$C$7:$C$10000,"خارجي",0)))</f>
        <v>خارجي</v>
      </c>
      <c r="C99" s="737" t="str" cm="1">
        <f t="array" ref="C99">IF(E99="Recharge","شحن المحفظة",IF(G99="","",_xlfn.XLOOKUP(TRIM(G99&amp;""),TRIM('Units Data'!$I$7:$I$10000&amp;""),'Units Data'!$B$7:$B$10000,"خارجي",0)))</f>
        <v>خارجي</v>
      </c>
      <c r="D99" s="737" t="str" cm="1">
        <f t="array" ref="D99">_xlfn.SWITCH(TRIM(E99),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IF(E99="","","غير محدد"))</f>
        <v>رسوم إيجار</v>
      </c>
      <c r="E99" s="737" t="s">
        <v>1468</v>
      </c>
      <c r="F99" s="737" t="s">
        <v>1678</v>
      </c>
      <c r="G99" s="737" t="s">
        <v>1606</v>
      </c>
      <c r="H99" s="737" t="s">
        <v>1111</v>
      </c>
      <c r="K99" s="737">
        <v>125</v>
      </c>
      <c r="L99" s="737" t="s">
        <v>1679</v>
      </c>
      <c r="N99" s="737">
        <v>0</v>
      </c>
      <c r="O99" s="737">
        <v>31473010</v>
      </c>
    </row>
    <row r="100" spans="2:16" hidden="1">
      <c r="B100" s="737" t="str" cm="1">
        <f t="array" ref="B100">IF(E100="Recharge","شحن المحفظة",IF(G100="","",_xlfn.XLOOKUP(TRIM(G100&amp;""),TRIM('Units Data'!$I$7:$I$10000&amp;""),'Units Data'!$C$7:$C$10000,"خارجي",0)))</f>
        <v>خارجي</v>
      </c>
      <c r="C100" s="737" t="str" cm="1">
        <f t="array" ref="C100">IF(E100="Recharge","شحن المحفظة",IF(G100="","",_xlfn.XLOOKUP(TRIM(G100&amp;""),TRIM('Units Data'!$I$7:$I$10000&amp;""),'Units Data'!$B$7:$B$10000,"خارجي",0)))</f>
        <v>خارجي</v>
      </c>
      <c r="D100" s="737" t="str" cm="1">
        <f t="array" ref="D100">_xlfn.SWITCH(TRIM(E100),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IF(E100="","","غير محدد"))</f>
        <v>حجز مبلغ</v>
      </c>
      <c r="E100" s="737" t="s">
        <v>499</v>
      </c>
      <c r="F100" s="737" t="s">
        <v>1678</v>
      </c>
      <c r="G100" s="737" t="s">
        <v>1606</v>
      </c>
      <c r="H100" s="737" t="s">
        <v>1111</v>
      </c>
      <c r="K100" s="737">
        <v>125</v>
      </c>
      <c r="L100" s="737" t="s">
        <v>1680</v>
      </c>
      <c r="N100" s="737">
        <v>0</v>
      </c>
      <c r="O100" s="737">
        <v>0</v>
      </c>
    </row>
    <row r="101" spans="2:16" hidden="1">
      <c r="B101" s="737" t="str" cm="1">
        <f t="array" ref="B101">IF(E101="Recharge","شحن المحفظة",IF(G101="","",_xlfn.XLOOKUP(TRIM(G101&amp;""),TRIM('Units Data'!$I$7:$I$10000&amp;""),'Units Data'!$C$7:$C$10000,"خارجي",0)))</f>
        <v>خارجي</v>
      </c>
      <c r="C101" s="737" t="str" cm="1">
        <f t="array" ref="C101">IF(E101="Recharge","شحن المحفظة",IF(G101="","",_xlfn.XLOOKUP(TRIM(G101&amp;""),TRIM('Units Data'!$I$7:$I$10000&amp;""),'Units Data'!$B$7:$B$10000,"خارجي",0)))</f>
        <v>خارجي</v>
      </c>
      <c r="D101" s="737" t="str" cm="1">
        <f t="array" ref="D101">_xlfn.SWITCH(TRIM(E101),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IF(E101="","","غير محدد"))</f>
        <v>رسوم إيجار</v>
      </c>
      <c r="E101" s="737" t="s">
        <v>1468</v>
      </c>
      <c r="F101" s="737" t="s">
        <v>1681</v>
      </c>
      <c r="G101" s="737" t="s">
        <v>1682</v>
      </c>
      <c r="H101" s="737" t="s">
        <v>1161</v>
      </c>
      <c r="K101" s="737">
        <v>125</v>
      </c>
      <c r="L101" s="737" t="s">
        <v>1683</v>
      </c>
      <c r="N101" s="737">
        <v>125</v>
      </c>
      <c r="O101" s="737">
        <v>24627637</v>
      </c>
    </row>
    <row r="102" spans="2:16" hidden="1">
      <c r="B102" s="737" t="str" cm="1">
        <f t="array" ref="B102">IF(E102="Recharge","شحن المحفظة",IF(G102="","",_xlfn.XLOOKUP(TRIM(G102&amp;""),TRIM('Units Data'!$I$7:$I$10000&amp;""),'Units Data'!$C$7:$C$10000,"خارجي",0)))</f>
        <v>خارجي</v>
      </c>
      <c r="C102" s="737" t="str" cm="1">
        <f t="array" ref="C102">IF(E102="Recharge","شحن المحفظة",IF(G102="","",_xlfn.XLOOKUP(TRIM(G102&amp;""),TRIM('Units Data'!$I$7:$I$10000&amp;""),'Units Data'!$B$7:$B$10000,"خارجي",0)))</f>
        <v>خارجي</v>
      </c>
      <c r="D102" s="737" t="str" cm="1">
        <f t="array" ref="D102">_xlfn.SWITCH(TRIM(E102),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IF(E102="","","غير محدد"))</f>
        <v>رسوم إيجار</v>
      </c>
      <c r="E102" s="737" t="s">
        <v>1468</v>
      </c>
      <c r="F102" s="737" t="s">
        <v>1684</v>
      </c>
      <c r="G102" s="737" t="s">
        <v>1685</v>
      </c>
      <c r="H102" s="737" t="s">
        <v>1161</v>
      </c>
      <c r="K102" s="737">
        <v>125</v>
      </c>
      <c r="L102" s="737" t="s">
        <v>1686</v>
      </c>
      <c r="N102" s="737">
        <v>125</v>
      </c>
      <c r="O102" s="737">
        <v>24440132</v>
      </c>
    </row>
    <row r="103" spans="2:16" hidden="1">
      <c r="B103" s="737" t="str" cm="1">
        <f t="array" ref="B103">IF(E103="Recharge","شحن المحفظة",IF(G103="","",_xlfn.XLOOKUP(TRIM(G103&amp;""),TRIM('Units Data'!$I$7:$I$10000&amp;""),'Units Data'!$C$7:$C$10000,"خارجي",0)))</f>
        <v>خارجي</v>
      </c>
      <c r="C103" s="737" t="str" cm="1">
        <f t="array" ref="C103">IF(E103="Recharge","شحن المحفظة",IF(G103="","",_xlfn.XLOOKUP(TRIM(G103&amp;""),TRIM('Units Data'!$I$7:$I$10000&amp;""),'Units Data'!$B$7:$B$10000,"خارجي",0)))</f>
        <v>خارجي</v>
      </c>
      <c r="D103" s="737" t="str" cm="1">
        <f t="array" ref="D103">_xlfn.SWITCH(TRIM(E103),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IF(E103="","","غير محدد"))</f>
        <v>رسوم إيجار</v>
      </c>
      <c r="E103" s="737" t="s">
        <v>1468</v>
      </c>
      <c r="F103" s="737" t="s">
        <v>1687</v>
      </c>
      <c r="G103" s="737" t="s">
        <v>1586</v>
      </c>
      <c r="H103" s="737" t="s">
        <v>1161</v>
      </c>
      <c r="K103" s="737">
        <v>125</v>
      </c>
      <c r="L103" s="737" t="s">
        <v>1686</v>
      </c>
      <c r="N103" s="737">
        <v>125</v>
      </c>
      <c r="O103" s="737">
        <v>24378771</v>
      </c>
    </row>
    <row r="104" spans="2:16" hidden="1">
      <c r="B104" s="737" t="str" cm="1">
        <f t="array" ref="B104">IF(E104="Recharge","شحن المحفظة",IF(G104="","",_xlfn.XLOOKUP(TRIM(G104&amp;""),TRIM('Units Data'!$I$7:$I$10000&amp;""),'Units Data'!$C$7:$C$10000,"خارجي",0)))</f>
        <v>خارجي</v>
      </c>
      <c r="C104" s="737" t="str" cm="1">
        <f t="array" ref="C104">IF(E104="Recharge","شحن المحفظة",IF(G104="","",_xlfn.XLOOKUP(TRIM(G104&amp;""),TRIM('Units Data'!$I$7:$I$10000&amp;""),'Units Data'!$B$7:$B$10000,"خارجي",0)))</f>
        <v>خارجي</v>
      </c>
      <c r="D104" s="737" t="str" cm="1">
        <f t="array" ref="D104">_xlfn.SWITCH(TRIM(E104),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IF(E104="","","غير محدد"))</f>
        <v>استرداد إلى المحفظة</v>
      </c>
      <c r="E104" s="737" t="s">
        <v>1480</v>
      </c>
      <c r="F104" s="737" t="s">
        <v>1688</v>
      </c>
      <c r="G104" s="737" t="s">
        <v>1689</v>
      </c>
      <c r="H104" s="737" t="s">
        <v>1161</v>
      </c>
      <c r="K104" s="737">
        <v>125</v>
      </c>
      <c r="L104" s="737" t="s">
        <v>1690</v>
      </c>
      <c r="N104" s="737">
        <v>125</v>
      </c>
      <c r="O104" s="737">
        <v>25056821</v>
      </c>
    </row>
    <row r="105" spans="2:16" hidden="1">
      <c r="B105" s="737" t="str" cm="1">
        <f t="array" ref="B105">IF(E105="Recharge","شحن المحفظة",IF(G105="","",_xlfn.XLOOKUP(TRIM(G105&amp;""),TRIM('Units Data'!$I$7:$I$10000&amp;""),'Units Data'!$C$7:$C$10000,"خارجي",0)))</f>
        <v>خارجي</v>
      </c>
      <c r="C105" s="737" t="str" cm="1">
        <f t="array" ref="C105">IF(E105="Recharge","شحن المحفظة",IF(G105="","",_xlfn.XLOOKUP(TRIM(G105&amp;""),TRIM('Units Data'!$I$7:$I$10000&amp;""),'Units Data'!$B$7:$B$10000,"خارجي",0)))</f>
        <v>خارجي</v>
      </c>
      <c r="D105" s="737" t="str" cm="1">
        <f t="array" ref="D105">_xlfn.SWITCH(TRIM(E105),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IF(E105="","","غير محدد"))</f>
        <v>حجز مبلغ</v>
      </c>
      <c r="E105" s="737" t="s">
        <v>499</v>
      </c>
      <c r="F105" s="737" t="s">
        <v>1688</v>
      </c>
      <c r="G105" s="737" t="s">
        <v>1689</v>
      </c>
      <c r="H105" s="737" t="s">
        <v>1161</v>
      </c>
      <c r="K105" s="737">
        <v>125</v>
      </c>
      <c r="L105" s="737" t="s">
        <v>1690</v>
      </c>
      <c r="N105" s="737">
        <v>0</v>
      </c>
      <c r="O105" s="737">
        <v>0</v>
      </c>
    </row>
    <row r="106" spans="2:16" hidden="1">
      <c r="B106" s="737" t="str" cm="1">
        <f t="array" ref="B106">IF(E106="Recharge","شحن المحفظة",IF(G106="","",_xlfn.XLOOKUP(TRIM(G106&amp;""),TRIM('Units Data'!$I$7:$I$10000&amp;""),'Units Data'!$C$7:$C$10000,"خارجي",0)))</f>
        <v>شحن المحفظة</v>
      </c>
      <c r="C106" s="737" t="str" cm="1">
        <f t="array" ref="C106">IF(E106="Recharge","شحن المحفظة",IF(G106="","",_xlfn.XLOOKUP(TRIM(G106&amp;""),TRIM('Units Data'!$I$7:$I$10000&amp;""),'Units Data'!$B$7:$B$10000,"خارجي",0)))</f>
        <v>شحن المحفظة</v>
      </c>
      <c r="D106" s="737" t="str" cm="1">
        <f t="array" ref="D106">_xlfn.SWITCH(TRIM(E106),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IF(E106="","","غير محدد"))</f>
        <v>شحن المحفظة</v>
      </c>
      <c r="E106" s="737" t="s">
        <v>1498</v>
      </c>
      <c r="F106" s="737" t="s">
        <v>1691</v>
      </c>
      <c r="G106" s="737" t="s">
        <v>1500</v>
      </c>
      <c r="K106" s="737">
        <v>125</v>
      </c>
      <c r="L106" s="737" t="s">
        <v>1692</v>
      </c>
      <c r="N106" s="737">
        <v>125</v>
      </c>
      <c r="O106" s="737">
        <v>0</v>
      </c>
    </row>
    <row r="107" spans="2:16" hidden="1">
      <c r="B107" s="737" t="str" cm="1">
        <f t="array" ref="B107">IF(E107="Recharge","شحن المحفظة",IF(G107="","",_xlfn.XLOOKUP(TRIM(G107&amp;""),TRIM('Units Data'!$I$7:$I$10000&amp;""),'Units Data'!$C$7:$C$10000,"خارجي",0)))</f>
        <v/>
      </c>
      <c r="C107" s="737" t="str" cm="1">
        <f t="array" ref="C107">IF(E107="Recharge","شحن المحفظة",IF(G107="","",_xlfn.XLOOKUP(TRIM(G107&amp;""),TRIM('Units Data'!$I$7:$I$10000&amp;""),'Units Data'!$B$7:$B$10000,"خارجي",0)))</f>
        <v/>
      </c>
      <c r="D107" s="737" t="str" cm="1">
        <f t="array" ref="D107">_xlfn.SWITCH(TRIM(E107),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IF(E107="","","غير محدد"))</f>
        <v>سحب من المحفظة</v>
      </c>
      <c r="E107" s="737" t="s">
        <v>1652</v>
      </c>
      <c r="F107" s="737"/>
      <c r="I107" s="737" t="s">
        <v>1077</v>
      </c>
      <c r="K107" s="737">
        <v>3000</v>
      </c>
      <c r="L107" s="737" t="s">
        <v>1693</v>
      </c>
      <c r="M107" s="737" t="s">
        <v>1654</v>
      </c>
      <c r="N107" s="737">
        <v>0</v>
      </c>
      <c r="O107" s="737">
        <v>0</v>
      </c>
    </row>
    <row r="108" spans="2:16" hidden="1">
      <c r="B108" s="737" t="str" cm="1">
        <f t="array" ref="B108">IF(E108="Recharge","شحن المحفظة",IF(G108="","",_xlfn.XLOOKUP(TRIM(G108&amp;""),TRIM('Units Data'!$I$7:$I$10000&amp;""),'Units Data'!$C$7:$C$10000,"خارجي",0)))</f>
        <v>خارجي</v>
      </c>
      <c r="C108" s="737" t="str" cm="1">
        <f t="array" ref="C108">IF(E108="Recharge","شحن المحفظة",IF(G108="","",_xlfn.XLOOKUP(TRIM(G108&amp;""),TRIM('Units Data'!$I$7:$I$10000&amp;""),'Units Data'!$B$7:$B$10000,"خارجي",0)))</f>
        <v>خارجي</v>
      </c>
      <c r="D108" s="737" t="str" cm="1">
        <f t="array" ref="D108">_xlfn.SWITCH(TRIM(E108),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IF(E108="","","غير محدد"))</f>
        <v>استرداد مبلغ التأمين</v>
      </c>
      <c r="E108" s="737" t="s">
        <v>1669</v>
      </c>
      <c r="F108" s="737" t="s">
        <v>1694</v>
      </c>
      <c r="G108" s="737" t="s">
        <v>1695</v>
      </c>
      <c r="K108" s="737">
        <v>3000</v>
      </c>
      <c r="L108" s="737" t="s">
        <v>1693</v>
      </c>
      <c r="N108" s="737">
        <v>3000</v>
      </c>
      <c r="O108" s="737">
        <v>0</v>
      </c>
    </row>
    <row r="109" spans="2:16" hidden="1">
      <c r="B109" s="737" t="str" cm="1">
        <f t="array" ref="B109">IF(E109="Recharge","شحن المحفظة",IF(G109="","",_xlfn.XLOOKUP(TRIM(G109&amp;""),TRIM('Units Data'!$I$7:$I$10000&amp;""),'Units Data'!$C$7:$C$10000,"خارجي",0)))</f>
        <v/>
      </c>
      <c r="C109" s="737" t="str" cm="1">
        <f t="array" ref="C109">IF(E109="Recharge","شحن المحفظة",IF(G109="","",_xlfn.XLOOKUP(TRIM(G109&amp;""),TRIM('Units Data'!$I$7:$I$10000&amp;""),'Units Data'!$B$7:$B$10000,"خارجي",0)))</f>
        <v/>
      </c>
      <c r="D109" s="737" t="str" cm="1">
        <f t="array" ref="D109">_xlfn.SWITCH(TRIM(E109),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IF(E109="","","غير محدد"))</f>
        <v>سحب من المحفظة</v>
      </c>
      <c r="E109" s="737" t="s">
        <v>1652</v>
      </c>
      <c r="F109" s="737"/>
      <c r="I109" s="737" t="s">
        <v>1077</v>
      </c>
      <c r="K109" s="737">
        <v>2075</v>
      </c>
      <c r="L109" s="737" t="s">
        <v>1696</v>
      </c>
      <c r="M109" s="737" t="s">
        <v>1654</v>
      </c>
      <c r="N109" s="737">
        <v>0</v>
      </c>
      <c r="O109" s="737">
        <v>0</v>
      </c>
    </row>
    <row r="110" spans="2:16" hidden="1">
      <c r="B110" s="737" t="str" cm="1">
        <f t="array" ref="B110">IF(E110="Recharge","شحن المحفظة",IF(G110="","",_xlfn.XLOOKUP(TRIM(G110&amp;""),TRIM('Units Data'!$I$7:$I$10000&amp;""),'Units Data'!$C$7:$C$10000,"خارجي",0)))</f>
        <v>خارجي</v>
      </c>
      <c r="C110" s="737" t="str" cm="1">
        <f t="array" ref="C110">IF(E110="Recharge","شحن المحفظة",IF(G110="","",_xlfn.XLOOKUP(TRIM(G110&amp;""),TRIM('Units Data'!$I$7:$I$10000&amp;""),'Units Data'!$B$7:$B$10000,"خارجي",0)))</f>
        <v>خارجي</v>
      </c>
      <c r="D110" s="737" t="str" cm="1">
        <f t="array" ref="D110">_xlfn.SWITCH(TRIM(E110),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IF(E110="","","غير محدد"))</f>
        <v>استرداد إلى المحفظة</v>
      </c>
      <c r="E110" s="737" t="s">
        <v>1480</v>
      </c>
      <c r="F110" s="737" t="s">
        <v>1697</v>
      </c>
      <c r="G110" s="737" t="s">
        <v>1698</v>
      </c>
      <c r="H110" s="737" t="s">
        <v>1161</v>
      </c>
      <c r="K110" s="737">
        <v>125</v>
      </c>
      <c r="L110" s="737" t="s">
        <v>1699</v>
      </c>
      <c r="N110" s="737">
        <v>2075</v>
      </c>
      <c r="O110" s="737">
        <v>24755794</v>
      </c>
    </row>
    <row r="111" spans="2:16" hidden="1">
      <c r="B111" s="737" t="str" cm="1">
        <f t="array" ref="B111">IF(E111="Recharge","شحن المحفظة",IF(G111="","",_xlfn.XLOOKUP(TRIM(G111&amp;""),TRIM('Units Data'!$I$7:$I$10000&amp;""),'Units Data'!$C$7:$C$10000,"خارجي",0)))</f>
        <v>خارجي</v>
      </c>
      <c r="C111" s="737" t="str" cm="1">
        <f t="array" ref="C111">IF(E111="Recharge","شحن المحفظة",IF(G111="","",_xlfn.XLOOKUP(TRIM(G111&amp;""),TRIM('Units Data'!$I$7:$I$10000&amp;""),'Units Data'!$B$7:$B$10000,"خارجي",0)))</f>
        <v>خارجي</v>
      </c>
      <c r="D111" s="737" t="str" cm="1">
        <f t="array" ref="D111">_xlfn.SWITCH(TRIM(E111),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IF(E111="","","غير محدد"))</f>
        <v>حجز مبلغ</v>
      </c>
      <c r="E111" s="737" t="s">
        <v>499</v>
      </c>
      <c r="F111" s="737" t="s">
        <v>1697</v>
      </c>
      <c r="G111" s="737" t="s">
        <v>1698</v>
      </c>
      <c r="H111" s="737" t="s">
        <v>1161</v>
      </c>
      <c r="K111" s="737">
        <v>125</v>
      </c>
      <c r="L111" s="737" t="s">
        <v>1700</v>
      </c>
      <c r="N111" s="737">
        <v>1950</v>
      </c>
      <c r="O111" s="737">
        <v>0</v>
      </c>
    </row>
    <row r="112" spans="2:16" hidden="1">
      <c r="B112" s="737" t="str" cm="1">
        <f t="array" ref="B112">IF(E112="Recharge","شحن المحفظة",IF(G112="","",_xlfn.XLOOKUP(TRIM(G112&amp;""),TRIM('Units Data'!$I$7:$I$10000&amp;""),'Units Data'!$C$7:$C$10000,"خارجي",0)))</f>
        <v>شحن المحفظة</v>
      </c>
      <c r="C112" s="737" t="str" cm="1">
        <f t="array" ref="C112">IF(E112="Recharge","شحن المحفظة",IF(G112="","",_xlfn.XLOOKUP(TRIM(G112&amp;""),TRIM('Units Data'!$I$7:$I$10000&amp;""),'Units Data'!$B$7:$B$10000,"خارجي",0)))</f>
        <v>شحن المحفظة</v>
      </c>
      <c r="D112" s="737" t="str" cm="1">
        <f t="array" ref="D112">_xlfn.SWITCH(TRIM(E112),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IF(E112="","","غير محدد"))</f>
        <v>شحن المحفظة</v>
      </c>
      <c r="E112" s="737" t="s">
        <v>1498</v>
      </c>
      <c r="F112" s="737" t="s">
        <v>1701</v>
      </c>
      <c r="G112" s="737" t="s">
        <v>1500</v>
      </c>
      <c r="K112" s="737">
        <v>2000</v>
      </c>
      <c r="L112" s="737" t="s">
        <v>1702</v>
      </c>
      <c r="N112" s="737">
        <v>2075</v>
      </c>
      <c r="O112" s="737">
        <v>0</v>
      </c>
    </row>
    <row r="113" spans="2:15" hidden="1">
      <c r="B113" s="737" t="str" cm="1">
        <f t="array" ref="B113">IF(E113="Recharge","شحن المحفظة",IF(G113="","",_xlfn.XLOOKUP(TRIM(G113&amp;""),TRIM('Units Data'!$I$7:$I$10000&amp;""),'Units Data'!$C$7:$C$10000,"خارجي",0)))</f>
        <v>خارجي</v>
      </c>
      <c r="C113" s="737" t="str" cm="1">
        <f t="array" ref="C113">IF(E113="Recharge","شحن المحفظة",IF(G113="","",_xlfn.XLOOKUP(TRIM(G113&amp;""),TRIM('Units Data'!$I$7:$I$10000&amp;""),'Units Data'!$B$7:$B$10000,"خارجي",0)))</f>
        <v>خارجي</v>
      </c>
      <c r="D113" s="737" t="str" cm="1">
        <f t="array" ref="D113">_xlfn.SWITCH(TRIM(E113),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IF(E113="","","غير محدد"))</f>
        <v>حجز مبلغ</v>
      </c>
      <c r="E113" s="737" t="s">
        <v>499</v>
      </c>
      <c r="F113" s="737" t="s">
        <v>1681</v>
      </c>
      <c r="G113" s="737" t="s">
        <v>1682</v>
      </c>
      <c r="H113" s="737" t="s">
        <v>1161</v>
      </c>
      <c r="K113" s="737">
        <v>125</v>
      </c>
      <c r="L113" s="737" t="s">
        <v>1702</v>
      </c>
      <c r="N113" s="737">
        <v>75</v>
      </c>
      <c r="O113" s="737">
        <v>0</v>
      </c>
    </row>
    <row r="114" spans="2:15" hidden="1">
      <c r="B114" s="737" t="str" cm="1">
        <f t="array" ref="B114">IF(E114="Recharge","شحن المحفظة",IF(G114="","",_xlfn.XLOOKUP(TRIM(G114&amp;""),TRIM('Units Data'!$I$7:$I$10000&amp;""),'Units Data'!$C$7:$C$10000,"خارجي",0)))</f>
        <v>شحن المحفظة</v>
      </c>
      <c r="C114" s="737" t="str" cm="1">
        <f t="array" ref="C114">IF(E114="Recharge","شحن المحفظة",IF(G114="","",_xlfn.XLOOKUP(TRIM(G114&amp;""),TRIM('Units Data'!$I$7:$I$10000&amp;""),'Units Data'!$B$7:$B$10000,"خارجي",0)))</f>
        <v>شحن المحفظة</v>
      </c>
      <c r="D114" s="737" t="str" cm="1">
        <f t="array" ref="D114">_xlfn.SWITCH(TRIM(E114),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IF(E114="","","غير محدد"))</f>
        <v>شحن المحفظة</v>
      </c>
      <c r="E114" s="737" t="s">
        <v>1498</v>
      </c>
      <c r="F114" s="737" t="s">
        <v>1703</v>
      </c>
      <c r="G114" s="737" t="s">
        <v>1500</v>
      </c>
      <c r="K114" s="737">
        <v>125</v>
      </c>
      <c r="L114" s="737" t="s">
        <v>1704</v>
      </c>
      <c r="N114" s="737">
        <v>200</v>
      </c>
      <c r="O114" s="737">
        <v>0</v>
      </c>
    </row>
    <row r="115" spans="2:15" hidden="1">
      <c r="B115" s="737" t="str" cm="1">
        <f t="array" ref="B115">IF(E115="Recharge","شحن المحفظة",IF(G115="","",_xlfn.XLOOKUP(TRIM(G115&amp;""),TRIM('Units Data'!$I$7:$I$10000&amp;""),'Units Data'!$C$7:$C$10000,"خارجي",0)))</f>
        <v>خارجي</v>
      </c>
      <c r="C115" s="737" t="str" cm="1">
        <f t="array" ref="C115">IF(E115="Recharge","شحن المحفظة",IF(G115="","",_xlfn.XLOOKUP(TRIM(G115&amp;""),TRIM('Units Data'!$I$7:$I$10000&amp;""),'Units Data'!$B$7:$B$10000,"خارجي",0)))</f>
        <v>خارجي</v>
      </c>
      <c r="D115" s="737" t="str" cm="1">
        <f t="array" ref="D115">_xlfn.SWITCH(TRIM(E115),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IF(E115="","","غير محدد"))</f>
        <v>حجز مبلغ</v>
      </c>
      <c r="E115" s="737" t="s">
        <v>499</v>
      </c>
      <c r="F115" s="737" t="s">
        <v>1684</v>
      </c>
      <c r="G115" s="737" t="s">
        <v>1685</v>
      </c>
      <c r="H115" s="737" t="s">
        <v>1161</v>
      </c>
      <c r="K115" s="737">
        <v>125</v>
      </c>
      <c r="L115" s="737" t="s">
        <v>1705</v>
      </c>
      <c r="N115" s="737">
        <v>75</v>
      </c>
      <c r="O115" s="737">
        <v>0</v>
      </c>
    </row>
    <row r="116" spans="2:15" hidden="1">
      <c r="B116" s="737" t="str" cm="1">
        <f t="array" ref="B116">IF(E116="Recharge","شحن المحفظة",IF(G116="","",_xlfn.XLOOKUP(TRIM(G116&amp;""),TRIM('Units Data'!$I$7:$I$10000&amp;""),'Units Data'!$C$7:$C$10000,"خارجي",0)))</f>
        <v>شحن المحفظة</v>
      </c>
      <c r="C116" s="737" t="str" cm="1">
        <f t="array" ref="C116">IF(E116="Recharge","شحن المحفظة",IF(G116="","",_xlfn.XLOOKUP(TRIM(G116&amp;""),TRIM('Units Data'!$I$7:$I$10000&amp;""),'Units Data'!$B$7:$B$10000,"خارجي",0)))</f>
        <v>شحن المحفظة</v>
      </c>
      <c r="D116" s="737" t="str" cm="1">
        <f t="array" ref="D116">_xlfn.SWITCH(TRIM(E116),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IF(E116="","","غير محدد"))</f>
        <v>شحن المحفظة</v>
      </c>
      <c r="E116" s="737" t="s">
        <v>1498</v>
      </c>
      <c r="F116" s="737" t="s">
        <v>1706</v>
      </c>
      <c r="G116" s="737" t="s">
        <v>1500</v>
      </c>
      <c r="K116" s="737">
        <v>125</v>
      </c>
      <c r="L116" s="737" t="s">
        <v>1707</v>
      </c>
      <c r="N116" s="737">
        <v>200</v>
      </c>
      <c r="O116" s="737">
        <v>0</v>
      </c>
    </row>
    <row r="117" spans="2:15" hidden="1">
      <c r="B117" s="737" t="str" cm="1">
        <f t="array" ref="B117">IF(E117="Recharge","شحن المحفظة",IF(G117="","",_xlfn.XLOOKUP(TRIM(G117&amp;""),TRIM('Units Data'!$I$7:$I$10000&amp;""),'Units Data'!$C$7:$C$10000,"خارجي",0)))</f>
        <v>خارجي</v>
      </c>
      <c r="C117" s="737" t="str" cm="1">
        <f t="array" ref="C117">IF(E117="Recharge","شحن المحفظة",IF(G117="","",_xlfn.XLOOKUP(TRIM(G117&amp;""),TRIM('Units Data'!$I$7:$I$10000&amp;""),'Units Data'!$B$7:$B$10000,"خارجي",0)))</f>
        <v>خارجي</v>
      </c>
      <c r="D117" s="737" t="str" cm="1">
        <f t="array" ref="D117">_xlfn.SWITCH(TRIM(E117),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IF(E117="","","غير محدد"))</f>
        <v>حجز مبلغ</v>
      </c>
      <c r="E117" s="737" t="s">
        <v>499</v>
      </c>
      <c r="F117" s="737" t="s">
        <v>1687</v>
      </c>
      <c r="G117" s="737" t="s">
        <v>1586</v>
      </c>
      <c r="H117" s="737" t="s">
        <v>1161</v>
      </c>
      <c r="K117" s="737">
        <v>125</v>
      </c>
      <c r="L117" s="737" t="s">
        <v>1707</v>
      </c>
      <c r="N117" s="737">
        <v>75</v>
      </c>
      <c r="O117" s="737">
        <v>0</v>
      </c>
    </row>
    <row r="118" spans="2:15" hidden="1">
      <c r="B118" s="737" t="str" cm="1">
        <f t="array" ref="B118">IF(E118="Recharge","شحن المحفظة",IF(G118="","",_xlfn.XLOOKUP(TRIM(G118&amp;""),TRIM('Units Data'!$I$7:$I$10000&amp;""),'Units Data'!$C$7:$C$10000,"خارجي",0)))</f>
        <v>شحن المحفظة</v>
      </c>
      <c r="C118" s="737" t="str" cm="1">
        <f t="array" ref="C118">IF(E118="Recharge","شحن المحفظة",IF(G118="","",_xlfn.XLOOKUP(TRIM(G118&amp;""),TRIM('Units Data'!$I$7:$I$10000&amp;""),'Units Data'!$B$7:$B$10000,"خارجي",0)))</f>
        <v>شحن المحفظة</v>
      </c>
      <c r="D118" s="737" t="str" cm="1">
        <f t="array" ref="D118">_xlfn.SWITCH(TRIM(E118),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IF(E118="","","غير محدد"))</f>
        <v>شحن المحفظة</v>
      </c>
      <c r="E118" s="737" t="s">
        <v>1498</v>
      </c>
      <c r="F118" s="737" t="s">
        <v>1708</v>
      </c>
      <c r="G118" s="737" t="s">
        <v>1500</v>
      </c>
      <c r="K118" s="737">
        <v>200</v>
      </c>
      <c r="L118" s="737" t="s">
        <v>1709</v>
      </c>
      <c r="N118" s="737">
        <v>200</v>
      </c>
      <c r="O118" s="737">
        <v>0</v>
      </c>
    </row>
    <row r="119" spans="2:15" hidden="1">
      <c r="B119" s="737" t="str" cm="1">
        <f t="array" ref="B119">IF(E119="Recharge","شحن المحفظة",IF(G119="","",_xlfn.XLOOKUP(TRIM(G119&amp;""),TRIM('Units Data'!$I$7:$I$10000&amp;""),'Units Data'!$C$7:$C$10000,"خارجي",0)))</f>
        <v>خارجي</v>
      </c>
      <c r="C119" s="737" t="str" cm="1">
        <f t="array" ref="C119">IF(E119="Recharge","شحن المحفظة",IF(G119="","",_xlfn.XLOOKUP(TRIM(G119&amp;""),TRIM('Units Data'!$I$7:$I$10000&amp;""),'Units Data'!$B$7:$B$10000,"خارجي",0)))</f>
        <v>خارجي</v>
      </c>
      <c r="D119" s="737" t="str" cm="1">
        <f t="array" ref="D119">_xlfn.SWITCH(TRIM(E119),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IF(E119="","","غير محدد"))</f>
        <v>رسوم إيجار</v>
      </c>
      <c r="E119" s="737" t="s">
        <v>1468</v>
      </c>
      <c r="F119" s="737" t="s">
        <v>1710</v>
      </c>
      <c r="G119" s="737" t="s">
        <v>1711</v>
      </c>
      <c r="H119" s="737" t="s">
        <v>555</v>
      </c>
      <c r="K119" s="737">
        <v>200</v>
      </c>
      <c r="L119" s="737" t="s">
        <v>1712</v>
      </c>
      <c r="N119" s="737">
        <v>0</v>
      </c>
      <c r="O119" s="737">
        <v>22991101</v>
      </c>
    </row>
    <row r="120" spans="2:15" hidden="1">
      <c r="B120" s="737" t="str" cm="1">
        <f t="array" ref="B120">IF(E120="Recharge","شحن المحفظة",IF(G120="","",_xlfn.XLOOKUP(TRIM(G120&amp;""),TRIM('Units Data'!$I$7:$I$10000&amp;""),'Units Data'!$C$7:$C$10000,"خارجي",0)))</f>
        <v>خارجي</v>
      </c>
      <c r="C120" s="737" t="str" cm="1">
        <f t="array" ref="C120">IF(E120="Recharge","شحن المحفظة",IF(G120="","",_xlfn.XLOOKUP(TRIM(G120&amp;""),TRIM('Units Data'!$I$7:$I$10000&amp;""),'Units Data'!$B$7:$B$10000,"خارجي",0)))</f>
        <v>خارجي</v>
      </c>
      <c r="D120" s="737" t="str" cm="1">
        <f t="array" ref="D120">_xlfn.SWITCH(TRIM(E120),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IF(E120="","","غير محدد"))</f>
        <v>حجز مبلغ</v>
      </c>
      <c r="E120" s="737" t="s">
        <v>499</v>
      </c>
      <c r="F120" s="737" t="s">
        <v>1710</v>
      </c>
      <c r="G120" s="737" t="s">
        <v>1711</v>
      </c>
      <c r="H120" s="737" t="s">
        <v>555</v>
      </c>
      <c r="K120" s="737">
        <v>200</v>
      </c>
      <c r="L120" s="737" t="s">
        <v>1712</v>
      </c>
      <c r="N120" s="737">
        <v>0</v>
      </c>
      <c r="O120" s="737">
        <v>0</v>
      </c>
    </row>
    <row r="121" spans="2:15" hidden="1">
      <c r="B121" s="737" t="str" cm="1">
        <f t="array" ref="B121">IF(E121="Recharge","شحن المحفظة",IF(G121="","",_xlfn.XLOOKUP(TRIM(G121&amp;""),TRIM('Units Data'!$I$7:$I$10000&amp;""),'Units Data'!$C$7:$C$10000,"خارجي",0)))</f>
        <v>خارجي</v>
      </c>
      <c r="C121" s="737" t="str" cm="1">
        <f t="array" ref="C121">IF(E121="Recharge","شحن المحفظة",IF(G121="","",_xlfn.XLOOKUP(TRIM(G121&amp;""),TRIM('Units Data'!$I$7:$I$10000&amp;""),'Units Data'!$B$7:$B$10000,"خارجي",0)))</f>
        <v>خارجي</v>
      </c>
      <c r="D121" s="737" t="str" cm="1">
        <f t="array" ref="D121">_xlfn.SWITCH(TRIM(E121),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IF(E121="","","غير محدد"))</f>
        <v>استرداد إلى المحفظة</v>
      </c>
      <c r="E121" s="737" t="s">
        <v>1480</v>
      </c>
      <c r="F121" s="737" t="s">
        <v>1713</v>
      </c>
      <c r="G121" s="737" t="s">
        <v>1711</v>
      </c>
      <c r="H121" s="737" t="s">
        <v>555</v>
      </c>
      <c r="K121" s="737">
        <v>200</v>
      </c>
      <c r="L121" s="737" t="s">
        <v>1712</v>
      </c>
      <c r="N121" s="737">
        <v>200</v>
      </c>
      <c r="O121" s="737">
        <v>22665125</v>
      </c>
    </row>
    <row r="122" spans="2:15" hidden="1">
      <c r="B122" s="737" t="str" cm="1">
        <f t="array" ref="B122">IF(E122="Recharge","شحن المحفظة",IF(G122="","",_xlfn.XLOOKUP(TRIM(G122&amp;""),TRIM('Units Data'!$I$7:$I$10000&amp;""),'Units Data'!$C$7:$C$10000,"خارجي",0)))</f>
        <v>خارجي</v>
      </c>
      <c r="C122" s="737" t="str" cm="1">
        <f t="array" ref="C122">IF(E122="Recharge","شحن المحفظة",IF(G122="","",_xlfn.XLOOKUP(TRIM(G122&amp;""),TRIM('Units Data'!$I$7:$I$10000&amp;""),'Units Data'!$B$7:$B$10000,"خارجي",0)))</f>
        <v>خارجي</v>
      </c>
      <c r="D122" s="737" t="str" cm="1">
        <f t="array" ref="D122">_xlfn.SWITCH(TRIM(E122),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IF(E122="","","غير محدد"))</f>
        <v>حجز مبلغ</v>
      </c>
      <c r="E122" s="737" t="s">
        <v>499</v>
      </c>
      <c r="F122" s="737" t="s">
        <v>1713</v>
      </c>
      <c r="G122" s="737" t="s">
        <v>1711</v>
      </c>
      <c r="H122" s="737" t="s">
        <v>555</v>
      </c>
      <c r="K122" s="737">
        <v>200</v>
      </c>
      <c r="L122" s="737" t="s">
        <v>1714</v>
      </c>
      <c r="N122" s="737">
        <v>0</v>
      </c>
      <c r="O122" s="737">
        <v>0</v>
      </c>
    </row>
    <row r="123" spans="2:15" hidden="1">
      <c r="B123" s="737" t="str" cm="1">
        <f t="array" ref="B123">IF(E123="Recharge","شحن المحفظة",IF(G123="","",_xlfn.XLOOKUP(TRIM(G123&amp;""),TRIM('Units Data'!$I$7:$I$10000&amp;""),'Units Data'!$C$7:$C$10000,"خارجي",0)))</f>
        <v>شحن المحفظة</v>
      </c>
      <c r="C123" s="737" t="str" cm="1">
        <f t="array" ref="C123">IF(E123="Recharge","شحن المحفظة",IF(G123="","",_xlfn.XLOOKUP(TRIM(G123&amp;""),TRIM('Units Data'!$I$7:$I$10000&amp;""),'Units Data'!$B$7:$B$10000,"خارجي",0)))</f>
        <v>شحن المحفظة</v>
      </c>
      <c r="D123" s="737" t="str" cm="1">
        <f t="array" ref="D123">_xlfn.SWITCH(TRIM(E123),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IF(E123="","","غير محدد"))</f>
        <v>شحن المحفظة</v>
      </c>
      <c r="E123" s="737" t="s">
        <v>1498</v>
      </c>
      <c r="F123" s="737" t="s">
        <v>1715</v>
      </c>
      <c r="G123" s="737" t="s">
        <v>1500</v>
      </c>
      <c r="K123" s="737">
        <v>200</v>
      </c>
      <c r="L123" s="737" t="s">
        <v>1714</v>
      </c>
      <c r="N123" s="737">
        <v>200</v>
      </c>
      <c r="O123" s="737">
        <v>0</v>
      </c>
    </row>
    <row r="124" spans="2:15" hidden="1">
      <c r="B124" s="737" t="str" cm="1">
        <f t="array" ref="B124">IF(E124="Recharge","شحن المحفظة",IF(G124="","",_xlfn.XLOOKUP(TRIM(G124&amp;""),TRIM('Units Data'!$I$7:$I$10000&amp;""),'Units Data'!$C$7:$C$10000,"خارجي",0)))</f>
        <v>خارجي</v>
      </c>
      <c r="C124" s="737" t="str" cm="1">
        <f t="array" ref="C124">IF(E124="Recharge","شحن المحفظة",IF(G124="","",_xlfn.XLOOKUP(TRIM(G124&amp;""),TRIM('Units Data'!$I$7:$I$10000&amp;""),'Units Data'!$B$7:$B$10000,"خارجي",0)))</f>
        <v>خارجي</v>
      </c>
      <c r="D124" s="737" t="str" cm="1">
        <f t="array" ref="D124">_xlfn.SWITCH(TRIM(E124),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IF(E124="","","غير محدد"))</f>
        <v>رسوم إيجار</v>
      </c>
      <c r="E124" s="737" t="s">
        <v>1468</v>
      </c>
      <c r="F124" s="737" t="s">
        <v>1716</v>
      </c>
      <c r="G124" s="737" t="s">
        <v>1606</v>
      </c>
      <c r="H124" s="737" t="s">
        <v>1111</v>
      </c>
      <c r="K124" s="737">
        <v>125</v>
      </c>
      <c r="L124" s="737" t="s">
        <v>1717</v>
      </c>
      <c r="N124" s="737">
        <v>0</v>
      </c>
      <c r="O124" s="737">
        <v>20416988</v>
      </c>
    </row>
    <row r="125" spans="2:15" hidden="1">
      <c r="B125" s="737" t="str" cm="1">
        <f t="array" ref="B125">IF(E125="Recharge","شحن المحفظة",IF(G125="","",_xlfn.XLOOKUP(TRIM(G125&amp;""),TRIM('Units Data'!$I$7:$I$10000&amp;""),'Units Data'!$C$7:$C$10000,"خارجي",0)))</f>
        <v>خارجي</v>
      </c>
      <c r="C125" s="737" t="str" cm="1">
        <f t="array" ref="C125">IF(E125="Recharge","شحن المحفظة",IF(G125="","",_xlfn.XLOOKUP(TRIM(G125&amp;""),TRIM('Units Data'!$I$7:$I$10000&amp;""),'Units Data'!$B$7:$B$10000,"خارجي",0)))</f>
        <v>خارجي</v>
      </c>
      <c r="D125" s="737" t="str" cm="1">
        <f t="array" ref="D125">_xlfn.SWITCH(TRIM(E125),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IF(E125="","","غير محدد"))</f>
        <v>حجز مبلغ</v>
      </c>
      <c r="E125" s="737" t="s">
        <v>499</v>
      </c>
      <c r="F125" s="737" t="s">
        <v>1716</v>
      </c>
      <c r="G125" s="737" t="s">
        <v>1606</v>
      </c>
      <c r="H125" s="737" t="s">
        <v>1111</v>
      </c>
      <c r="K125" s="737">
        <v>125</v>
      </c>
      <c r="L125" s="737" t="s">
        <v>1718</v>
      </c>
      <c r="N125" s="737">
        <v>0</v>
      </c>
      <c r="O125" s="737">
        <v>0</v>
      </c>
    </row>
    <row r="126" spans="2:15" hidden="1">
      <c r="B126" s="737" t="str" cm="1">
        <f t="array" ref="B126">IF(E126="Recharge","شحن المحفظة",IF(G126="","",_xlfn.XLOOKUP(TRIM(G126&amp;""),TRIM('Units Data'!$I$7:$I$10000&amp;""),'Units Data'!$C$7:$C$10000,"خارجي",0)))</f>
        <v>شحن المحفظة</v>
      </c>
      <c r="C126" s="737" t="str" cm="1">
        <f t="array" ref="C126">IF(E126="Recharge","شحن المحفظة",IF(G126="","",_xlfn.XLOOKUP(TRIM(G126&amp;""),TRIM('Units Data'!$I$7:$I$10000&amp;""),'Units Data'!$B$7:$B$10000,"خارجي",0)))</f>
        <v>شحن المحفظة</v>
      </c>
      <c r="D126" s="737" t="str" cm="1">
        <f t="array" ref="D126">_xlfn.SWITCH(TRIM(E126),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IF(E126="","","غير محدد"))</f>
        <v>شحن المحفظة</v>
      </c>
      <c r="E126" s="737" t="s">
        <v>1498</v>
      </c>
      <c r="F126" s="737" t="s">
        <v>1719</v>
      </c>
      <c r="G126" s="737" t="s">
        <v>1500</v>
      </c>
      <c r="K126" s="737">
        <v>125</v>
      </c>
      <c r="L126" s="737" t="s">
        <v>1720</v>
      </c>
      <c r="N126" s="737">
        <v>125</v>
      </c>
      <c r="O126" s="737">
        <v>0</v>
      </c>
    </row>
    <row r="127" spans="2:15" hidden="1">
      <c r="B127" s="737" t="str" cm="1">
        <f t="array" ref="B127">IF(E127="Recharge","شحن المحفظة",IF(G127="","",_xlfn.XLOOKUP(TRIM(G127&amp;""),TRIM('Units Data'!$I$7:$I$10000&amp;""),'Units Data'!$C$7:$C$10000,"خارجي",0)))</f>
        <v>خارجي</v>
      </c>
      <c r="C127" s="737" t="str" cm="1">
        <f t="array" ref="C127">IF(E127="Recharge","شحن المحفظة",IF(G127="","",_xlfn.XLOOKUP(TRIM(G127&amp;""),TRIM('Units Data'!$I$7:$I$10000&amp;""),'Units Data'!$B$7:$B$10000,"خارجي",0)))</f>
        <v>خارجي</v>
      </c>
      <c r="D127" s="737" t="str" cm="1">
        <f t="array" ref="D127">_xlfn.SWITCH(TRIM(E127),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IF(E127="","","غير محدد"))</f>
        <v>حجز مبلغ التأمين</v>
      </c>
      <c r="E127" s="737" t="s">
        <v>1673</v>
      </c>
      <c r="F127" s="737" t="s">
        <v>1694</v>
      </c>
      <c r="G127" s="737" t="s">
        <v>1695</v>
      </c>
      <c r="K127" s="737">
        <v>3000</v>
      </c>
      <c r="L127" s="737" t="s">
        <v>1721</v>
      </c>
      <c r="N127" s="737">
        <v>0</v>
      </c>
      <c r="O127" s="737">
        <v>18122404</v>
      </c>
    </row>
    <row r="128" spans="2:15" hidden="1">
      <c r="B128" s="737" t="str" cm="1">
        <f t="array" ref="B128">IF(E128="Recharge","شحن المحفظة",IF(G128="","",_xlfn.XLOOKUP(TRIM(G128&amp;""),TRIM('Units Data'!$I$7:$I$10000&amp;""),'Units Data'!$C$7:$C$10000,"خارجي",0)))</f>
        <v>خارجي</v>
      </c>
      <c r="C128" s="737" t="str" cm="1">
        <f t="array" ref="C128">IF(E128="Recharge","شحن المحفظة",IF(G128="","",_xlfn.XLOOKUP(TRIM(G128&amp;""),TRIM('Units Data'!$I$7:$I$10000&amp;""),'Units Data'!$B$7:$B$10000,"خارجي",0)))</f>
        <v>خارجي</v>
      </c>
      <c r="D128" s="737" t="str" cm="1">
        <f t="array" ref="D128">_xlfn.SWITCH(TRIM(E128),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IF(E128="","","غير محدد"))</f>
        <v>حجز مبلغ التأمين</v>
      </c>
      <c r="E128" s="737" t="s">
        <v>1675</v>
      </c>
      <c r="F128" s="737" t="s">
        <v>1694</v>
      </c>
      <c r="G128" s="737" t="s">
        <v>1695</v>
      </c>
      <c r="K128" s="737">
        <v>3000</v>
      </c>
      <c r="L128" s="737" t="s">
        <v>1721</v>
      </c>
      <c r="N128" s="737">
        <v>0</v>
      </c>
      <c r="O128" s="737">
        <v>0</v>
      </c>
    </row>
    <row r="129" spans="2:15" hidden="1">
      <c r="B129" s="737" t="str" cm="1">
        <f t="array" ref="B129">IF(E129="Recharge","شحن المحفظة",IF(G129="","",_xlfn.XLOOKUP(TRIM(G129&amp;""),TRIM('Units Data'!$I$7:$I$10000&amp;""),'Units Data'!$C$7:$C$10000,"خارجي",0)))</f>
        <v>شحن المحفظة</v>
      </c>
      <c r="C129" s="737" t="str" cm="1">
        <f t="array" ref="C129">IF(E129="Recharge","شحن المحفظة",IF(G129="","",_xlfn.XLOOKUP(TRIM(G129&amp;""),TRIM('Units Data'!$I$7:$I$10000&amp;""),'Units Data'!$B$7:$B$10000,"خارجي",0)))</f>
        <v>شحن المحفظة</v>
      </c>
      <c r="D129" s="737" t="str" cm="1">
        <f t="array" ref="D129">_xlfn.SWITCH(TRIM(E129),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IF(E129="","","غير محدد"))</f>
        <v>شحن المحفظة</v>
      </c>
      <c r="E129" s="737" t="s">
        <v>1498</v>
      </c>
      <c r="F129" s="737" t="s">
        <v>1722</v>
      </c>
      <c r="G129" s="737" t="s">
        <v>1500</v>
      </c>
      <c r="K129" s="737">
        <v>3000</v>
      </c>
      <c r="L129" s="737" t="s">
        <v>1721</v>
      </c>
      <c r="N129" s="737">
        <v>3000</v>
      </c>
      <c r="O129" s="737">
        <v>0</v>
      </c>
    </row>
    <row r="130" spans="2:15" hidden="1">
      <c r="B130" s="737" t="str" cm="1">
        <f t="array" ref="B130">IF(E130="Recharge","شحن المحفظة",IF(G130="","",_xlfn.XLOOKUP(TRIM(G130&amp;""),TRIM('Units Data'!$I$7:$I$10000&amp;""),'Units Data'!$C$7:$C$10000,"خارجي",0)))</f>
        <v>خارجي</v>
      </c>
      <c r="C130" s="737" t="str" cm="1">
        <f t="array" ref="C130">IF(E130="Recharge","شحن المحفظة",IF(G130="","",_xlfn.XLOOKUP(TRIM(G130&amp;""),TRIM('Units Data'!$I$7:$I$10000&amp;""),'Units Data'!$B$7:$B$10000,"خارجي",0)))</f>
        <v>خارجي</v>
      </c>
      <c r="D130" s="737" t="str" cm="1">
        <f t="array" ref="D130">_xlfn.SWITCH(TRIM(E130),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IF(E130="","","غير محدد"))</f>
        <v>رسوم إيجار</v>
      </c>
      <c r="E130" s="737" t="s">
        <v>1468</v>
      </c>
      <c r="F130" s="737" t="s">
        <v>1723</v>
      </c>
      <c r="G130" s="737" t="s">
        <v>1724</v>
      </c>
      <c r="H130" s="737" t="s">
        <v>1725</v>
      </c>
      <c r="K130" s="737">
        <v>125</v>
      </c>
      <c r="L130" s="737" t="s">
        <v>1726</v>
      </c>
      <c r="N130" s="737">
        <v>0</v>
      </c>
      <c r="O130" s="737">
        <v>11341280</v>
      </c>
    </row>
    <row r="131" spans="2:15" hidden="1">
      <c r="B131" s="737" t="str" cm="1">
        <f t="array" ref="B131">IF(E131="Recharge","شحن المحفظة",IF(G131="","",_xlfn.XLOOKUP(TRIM(G131&amp;""),TRIM('Units Data'!$I$7:$I$10000&amp;""),'Units Data'!$C$7:$C$10000,"خارجي",0)))</f>
        <v>خارجي</v>
      </c>
      <c r="C131" s="737" t="str" cm="1">
        <f t="array" ref="C131">IF(E131="Recharge","شحن المحفظة",IF(G131="","",_xlfn.XLOOKUP(TRIM(G131&amp;""),TRIM('Units Data'!$I$7:$I$10000&amp;""),'Units Data'!$B$7:$B$10000,"خارجي",0)))</f>
        <v>خارجي</v>
      </c>
      <c r="D131" s="737" t="str" cm="1">
        <f t="array" ref="D131">_xlfn.SWITCH(TRIM(E131),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IF(E131="","","غير محدد"))</f>
        <v>حجز مبلغ</v>
      </c>
      <c r="E131" s="737" t="s">
        <v>499</v>
      </c>
      <c r="F131" s="737" t="s">
        <v>1723</v>
      </c>
      <c r="G131" s="737" t="s">
        <v>1724</v>
      </c>
      <c r="H131" s="737" t="s">
        <v>1725</v>
      </c>
      <c r="K131" s="737">
        <v>125</v>
      </c>
      <c r="L131" s="737" t="s">
        <v>1727</v>
      </c>
      <c r="N131" s="737">
        <v>0</v>
      </c>
      <c r="O131" s="737">
        <v>0</v>
      </c>
    </row>
    <row r="132" spans="2:15" hidden="1">
      <c r="B132" s="737" t="str" cm="1">
        <f t="array" ref="B132">IF(E132="Recharge","شحن المحفظة",IF(G132="","",_xlfn.XLOOKUP(TRIM(G132&amp;""),TRIM('Units Data'!$I$7:$I$10000&amp;""),'Units Data'!$C$7:$C$10000,"خارجي",0)))</f>
        <v>شحن المحفظة</v>
      </c>
      <c r="C132" s="737" t="str" cm="1">
        <f t="array" ref="C132">IF(E132="Recharge","شحن المحفظة",IF(G132="","",_xlfn.XLOOKUP(TRIM(G132&amp;""),TRIM('Units Data'!$I$7:$I$10000&amp;""),'Units Data'!$B$7:$B$10000,"خارجي",0)))</f>
        <v>شحن المحفظة</v>
      </c>
      <c r="D132" s="737" t="str" cm="1">
        <f t="array" ref="D132">_xlfn.SWITCH(TRIM(E132),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IF(E132="","","غير محدد"))</f>
        <v>شحن المحفظة</v>
      </c>
      <c r="E132" s="737" t="s">
        <v>1498</v>
      </c>
      <c r="F132" s="737" t="s">
        <v>1728</v>
      </c>
      <c r="G132" s="737" t="s">
        <v>1500</v>
      </c>
      <c r="K132" s="737">
        <v>125</v>
      </c>
      <c r="L132" s="737" t="s">
        <v>1727</v>
      </c>
      <c r="N132" s="737">
        <v>125</v>
      </c>
      <c r="O132" s="737">
        <v>0</v>
      </c>
    </row>
    <row r="133" spans="2:15" hidden="1">
      <c r="B133" s="737" t="str" cm="1">
        <f t="array" ref="B133">IF(E133="Recharge","شحن المحفظة",IF(G133="","",_xlfn.XLOOKUP(TRIM(G133&amp;""),TRIM('Units Data'!$I$7:$I$10000&amp;""),'Units Data'!$C$7:$C$10000,"خارجي",0)))</f>
        <v>خارجي</v>
      </c>
      <c r="C133" s="737" t="str" cm="1">
        <f t="array" ref="C133">IF(E133="Recharge","شحن المحفظة",IF(G133="","",_xlfn.XLOOKUP(TRIM(G133&amp;""),TRIM('Units Data'!$I$7:$I$10000&amp;""),'Units Data'!$B$7:$B$10000,"خارجي",0)))</f>
        <v>خارجي</v>
      </c>
      <c r="D133" s="737" t="str" cm="1">
        <f t="array" ref="D133">_xlfn.SWITCH(TRIM(E133),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IF(E133="","","غير محدد"))</f>
        <v>رسوم إيجار</v>
      </c>
      <c r="E133" s="737" t="s">
        <v>1468</v>
      </c>
      <c r="F133" s="737" t="s">
        <v>1729</v>
      </c>
      <c r="G133" s="737" t="s">
        <v>1730</v>
      </c>
      <c r="H133" s="737" t="s">
        <v>1731</v>
      </c>
      <c r="K133" s="737">
        <v>125</v>
      </c>
      <c r="L133" s="737" t="s">
        <v>1732</v>
      </c>
      <c r="N133" s="737">
        <v>0</v>
      </c>
      <c r="O133" s="737">
        <v>7132470</v>
      </c>
    </row>
    <row r="134" spans="2:15" hidden="1">
      <c r="B134" s="737" t="str" cm="1">
        <f t="array" ref="B134">IF(E134="Recharge","شحن المحفظة",IF(G134="","",_xlfn.XLOOKUP(TRIM(G134&amp;""),TRIM('Units Data'!$I$7:$I$10000&amp;""),'Units Data'!$C$7:$C$10000,"خارجي",0)))</f>
        <v>خارجي</v>
      </c>
      <c r="C134" s="737" t="str" cm="1">
        <f t="array" ref="C134">IF(E134="Recharge","شحن المحفظة",IF(G134="","",_xlfn.XLOOKUP(TRIM(G134&amp;""),TRIM('Units Data'!$I$7:$I$10000&amp;""),'Units Data'!$B$7:$B$10000,"خارجي",0)))</f>
        <v>خارجي</v>
      </c>
      <c r="D134" s="737" t="str" cm="1">
        <f t="array" ref="D134">_xlfn.SWITCH(TRIM(E134),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IF(E134="","","غير محدد"))</f>
        <v>حجز مبلغ</v>
      </c>
      <c r="E134" s="737" t="s">
        <v>499</v>
      </c>
      <c r="F134" s="737" t="s">
        <v>1729</v>
      </c>
      <c r="G134" s="737" t="s">
        <v>1730</v>
      </c>
      <c r="H134" s="737" t="s">
        <v>1731</v>
      </c>
      <c r="K134" s="737">
        <v>125</v>
      </c>
      <c r="L134" s="737" t="s">
        <v>1732</v>
      </c>
      <c r="N134" s="737">
        <v>0</v>
      </c>
      <c r="O134" s="737">
        <v>0</v>
      </c>
    </row>
    <row r="135" spans="2:15" hidden="1">
      <c r="B135" s="737" t="str" cm="1">
        <f t="array" ref="B135">IF(E135="Recharge","شحن المحفظة",IF(G135="","",_xlfn.XLOOKUP(TRIM(G135&amp;""),TRIM('Units Data'!$I$7:$I$10000&amp;""),'Units Data'!$C$7:$C$10000,"خارجي",0)))</f>
        <v>شحن المحفظة</v>
      </c>
      <c r="C135" s="737" t="str" cm="1">
        <f t="array" ref="C135">IF(E135="Recharge","شحن المحفظة",IF(G135="","",_xlfn.XLOOKUP(TRIM(G135&amp;""),TRIM('Units Data'!$I$7:$I$10000&amp;""),'Units Data'!$B$7:$B$10000,"خارجي",0)))</f>
        <v>شحن المحفظة</v>
      </c>
      <c r="D135" s="737" t="str" cm="1">
        <f t="array" ref="D135">_xlfn.SWITCH(TRIM(E135),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IF(E135="","","غير محدد"))</f>
        <v>شحن المحفظة</v>
      </c>
      <c r="E135" s="737" t="s">
        <v>1498</v>
      </c>
      <c r="F135" s="737" t="s">
        <v>1733</v>
      </c>
      <c r="G135" s="737" t="s">
        <v>1500</v>
      </c>
      <c r="K135" s="737">
        <v>125</v>
      </c>
      <c r="L135" s="737" t="s">
        <v>1732</v>
      </c>
      <c r="N135" s="737">
        <v>125</v>
      </c>
      <c r="O135" s="737">
        <v>0</v>
      </c>
    </row>
    <row r="136" spans="2:15" hidden="1">
      <c r="B136" s="737" t="str" cm="1">
        <f t="array" ref="B136">IF(E136="Recharge","شحن المحفظة",IF(G136="","",_xlfn.XLOOKUP(TRIM(G136&amp;""),TRIM('Units Data'!$I$7:$I$10000&amp;""),'Units Data'!$C$7:$C$10000,"خارجي",0)))</f>
        <v>خارجي</v>
      </c>
      <c r="C136" s="737" t="str" cm="1">
        <f t="array" ref="C136">IF(E136="Recharge","شحن المحفظة",IF(G136="","",_xlfn.XLOOKUP(TRIM(G136&amp;""),TRIM('Units Data'!$I$7:$I$10000&amp;""),'Units Data'!$B$7:$B$10000,"خارجي",0)))</f>
        <v>خارجي</v>
      </c>
      <c r="D136" s="737" t="str" cm="1">
        <f t="array" ref="D136">_xlfn.SWITCH(TRIM(E136),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IF(E136="","","غير محدد"))</f>
        <v>رسوم إيجار</v>
      </c>
      <c r="E136" s="737" t="s">
        <v>1468</v>
      </c>
      <c r="F136" s="737" t="s">
        <v>1734</v>
      </c>
      <c r="G136" s="737" t="s">
        <v>1735</v>
      </c>
      <c r="H136" s="737" t="s">
        <v>1731</v>
      </c>
      <c r="K136" s="737">
        <v>125</v>
      </c>
      <c r="L136" s="737" t="s">
        <v>1736</v>
      </c>
      <c r="N136" s="737">
        <v>0</v>
      </c>
      <c r="O136" s="737">
        <v>761399</v>
      </c>
    </row>
    <row r="137" spans="2:15" hidden="1">
      <c r="B137" s="737" t="str" cm="1">
        <f t="array" ref="B137">IF(E137="Recharge","شحن المحفظة",IF(G137="","",_xlfn.XLOOKUP(TRIM(G137&amp;""),TRIM('Units Data'!$I$7:$I$10000&amp;""),'Units Data'!$C$7:$C$10000,"خارجي",0)))</f>
        <v>خارجي</v>
      </c>
      <c r="C137" s="737" t="str" cm="1">
        <f t="array" ref="C137">IF(E137="Recharge","شحن المحفظة",IF(G137="","",_xlfn.XLOOKUP(TRIM(G137&amp;""),TRIM('Units Data'!$I$7:$I$10000&amp;""),'Units Data'!$B$7:$B$10000,"خارجي",0)))</f>
        <v>خارجي</v>
      </c>
      <c r="D137" s="737" t="str" cm="1">
        <f t="array" ref="D137">_xlfn.SWITCH(TRIM(E137),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IF(E137="","","غير محدد"))</f>
        <v>حجز مبلغ</v>
      </c>
      <c r="E137" s="737" t="s">
        <v>499</v>
      </c>
      <c r="F137" s="737" t="s">
        <v>1734</v>
      </c>
      <c r="G137" s="737" t="s">
        <v>1735</v>
      </c>
      <c r="H137" s="737" t="s">
        <v>1731</v>
      </c>
      <c r="K137" s="737">
        <v>125</v>
      </c>
      <c r="L137" s="737" t="s">
        <v>1737</v>
      </c>
      <c r="N137" s="737">
        <v>0</v>
      </c>
      <c r="O137" s="737">
        <v>0</v>
      </c>
    </row>
    <row r="138" spans="2:15" hidden="1">
      <c r="B138" s="737" t="str" cm="1">
        <f t="array" ref="B138">IF(E138="Recharge","شحن المحفظة",IF(G138="","",_xlfn.XLOOKUP(TRIM(G138&amp;""),TRIM('Units Data'!$I$7:$I$10000&amp;""),'Units Data'!$C$7:$C$10000,"خارجي",0)))</f>
        <v>شحن المحفظة</v>
      </c>
      <c r="C138" s="737" t="str" cm="1">
        <f t="array" ref="C138">IF(E138="Recharge","شحن المحفظة",IF(G138="","",_xlfn.XLOOKUP(TRIM(G138&amp;""),TRIM('Units Data'!$I$7:$I$10000&amp;""),'Units Data'!$B$7:$B$10000,"خارجي",0)))</f>
        <v>شحن المحفظة</v>
      </c>
      <c r="D138" s="737" t="str" cm="1">
        <f t="array" ref="D138">_xlfn.SWITCH(TRIM(E138),
"Deduction of Outstanding Debt from Contract Renewal","خصم مديونية من تجديد العقد",
"Deduction of Outstanding Debt from a Rental Payment","خصم مديونية من دفعة إيجارية",
"Ejar fee","رسوم إيجار",
"Reserved","حجز مبلغ",
"Recharge","شحن المحفظة",
"Withdraw","سحب من المحفظة",
"Refund a security amount","استرداد مبلغ التأمين",
"security amount Reserved","حجز مبلغ التأمين",
"Reserve a security amount","حجز مبلغ التأمين",
"Refund to wallet","استرداد إلى المحفظة",
IF(E138="","","غير محدد"))</f>
        <v>شحن المحفظة</v>
      </c>
      <c r="E138" s="737" t="s">
        <v>1498</v>
      </c>
      <c r="F138" s="737" t="s">
        <v>1738</v>
      </c>
      <c r="G138" s="737" t="s">
        <v>1500</v>
      </c>
      <c r="K138" s="737">
        <v>125</v>
      </c>
      <c r="L138" s="737" t="s">
        <v>1737</v>
      </c>
      <c r="N138" s="737">
        <v>125</v>
      </c>
      <c r="O138" s="737">
        <v>0</v>
      </c>
    </row>
  </sheetData>
  <phoneticPr fontId="84"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ورقة17"/>
  <dimension ref="A1:AB645"/>
  <sheetViews>
    <sheetView rightToLeft="1" topLeftCell="A31" zoomScale="76" zoomScaleNormal="95" workbookViewId="0">
      <selection activeCell="M598" sqref="M598"/>
    </sheetView>
  </sheetViews>
  <sheetFormatPr defaultRowHeight="15.5"/>
  <cols>
    <col min="1" max="1" width="2.84375" bestFit="1" customWidth="1"/>
    <col min="2" max="2" width="15.07421875" bestFit="1" customWidth="1"/>
    <col min="3" max="3" width="21.84375" bestFit="1" customWidth="1"/>
    <col min="4" max="4" width="12.69140625" bestFit="1" customWidth="1"/>
    <col min="5" max="5" width="8.61328125" bestFit="1" customWidth="1"/>
    <col min="6" max="6" width="8.4609375" hidden="1" customWidth="1"/>
    <col min="7" max="7" width="15.23046875" hidden="1" customWidth="1"/>
    <col min="8" max="8" width="11.4609375" hidden="1" customWidth="1"/>
    <col min="9" max="9" width="11.3046875" hidden="1" customWidth="1"/>
    <col min="10" max="10" width="14.15234375" bestFit="1" customWidth="1"/>
    <col min="11" max="11" width="9.3046875" bestFit="1" customWidth="1"/>
    <col min="12" max="12" width="11.3828125" bestFit="1" customWidth="1"/>
    <col min="13" max="13" width="16" bestFit="1" customWidth="1"/>
    <col min="14" max="14" width="12.07421875" bestFit="1" customWidth="1"/>
    <col min="15" max="15" width="8.921875" bestFit="1" customWidth="1"/>
    <col min="16" max="16" width="10" bestFit="1" customWidth="1"/>
    <col min="17" max="17" width="10.69140625" bestFit="1" customWidth="1"/>
    <col min="19" max="19" width="10.765625" bestFit="1" customWidth="1"/>
    <col min="20" max="20" width="13.53515625" bestFit="1" customWidth="1"/>
    <col min="22" max="22" width="10.4609375" bestFit="1" customWidth="1"/>
    <col min="23" max="23" width="13.53515625" bestFit="1" customWidth="1"/>
    <col min="24" max="24" width="6.15234375" bestFit="1" customWidth="1"/>
    <col min="26" max="26" width="16" bestFit="1" customWidth="1"/>
    <col min="27" max="27" width="14.3828125" bestFit="1" customWidth="1"/>
    <col min="28" max="28" width="7" bestFit="1" customWidth="1"/>
  </cols>
  <sheetData>
    <row r="1" spans="1:28">
      <c r="B1" s="123">
        <f ca="1">TODAY()</f>
        <v>46323</v>
      </c>
      <c r="C1" s="113" t="s">
        <v>8</v>
      </c>
      <c r="D1" s="113" t="s">
        <v>12</v>
      </c>
      <c r="E1" s="113" t="s">
        <v>1</v>
      </c>
      <c r="F1" s="113" t="s">
        <v>27</v>
      </c>
      <c r="G1" s="113" t="s">
        <v>129</v>
      </c>
      <c r="H1" s="113" t="s">
        <v>57</v>
      </c>
      <c r="I1" s="113" t="s">
        <v>69</v>
      </c>
      <c r="J1" s="113" t="s">
        <v>26</v>
      </c>
      <c r="K1" s="113" t="s">
        <v>67</v>
      </c>
      <c r="L1" s="113" t="s">
        <v>70</v>
      </c>
      <c r="M1" s="113" t="s">
        <v>43</v>
      </c>
      <c r="N1" s="113" t="s">
        <v>73</v>
      </c>
      <c r="Q1" s="113"/>
    </row>
    <row r="2" spans="1:28" ht="18.5">
      <c r="B2" s="344" t="s">
        <v>75</v>
      </c>
      <c r="C2" s="345"/>
      <c r="D2" s="346">
        <v>10216949908</v>
      </c>
      <c r="E2" s="113">
        <v>0</v>
      </c>
      <c r="F2" s="113">
        <v>102</v>
      </c>
      <c r="G2" s="346" t="s">
        <v>81</v>
      </c>
      <c r="H2" s="113">
        <v>0</v>
      </c>
      <c r="I2" s="113">
        <v>0</v>
      </c>
      <c r="J2" s="113">
        <v>3500</v>
      </c>
      <c r="K2" s="113">
        <v>3500</v>
      </c>
      <c r="L2" s="113">
        <v>0</v>
      </c>
      <c r="M2" s="113">
        <v>0</v>
      </c>
      <c r="N2" s="113">
        <v>0</v>
      </c>
      <c r="Q2" s="113"/>
      <c r="S2" s="347" t="s">
        <v>27</v>
      </c>
      <c r="T2" s="348">
        <v>102</v>
      </c>
    </row>
    <row r="3" spans="1:28">
      <c r="B3" s="344" t="s">
        <v>278</v>
      </c>
      <c r="C3" s="113" t="s">
        <v>279</v>
      </c>
      <c r="I3" s="113"/>
      <c r="Q3" s="113"/>
    </row>
    <row r="4" spans="1:28">
      <c r="B4" s="344"/>
      <c r="I4" s="113"/>
      <c r="Q4" s="113"/>
      <c r="S4" s="347" t="s">
        <v>647</v>
      </c>
      <c r="T4" s="349" t="s">
        <v>530</v>
      </c>
      <c r="V4" s="350" t="s">
        <v>394</v>
      </c>
      <c r="W4" s="350" t="s">
        <v>530</v>
      </c>
      <c r="X4" s="350" t="s">
        <v>302</v>
      </c>
      <c r="Z4" s="351" t="s">
        <v>394</v>
      </c>
      <c r="AA4" s="352" t="s">
        <v>530</v>
      </c>
      <c r="AB4" s="353" t="s">
        <v>302</v>
      </c>
    </row>
    <row r="5" spans="1:28">
      <c r="B5" s="344"/>
      <c r="I5" s="113"/>
      <c r="Q5" s="113"/>
      <c r="S5" s="348" t="s">
        <v>648</v>
      </c>
      <c r="T5" s="349"/>
      <c r="V5" s="113" t="str">
        <f t="shared" ref="V5:V17" si="0">S5</f>
        <v>الإجمالي الكلي</v>
      </c>
      <c r="W5" s="354">
        <f t="shared" ref="W5:W17" si="1">T5</f>
        <v>0</v>
      </c>
      <c r="X5" s="355" t="e">
        <f>#REF!/GETPIVOTDATA("مبلغ الدفعة",$S$4)</f>
        <v>#REF!</v>
      </c>
      <c r="Z5" s="356" t="s">
        <v>527</v>
      </c>
      <c r="AA5" s="357">
        <v>18800</v>
      </c>
      <c r="AB5" s="358">
        <v>2.7058146229130685E-2</v>
      </c>
    </row>
    <row r="6" spans="1:28">
      <c r="B6" s="344" t="s">
        <v>60</v>
      </c>
      <c r="C6" s="113" t="e">
        <f>-SUMIF(#REF!,C$2,#REF!)</f>
        <v>#REF!</v>
      </c>
      <c r="D6" s="113" t="e">
        <f>SUMIF(#REF!,D$2,#REF!)</f>
        <v>#REF!</v>
      </c>
      <c r="E6" s="113" t="e">
        <f>SUMIF(#REF!,E2,#REF!)</f>
        <v>#REF!</v>
      </c>
      <c r="F6" s="113" t="e">
        <f>SUMIF(#REF!,F2,#REF!)</f>
        <v>#REF!</v>
      </c>
      <c r="G6" s="113" t="e">
        <f>SUMIF(#REF!,G2,#REF!)</f>
        <v>#REF!</v>
      </c>
      <c r="H6" s="113" t="e">
        <f>SUMIF(#REF!,H2,#REF!)</f>
        <v>#REF!</v>
      </c>
      <c r="I6" s="113" t="e">
        <f>SUMIF(#REF!,I2,#REF!)</f>
        <v>#REF!</v>
      </c>
      <c r="J6" s="113" t="e">
        <f>SUMIF(#REF!,J2,#REF!)</f>
        <v>#REF!</v>
      </c>
      <c r="K6" s="113" t="e">
        <f>SUMIF(#REF!,K2,#REF!)</f>
        <v>#REF!</v>
      </c>
      <c r="L6" s="113" t="e">
        <f>SUMIF(#REF!,L2,#REF!)</f>
        <v>#REF!</v>
      </c>
      <c r="M6" s="113" t="e">
        <f>SUMIF(#REF!,M2,#REF!)</f>
        <v>#REF!</v>
      </c>
      <c r="N6" s="113" t="e">
        <f>SUMIF(#REF!,N2,#REF!)</f>
        <v>#REF!</v>
      </c>
      <c r="Q6" s="113"/>
      <c r="V6" s="113">
        <f t="shared" si="0"/>
        <v>0</v>
      </c>
      <c r="W6" s="354">
        <f t="shared" si="1"/>
        <v>0</v>
      </c>
      <c r="X6" s="355" t="e">
        <f>#REF!/GETPIVOTDATA("مبلغ الدفعة",$S$4)</f>
        <v>#REF!</v>
      </c>
      <c r="Z6" s="356" t="s">
        <v>171</v>
      </c>
      <c r="AA6" s="357">
        <v>1500</v>
      </c>
      <c r="AB6" s="358">
        <v>2.1588946459412781E-3</v>
      </c>
    </row>
    <row r="7" spans="1:28">
      <c r="B7" s="113" t="s">
        <v>76</v>
      </c>
      <c r="C7" s="113" t="e">
        <f>SUMIF(#REF!,C$2,#REF!)</f>
        <v>#REF!</v>
      </c>
      <c r="D7" s="113" t="e">
        <f>SUMIF(#REF!,D$2,#REF!)</f>
        <v>#REF!</v>
      </c>
      <c r="I7" s="113"/>
      <c r="Q7" s="113"/>
      <c r="V7" s="113">
        <f t="shared" si="0"/>
        <v>0</v>
      </c>
      <c r="W7" s="354">
        <f t="shared" si="1"/>
        <v>0</v>
      </c>
      <c r="X7" s="355" t="e">
        <f>#REF!/GETPIVOTDATA("مبلغ الدفعة",$S$4)</f>
        <v>#REF!</v>
      </c>
      <c r="Z7" s="356" t="s">
        <v>329</v>
      </c>
      <c r="AA7" s="357">
        <v>35400</v>
      </c>
      <c r="AB7" s="358">
        <v>5.0949913644214161E-2</v>
      </c>
    </row>
    <row r="8" spans="1:28">
      <c r="B8" s="344" t="s">
        <v>67</v>
      </c>
      <c r="C8" s="113" t="e">
        <f>SUMIF(#REF!,C$2,#REF!)</f>
        <v>#REF!</v>
      </c>
      <c r="D8" s="113" t="e">
        <f>SUMIF(#REF!,D$2,#REF!)</f>
        <v>#REF!</v>
      </c>
      <c r="I8" s="113"/>
      <c r="Q8" s="113"/>
      <c r="V8" s="113">
        <f t="shared" si="0"/>
        <v>0</v>
      </c>
      <c r="W8" s="354">
        <f t="shared" si="1"/>
        <v>0</v>
      </c>
      <c r="X8" s="355" t="e">
        <f>#REF!/GETPIVOTDATA("مبلغ الدفعة",$S$4)</f>
        <v>#REF!</v>
      </c>
      <c r="Z8" s="356" t="s">
        <v>396</v>
      </c>
      <c r="AA8" s="357">
        <v>213700</v>
      </c>
      <c r="AB8" s="358">
        <v>0.30757052389176742</v>
      </c>
    </row>
    <row r="9" spans="1:28">
      <c r="B9" s="344" t="s">
        <v>77</v>
      </c>
      <c r="C9" s="113" t="e">
        <f>SUMIF(#REF!,C$2,#REF!)</f>
        <v>#REF!</v>
      </c>
      <c r="D9" s="113" t="e">
        <f>SUMIF(#REF!,D$2,#REF!)</f>
        <v>#REF!</v>
      </c>
      <c r="I9" s="113"/>
      <c r="Q9" s="113"/>
      <c r="V9" s="113">
        <f t="shared" si="0"/>
        <v>0</v>
      </c>
      <c r="W9" s="354">
        <f t="shared" si="1"/>
        <v>0</v>
      </c>
      <c r="X9" s="355" t="e">
        <f>#REF!/GETPIVOTDATA("مبلغ الدفعة",$S$4)</f>
        <v>#REF!</v>
      </c>
      <c r="Z9" s="356" t="s">
        <v>131</v>
      </c>
      <c r="AA9" s="357">
        <v>2000</v>
      </c>
      <c r="AB9" s="358">
        <v>2.8785261945883708E-3</v>
      </c>
    </row>
    <row r="10" spans="1:28">
      <c r="B10" s="344" t="s">
        <v>78</v>
      </c>
      <c r="C10" s="113" t="e">
        <f>C7-C8</f>
        <v>#REF!</v>
      </c>
      <c r="D10" s="113" t="e">
        <f>D7-D8</f>
        <v>#REF!</v>
      </c>
      <c r="I10" s="113"/>
      <c r="Q10" s="113"/>
      <c r="V10" s="113">
        <f t="shared" si="0"/>
        <v>0</v>
      </c>
      <c r="W10" s="354">
        <f t="shared" si="1"/>
        <v>0</v>
      </c>
      <c r="X10" s="355" t="e">
        <f>#REF!/GETPIVOTDATA("مبلغ الدفعة",$S$4)</f>
        <v>#REF!</v>
      </c>
      <c r="Z10" s="356" t="s">
        <v>528</v>
      </c>
      <c r="AA10" s="357">
        <v>20276</v>
      </c>
      <c r="AB10" s="358">
        <v>2.9182498560736903E-2</v>
      </c>
    </row>
    <row r="11" spans="1:28">
      <c r="B11" s="344" t="s">
        <v>79</v>
      </c>
      <c r="C11" s="359" t="e">
        <f>IF(C9&lt;&gt;0,C9/C7,0)</f>
        <v>#REF!</v>
      </c>
      <c r="D11" s="359" t="e">
        <f>IF(D9&lt;&gt;0,D9/D7,0)</f>
        <v>#REF!</v>
      </c>
      <c r="I11" s="113"/>
      <c r="Q11" s="113"/>
      <c r="V11" s="113">
        <f t="shared" si="0"/>
        <v>0</v>
      </c>
      <c r="W11" s="354">
        <f t="shared" si="1"/>
        <v>0</v>
      </c>
      <c r="X11" s="355" t="e">
        <f>#REF!/GETPIVOTDATA("مبلغ الدفعة",$S$4)</f>
        <v>#REF!</v>
      </c>
      <c r="Z11" s="356" t="s">
        <v>432</v>
      </c>
      <c r="AA11" s="357">
        <v>45450</v>
      </c>
      <c r="AB11" s="358">
        <v>6.5414507772020722E-2</v>
      </c>
    </row>
    <row r="12" spans="1:28">
      <c r="B12" s="344" t="s">
        <v>80</v>
      </c>
      <c r="C12" s="359" t="e">
        <f>IF(C6&lt;&gt;0,C6/C9,0)</f>
        <v>#REF!</v>
      </c>
      <c r="D12" s="359" t="e">
        <f>IF(D6&lt;&gt;0,-D6/D9,0)</f>
        <v>#REF!</v>
      </c>
      <c r="I12" s="113"/>
      <c r="Q12" s="113"/>
      <c r="V12" s="113">
        <f t="shared" si="0"/>
        <v>0</v>
      </c>
      <c r="W12" s="354">
        <f t="shared" si="1"/>
        <v>0</v>
      </c>
      <c r="X12" s="355" t="e">
        <f>#REF!/GETPIVOTDATA("مبلغ الدفعة",$S$4)</f>
        <v>#REF!</v>
      </c>
      <c r="Z12" s="356" t="s">
        <v>280</v>
      </c>
      <c r="AA12" s="357">
        <v>21000</v>
      </c>
      <c r="AB12" s="358">
        <v>3.0224525043177894E-2</v>
      </c>
    </row>
    <row r="13" spans="1:28">
      <c r="B13" s="344"/>
      <c r="C13" s="359"/>
      <c r="D13" s="359"/>
      <c r="I13" s="113"/>
      <c r="Q13" s="113"/>
      <c r="V13" s="113">
        <f t="shared" si="0"/>
        <v>0</v>
      </c>
      <c r="W13" s="354">
        <f t="shared" si="1"/>
        <v>0</v>
      </c>
      <c r="X13" s="355" t="e">
        <f>#REF!/GETPIVOTDATA("مبلغ الدفعة",$S$4)</f>
        <v>#REF!</v>
      </c>
      <c r="Z13" s="356" t="s">
        <v>529</v>
      </c>
      <c r="AA13" s="357">
        <v>1000</v>
      </c>
      <c r="AB13" s="358">
        <v>1.4392630972941854E-3</v>
      </c>
    </row>
    <row r="14" spans="1:28">
      <c r="B14" s="119" t="s">
        <v>168</v>
      </c>
      <c r="C14" s="120" t="s">
        <v>8</v>
      </c>
      <c r="D14" s="121" t="s">
        <v>12</v>
      </c>
      <c r="E14" s="121" t="s">
        <v>1</v>
      </c>
      <c r="F14" s="121" t="s">
        <v>27</v>
      </c>
      <c r="G14" s="121" t="s">
        <v>68</v>
      </c>
      <c r="H14" s="121" t="s">
        <v>72</v>
      </c>
      <c r="I14" s="121" t="s">
        <v>69</v>
      </c>
      <c r="J14" s="121" t="s">
        <v>26</v>
      </c>
      <c r="K14" s="121" t="s">
        <v>67</v>
      </c>
      <c r="L14" s="121" t="s">
        <v>70</v>
      </c>
      <c r="M14" s="121" t="s">
        <v>43</v>
      </c>
      <c r="N14" s="121" t="s">
        <v>73</v>
      </c>
      <c r="O14" s="122" t="s">
        <v>71</v>
      </c>
      <c r="Q14" s="113"/>
      <c r="V14" s="113">
        <f t="shared" si="0"/>
        <v>0</v>
      </c>
      <c r="W14" s="354">
        <f t="shared" si="1"/>
        <v>0</v>
      </c>
      <c r="X14" s="355" t="e">
        <f>#REF!/GETPIVOTDATA("مبلغ الدفعة",$S$4)</f>
        <v>#REF!</v>
      </c>
      <c r="Z14" s="356" t="s">
        <v>164</v>
      </c>
      <c r="AA14" s="357">
        <v>315524</v>
      </c>
      <c r="AB14" s="358">
        <v>0.45412204951065055</v>
      </c>
    </row>
    <row r="15" spans="1:28">
      <c r="A15" s="113">
        <v>1</v>
      </c>
      <c r="B15" s="113" t="e">
        <f t="array" ref="B15:Q15">IF(C3="الكل",(_xlfn._xlws.FILTER(#REF!,C2=#REF!)),(_xlfn._xlws.FILTER(#REF!,(C2=#REF!)*(#REF!=0))))</f>
        <v>#REF!</v>
      </c>
      <c r="C15" s="360" t="e">
        <v>#REF!</v>
      </c>
      <c r="D15" s="360" t="e">
        <v>#REF!</v>
      </c>
      <c r="E15" s="113" t="e">
        <v>#REF!</v>
      </c>
      <c r="F15" s="113" t="e">
        <v>#REF!</v>
      </c>
      <c r="G15" s="123" t="e">
        <v>#REF!</v>
      </c>
      <c r="H15" s="113" t="e">
        <v>#REF!</v>
      </c>
      <c r="I15" s="113" t="e">
        <v>#REF!</v>
      </c>
      <c r="J15" s="113" t="e">
        <v>#REF!</v>
      </c>
      <c r="K15" s="113" t="e">
        <v>#REF!</v>
      </c>
      <c r="L15" s="123" t="e">
        <v>#REF!</v>
      </c>
      <c r="M15" s="113" t="e">
        <v>#REF!</v>
      </c>
      <c r="N15" s="113" t="e">
        <v>#REF!</v>
      </c>
      <c r="O15" s="113" t="e">
        <v>#REF!</v>
      </c>
      <c r="P15" s="113" t="e">
        <v>#REF!</v>
      </c>
      <c r="Q15" s="113" t="e">
        <v>#REF!</v>
      </c>
      <c r="V15" s="113">
        <f t="shared" si="0"/>
        <v>0</v>
      </c>
      <c r="W15" s="354">
        <f t="shared" si="1"/>
        <v>0</v>
      </c>
      <c r="X15" s="355" t="e">
        <f>#REF!/GETPIVOTDATA("مبلغ الدفعة",$S$4)</f>
        <v>#REF!</v>
      </c>
      <c r="Z15" s="356" t="s">
        <v>41</v>
      </c>
      <c r="AA15" s="357">
        <v>12800</v>
      </c>
      <c r="AB15" s="358">
        <v>1.8422567645365574E-2</v>
      </c>
    </row>
    <row r="16" spans="1:28">
      <c r="A16" s="113">
        <v>2</v>
      </c>
      <c r="C16" s="360"/>
      <c r="D16" s="360"/>
      <c r="G16" s="123"/>
      <c r="I16" s="113"/>
      <c r="L16" s="123"/>
      <c r="Q16" s="113"/>
      <c r="V16" s="113">
        <f t="shared" si="0"/>
        <v>0</v>
      </c>
      <c r="W16" s="354">
        <f t="shared" si="1"/>
        <v>0</v>
      </c>
      <c r="X16" s="355" t="e">
        <f>#REF!/GETPIVOTDATA("مبلغ الدفعة",$S$4)</f>
        <v>#REF!</v>
      </c>
      <c r="Z16" s="356" t="s">
        <v>61</v>
      </c>
      <c r="AA16" s="357">
        <v>7350</v>
      </c>
      <c r="AB16" s="358">
        <v>1.0578583765112263E-2</v>
      </c>
    </row>
    <row r="17" spans="1:28">
      <c r="A17" s="113">
        <v>3</v>
      </c>
      <c r="C17" s="360"/>
      <c r="D17" s="360"/>
      <c r="G17" s="123"/>
      <c r="I17" s="113"/>
      <c r="L17" s="123"/>
      <c r="Q17" s="113"/>
      <c r="V17" s="113">
        <f t="shared" si="0"/>
        <v>0</v>
      </c>
      <c r="W17" s="361">
        <f t="shared" si="1"/>
        <v>0</v>
      </c>
      <c r="X17" s="355" t="e">
        <f>#REF!/GETPIVOTDATA("مبلغ الدفعة",$S$4)</f>
        <v>#REF!</v>
      </c>
      <c r="Z17" s="362" t="s">
        <v>395</v>
      </c>
      <c r="AA17" s="363">
        <v>694800</v>
      </c>
      <c r="AB17" s="364" t="e">
        <f>AA17/#REF!</f>
        <v>#REF!</v>
      </c>
    </row>
    <row r="18" spans="1:28">
      <c r="A18" s="113">
        <v>4</v>
      </c>
      <c r="C18" s="360"/>
      <c r="D18" s="360"/>
      <c r="G18" s="123"/>
      <c r="I18" s="113"/>
      <c r="L18" s="123"/>
      <c r="Q18" s="113"/>
      <c r="S18" s="349"/>
      <c r="T18" s="349"/>
      <c r="V18" s="113">
        <f>S18</f>
        <v>0</v>
      </c>
      <c r="W18" s="354" t="e">
        <f>SUBTOTAL(109,#REF!)</f>
        <v>#REF!</v>
      </c>
      <c r="X18" s="365" t="e">
        <f>SUBTOTAL(109,#REF!)</f>
        <v>#REF!</v>
      </c>
    </row>
    <row r="19" spans="1:28">
      <c r="A19" s="113">
        <v>5</v>
      </c>
      <c r="C19" s="360"/>
      <c r="D19" s="360"/>
      <c r="G19" s="123"/>
      <c r="I19" s="113"/>
      <c r="L19" s="123"/>
      <c r="Q19" s="113"/>
      <c r="S19" s="349"/>
      <c r="T19" s="349"/>
    </row>
    <row r="20" spans="1:28">
      <c r="A20" s="113">
        <v>6</v>
      </c>
      <c r="C20" s="360"/>
      <c r="D20" s="360"/>
      <c r="G20" s="123"/>
      <c r="I20" s="113"/>
      <c r="L20" s="123"/>
      <c r="Q20" s="113"/>
      <c r="S20" s="349"/>
      <c r="T20" s="349"/>
      <c r="AB20" s="354"/>
    </row>
    <row r="21" spans="1:28">
      <c r="A21" s="113">
        <v>7</v>
      </c>
      <c r="C21" s="360"/>
      <c r="D21" s="360"/>
      <c r="G21" s="123"/>
      <c r="I21" s="113"/>
      <c r="L21" s="123"/>
      <c r="Q21" s="113"/>
      <c r="W21" s="733" t="s">
        <v>496</v>
      </c>
      <c r="X21" s="733"/>
      <c r="Y21" s="733"/>
      <c r="Z21" s="733"/>
      <c r="AA21" s="733"/>
      <c r="AB21" s="733"/>
    </row>
    <row r="22" spans="1:28">
      <c r="A22" s="113">
        <v>8</v>
      </c>
      <c r="C22" s="360"/>
      <c r="D22" s="360"/>
      <c r="G22" s="123"/>
      <c r="I22" s="113"/>
      <c r="L22" s="123"/>
      <c r="Q22" s="113"/>
      <c r="V22" s="113" t="s">
        <v>4</v>
      </c>
      <c r="W22" s="113">
        <v>102</v>
      </c>
      <c r="X22" s="113">
        <v>103</v>
      </c>
    </row>
    <row r="23" spans="1:28">
      <c r="A23" s="113">
        <v>9</v>
      </c>
      <c r="C23" s="360"/>
      <c r="D23" s="360"/>
      <c r="G23" s="123"/>
      <c r="I23" s="113"/>
      <c r="L23" s="123"/>
      <c r="Q23" s="113"/>
      <c r="V23" s="366" t="s">
        <v>170</v>
      </c>
      <c r="W23" s="367" t="e">
        <f>SUMIFS(#REF!,#REF!,V23,#REF!,W$22)</f>
        <v>#REF!</v>
      </c>
      <c r="X23" s="368" t="e">
        <f>SUMIFS(#REF!,#REF!,V23,#REF!,X$22)</f>
        <v>#REF!</v>
      </c>
    </row>
    <row r="24" spans="1:28">
      <c r="A24" s="113">
        <v>10</v>
      </c>
      <c r="C24" s="360"/>
      <c r="D24" s="360"/>
      <c r="G24" s="123"/>
      <c r="I24" s="113"/>
      <c r="L24" s="123"/>
      <c r="Q24" s="113"/>
      <c r="V24" s="366" t="s">
        <v>261</v>
      </c>
      <c r="W24" s="367" t="e">
        <f>SUMIFS(#REF!,#REF!,V24,#REF!,W$22)</f>
        <v>#REF!</v>
      </c>
      <c r="X24" s="368" t="e">
        <f>SUMIFS(#REF!,#REF!,V24,#REF!,X$22)</f>
        <v>#REF!</v>
      </c>
    </row>
    <row r="25" spans="1:28">
      <c r="A25" s="113">
        <v>11</v>
      </c>
      <c r="C25" s="360"/>
      <c r="D25" s="360"/>
      <c r="G25" s="123"/>
      <c r="I25" s="113"/>
      <c r="L25" s="123"/>
      <c r="Q25" s="113"/>
      <c r="V25" s="366" t="s">
        <v>151</v>
      </c>
      <c r="W25" s="367" t="e">
        <f>SUMIFS(#REF!,#REF!,V25,#REF!,W$22)</f>
        <v>#REF!</v>
      </c>
      <c r="X25" s="368" t="e">
        <f>SUMIFS(#REF!,#REF!,V25,#REF!,X$22)</f>
        <v>#REF!</v>
      </c>
    </row>
    <row r="26" spans="1:28">
      <c r="A26" s="113">
        <v>12</v>
      </c>
      <c r="C26" s="360"/>
      <c r="D26" s="360"/>
      <c r="G26" s="123"/>
      <c r="I26" s="113"/>
      <c r="L26" s="123"/>
      <c r="Q26" s="113"/>
      <c r="V26" s="366" t="s">
        <v>143</v>
      </c>
      <c r="W26" s="367" t="e">
        <f>SUMIFS(#REF!,#REF!,V26,#REF!,W$22)</f>
        <v>#REF!</v>
      </c>
      <c r="X26" s="368" t="e">
        <f>SUMIFS(#REF!,#REF!,V26,#REF!,X$22)</f>
        <v>#REF!</v>
      </c>
    </row>
    <row r="27" spans="1:28">
      <c r="A27" s="113">
        <v>13</v>
      </c>
      <c r="C27" s="360"/>
      <c r="D27" s="360"/>
      <c r="G27" s="123"/>
      <c r="I27" s="113"/>
      <c r="L27" s="123"/>
      <c r="Q27" s="113"/>
      <c r="V27" s="366" t="s">
        <v>74</v>
      </c>
      <c r="W27" s="367" t="e">
        <f>SUMIFS(#REF!,#REF!,V27,#REF!,W$22)</f>
        <v>#REF!</v>
      </c>
      <c r="X27" s="368" t="e">
        <f>SUMIFS(#REF!,#REF!,V27,#REF!,X$22)</f>
        <v>#REF!</v>
      </c>
    </row>
    <row r="28" spans="1:28">
      <c r="A28" s="113">
        <v>14</v>
      </c>
      <c r="C28" s="360"/>
      <c r="D28" s="360"/>
      <c r="G28" s="123"/>
      <c r="I28" s="113"/>
      <c r="L28" s="123"/>
      <c r="Q28" s="113"/>
      <c r="V28" s="366" t="s">
        <v>145</v>
      </c>
      <c r="W28" s="367" t="e">
        <f>SUMIFS(#REF!,#REF!,V28,#REF!,W$22)</f>
        <v>#REF!</v>
      </c>
      <c r="X28" s="368" t="e">
        <f>SUMIFS(#REF!,#REF!,V28,#REF!,X$22)</f>
        <v>#REF!</v>
      </c>
    </row>
    <row r="29" spans="1:28">
      <c r="A29" s="113">
        <v>15</v>
      </c>
      <c r="C29" s="360"/>
      <c r="D29" s="360"/>
      <c r="G29" s="123"/>
      <c r="I29" s="113"/>
      <c r="L29" s="123"/>
      <c r="Q29" s="113"/>
      <c r="V29" s="366" t="s">
        <v>146</v>
      </c>
      <c r="W29" s="367" t="e">
        <f>SUMIFS(#REF!,#REF!,V29,#REF!,W$22)</f>
        <v>#REF!</v>
      </c>
      <c r="X29" s="368" t="e">
        <f>SUMIFS(#REF!,#REF!,V29,#REF!,X$22)</f>
        <v>#REF!</v>
      </c>
    </row>
    <row r="30" spans="1:28">
      <c r="A30" s="113">
        <v>16</v>
      </c>
      <c r="C30" s="360"/>
      <c r="D30" s="360"/>
      <c r="G30" s="123"/>
      <c r="I30" s="113"/>
      <c r="L30" s="123"/>
      <c r="Q30" s="113"/>
      <c r="V30" s="366" t="s">
        <v>147</v>
      </c>
      <c r="W30" s="367" t="e">
        <f>SUMIFS(#REF!,#REF!,V30,#REF!,W$22)</f>
        <v>#REF!</v>
      </c>
      <c r="X30" s="368" t="e">
        <f>SUMIFS(#REF!,#REF!,V30,#REF!,X$22)</f>
        <v>#REF!</v>
      </c>
    </row>
    <row r="31" spans="1:28">
      <c r="A31" s="113">
        <v>17</v>
      </c>
      <c r="C31" s="360"/>
      <c r="D31" s="360"/>
      <c r="G31" s="123"/>
      <c r="I31" s="113"/>
      <c r="L31" s="123"/>
      <c r="Q31" s="113"/>
      <c r="V31" s="366" t="s">
        <v>165</v>
      </c>
      <c r="W31" s="367" t="e">
        <f>SUMIFS(#REF!,#REF!,V31,#REF!,W$22)</f>
        <v>#REF!</v>
      </c>
      <c r="X31" s="368" t="e">
        <f>SUMIFS(#REF!,#REF!,V31,#REF!,X$22)</f>
        <v>#REF!</v>
      </c>
    </row>
    <row r="32" spans="1:28">
      <c r="A32" s="113">
        <v>18</v>
      </c>
      <c r="C32" s="360"/>
      <c r="D32" s="360"/>
      <c r="G32" s="123"/>
      <c r="I32" s="113"/>
      <c r="L32" s="123"/>
      <c r="Q32" s="113"/>
      <c r="V32" s="366" t="s">
        <v>259</v>
      </c>
      <c r="W32" s="367" t="e">
        <f>SUMIFS(#REF!,#REF!,V32,#REF!,W$22)</f>
        <v>#REF!</v>
      </c>
      <c r="X32" s="368" t="e">
        <f>SUMIFS(#REF!,#REF!,V32,#REF!,X$22)</f>
        <v>#REF!</v>
      </c>
    </row>
    <row r="33" spans="1:24">
      <c r="A33" s="113">
        <v>19</v>
      </c>
      <c r="C33" s="360"/>
      <c r="D33" s="360"/>
      <c r="G33" s="123"/>
      <c r="I33" s="113"/>
      <c r="L33" s="123"/>
      <c r="Q33" s="113"/>
      <c r="V33" s="366" t="s">
        <v>263</v>
      </c>
      <c r="W33" s="367" t="e">
        <f>SUMIFS(#REF!,#REF!,V33,#REF!,W$22)</f>
        <v>#REF!</v>
      </c>
      <c r="X33" s="368" t="e">
        <f>SUMIFS(#REF!,#REF!,V33,#REF!,X$22)</f>
        <v>#REF!</v>
      </c>
    </row>
    <row r="34" spans="1:24">
      <c r="A34" s="113">
        <v>20</v>
      </c>
      <c r="C34" s="360"/>
      <c r="D34" s="360"/>
      <c r="G34" s="123"/>
      <c r="I34" s="113"/>
      <c r="L34" s="123"/>
      <c r="Q34" s="113"/>
      <c r="V34" s="366" t="s">
        <v>262</v>
      </c>
      <c r="W34" s="367" t="e">
        <f>SUMIFS(#REF!,#REF!,V34,#REF!,W$22)</f>
        <v>#REF!</v>
      </c>
      <c r="X34" s="368" t="e">
        <f>SUMIFS(#REF!,#REF!,V34,#REF!,X$22)</f>
        <v>#REF!</v>
      </c>
    </row>
    <row r="35" spans="1:24">
      <c r="C35" s="360"/>
      <c r="D35" s="360"/>
      <c r="G35" s="123"/>
      <c r="I35" s="113"/>
      <c r="L35" s="123"/>
      <c r="Q35" s="113"/>
      <c r="V35" s="113" t="s">
        <v>167</v>
      </c>
      <c r="W35" s="367" t="e">
        <f>SUM(W23:W34)</f>
        <v>#REF!</v>
      </c>
      <c r="X35" s="368" t="e">
        <f>SUM(X23:X34)</f>
        <v>#REF!</v>
      </c>
    </row>
    <row r="36" spans="1:24">
      <c r="B36" s="113">
        <v>36</v>
      </c>
      <c r="C36" s="360"/>
      <c r="D36" s="360"/>
      <c r="G36" s="123"/>
      <c r="I36" s="113"/>
      <c r="L36" s="123"/>
      <c r="Q36" s="113"/>
    </row>
    <row r="37" spans="1:24">
      <c r="B37" s="113">
        <v>37</v>
      </c>
      <c r="C37" s="360"/>
      <c r="D37" s="360"/>
      <c r="G37" s="123"/>
      <c r="I37" s="113"/>
      <c r="L37" s="123"/>
      <c r="Q37" s="113"/>
    </row>
    <row r="38" spans="1:24">
      <c r="B38" s="868" t="s">
        <v>168</v>
      </c>
      <c r="C38" s="869" t="s">
        <v>8</v>
      </c>
      <c r="D38" s="870" t="s">
        <v>12</v>
      </c>
      <c r="E38" s="870" t="s">
        <v>1</v>
      </c>
      <c r="F38" s="870" t="s">
        <v>27</v>
      </c>
      <c r="G38" s="870" t="s">
        <v>68</v>
      </c>
      <c r="H38" s="870" t="s">
        <v>72</v>
      </c>
      <c r="I38" s="870" t="s">
        <v>69</v>
      </c>
      <c r="J38" s="870" t="s">
        <v>26</v>
      </c>
      <c r="K38" s="870" t="s">
        <v>67</v>
      </c>
      <c r="L38" s="870" t="s">
        <v>70</v>
      </c>
      <c r="M38" s="870" t="s">
        <v>43</v>
      </c>
      <c r="N38" s="870" t="s">
        <v>73</v>
      </c>
      <c r="O38" s="871" t="s">
        <v>71</v>
      </c>
      <c r="P38" s="872" t="s">
        <v>433</v>
      </c>
      <c r="Q38" s="873" t="s">
        <v>798</v>
      </c>
    </row>
    <row r="39" spans="1:24" hidden="1">
      <c r="B39" s="684">
        <v>1</v>
      </c>
      <c r="C39" s="4" t="s">
        <v>898</v>
      </c>
      <c r="D39" s="4">
        <v>10509420651</v>
      </c>
      <c r="E39" s="684" t="s">
        <v>896</v>
      </c>
      <c r="F39" s="684" t="s">
        <v>896</v>
      </c>
      <c r="G39" s="685">
        <v>46204</v>
      </c>
      <c r="H39" s="685" t="s">
        <v>276</v>
      </c>
      <c r="I39" s="686">
        <v>70000</v>
      </c>
      <c r="J39" s="687">
        <f ca="1">IF(B$1&gt;=الجدول3[[#This Row],[تاريخ الدفعة]],الجدول3[[#This Row],[مبلغ الدفعة]],0)</f>
        <v>70000</v>
      </c>
      <c r="K39" s="687">
        <v>70000</v>
      </c>
      <c r="L39" s="688">
        <v>46204</v>
      </c>
      <c r="M39" s="689" t="s">
        <v>164</v>
      </c>
      <c r="N39" s="690" t="s">
        <v>276</v>
      </c>
      <c r="O39" s="620">
        <f ca="1">الجدول3[[#This Row],[المدفوع]]-الجدول3[[#This Row],[المبلغ المستحق]]</f>
        <v>0</v>
      </c>
      <c r="P39" s="690"/>
      <c r="Q39" s="113"/>
    </row>
    <row r="40" spans="1:24" hidden="1">
      <c r="B40" s="369">
        <v>2</v>
      </c>
      <c r="C40" s="4" t="s">
        <v>898</v>
      </c>
      <c r="D40" s="4">
        <v>10509420651</v>
      </c>
      <c r="E40" s="370" t="s">
        <v>896</v>
      </c>
      <c r="F40" s="370" t="s">
        <v>896</v>
      </c>
      <c r="G40" s="617">
        <v>46419</v>
      </c>
      <c r="H40" s="617" t="s">
        <v>334</v>
      </c>
      <c r="I40" s="375">
        <v>70000</v>
      </c>
      <c r="J40" s="687">
        <f ca="1">IF(B$1&gt;=الجدول3[[#This Row],[تاريخ الدفعة]],الجدول3[[#This Row],[مبلغ الدفعة]],0)</f>
        <v>0</v>
      </c>
      <c r="K40" s="373">
        <v>0</v>
      </c>
      <c r="L40" s="619"/>
      <c r="M40" s="879" t="str" cm="1">
        <f t="array" aca="1" ref="M4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40" s="443"/>
      <c r="O40" s="620">
        <f ca="1">الجدول3[[#This Row],[المدفوع]]-الجدول3[[#This Row],[المبلغ المستحق]]</f>
        <v>0</v>
      </c>
      <c r="P40" s="621"/>
      <c r="Q40" s="113"/>
    </row>
    <row r="41" spans="1:24" hidden="1">
      <c r="B41" s="370">
        <v>3</v>
      </c>
      <c r="C41" s="4" t="s">
        <v>898</v>
      </c>
      <c r="D41" s="4">
        <v>10509420651</v>
      </c>
      <c r="E41" s="370" t="s">
        <v>896</v>
      </c>
      <c r="F41" s="370" t="s">
        <v>896</v>
      </c>
      <c r="G41" s="371">
        <v>46631</v>
      </c>
      <c r="H41" s="617" t="s">
        <v>339</v>
      </c>
      <c r="I41" s="375">
        <v>70000</v>
      </c>
      <c r="J41" s="687">
        <f ca="1">IF(B$1&gt;=الجدول3[[#This Row],[تاريخ الدفعة]],الجدول3[[#This Row],[مبلغ الدفعة]],0)</f>
        <v>0</v>
      </c>
      <c r="K41" s="373">
        <v>0</v>
      </c>
      <c r="L41" s="619"/>
      <c r="M41" s="879" t="str" cm="1">
        <f t="array" aca="1" ref="M4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41" s="443"/>
      <c r="O41" s="620">
        <f ca="1">الجدول3[[#This Row],[المدفوع]]-الجدول3[[#This Row],[المبلغ المستحق]]</f>
        <v>0</v>
      </c>
      <c r="P41" s="621"/>
      <c r="Q41" s="113"/>
    </row>
    <row r="42" spans="1:24" hidden="1">
      <c r="B42" s="369">
        <v>4</v>
      </c>
      <c r="C42" s="4" t="s">
        <v>898</v>
      </c>
      <c r="D42" s="4">
        <v>10509420651</v>
      </c>
      <c r="E42" s="370" t="s">
        <v>896</v>
      </c>
      <c r="F42" s="370" t="s">
        <v>896</v>
      </c>
      <c r="G42" s="617">
        <v>46844</v>
      </c>
      <c r="H42" s="617" t="s">
        <v>345</v>
      </c>
      <c r="I42" s="375">
        <v>70000</v>
      </c>
      <c r="J42" s="687">
        <f ca="1">IF(B$1&gt;=الجدول3[[#This Row],[تاريخ الدفعة]],الجدول3[[#This Row],[مبلغ الدفعة]],0)</f>
        <v>0</v>
      </c>
      <c r="K42" s="373">
        <v>0</v>
      </c>
      <c r="L42" s="619"/>
      <c r="M42" s="879" t="str" cm="1">
        <f t="array" aca="1" ref="M4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42" s="443"/>
      <c r="O42" s="620">
        <f ca="1">الجدول3[[#This Row],[المدفوع]]-الجدول3[[#This Row],[المبلغ المستحق]]</f>
        <v>0</v>
      </c>
      <c r="P42" s="621"/>
      <c r="Q42" s="113"/>
    </row>
    <row r="43" spans="1:24" hidden="1">
      <c r="B43" s="370">
        <v>5</v>
      </c>
      <c r="C43" s="4" t="s">
        <v>898</v>
      </c>
      <c r="D43" s="4">
        <v>10509420651</v>
      </c>
      <c r="E43" s="370" t="s">
        <v>896</v>
      </c>
      <c r="F43" s="370" t="s">
        <v>896</v>
      </c>
      <c r="G43" s="371">
        <v>47058</v>
      </c>
      <c r="H43" s="371" t="s">
        <v>350</v>
      </c>
      <c r="I43" s="375">
        <v>70000</v>
      </c>
      <c r="J43" s="687">
        <f ca="1">IF(B$1&gt;=الجدول3[[#This Row],[تاريخ الدفعة]],الجدول3[[#This Row],[مبلغ الدفعة]],0)</f>
        <v>0</v>
      </c>
      <c r="K43" s="373">
        <v>0</v>
      </c>
      <c r="L43" s="619"/>
      <c r="M43" s="879" t="str" cm="1">
        <f t="array" aca="1" ref="M4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43" s="443"/>
      <c r="O43" s="620">
        <f ca="1">الجدول3[[#This Row],[المدفوع]]-الجدول3[[#This Row],[المبلغ المستحق]]</f>
        <v>0</v>
      </c>
      <c r="P43" s="621"/>
      <c r="Q43" s="113"/>
    </row>
    <row r="44" spans="1:24" hidden="1">
      <c r="B44" s="369">
        <v>6</v>
      </c>
      <c r="C44" s="4" t="s">
        <v>898</v>
      </c>
      <c r="D44" s="4">
        <v>10509420651</v>
      </c>
      <c r="E44" s="370" t="s">
        <v>896</v>
      </c>
      <c r="F44" s="370" t="s">
        <v>896</v>
      </c>
      <c r="G44" s="617">
        <v>47270</v>
      </c>
      <c r="H44" s="617" t="s">
        <v>356</v>
      </c>
      <c r="I44" s="375">
        <v>70000</v>
      </c>
      <c r="J44" s="687">
        <f ca="1">IF(B$1&gt;=الجدول3[[#This Row],[تاريخ الدفعة]],الجدول3[[#This Row],[مبلغ الدفعة]],0)</f>
        <v>0</v>
      </c>
      <c r="K44" s="373">
        <v>0</v>
      </c>
      <c r="L44" s="619"/>
      <c r="M44" s="879" t="str" cm="1">
        <f t="array" aca="1" ref="M4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44" s="443"/>
      <c r="O44" s="620">
        <f ca="1">الجدول3[[#This Row],[المدفوع]]-الجدول3[[#This Row],[المبلغ المستحق]]</f>
        <v>0</v>
      </c>
      <c r="P44" s="621"/>
      <c r="Q44" s="113"/>
    </row>
    <row r="45" spans="1:24" hidden="1">
      <c r="B45" s="370">
        <v>7</v>
      </c>
      <c r="C45" s="4" t="s">
        <v>898</v>
      </c>
      <c r="D45" s="4">
        <v>10509420651</v>
      </c>
      <c r="E45" s="370" t="s">
        <v>896</v>
      </c>
      <c r="F45" s="370" t="s">
        <v>896</v>
      </c>
      <c r="G45" s="371">
        <v>47484</v>
      </c>
      <c r="H45" s="617" t="s">
        <v>361</v>
      </c>
      <c r="I45" s="375">
        <v>70000</v>
      </c>
      <c r="J45" s="687">
        <f ca="1">IF(B$1&gt;=الجدول3[[#This Row],[تاريخ الدفعة]],الجدول3[[#This Row],[مبلغ الدفعة]],0)</f>
        <v>0</v>
      </c>
      <c r="K45" s="373">
        <v>0</v>
      </c>
      <c r="L45" s="619"/>
      <c r="M45" s="879" t="str" cm="1">
        <f t="array" aca="1" ref="M4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45" s="443"/>
      <c r="O45" s="620">
        <f ca="1">الجدول3[[#This Row],[المدفوع]]-الجدول3[[#This Row],[المبلغ المستحق]]</f>
        <v>0</v>
      </c>
      <c r="P45" s="621"/>
      <c r="Q45" s="113"/>
    </row>
    <row r="46" spans="1:24" hidden="1">
      <c r="B46" s="369">
        <v>8</v>
      </c>
      <c r="C46" s="4" t="s">
        <v>898</v>
      </c>
      <c r="D46" s="4">
        <v>10509420651</v>
      </c>
      <c r="E46" s="370" t="s">
        <v>896</v>
      </c>
      <c r="F46" s="370" t="s">
        <v>896</v>
      </c>
      <c r="G46" s="617">
        <v>47696</v>
      </c>
      <c r="H46" s="617" t="s">
        <v>367</v>
      </c>
      <c r="I46" s="375">
        <v>70000</v>
      </c>
      <c r="J46" s="687">
        <f ca="1">IF(B$1&gt;=الجدول3[[#This Row],[تاريخ الدفعة]],الجدول3[[#This Row],[مبلغ الدفعة]],0)</f>
        <v>0</v>
      </c>
      <c r="K46" s="373">
        <v>0</v>
      </c>
      <c r="L46" s="619"/>
      <c r="M46" s="879" t="str" cm="1">
        <f t="array" aca="1" ref="M4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46" s="443"/>
      <c r="O46" s="620">
        <f ca="1">الجدول3[[#This Row],[المدفوع]]-الجدول3[[#This Row],[المبلغ المستحق]]</f>
        <v>0</v>
      </c>
      <c r="P46" s="621"/>
      <c r="Q46" s="113"/>
    </row>
    <row r="47" spans="1:24" hidden="1">
      <c r="B47" s="370">
        <v>9</v>
      </c>
      <c r="C47" s="4" t="s">
        <v>898</v>
      </c>
      <c r="D47" s="4">
        <v>10509420651</v>
      </c>
      <c r="E47" s="370" t="s">
        <v>896</v>
      </c>
      <c r="F47" s="370" t="s">
        <v>896</v>
      </c>
      <c r="G47" s="371">
        <v>47908</v>
      </c>
      <c r="H47" s="371" t="s">
        <v>372</v>
      </c>
      <c r="I47" s="375">
        <v>70000</v>
      </c>
      <c r="J47" s="687">
        <f ca="1">IF(B$1&gt;=الجدول3[[#This Row],[تاريخ الدفعة]],الجدول3[[#This Row],[مبلغ الدفعة]],0)</f>
        <v>0</v>
      </c>
      <c r="K47" s="373">
        <v>0</v>
      </c>
      <c r="L47" s="619"/>
      <c r="M47" s="879" t="str" cm="1">
        <f t="array" aca="1" ref="M4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47" s="443"/>
      <c r="O47" s="620">
        <f ca="1">الجدول3[[#This Row],[المدفوع]]-الجدول3[[#This Row],[المبلغ المستحق]]</f>
        <v>0</v>
      </c>
      <c r="P47" s="621"/>
      <c r="Q47" s="113"/>
    </row>
    <row r="48" spans="1:24" hidden="1">
      <c r="B48" s="369">
        <v>10</v>
      </c>
      <c r="C48" s="4" t="s">
        <v>898</v>
      </c>
      <c r="D48" s="4">
        <v>10509420651</v>
      </c>
      <c r="E48" s="370" t="s">
        <v>896</v>
      </c>
      <c r="F48" s="370" t="s">
        <v>896</v>
      </c>
      <c r="G48" s="617">
        <v>48122</v>
      </c>
      <c r="H48" s="617" t="s">
        <v>943</v>
      </c>
      <c r="I48" s="375">
        <v>70000</v>
      </c>
      <c r="J48" s="687">
        <f ca="1">IF(B$1&gt;=الجدول3[[#This Row],[تاريخ الدفعة]],الجدول3[[#This Row],[مبلغ الدفعة]],0)</f>
        <v>0</v>
      </c>
      <c r="K48" s="373">
        <v>0</v>
      </c>
      <c r="L48" s="619"/>
      <c r="M48" s="879" t="str" cm="1">
        <f t="array" aca="1" ref="M4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48" s="443"/>
      <c r="O48" s="620">
        <f ca="1">الجدول3[[#This Row],[المدفوع]]-الجدول3[[#This Row],[المبلغ المستحق]]</f>
        <v>0</v>
      </c>
      <c r="P48" s="621"/>
      <c r="Q48" s="113"/>
    </row>
    <row r="49" spans="2:17" hidden="1">
      <c r="B49" s="370">
        <v>11</v>
      </c>
      <c r="C49" s="623" t="s">
        <v>899</v>
      </c>
      <c r="D49" s="4">
        <v>10855099232</v>
      </c>
      <c r="E49" s="370" t="s">
        <v>897</v>
      </c>
      <c r="F49" s="370" t="s">
        <v>897</v>
      </c>
      <c r="G49" s="371">
        <v>46206</v>
      </c>
      <c r="H49" s="371" t="s">
        <v>276</v>
      </c>
      <c r="I49" s="375">
        <v>80000</v>
      </c>
      <c r="J49" s="687">
        <f ca="1">IF(B$1&gt;=الجدول3[[#This Row],[تاريخ الدفعة]],الجدول3[[#This Row],[مبلغ الدفعة]],0)</f>
        <v>80000</v>
      </c>
      <c r="K49" s="373">
        <v>80000</v>
      </c>
      <c r="L49" s="374">
        <v>46208</v>
      </c>
      <c r="M49" s="689" t="s">
        <v>164</v>
      </c>
      <c r="N49" s="443" t="s">
        <v>276</v>
      </c>
      <c r="O49" s="620">
        <f ca="1">الجدول3[[#This Row],[المدفوع]]-الجدول3[[#This Row],[المبلغ المستحق]]</f>
        <v>0</v>
      </c>
      <c r="P49" s="443"/>
      <c r="Q49" s="113"/>
    </row>
    <row r="50" spans="2:17" hidden="1">
      <c r="B50" s="369">
        <v>12</v>
      </c>
      <c r="C50" s="623" t="s">
        <v>899</v>
      </c>
      <c r="D50" s="4">
        <v>10855099232</v>
      </c>
      <c r="E50" s="370" t="s">
        <v>897</v>
      </c>
      <c r="F50" s="370" t="s">
        <v>897</v>
      </c>
      <c r="G50" s="371">
        <v>46421</v>
      </c>
      <c r="H50" s="617" t="s">
        <v>334</v>
      </c>
      <c r="I50" s="375">
        <v>80000</v>
      </c>
      <c r="J50" s="687">
        <f ca="1">IF(B$1&gt;=الجدول3[[#This Row],[تاريخ الدفعة]],الجدول3[[#This Row],[مبلغ الدفعة]],0)</f>
        <v>0</v>
      </c>
      <c r="K50" s="373">
        <v>0</v>
      </c>
      <c r="L50" s="374"/>
      <c r="M50" s="879" t="str" cm="1">
        <f t="array" aca="1" ref="M5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0" s="443"/>
      <c r="O50" s="620">
        <f ca="1">الجدول3[[#This Row],[المدفوع]]-الجدول3[[#This Row],[المبلغ المستحق]]</f>
        <v>0</v>
      </c>
      <c r="P50" s="443"/>
      <c r="Q50" s="113"/>
    </row>
    <row r="51" spans="2:17" hidden="1">
      <c r="B51" s="370">
        <v>13</v>
      </c>
      <c r="C51" s="623" t="s">
        <v>899</v>
      </c>
      <c r="D51" s="4">
        <v>10855099232</v>
      </c>
      <c r="E51" s="370" t="s">
        <v>897</v>
      </c>
      <c r="F51" s="370" t="s">
        <v>897</v>
      </c>
      <c r="G51" s="371">
        <v>46633</v>
      </c>
      <c r="H51" s="617" t="s">
        <v>339</v>
      </c>
      <c r="I51" s="375">
        <v>80000</v>
      </c>
      <c r="J51" s="687">
        <f ca="1">IF(B$1&gt;=الجدول3[[#This Row],[تاريخ الدفعة]],الجدول3[[#This Row],[مبلغ الدفعة]],0)</f>
        <v>0</v>
      </c>
      <c r="K51" s="373">
        <v>0</v>
      </c>
      <c r="L51" s="374"/>
      <c r="M51" s="879" t="str" cm="1">
        <f t="array" aca="1" ref="M5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1" s="443"/>
      <c r="O51" s="620">
        <f ca="1">الجدول3[[#This Row],[المدفوع]]-الجدول3[[#This Row],[المبلغ المستحق]]</f>
        <v>0</v>
      </c>
      <c r="P51" s="443"/>
      <c r="Q51" s="113"/>
    </row>
    <row r="52" spans="2:17" hidden="1">
      <c r="B52" s="369">
        <v>14</v>
      </c>
      <c r="C52" s="623" t="s">
        <v>899</v>
      </c>
      <c r="D52" s="4">
        <v>10855099232</v>
      </c>
      <c r="E52" s="370" t="s">
        <v>897</v>
      </c>
      <c r="F52" s="370" t="s">
        <v>897</v>
      </c>
      <c r="G52" s="371">
        <v>46846</v>
      </c>
      <c r="H52" s="617" t="s">
        <v>345</v>
      </c>
      <c r="I52" s="375">
        <v>80000</v>
      </c>
      <c r="J52" s="687">
        <f ca="1">IF(B$1&gt;=الجدول3[[#This Row],[تاريخ الدفعة]],الجدول3[[#This Row],[مبلغ الدفعة]],0)</f>
        <v>0</v>
      </c>
      <c r="K52" s="373">
        <v>0</v>
      </c>
      <c r="L52" s="374"/>
      <c r="M52" s="879" t="str" cm="1">
        <f t="array" aca="1" ref="M5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2" s="443"/>
      <c r="O52" s="620">
        <f ca="1">الجدول3[[#This Row],[المدفوع]]-الجدول3[[#This Row],[المبلغ المستحق]]</f>
        <v>0</v>
      </c>
      <c r="P52" s="443"/>
      <c r="Q52" s="113"/>
    </row>
    <row r="53" spans="2:17" hidden="1">
      <c r="B53" s="370">
        <v>15</v>
      </c>
      <c r="C53" s="623" t="s">
        <v>899</v>
      </c>
      <c r="D53" s="4">
        <v>10855099232</v>
      </c>
      <c r="E53" s="370" t="s">
        <v>897</v>
      </c>
      <c r="F53" s="370" t="s">
        <v>897</v>
      </c>
      <c r="G53" s="371">
        <v>47060</v>
      </c>
      <c r="H53" s="371" t="s">
        <v>350</v>
      </c>
      <c r="I53" s="375">
        <v>80000</v>
      </c>
      <c r="J53" s="687">
        <f ca="1">IF(B$1&gt;=الجدول3[[#This Row],[تاريخ الدفعة]],الجدول3[[#This Row],[مبلغ الدفعة]],0)</f>
        <v>0</v>
      </c>
      <c r="K53" s="373">
        <v>0</v>
      </c>
      <c r="L53" s="374"/>
      <c r="M53" s="879" t="str" cm="1">
        <f t="array" aca="1" ref="M5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3" s="443"/>
      <c r="O53" s="620">
        <f ca="1">الجدول3[[#This Row],[المدفوع]]-الجدول3[[#This Row],[المبلغ المستحق]]</f>
        <v>0</v>
      </c>
      <c r="P53" s="443"/>
      <c r="Q53" s="113"/>
    </row>
    <row r="54" spans="2:17" hidden="1">
      <c r="B54" s="369">
        <v>16</v>
      </c>
      <c r="C54" s="622" t="s">
        <v>899</v>
      </c>
      <c r="D54" s="4">
        <v>10855099232</v>
      </c>
      <c r="E54" s="370" t="s">
        <v>897</v>
      </c>
      <c r="F54" s="370" t="s">
        <v>897</v>
      </c>
      <c r="G54" s="371">
        <v>47272</v>
      </c>
      <c r="H54" s="617" t="s">
        <v>356</v>
      </c>
      <c r="I54" s="375">
        <v>80000</v>
      </c>
      <c r="J54" s="687">
        <f ca="1">IF(B$1&gt;=الجدول3[[#This Row],[تاريخ الدفعة]],الجدول3[[#This Row],[مبلغ الدفعة]],0)</f>
        <v>0</v>
      </c>
      <c r="K54" s="373">
        <v>0</v>
      </c>
      <c r="L54" s="619"/>
      <c r="M54" s="879" t="str" cm="1">
        <f t="array" aca="1" ref="M5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4" s="443"/>
      <c r="O54" s="620">
        <f ca="1">الجدول3[[#This Row],[المدفوع]]-الجدول3[[#This Row],[المبلغ المستحق]]</f>
        <v>0</v>
      </c>
      <c r="P54" s="621"/>
      <c r="Q54" s="113"/>
    </row>
    <row r="55" spans="2:17" hidden="1">
      <c r="B55" s="370">
        <v>17</v>
      </c>
      <c r="C55" s="622" t="s">
        <v>899</v>
      </c>
      <c r="D55" s="4">
        <v>10855099232</v>
      </c>
      <c r="E55" s="370" t="s">
        <v>897</v>
      </c>
      <c r="F55" s="370" t="s">
        <v>897</v>
      </c>
      <c r="G55" s="371">
        <v>47486</v>
      </c>
      <c r="H55" s="617" t="s">
        <v>361</v>
      </c>
      <c r="I55" s="375">
        <v>80000</v>
      </c>
      <c r="J55" s="687">
        <f ca="1">IF(B$1&gt;=الجدول3[[#This Row],[تاريخ الدفعة]],الجدول3[[#This Row],[مبلغ الدفعة]],0)</f>
        <v>0</v>
      </c>
      <c r="K55" s="373">
        <v>0</v>
      </c>
      <c r="L55" s="619"/>
      <c r="M55" s="879" t="str" cm="1">
        <f t="array" aca="1" ref="M5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5" s="443"/>
      <c r="O55" s="620">
        <f ca="1">الجدول3[[#This Row],[المدفوع]]-الجدول3[[#This Row],[المبلغ المستحق]]</f>
        <v>0</v>
      </c>
      <c r="P55" s="621"/>
      <c r="Q55" s="113"/>
    </row>
    <row r="56" spans="2:17" hidden="1">
      <c r="B56" s="369">
        <v>18</v>
      </c>
      <c r="C56" s="622" t="s">
        <v>899</v>
      </c>
      <c r="D56" s="4">
        <v>10855099232</v>
      </c>
      <c r="E56" s="370" t="s">
        <v>897</v>
      </c>
      <c r="F56" s="370" t="s">
        <v>897</v>
      </c>
      <c r="G56" s="371">
        <v>47698</v>
      </c>
      <c r="H56" s="617" t="s">
        <v>367</v>
      </c>
      <c r="I56" s="375">
        <v>80000</v>
      </c>
      <c r="J56" s="687">
        <f ca="1">IF(B$1&gt;=الجدول3[[#This Row],[تاريخ الدفعة]],الجدول3[[#This Row],[مبلغ الدفعة]],0)</f>
        <v>0</v>
      </c>
      <c r="K56" s="373">
        <v>0</v>
      </c>
      <c r="L56" s="619"/>
      <c r="M56" s="879" t="str" cm="1">
        <f t="array" aca="1" ref="M5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6" s="443"/>
      <c r="O56" s="620">
        <f ca="1">الجدول3[[#This Row],[المدفوع]]-الجدول3[[#This Row],[المبلغ المستحق]]</f>
        <v>0</v>
      </c>
      <c r="P56" s="621"/>
      <c r="Q56" s="113"/>
    </row>
    <row r="57" spans="2:17" hidden="1">
      <c r="B57" s="370">
        <v>19</v>
      </c>
      <c r="C57" s="622" t="s">
        <v>899</v>
      </c>
      <c r="D57" s="4">
        <v>10855099232</v>
      </c>
      <c r="E57" s="370" t="s">
        <v>897</v>
      </c>
      <c r="F57" s="370" t="s">
        <v>897</v>
      </c>
      <c r="G57" s="371">
        <v>47910</v>
      </c>
      <c r="H57" s="371" t="s">
        <v>372</v>
      </c>
      <c r="I57" s="375">
        <v>80000</v>
      </c>
      <c r="J57" s="687">
        <f ca="1">IF(B$1&gt;=الجدول3[[#This Row],[تاريخ الدفعة]],الجدول3[[#This Row],[مبلغ الدفعة]],0)</f>
        <v>0</v>
      </c>
      <c r="K57" s="373">
        <v>0</v>
      </c>
      <c r="L57" s="619"/>
      <c r="M57" s="879" t="str" cm="1">
        <f t="array" aca="1" ref="M5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7" s="443"/>
      <c r="O57" s="620">
        <f ca="1">الجدول3[[#This Row],[المدفوع]]-الجدول3[[#This Row],[المبلغ المستحق]]</f>
        <v>0</v>
      </c>
      <c r="P57" s="621"/>
      <c r="Q57" s="113"/>
    </row>
    <row r="58" spans="2:17" hidden="1">
      <c r="B58" s="369">
        <v>20</v>
      </c>
      <c r="C58" s="622" t="s">
        <v>899</v>
      </c>
      <c r="D58" s="4">
        <v>10855099232</v>
      </c>
      <c r="E58" s="370" t="s">
        <v>897</v>
      </c>
      <c r="F58" s="370" t="s">
        <v>897</v>
      </c>
      <c r="G58" s="371">
        <v>48124</v>
      </c>
      <c r="H58" s="617" t="s">
        <v>943</v>
      </c>
      <c r="I58" s="375">
        <v>80000</v>
      </c>
      <c r="J58" s="687">
        <f ca="1">IF(B$1&gt;=الجدول3[[#This Row],[تاريخ الدفعة]],الجدول3[[#This Row],[مبلغ الدفعة]],0)</f>
        <v>0</v>
      </c>
      <c r="K58" s="373">
        <v>0</v>
      </c>
      <c r="L58" s="374"/>
      <c r="M58" s="879" t="str" cm="1">
        <f t="array" aca="1" ref="M5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8" s="443"/>
      <c r="O58" s="620">
        <f ca="1">الجدول3[[#This Row],[المدفوع]]-الجدول3[[#This Row],[المبلغ المستحق]]</f>
        <v>0</v>
      </c>
      <c r="P58" s="443"/>
      <c r="Q58" s="113"/>
    </row>
    <row r="59" spans="2:17" hidden="1">
      <c r="B59" s="370">
        <v>109</v>
      </c>
      <c r="C59" s="725" t="s">
        <v>924</v>
      </c>
      <c r="D59" s="4">
        <v>10229579861</v>
      </c>
      <c r="E59" s="370" t="s">
        <v>28</v>
      </c>
      <c r="F59" s="370" t="s">
        <v>896</v>
      </c>
      <c r="G59" s="371">
        <v>46264</v>
      </c>
      <c r="H59" s="371" t="s">
        <v>277</v>
      </c>
      <c r="I59" s="375">
        <v>2000</v>
      </c>
      <c r="J59" s="687">
        <f ca="1">IF(B$1&gt;=الجدول3[[#This Row],[تاريخ الدفعة]],الجدول3[[#This Row],[مبلغ الدفعة]],0)</f>
        <v>2000</v>
      </c>
      <c r="K59" s="373">
        <v>2000</v>
      </c>
      <c r="L59" s="374">
        <v>46266</v>
      </c>
      <c r="M59" s="689" t="s">
        <v>164</v>
      </c>
      <c r="N59" s="443" t="s">
        <v>328</v>
      </c>
      <c r="O59" s="620">
        <f ca="1">الجدول3[[#This Row],[المدفوع]]-الجدول3[[#This Row],[المبلغ المستحق]]</f>
        <v>0</v>
      </c>
      <c r="P59" s="443"/>
      <c r="Q59" s="113"/>
    </row>
    <row r="60" spans="2:17" hidden="1">
      <c r="B60" s="369">
        <v>110</v>
      </c>
      <c r="C60" s="622" t="s">
        <v>924</v>
      </c>
      <c r="D60" s="4">
        <v>10229579861</v>
      </c>
      <c r="E60" s="370" t="s">
        <v>28</v>
      </c>
      <c r="F60" s="370" t="s">
        <v>896</v>
      </c>
      <c r="G60" s="371">
        <v>46295</v>
      </c>
      <c r="H60" s="617" t="s">
        <v>328</v>
      </c>
      <c r="I60" s="375">
        <v>2000</v>
      </c>
      <c r="J60" s="687">
        <f ca="1">IF(B$1&gt;=الجدول3[[#This Row],[تاريخ الدفعة]],الجدول3[[#This Row],[مبلغ الدفعة]],0)</f>
        <v>2000</v>
      </c>
      <c r="K60" s="373">
        <v>2000</v>
      </c>
      <c r="L60" s="619">
        <v>46295</v>
      </c>
      <c r="M60" s="689" t="s">
        <v>164</v>
      </c>
      <c r="N60" s="443" t="s">
        <v>328</v>
      </c>
      <c r="O60" s="620">
        <f ca="1">الجدول3[[#This Row],[المدفوع]]-الجدول3[[#This Row],[المبلغ المستحق]]</f>
        <v>0</v>
      </c>
      <c r="P60" s="621"/>
      <c r="Q60" s="113"/>
    </row>
    <row r="61" spans="2:17" hidden="1">
      <c r="B61" s="370">
        <v>23</v>
      </c>
      <c r="C61" s="622" t="s">
        <v>900</v>
      </c>
      <c r="D61" s="857">
        <v>10727655349</v>
      </c>
      <c r="E61" s="370" t="s">
        <v>31</v>
      </c>
      <c r="F61" s="370" t="s">
        <v>896</v>
      </c>
      <c r="G61" s="371">
        <v>46310</v>
      </c>
      <c r="H61" s="617" t="s">
        <v>331</v>
      </c>
      <c r="I61" s="375">
        <v>2000</v>
      </c>
      <c r="J61" s="687">
        <f ca="1">IF(B$1&gt;=الجدول3[[#This Row],[تاريخ الدفعة]],الجدول3[[#This Row],[مبلغ الدفعة]],0)</f>
        <v>2000</v>
      </c>
      <c r="K61" s="373">
        <v>2000</v>
      </c>
      <c r="L61" s="619">
        <v>46314</v>
      </c>
      <c r="M61" s="879" t="s">
        <v>41</v>
      </c>
      <c r="N61" s="443" t="s">
        <v>331</v>
      </c>
      <c r="O61" s="620">
        <f ca="1">الجدول3[[#This Row],[المدفوع]]-الجدول3[[#This Row],[المبلغ المستحق]]</f>
        <v>0</v>
      </c>
      <c r="P61" s="621"/>
      <c r="Q61" s="113"/>
    </row>
    <row r="62" spans="2:17" hidden="1">
      <c r="B62" s="369">
        <v>24</v>
      </c>
      <c r="C62" s="622" t="s">
        <v>900</v>
      </c>
      <c r="D62" s="4">
        <v>10727655349</v>
      </c>
      <c r="E62" s="370" t="s">
        <v>31</v>
      </c>
      <c r="F62" s="370" t="s">
        <v>896</v>
      </c>
      <c r="G62" s="371">
        <v>46341</v>
      </c>
      <c r="H62" s="617" t="s">
        <v>332</v>
      </c>
      <c r="I62" s="375">
        <v>2000</v>
      </c>
      <c r="J62" s="687">
        <f ca="1">IF(B$1&gt;=الجدول3[[#This Row],[تاريخ الدفعة]],الجدول3[[#This Row],[مبلغ الدفعة]],0)</f>
        <v>0</v>
      </c>
      <c r="K62" s="373">
        <v>0</v>
      </c>
      <c r="L62" s="619"/>
      <c r="M62" s="879" t="str" cm="1">
        <f t="array" aca="1" ref="M6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2" s="443"/>
      <c r="O62" s="620">
        <f ca="1">الجدول3[[#This Row],[المدفوع]]-الجدول3[[#This Row],[المبلغ المستحق]]</f>
        <v>0</v>
      </c>
      <c r="P62" s="621"/>
      <c r="Q62" s="113"/>
    </row>
    <row r="63" spans="2:17" hidden="1">
      <c r="B63" s="370">
        <v>25</v>
      </c>
      <c r="C63" s="622" t="s">
        <v>900</v>
      </c>
      <c r="D63" s="4">
        <v>10727655349</v>
      </c>
      <c r="E63" s="370" t="s">
        <v>31</v>
      </c>
      <c r="F63" s="370" t="s">
        <v>896</v>
      </c>
      <c r="G63" s="371">
        <v>46371</v>
      </c>
      <c r="H63" s="617" t="s">
        <v>333</v>
      </c>
      <c r="I63" s="375">
        <v>2000</v>
      </c>
      <c r="J63" s="687">
        <f ca="1">IF(B$1&gt;=الجدول3[[#This Row],[تاريخ الدفعة]],الجدول3[[#This Row],[مبلغ الدفعة]],0)</f>
        <v>0</v>
      </c>
      <c r="K63" s="373">
        <v>0</v>
      </c>
      <c r="L63" s="619"/>
      <c r="M63" s="879" t="str" cm="1">
        <f t="array" aca="1" ref="M6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3" s="443"/>
      <c r="O63" s="620">
        <f ca="1">الجدول3[[#This Row],[المدفوع]]-الجدول3[[#This Row],[المبلغ المستحق]]</f>
        <v>0</v>
      </c>
      <c r="P63" s="621"/>
      <c r="Q63" s="113"/>
    </row>
    <row r="64" spans="2:17" hidden="1">
      <c r="B64" s="369">
        <v>26</v>
      </c>
      <c r="C64" s="622" t="s">
        <v>900</v>
      </c>
      <c r="D64" s="4">
        <v>10727655349</v>
      </c>
      <c r="E64" s="370" t="s">
        <v>31</v>
      </c>
      <c r="F64" s="370" t="s">
        <v>896</v>
      </c>
      <c r="G64" s="371">
        <v>46402</v>
      </c>
      <c r="H64" s="617" t="s">
        <v>637</v>
      </c>
      <c r="I64" s="375">
        <v>2000</v>
      </c>
      <c r="J64" s="687">
        <f ca="1">IF(B$1&gt;=الجدول3[[#This Row],[تاريخ الدفعة]],الجدول3[[#This Row],[مبلغ الدفعة]],0)</f>
        <v>0</v>
      </c>
      <c r="K64" s="373">
        <v>0</v>
      </c>
      <c r="L64" s="619"/>
      <c r="M64" s="879" t="str" cm="1">
        <f t="array" aca="1" ref="M6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4" s="443"/>
      <c r="O64" s="620">
        <f ca="1">الجدول3[[#This Row],[المدفوع]]-الجدول3[[#This Row],[المبلغ المستحق]]</f>
        <v>0</v>
      </c>
      <c r="P64" s="621"/>
      <c r="Q64" s="113"/>
    </row>
    <row r="65" spans="2:17" hidden="1">
      <c r="B65" s="370">
        <v>27</v>
      </c>
      <c r="C65" s="622" t="s">
        <v>900</v>
      </c>
      <c r="D65" s="4">
        <v>10727655349</v>
      </c>
      <c r="E65" s="370" t="s">
        <v>31</v>
      </c>
      <c r="F65" s="370" t="s">
        <v>896</v>
      </c>
      <c r="G65" s="371">
        <v>46433</v>
      </c>
      <c r="H65" s="617" t="s">
        <v>334</v>
      </c>
      <c r="I65" s="375">
        <v>2000</v>
      </c>
      <c r="J65" s="687">
        <f ca="1">IF(B$1&gt;=الجدول3[[#This Row],[تاريخ الدفعة]],الجدول3[[#This Row],[مبلغ الدفعة]],0)</f>
        <v>0</v>
      </c>
      <c r="K65" s="373">
        <v>0</v>
      </c>
      <c r="L65" s="619"/>
      <c r="M65" s="879" t="str" cm="1">
        <f t="array" aca="1" ref="M6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5" s="443"/>
      <c r="O65" s="620">
        <f ca="1">الجدول3[[#This Row],[المدفوع]]-الجدول3[[#This Row],[المبلغ المستحق]]</f>
        <v>0</v>
      </c>
      <c r="P65" s="621"/>
      <c r="Q65" s="113"/>
    </row>
    <row r="66" spans="2:17" hidden="1">
      <c r="B66" s="369">
        <v>28</v>
      </c>
      <c r="C66" s="622" t="s">
        <v>900</v>
      </c>
      <c r="D66" s="4">
        <v>10727655349</v>
      </c>
      <c r="E66" s="370" t="s">
        <v>31</v>
      </c>
      <c r="F66" s="370" t="s">
        <v>896</v>
      </c>
      <c r="G66" s="371">
        <v>46461</v>
      </c>
      <c r="H66" s="617" t="s">
        <v>335</v>
      </c>
      <c r="I66" s="375">
        <v>2000</v>
      </c>
      <c r="J66" s="687">
        <f ca="1">IF(B$1&gt;=الجدول3[[#This Row],[تاريخ الدفعة]],الجدول3[[#This Row],[مبلغ الدفعة]],0)</f>
        <v>0</v>
      </c>
      <c r="K66" s="373">
        <v>0</v>
      </c>
      <c r="L66" s="619"/>
      <c r="M66" s="879" t="str" cm="1">
        <f t="array" aca="1" ref="M6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6" s="443"/>
      <c r="O66" s="620">
        <f ca="1">الجدول3[[#This Row],[المدفوع]]-الجدول3[[#This Row],[المبلغ المستحق]]</f>
        <v>0</v>
      </c>
      <c r="P66" s="621"/>
      <c r="Q66" s="113"/>
    </row>
    <row r="67" spans="2:17" hidden="1">
      <c r="B67" s="370">
        <v>29</v>
      </c>
      <c r="C67" s="622" t="s">
        <v>900</v>
      </c>
      <c r="D67" s="4">
        <v>10727655349</v>
      </c>
      <c r="E67" s="370" t="s">
        <v>31</v>
      </c>
      <c r="F67" s="370" t="s">
        <v>896</v>
      </c>
      <c r="G67" s="371">
        <v>46492</v>
      </c>
      <c r="H67" s="617" t="s">
        <v>336</v>
      </c>
      <c r="I67" s="375">
        <v>2000</v>
      </c>
      <c r="J67" s="687">
        <f ca="1">IF(B$1&gt;=الجدول3[[#This Row],[تاريخ الدفعة]],الجدول3[[#This Row],[مبلغ الدفعة]],0)</f>
        <v>0</v>
      </c>
      <c r="K67" s="373">
        <v>0</v>
      </c>
      <c r="L67" s="619"/>
      <c r="M67" s="879" t="str" cm="1">
        <f t="array" aca="1" ref="M6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7" s="443"/>
      <c r="O67" s="620">
        <f ca="1">الجدول3[[#This Row],[المدفوع]]-الجدول3[[#This Row],[المبلغ المستحق]]</f>
        <v>0</v>
      </c>
      <c r="P67" s="621"/>
      <c r="Q67" s="113"/>
    </row>
    <row r="68" spans="2:17" hidden="1">
      <c r="B68" s="369">
        <v>30</v>
      </c>
      <c r="C68" s="622" t="s">
        <v>900</v>
      </c>
      <c r="D68" s="4">
        <v>10727655349</v>
      </c>
      <c r="E68" s="370" t="s">
        <v>31</v>
      </c>
      <c r="F68" s="370" t="s">
        <v>896</v>
      </c>
      <c r="G68" s="371">
        <v>46522</v>
      </c>
      <c r="H68" s="617" t="s">
        <v>337</v>
      </c>
      <c r="I68" s="375">
        <v>2000</v>
      </c>
      <c r="J68" s="687">
        <f ca="1">IF(B$1&gt;=الجدول3[[#This Row],[تاريخ الدفعة]],الجدول3[[#This Row],[مبلغ الدفعة]],0)</f>
        <v>0</v>
      </c>
      <c r="K68" s="373">
        <v>0</v>
      </c>
      <c r="L68" s="619"/>
      <c r="M68" s="879" t="str" cm="1">
        <f t="array" aca="1" ref="M6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8" s="443"/>
      <c r="O68" s="620">
        <f ca="1">الجدول3[[#This Row],[المدفوع]]-الجدول3[[#This Row],[المبلغ المستحق]]</f>
        <v>0</v>
      </c>
      <c r="P68" s="621"/>
      <c r="Q68" s="113"/>
    </row>
    <row r="69" spans="2:17" hidden="1">
      <c r="B69" s="370">
        <v>31</v>
      </c>
      <c r="C69" s="622" t="s">
        <v>900</v>
      </c>
      <c r="D69" s="4">
        <v>10727655349</v>
      </c>
      <c r="E69" s="370" t="s">
        <v>31</v>
      </c>
      <c r="F69" s="370" t="s">
        <v>896</v>
      </c>
      <c r="G69" s="371">
        <v>46553</v>
      </c>
      <c r="H69" s="617" t="s">
        <v>338</v>
      </c>
      <c r="I69" s="375">
        <v>2000</v>
      </c>
      <c r="J69" s="687">
        <f ca="1">IF(B$1&gt;=الجدول3[[#This Row],[تاريخ الدفعة]],الجدول3[[#This Row],[مبلغ الدفعة]],0)</f>
        <v>0</v>
      </c>
      <c r="K69" s="373">
        <v>0</v>
      </c>
      <c r="L69" s="619"/>
      <c r="M69" s="879" t="str" cm="1">
        <f t="array" aca="1" ref="M6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9" s="443"/>
      <c r="O69" s="620">
        <f ca="1">الجدول3[[#This Row],[المدفوع]]-الجدول3[[#This Row],[المبلغ المستحق]]</f>
        <v>0</v>
      </c>
      <c r="P69" s="621"/>
      <c r="Q69" s="113"/>
    </row>
    <row r="70" spans="2:17" hidden="1">
      <c r="B70" s="369">
        <v>32</v>
      </c>
      <c r="C70" s="622" t="s">
        <v>900</v>
      </c>
      <c r="D70" s="4">
        <v>10727655349</v>
      </c>
      <c r="E70" s="370" t="s">
        <v>31</v>
      </c>
      <c r="F70" s="370" t="s">
        <v>896</v>
      </c>
      <c r="G70" s="371">
        <v>46583</v>
      </c>
      <c r="H70" s="617" t="s">
        <v>339</v>
      </c>
      <c r="I70" s="375">
        <v>2000</v>
      </c>
      <c r="J70" s="687">
        <f ca="1">IF(B$1&gt;=الجدول3[[#This Row],[تاريخ الدفعة]],الجدول3[[#This Row],[مبلغ الدفعة]],0)</f>
        <v>0</v>
      </c>
      <c r="K70" s="373">
        <v>0</v>
      </c>
      <c r="L70" s="619"/>
      <c r="M70" s="879" t="str" cm="1">
        <f t="array" aca="1" ref="M7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70" s="443"/>
      <c r="O70" s="620">
        <f ca="1">الجدول3[[#This Row],[المدفوع]]-الجدول3[[#This Row],[المبلغ المستحق]]</f>
        <v>0</v>
      </c>
      <c r="P70" s="621"/>
      <c r="Q70" s="113"/>
    </row>
    <row r="71" spans="2:17" hidden="1">
      <c r="B71" s="370">
        <v>121</v>
      </c>
      <c r="C71" s="623" t="s">
        <v>923</v>
      </c>
      <c r="D71" s="4">
        <v>10293396456</v>
      </c>
      <c r="E71" s="370" t="s">
        <v>29</v>
      </c>
      <c r="F71" s="370" t="s">
        <v>896</v>
      </c>
      <c r="G71" s="371">
        <v>46264</v>
      </c>
      <c r="H71" s="371" t="s">
        <v>277</v>
      </c>
      <c r="I71" s="375">
        <v>2000</v>
      </c>
      <c r="J71" s="687">
        <f ca="1">IF(B$1&gt;=الجدول3[[#This Row],[تاريخ الدفعة]],الجدول3[[#This Row],[مبلغ الدفعة]],0)</f>
        <v>2000</v>
      </c>
      <c r="K71" s="373">
        <v>2000</v>
      </c>
      <c r="L71" s="374">
        <v>46268</v>
      </c>
      <c r="M71" s="689" t="s">
        <v>164</v>
      </c>
      <c r="N71" s="443" t="s">
        <v>328</v>
      </c>
      <c r="O71" s="620">
        <f ca="1">الجدول3[[#This Row],[المدفوع]]-الجدول3[[#This Row],[المبلغ المستحق]]</f>
        <v>0</v>
      </c>
      <c r="P71" s="443"/>
      <c r="Q71" s="113"/>
    </row>
    <row r="72" spans="2:17" hidden="1">
      <c r="B72" s="369">
        <v>34</v>
      </c>
      <c r="C72" s="623" t="s">
        <v>907</v>
      </c>
      <c r="D72" s="4">
        <v>10250862101</v>
      </c>
      <c r="E72" s="370" t="s">
        <v>34</v>
      </c>
      <c r="F72" s="370" t="s">
        <v>896</v>
      </c>
      <c r="G72" s="371">
        <v>46284</v>
      </c>
      <c r="H72" s="617" t="s">
        <v>963</v>
      </c>
      <c r="I72" s="375" t="s">
        <v>963</v>
      </c>
      <c r="J72" s="687">
        <v>0</v>
      </c>
      <c r="K72" s="373">
        <v>0</v>
      </c>
      <c r="L72" s="374"/>
      <c r="M72" s="370" t="s">
        <v>963</v>
      </c>
      <c r="N72" s="443"/>
      <c r="O72" s="620">
        <f>الجدول3[[#This Row],[المدفوع]]-الجدول3[[#This Row],[المبلغ المستحق]]</f>
        <v>0</v>
      </c>
      <c r="P72" s="443"/>
      <c r="Q72" s="113"/>
    </row>
    <row r="73" spans="2:17" hidden="1">
      <c r="B73" s="370">
        <v>35</v>
      </c>
      <c r="C73" s="623" t="s">
        <v>907</v>
      </c>
      <c r="D73" s="4">
        <v>10250862101</v>
      </c>
      <c r="E73" s="370" t="s">
        <v>34</v>
      </c>
      <c r="F73" s="370" t="s">
        <v>896</v>
      </c>
      <c r="G73" s="371">
        <v>46314</v>
      </c>
      <c r="H73" s="617" t="s">
        <v>963</v>
      </c>
      <c r="I73" s="375" t="s">
        <v>963</v>
      </c>
      <c r="J73" s="687">
        <v>0</v>
      </c>
      <c r="K73" s="373">
        <v>0</v>
      </c>
      <c r="L73" s="374"/>
      <c r="M73" s="370" t="s">
        <v>963</v>
      </c>
      <c r="N73" s="443"/>
      <c r="O73" s="620">
        <f>الجدول3[[#This Row],[المدفوع]]-الجدول3[[#This Row],[المبلغ المستحق]]</f>
        <v>0</v>
      </c>
      <c r="P73" s="443"/>
      <c r="Q73" s="113"/>
    </row>
    <row r="74" spans="2:17" hidden="1">
      <c r="B74" s="369">
        <v>36</v>
      </c>
      <c r="C74" s="623" t="s">
        <v>907</v>
      </c>
      <c r="D74" s="4">
        <v>10250862101</v>
      </c>
      <c r="E74" s="370" t="s">
        <v>34</v>
      </c>
      <c r="F74" s="370" t="s">
        <v>896</v>
      </c>
      <c r="G74" s="371">
        <v>46345</v>
      </c>
      <c r="H74" s="617" t="s">
        <v>963</v>
      </c>
      <c r="I74" s="375" t="s">
        <v>963</v>
      </c>
      <c r="J74" s="687">
        <v>0</v>
      </c>
      <c r="K74" s="373">
        <v>0</v>
      </c>
      <c r="L74" s="374"/>
      <c r="M74" s="370" t="s">
        <v>963</v>
      </c>
      <c r="N74" s="443"/>
      <c r="O74" s="620">
        <f>الجدول3[[#This Row],[المدفوع]]-الجدول3[[#This Row],[المبلغ المستحق]]</f>
        <v>0</v>
      </c>
      <c r="P74" s="443"/>
      <c r="Q74" s="113"/>
    </row>
    <row r="75" spans="2:17" hidden="1">
      <c r="B75" s="370">
        <v>37</v>
      </c>
      <c r="C75" s="622" t="s">
        <v>907</v>
      </c>
      <c r="D75" s="4">
        <v>10250862101</v>
      </c>
      <c r="E75" s="370" t="s">
        <v>34</v>
      </c>
      <c r="F75" s="370" t="s">
        <v>896</v>
      </c>
      <c r="G75" s="371">
        <v>46375</v>
      </c>
      <c r="H75" s="617" t="s">
        <v>963</v>
      </c>
      <c r="I75" s="375" t="s">
        <v>963</v>
      </c>
      <c r="J75" s="687">
        <v>0</v>
      </c>
      <c r="K75" s="373">
        <v>0</v>
      </c>
      <c r="L75" s="619"/>
      <c r="M75" s="370" t="s">
        <v>963</v>
      </c>
      <c r="N75" s="443"/>
      <c r="O75" s="620">
        <f>الجدول3[[#This Row],[المدفوع]]-الجدول3[[#This Row],[المبلغ المستحق]]</f>
        <v>0</v>
      </c>
      <c r="P75" s="621"/>
      <c r="Q75" s="113"/>
    </row>
    <row r="76" spans="2:17" hidden="1">
      <c r="B76" s="369">
        <v>38</v>
      </c>
      <c r="C76" s="622" t="s">
        <v>907</v>
      </c>
      <c r="D76" s="4">
        <v>10250862101</v>
      </c>
      <c r="E76" s="370" t="s">
        <v>34</v>
      </c>
      <c r="F76" s="370" t="s">
        <v>896</v>
      </c>
      <c r="G76" s="371">
        <v>46406</v>
      </c>
      <c r="H76" s="617" t="s">
        <v>963</v>
      </c>
      <c r="I76" s="375" t="s">
        <v>963</v>
      </c>
      <c r="J76" s="687">
        <v>0</v>
      </c>
      <c r="K76" s="373">
        <v>0</v>
      </c>
      <c r="L76" s="619"/>
      <c r="M76" s="370" t="s">
        <v>963</v>
      </c>
      <c r="N76" s="443"/>
      <c r="O76" s="620">
        <f>الجدول3[[#This Row],[المدفوع]]-الجدول3[[#This Row],[المبلغ المستحق]]</f>
        <v>0</v>
      </c>
      <c r="P76" s="621"/>
      <c r="Q76" s="113"/>
    </row>
    <row r="77" spans="2:17" hidden="1">
      <c r="B77" s="370">
        <v>39</v>
      </c>
      <c r="C77" s="622" t="s">
        <v>907</v>
      </c>
      <c r="D77" s="4">
        <v>10250862101</v>
      </c>
      <c r="E77" s="370" t="s">
        <v>34</v>
      </c>
      <c r="F77" s="370" t="s">
        <v>896</v>
      </c>
      <c r="G77" s="371">
        <v>46437</v>
      </c>
      <c r="H77" s="617" t="s">
        <v>963</v>
      </c>
      <c r="I77" s="375" t="s">
        <v>963</v>
      </c>
      <c r="J77" s="687">
        <v>0</v>
      </c>
      <c r="K77" s="373">
        <v>0</v>
      </c>
      <c r="L77" s="619"/>
      <c r="M77" s="370" t="s">
        <v>963</v>
      </c>
      <c r="N77" s="443"/>
      <c r="O77" s="620">
        <f>الجدول3[[#This Row],[المدفوع]]-الجدول3[[#This Row],[المبلغ المستحق]]</f>
        <v>0</v>
      </c>
      <c r="P77" s="621"/>
      <c r="Q77" s="113"/>
    </row>
    <row r="78" spans="2:17" hidden="1">
      <c r="B78" s="369">
        <v>40</v>
      </c>
      <c r="C78" s="622" t="s">
        <v>907</v>
      </c>
      <c r="D78" s="4">
        <v>10250862101</v>
      </c>
      <c r="E78" s="370" t="s">
        <v>34</v>
      </c>
      <c r="F78" s="370" t="s">
        <v>896</v>
      </c>
      <c r="G78" s="371">
        <v>46465</v>
      </c>
      <c r="H78" s="617" t="s">
        <v>963</v>
      </c>
      <c r="I78" s="375" t="s">
        <v>963</v>
      </c>
      <c r="J78" s="687">
        <v>0</v>
      </c>
      <c r="K78" s="373">
        <v>0</v>
      </c>
      <c r="L78" s="619"/>
      <c r="M78" s="370" t="s">
        <v>963</v>
      </c>
      <c r="N78" s="443"/>
      <c r="O78" s="620">
        <f>الجدول3[[#This Row],[المدفوع]]-الجدول3[[#This Row],[المبلغ المستحق]]</f>
        <v>0</v>
      </c>
      <c r="P78" s="621"/>
      <c r="Q78" s="113"/>
    </row>
    <row r="79" spans="2:17" hidden="1">
      <c r="B79" s="370">
        <v>41</v>
      </c>
      <c r="C79" s="622" t="s">
        <v>907</v>
      </c>
      <c r="D79" s="4">
        <v>10250862101</v>
      </c>
      <c r="E79" s="370" t="s">
        <v>34</v>
      </c>
      <c r="F79" s="370" t="s">
        <v>896</v>
      </c>
      <c r="G79" s="371">
        <v>46496</v>
      </c>
      <c r="H79" s="617" t="s">
        <v>963</v>
      </c>
      <c r="I79" s="375" t="s">
        <v>963</v>
      </c>
      <c r="J79" s="687">
        <v>0</v>
      </c>
      <c r="K79" s="373">
        <v>0</v>
      </c>
      <c r="L79" s="619"/>
      <c r="M79" s="370" t="s">
        <v>963</v>
      </c>
      <c r="N79" s="443"/>
      <c r="O79" s="620">
        <f>الجدول3[[#This Row],[المدفوع]]-الجدول3[[#This Row],[المبلغ المستحق]]</f>
        <v>0</v>
      </c>
      <c r="P79" s="621"/>
      <c r="Q79" s="113"/>
    </row>
    <row r="80" spans="2:17" hidden="1">
      <c r="B80" s="369">
        <v>42</v>
      </c>
      <c r="C80" s="622" t="s">
        <v>907</v>
      </c>
      <c r="D80" s="4">
        <v>10250862101</v>
      </c>
      <c r="E80" s="370" t="s">
        <v>34</v>
      </c>
      <c r="F80" s="370" t="s">
        <v>896</v>
      </c>
      <c r="G80" s="371">
        <v>46526</v>
      </c>
      <c r="H80" s="617" t="s">
        <v>963</v>
      </c>
      <c r="I80" s="375" t="s">
        <v>963</v>
      </c>
      <c r="J80" s="687">
        <v>0</v>
      </c>
      <c r="K80" s="373">
        <v>0</v>
      </c>
      <c r="L80" s="619"/>
      <c r="M80" s="370" t="s">
        <v>963</v>
      </c>
      <c r="N80" s="443"/>
      <c r="O80" s="620">
        <f>الجدول3[[#This Row],[المدفوع]]-الجدول3[[#This Row],[المبلغ المستحق]]</f>
        <v>0</v>
      </c>
      <c r="P80" s="621"/>
      <c r="Q80" s="113"/>
    </row>
    <row r="81" spans="2:17" hidden="1">
      <c r="B81" s="370">
        <v>43</v>
      </c>
      <c r="C81" s="622" t="s">
        <v>907</v>
      </c>
      <c r="D81" s="4">
        <v>10250862101</v>
      </c>
      <c r="E81" s="370" t="s">
        <v>34</v>
      </c>
      <c r="F81" s="370" t="s">
        <v>896</v>
      </c>
      <c r="G81" s="371">
        <v>46557</v>
      </c>
      <c r="H81" s="617" t="s">
        <v>963</v>
      </c>
      <c r="I81" s="375" t="s">
        <v>963</v>
      </c>
      <c r="J81" s="687">
        <v>0</v>
      </c>
      <c r="K81" s="373">
        <v>0</v>
      </c>
      <c r="L81" s="619"/>
      <c r="M81" s="370" t="s">
        <v>963</v>
      </c>
      <c r="N81" s="443"/>
      <c r="O81" s="620">
        <f>الجدول3[[#This Row],[المدفوع]]-الجدول3[[#This Row],[المبلغ المستحق]]</f>
        <v>0</v>
      </c>
      <c r="P81" s="621"/>
      <c r="Q81" s="113"/>
    </row>
    <row r="82" spans="2:17" hidden="1">
      <c r="B82" s="370">
        <v>44</v>
      </c>
      <c r="C82" s="623" t="s">
        <v>907</v>
      </c>
      <c r="D82" s="4">
        <v>10250862101</v>
      </c>
      <c r="E82" s="370" t="s">
        <v>34</v>
      </c>
      <c r="F82" s="370" t="s">
        <v>896</v>
      </c>
      <c r="G82" s="371">
        <v>46587</v>
      </c>
      <c r="H82" s="617" t="s">
        <v>963</v>
      </c>
      <c r="I82" s="375" t="s">
        <v>963</v>
      </c>
      <c r="J82" s="687">
        <v>0</v>
      </c>
      <c r="K82" s="373">
        <v>0</v>
      </c>
      <c r="L82" s="374"/>
      <c r="M82" s="370" t="s">
        <v>963</v>
      </c>
      <c r="N82" s="443"/>
      <c r="O82" s="620">
        <f>الجدول3[[#This Row],[المدفوع]]-الجدول3[[#This Row],[المبلغ المستحق]]</f>
        <v>0</v>
      </c>
      <c r="P82" s="443"/>
      <c r="Q82" s="113"/>
    </row>
    <row r="83" spans="2:17" hidden="1">
      <c r="B83" s="696">
        <v>45</v>
      </c>
      <c r="C83" s="720" t="s">
        <v>915</v>
      </c>
      <c r="D83" s="721">
        <v>10998552503</v>
      </c>
      <c r="E83" s="697" t="s">
        <v>33</v>
      </c>
      <c r="F83" s="697" t="s">
        <v>896</v>
      </c>
      <c r="G83" s="698">
        <v>46254</v>
      </c>
      <c r="H83" s="698" t="s">
        <v>277</v>
      </c>
      <c r="I83" s="699">
        <v>2000</v>
      </c>
      <c r="J83" s="687">
        <f ca="1">IF(B$1&gt;=الجدول3[[#This Row],[تاريخ الدفعة]],الجدول3[[#This Row],[مبلغ الدفعة]],0)</f>
        <v>2000</v>
      </c>
      <c r="K83" s="700">
        <v>1000</v>
      </c>
      <c r="L83" s="701">
        <v>46296</v>
      </c>
      <c r="M83" s="879" t="s">
        <v>41</v>
      </c>
      <c r="N83" s="702" t="s">
        <v>331</v>
      </c>
      <c r="O83" s="620">
        <f ca="1">الجدول3[[#This Row],[المدفوع]]-الجدول3[[#This Row],[المبلغ المستحق]]</f>
        <v>-1000</v>
      </c>
      <c r="P83" s="702"/>
      <c r="Q83" s="703"/>
    </row>
    <row r="84" spans="2:17" hidden="1">
      <c r="B84" s="704">
        <v>46</v>
      </c>
      <c r="C84" s="722" t="s">
        <v>915</v>
      </c>
      <c r="D84" s="723">
        <v>10998552503</v>
      </c>
      <c r="E84" s="705" t="s">
        <v>33</v>
      </c>
      <c r="F84" s="705" t="s">
        <v>896</v>
      </c>
      <c r="G84" s="706">
        <v>46285</v>
      </c>
      <c r="H84" s="706" t="s">
        <v>328</v>
      </c>
      <c r="I84" s="707">
        <v>2000</v>
      </c>
      <c r="J84" s="687">
        <f ca="1">IF(B$1&gt;=الجدول3[[#This Row],[تاريخ الدفعة]],الجدول3[[#This Row],[مبلغ الدفعة]],0)</f>
        <v>2000</v>
      </c>
      <c r="K84" s="708">
        <v>0</v>
      </c>
      <c r="L84" s="709"/>
      <c r="M84" s="879" t="str" cm="1">
        <f t="array" aca="1" ref="M8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متأخر</v>
      </c>
      <c r="N84" s="710"/>
      <c r="O84" s="620">
        <f ca="1">الجدول3[[#This Row],[المدفوع]]-الجدول3[[#This Row],[المبلغ المستحق]]</f>
        <v>-2000</v>
      </c>
      <c r="P84" s="710"/>
      <c r="Q84" s="711"/>
    </row>
    <row r="85" spans="2:17" hidden="1">
      <c r="B85" s="684">
        <v>47</v>
      </c>
      <c r="C85" s="4" t="s">
        <v>915</v>
      </c>
      <c r="D85" s="691">
        <v>10998552503</v>
      </c>
      <c r="E85" s="684" t="s">
        <v>33</v>
      </c>
      <c r="F85" s="684" t="s">
        <v>896</v>
      </c>
      <c r="G85" s="685">
        <v>46315</v>
      </c>
      <c r="H85" s="692" t="s">
        <v>331</v>
      </c>
      <c r="I85" s="686">
        <v>2000</v>
      </c>
      <c r="J85" s="687">
        <f ca="1">IF(B$1&gt;=الجدول3[[#This Row],[تاريخ الدفعة]],الجدول3[[#This Row],[مبلغ الدفعة]],0)</f>
        <v>2000</v>
      </c>
      <c r="K85" s="687">
        <v>0</v>
      </c>
      <c r="L85" s="693"/>
      <c r="M85" s="879" t="str" cm="1">
        <f t="array" aca="1" ref="M8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v>
      </c>
      <c r="N85" s="690"/>
      <c r="O85" s="620">
        <f ca="1">الجدول3[[#This Row],[المدفوع]]-الجدول3[[#This Row],[المبلغ المستحق]]</f>
        <v>-2000</v>
      </c>
      <c r="P85" s="694"/>
      <c r="Q85" s="113"/>
    </row>
    <row r="86" spans="2:17" hidden="1">
      <c r="B86" s="369">
        <v>48</v>
      </c>
      <c r="C86" s="4" t="s">
        <v>915</v>
      </c>
      <c r="D86" s="618">
        <v>10998552503</v>
      </c>
      <c r="E86" s="370" t="s">
        <v>33</v>
      </c>
      <c r="F86" s="370" t="s">
        <v>896</v>
      </c>
      <c r="G86" s="371">
        <v>46346</v>
      </c>
      <c r="H86" s="617" t="s">
        <v>332</v>
      </c>
      <c r="I86" s="375">
        <v>2000</v>
      </c>
      <c r="J86" s="687">
        <f ca="1">IF(B$1&gt;=الجدول3[[#This Row],[تاريخ الدفعة]],الجدول3[[#This Row],[مبلغ الدفعة]],0)</f>
        <v>0</v>
      </c>
      <c r="K86" s="373">
        <v>0</v>
      </c>
      <c r="L86" s="619"/>
      <c r="M86" s="879" t="str" cm="1">
        <f t="array" aca="1" ref="M8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86" s="443"/>
      <c r="O86" s="620">
        <f ca="1">الجدول3[[#This Row],[المدفوع]]-الجدول3[[#This Row],[المبلغ المستحق]]</f>
        <v>0</v>
      </c>
      <c r="P86" s="621"/>
      <c r="Q86" s="113"/>
    </row>
    <row r="87" spans="2:17" hidden="1">
      <c r="B87" s="370">
        <v>49</v>
      </c>
      <c r="C87" s="4" t="s">
        <v>915</v>
      </c>
      <c r="D87" s="618">
        <v>10998552503</v>
      </c>
      <c r="E87" s="370" t="s">
        <v>33</v>
      </c>
      <c r="F87" s="370" t="s">
        <v>896</v>
      </c>
      <c r="G87" s="371">
        <v>46376</v>
      </c>
      <c r="H87" s="617" t="s">
        <v>333</v>
      </c>
      <c r="I87" s="375">
        <v>2000</v>
      </c>
      <c r="J87" s="687">
        <f ca="1">IF(B$1&gt;=الجدول3[[#This Row],[تاريخ الدفعة]],الجدول3[[#This Row],[مبلغ الدفعة]],0)</f>
        <v>0</v>
      </c>
      <c r="K87" s="373">
        <v>0</v>
      </c>
      <c r="L87" s="619"/>
      <c r="M87" s="879" t="str" cm="1">
        <f t="array" aca="1" ref="M8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87" s="443"/>
      <c r="O87" s="620">
        <f ca="1">الجدول3[[#This Row],[المدفوع]]-الجدول3[[#This Row],[المبلغ المستحق]]</f>
        <v>0</v>
      </c>
      <c r="P87" s="621"/>
      <c r="Q87" s="113"/>
    </row>
    <row r="88" spans="2:17" hidden="1">
      <c r="B88" s="369">
        <v>50</v>
      </c>
      <c r="C88" s="4" t="s">
        <v>915</v>
      </c>
      <c r="D88" s="618">
        <v>10998552503</v>
      </c>
      <c r="E88" s="370" t="s">
        <v>33</v>
      </c>
      <c r="F88" s="370" t="s">
        <v>896</v>
      </c>
      <c r="G88" s="371">
        <v>46407</v>
      </c>
      <c r="H88" s="617" t="s">
        <v>637</v>
      </c>
      <c r="I88" s="375">
        <v>2000</v>
      </c>
      <c r="J88" s="687">
        <f ca="1">IF(B$1&gt;=الجدول3[[#This Row],[تاريخ الدفعة]],الجدول3[[#This Row],[مبلغ الدفعة]],0)</f>
        <v>0</v>
      </c>
      <c r="K88" s="373">
        <v>0</v>
      </c>
      <c r="L88" s="619"/>
      <c r="M88" s="879" t="str" cm="1">
        <f t="array" aca="1" ref="M8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88" s="443"/>
      <c r="O88" s="620">
        <f ca="1">الجدول3[[#This Row],[المدفوع]]-الجدول3[[#This Row],[المبلغ المستحق]]</f>
        <v>0</v>
      </c>
      <c r="P88" s="621"/>
      <c r="Q88" s="113"/>
    </row>
    <row r="89" spans="2:17" hidden="1">
      <c r="B89" s="370">
        <v>51</v>
      </c>
      <c r="C89" s="4" t="s">
        <v>915</v>
      </c>
      <c r="D89" s="618">
        <v>10998552503</v>
      </c>
      <c r="E89" s="370" t="s">
        <v>33</v>
      </c>
      <c r="F89" s="370" t="s">
        <v>896</v>
      </c>
      <c r="G89" s="371">
        <v>46438</v>
      </c>
      <c r="H89" s="617" t="s">
        <v>334</v>
      </c>
      <c r="I89" s="375">
        <v>2000</v>
      </c>
      <c r="J89" s="687">
        <f ca="1">IF(B$1&gt;=الجدول3[[#This Row],[تاريخ الدفعة]],الجدول3[[#This Row],[مبلغ الدفعة]],0)</f>
        <v>0</v>
      </c>
      <c r="K89" s="373">
        <v>0</v>
      </c>
      <c r="L89" s="619"/>
      <c r="M89" s="879" t="str" cm="1">
        <f t="array" aca="1" ref="M8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89" s="443"/>
      <c r="O89" s="620">
        <f ca="1">الجدول3[[#This Row],[المدفوع]]-الجدول3[[#This Row],[المبلغ المستحق]]</f>
        <v>0</v>
      </c>
      <c r="P89" s="621"/>
      <c r="Q89" s="113"/>
    </row>
    <row r="90" spans="2:17" hidden="1">
      <c r="B90" s="369">
        <v>52</v>
      </c>
      <c r="C90" s="4" t="s">
        <v>915</v>
      </c>
      <c r="D90" s="618">
        <v>10998552503</v>
      </c>
      <c r="E90" s="370" t="s">
        <v>33</v>
      </c>
      <c r="F90" s="370" t="s">
        <v>896</v>
      </c>
      <c r="G90" s="371">
        <v>46466</v>
      </c>
      <c r="H90" s="617" t="s">
        <v>335</v>
      </c>
      <c r="I90" s="375">
        <v>2000</v>
      </c>
      <c r="J90" s="687">
        <f ca="1">IF(B$1&gt;=الجدول3[[#This Row],[تاريخ الدفعة]],الجدول3[[#This Row],[مبلغ الدفعة]],0)</f>
        <v>0</v>
      </c>
      <c r="K90" s="373">
        <v>0</v>
      </c>
      <c r="L90" s="619"/>
      <c r="M90" s="879" t="str" cm="1">
        <f t="array" aca="1" ref="M9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90" s="443"/>
      <c r="O90" s="620">
        <f ca="1">الجدول3[[#This Row],[المدفوع]]-الجدول3[[#This Row],[المبلغ المستحق]]</f>
        <v>0</v>
      </c>
      <c r="P90" s="621"/>
      <c r="Q90" s="113"/>
    </row>
    <row r="91" spans="2:17" hidden="1">
      <c r="B91" s="370">
        <v>53</v>
      </c>
      <c r="C91" s="4" t="s">
        <v>915</v>
      </c>
      <c r="D91" s="618">
        <v>10998552503</v>
      </c>
      <c r="E91" s="370" t="s">
        <v>33</v>
      </c>
      <c r="F91" s="370" t="s">
        <v>896</v>
      </c>
      <c r="G91" s="371">
        <v>46497</v>
      </c>
      <c r="H91" s="617" t="s">
        <v>336</v>
      </c>
      <c r="I91" s="375">
        <v>2000</v>
      </c>
      <c r="J91" s="687">
        <f ca="1">IF(B$1&gt;=الجدول3[[#This Row],[تاريخ الدفعة]],الجدول3[[#This Row],[مبلغ الدفعة]],0)</f>
        <v>0</v>
      </c>
      <c r="K91" s="373">
        <v>0</v>
      </c>
      <c r="L91" s="619"/>
      <c r="M91" s="879" t="str" cm="1">
        <f t="array" aca="1" ref="M9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91" s="443"/>
      <c r="O91" s="620">
        <f ca="1">الجدول3[[#This Row],[المدفوع]]-الجدول3[[#This Row],[المبلغ المستحق]]</f>
        <v>0</v>
      </c>
      <c r="P91" s="621"/>
      <c r="Q91" s="113"/>
    </row>
    <row r="92" spans="2:17" hidden="1">
      <c r="B92" s="369">
        <v>54</v>
      </c>
      <c r="C92" s="4" t="s">
        <v>915</v>
      </c>
      <c r="D92" s="618">
        <v>10998552503</v>
      </c>
      <c r="E92" s="370" t="s">
        <v>33</v>
      </c>
      <c r="F92" s="370" t="s">
        <v>896</v>
      </c>
      <c r="G92" s="371">
        <v>46527</v>
      </c>
      <c r="H92" s="617" t="s">
        <v>337</v>
      </c>
      <c r="I92" s="375">
        <v>2000</v>
      </c>
      <c r="J92" s="687">
        <f ca="1">IF(B$1&gt;=الجدول3[[#This Row],[تاريخ الدفعة]],الجدول3[[#This Row],[مبلغ الدفعة]],0)</f>
        <v>0</v>
      </c>
      <c r="K92" s="373">
        <v>0</v>
      </c>
      <c r="L92" s="619"/>
      <c r="M92" s="879" t="str" cm="1">
        <f t="array" aca="1" ref="M9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92" s="443"/>
      <c r="O92" s="620">
        <f ca="1">الجدول3[[#This Row],[المدفوع]]-الجدول3[[#This Row],[المبلغ المستحق]]</f>
        <v>0</v>
      </c>
      <c r="P92" s="621"/>
      <c r="Q92" s="113"/>
    </row>
    <row r="93" spans="2:17" hidden="1">
      <c r="B93" s="370">
        <v>55</v>
      </c>
      <c r="C93" s="4" t="s">
        <v>915</v>
      </c>
      <c r="D93" s="618">
        <v>10998552503</v>
      </c>
      <c r="E93" s="370" t="s">
        <v>33</v>
      </c>
      <c r="F93" s="370" t="s">
        <v>896</v>
      </c>
      <c r="G93" s="371">
        <v>46558</v>
      </c>
      <c r="H93" s="617" t="s">
        <v>338</v>
      </c>
      <c r="I93" s="375">
        <v>2000</v>
      </c>
      <c r="J93" s="687">
        <f ca="1">IF(B$1&gt;=الجدول3[[#This Row],[تاريخ الدفعة]],الجدول3[[#This Row],[مبلغ الدفعة]],0)</f>
        <v>0</v>
      </c>
      <c r="K93" s="373">
        <v>0</v>
      </c>
      <c r="L93" s="619"/>
      <c r="M93" s="879" t="str" cm="1">
        <f t="array" aca="1" ref="M9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93" s="443"/>
      <c r="O93" s="620">
        <f ca="1">الجدول3[[#This Row],[المدفوع]]-الجدول3[[#This Row],[المبلغ المستحق]]</f>
        <v>0</v>
      </c>
      <c r="P93" s="621"/>
      <c r="Q93" s="113"/>
    </row>
    <row r="94" spans="2:17" hidden="1">
      <c r="B94" s="369">
        <v>56</v>
      </c>
      <c r="C94" s="4" t="s">
        <v>915</v>
      </c>
      <c r="D94" s="618">
        <v>10998552503</v>
      </c>
      <c r="E94" s="370" t="s">
        <v>33</v>
      </c>
      <c r="F94" s="370" t="s">
        <v>896</v>
      </c>
      <c r="G94" s="371">
        <v>46588</v>
      </c>
      <c r="H94" s="617" t="s">
        <v>339</v>
      </c>
      <c r="I94" s="375">
        <v>2000</v>
      </c>
      <c r="J94" s="687">
        <f ca="1">IF(B$1&gt;=الجدول3[[#This Row],[تاريخ الدفعة]],الجدول3[[#This Row],[مبلغ الدفعة]],0)</f>
        <v>0</v>
      </c>
      <c r="K94" s="373">
        <v>0</v>
      </c>
      <c r="L94" s="619"/>
      <c r="M94" s="879" t="str" cm="1">
        <f t="array" aca="1" ref="M9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94" s="443"/>
      <c r="O94" s="620">
        <f ca="1">الجدول3[[#This Row],[المدفوع]]-الجدول3[[#This Row],[المبلغ المستحق]]</f>
        <v>0</v>
      </c>
      <c r="P94" s="621"/>
      <c r="Q94" s="113"/>
    </row>
    <row r="95" spans="2:17" hidden="1">
      <c r="B95" s="370">
        <v>57</v>
      </c>
      <c r="C95" s="623" t="s">
        <v>921</v>
      </c>
      <c r="D95" s="4">
        <v>10843479317</v>
      </c>
      <c r="E95" s="370" t="s">
        <v>30</v>
      </c>
      <c r="F95" s="370" t="s">
        <v>896</v>
      </c>
      <c r="G95" s="371">
        <v>46255</v>
      </c>
      <c r="H95" s="371" t="s">
        <v>277</v>
      </c>
      <c r="I95" s="375">
        <v>2000</v>
      </c>
      <c r="J95" s="687">
        <f ca="1">IF(B$1&gt;=الجدول3[[#This Row],[تاريخ الدفعة]],الجدول3[[#This Row],[مبلغ الدفعة]],0)</f>
        <v>2000</v>
      </c>
      <c r="K95" s="373">
        <v>2000</v>
      </c>
      <c r="L95" s="374">
        <v>46255</v>
      </c>
      <c r="M95" s="689" t="s">
        <v>164</v>
      </c>
      <c r="N95" s="443" t="s">
        <v>328</v>
      </c>
      <c r="O95" s="620">
        <f ca="1">الجدول3[[#This Row],[المدفوع]]-الجدول3[[#This Row],[المبلغ المستحق]]</f>
        <v>0</v>
      </c>
      <c r="P95" s="443"/>
      <c r="Q95" s="113"/>
    </row>
    <row r="96" spans="2:17" hidden="1">
      <c r="B96" s="369">
        <v>21</v>
      </c>
      <c r="C96" s="652" t="s">
        <v>900</v>
      </c>
      <c r="D96" s="4">
        <v>10727655349</v>
      </c>
      <c r="E96" s="370" t="s">
        <v>31</v>
      </c>
      <c r="F96" s="370" t="s">
        <v>896</v>
      </c>
      <c r="G96" s="371">
        <v>46249</v>
      </c>
      <c r="H96" s="371" t="s">
        <v>277</v>
      </c>
      <c r="I96" s="375">
        <v>2000</v>
      </c>
      <c r="J96" s="687">
        <f ca="1">IF(B$1&gt;=الجدول3[[#This Row],[تاريخ الدفعة]],الجدول3[[#This Row],[مبلغ الدفعة]],0)</f>
        <v>2000</v>
      </c>
      <c r="K96" s="373">
        <v>2000</v>
      </c>
      <c r="L96" s="374">
        <v>46252</v>
      </c>
      <c r="M96" s="689" t="s">
        <v>164</v>
      </c>
      <c r="N96" s="443" t="s">
        <v>328</v>
      </c>
      <c r="O96" s="620">
        <f ca="1">الجدول3[[#This Row],[المدفوع]]-الجدول3[[#This Row],[المبلغ المستحق]]</f>
        <v>0</v>
      </c>
      <c r="P96" s="443"/>
      <c r="Q96" s="113"/>
    </row>
    <row r="97" spans="2:17" hidden="1">
      <c r="B97" s="370">
        <v>22</v>
      </c>
      <c r="C97" s="623" t="s">
        <v>900</v>
      </c>
      <c r="D97" s="4">
        <v>10727655349</v>
      </c>
      <c r="E97" s="370" t="s">
        <v>31</v>
      </c>
      <c r="F97" s="370" t="s">
        <v>896</v>
      </c>
      <c r="G97" s="371">
        <v>46280</v>
      </c>
      <c r="H97" s="617" t="s">
        <v>328</v>
      </c>
      <c r="I97" s="375">
        <v>2000</v>
      </c>
      <c r="J97" s="687">
        <f ca="1">IF(B$1&gt;=الجدول3[[#This Row],[تاريخ الدفعة]],الجدول3[[#This Row],[مبلغ الدفعة]],0)</f>
        <v>2000</v>
      </c>
      <c r="K97" s="373">
        <v>2000</v>
      </c>
      <c r="L97" s="374">
        <v>46281</v>
      </c>
      <c r="M97" s="689" t="s">
        <v>164</v>
      </c>
      <c r="N97" s="443" t="s">
        <v>328</v>
      </c>
      <c r="O97" s="620">
        <f ca="1">الجدول3[[#This Row],[المدفوع]]-الجدول3[[#This Row],[المبلغ المستحق]]</f>
        <v>0</v>
      </c>
      <c r="P97" s="443"/>
      <c r="Q97" s="113"/>
    </row>
    <row r="98" spans="2:17" hidden="1">
      <c r="B98" s="369">
        <v>60</v>
      </c>
      <c r="C98" s="623" t="s">
        <v>988</v>
      </c>
      <c r="D98" s="4">
        <v>10248740301</v>
      </c>
      <c r="E98" s="370" t="s">
        <v>38</v>
      </c>
      <c r="F98" s="370" t="s">
        <v>896</v>
      </c>
      <c r="G98" s="371">
        <v>46318</v>
      </c>
      <c r="H98" s="617" t="s">
        <v>331</v>
      </c>
      <c r="I98" s="375">
        <v>2800</v>
      </c>
      <c r="J98" s="687">
        <f ca="1">IF(B$1&gt;=الجدول3[[#This Row],[تاريخ الدفعة]],الجدول3[[#This Row],[مبلغ الدفعة]],0)</f>
        <v>2800</v>
      </c>
      <c r="K98" s="373">
        <v>0</v>
      </c>
      <c r="L98" s="374"/>
      <c r="M98" s="879" t="str" cm="1">
        <f t="array" aca="1" ref="M9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v>
      </c>
      <c r="N98" s="443"/>
      <c r="O98" s="620">
        <f ca="1">الجدول3[[#This Row],[المدفوع]]-الجدول3[[#This Row],[المبلغ المستحق]]</f>
        <v>-2800</v>
      </c>
      <c r="P98" s="443"/>
      <c r="Q98" s="113"/>
    </row>
    <row r="99" spans="2:17" hidden="1">
      <c r="B99" s="370">
        <v>61</v>
      </c>
      <c r="C99" s="623" t="s">
        <v>988</v>
      </c>
      <c r="D99" s="4">
        <v>10248740301</v>
      </c>
      <c r="E99" s="370" t="s">
        <v>38</v>
      </c>
      <c r="F99" s="370" t="s">
        <v>896</v>
      </c>
      <c r="G99" s="371">
        <v>46349</v>
      </c>
      <c r="H99" s="617" t="s">
        <v>332</v>
      </c>
      <c r="I99" s="375">
        <v>2800</v>
      </c>
      <c r="J99" s="687">
        <f ca="1">IF(B$1&gt;=الجدول3[[#This Row],[تاريخ الدفعة]],الجدول3[[#This Row],[مبلغ الدفعة]],0)</f>
        <v>0</v>
      </c>
      <c r="K99" s="373">
        <v>0</v>
      </c>
      <c r="L99" s="374"/>
      <c r="M99" s="879" t="str" cm="1">
        <f t="array" aca="1" ref="M9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99" s="443"/>
      <c r="O99" s="620">
        <f ca="1">الجدول3[[#This Row],[المدفوع]]-الجدول3[[#This Row],[المبلغ المستحق]]</f>
        <v>0</v>
      </c>
      <c r="P99" s="443"/>
      <c r="Q99" s="113"/>
    </row>
    <row r="100" spans="2:17" hidden="1">
      <c r="B100" s="369">
        <v>62</v>
      </c>
      <c r="C100" s="623" t="s">
        <v>988</v>
      </c>
      <c r="D100" s="4">
        <v>10248740301</v>
      </c>
      <c r="E100" s="370" t="s">
        <v>38</v>
      </c>
      <c r="F100" s="370" t="s">
        <v>896</v>
      </c>
      <c r="G100" s="371">
        <v>46379</v>
      </c>
      <c r="H100" s="617" t="s">
        <v>333</v>
      </c>
      <c r="I100" s="375">
        <v>2800</v>
      </c>
      <c r="J100" s="687">
        <f ca="1">IF(B$1&gt;=الجدول3[[#This Row],[تاريخ الدفعة]],الجدول3[[#This Row],[مبلغ الدفعة]],0)</f>
        <v>0</v>
      </c>
      <c r="K100" s="373">
        <v>0</v>
      </c>
      <c r="L100" s="374"/>
      <c r="M100" s="879" t="str" cm="1">
        <f t="array" aca="1" ref="M10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00" s="443"/>
      <c r="O100" s="620">
        <f ca="1">الجدول3[[#This Row],[المدفوع]]-الجدول3[[#This Row],[المبلغ المستحق]]</f>
        <v>0</v>
      </c>
      <c r="P100" s="443"/>
      <c r="Q100" s="113"/>
    </row>
    <row r="101" spans="2:17" hidden="1">
      <c r="B101" s="370">
        <v>63</v>
      </c>
      <c r="C101" s="623" t="s">
        <v>988</v>
      </c>
      <c r="D101" s="4">
        <v>10248740301</v>
      </c>
      <c r="E101" s="370" t="s">
        <v>38</v>
      </c>
      <c r="F101" s="370" t="s">
        <v>896</v>
      </c>
      <c r="G101" s="371">
        <v>46410</v>
      </c>
      <c r="H101" s="617" t="s">
        <v>637</v>
      </c>
      <c r="I101" s="375">
        <v>2800</v>
      </c>
      <c r="J101" s="687">
        <f ca="1">IF(B$1&gt;=الجدول3[[#This Row],[تاريخ الدفعة]],الجدول3[[#This Row],[مبلغ الدفعة]],0)</f>
        <v>0</v>
      </c>
      <c r="K101" s="373">
        <v>0</v>
      </c>
      <c r="L101" s="619"/>
      <c r="M101" s="879" t="str" cm="1">
        <f t="array" aca="1" ref="M10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01" s="443"/>
      <c r="O101" s="620">
        <f ca="1">الجدول3[[#This Row],[المدفوع]]-الجدول3[[#This Row],[المبلغ المستحق]]</f>
        <v>0</v>
      </c>
      <c r="P101" s="621"/>
      <c r="Q101" s="113"/>
    </row>
    <row r="102" spans="2:17" hidden="1">
      <c r="B102" s="369">
        <v>64</v>
      </c>
      <c r="C102" s="623" t="s">
        <v>988</v>
      </c>
      <c r="D102" s="4">
        <v>10248740301</v>
      </c>
      <c r="E102" s="370" t="s">
        <v>38</v>
      </c>
      <c r="F102" s="370" t="s">
        <v>896</v>
      </c>
      <c r="G102" s="371">
        <v>46441</v>
      </c>
      <c r="H102" s="617" t="s">
        <v>334</v>
      </c>
      <c r="I102" s="375">
        <v>2800</v>
      </c>
      <c r="J102" s="687">
        <f ca="1">IF(B$1&gt;=الجدول3[[#This Row],[تاريخ الدفعة]],الجدول3[[#This Row],[مبلغ الدفعة]],0)</f>
        <v>0</v>
      </c>
      <c r="K102" s="373">
        <v>0</v>
      </c>
      <c r="L102" s="619"/>
      <c r="M102" s="879" t="str" cm="1">
        <f t="array" aca="1" ref="M10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02" s="443"/>
      <c r="O102" s="620">
        <f ca="1">الجدول3[[#This Row],[المدفوع]]-الجدول3[[#This Row],[المبلغ المستحق]]</f>
        <v>0</v>
      </c>
      <c r="P102" s="621"/>
      <c r="Q102" s="113"/>
    </row>
    <row r="103" spans="2:17" hidden="1">
      <c r="B103" s="370">
        <v>65</v>
      </c>
      <c r="C103" s="623" t="s">
        <v>988</v>
      </c>
      <c r="D103" s="4">
        <v>10248740301</v>
      </c>
      <c r="E103" s="370" t="s">
        <v>38</v>
      </c>
      <c r="F103" s="370" t="s">
        <v>896</v>
      </c>
      <c r="G103" s="371">
        <v>46469</v>
      </c>
      <c r="H103" s="617" t="s">
        <v>335</v>
      </c>
      <c r="I103" s="375">
        <v>2800</v>
      </c>
      <c r="J103" s="687">
        <f ca="1">IF(B$1&gt;=الجدول3[[#This Row],[تاريخ الدفعة]],الجدول3[[#This Row],[مبلغ الدفعة]],0)</f>
        <v>0</v>
      </c>
      <c r="K103" s="373">
        <v>0</v>
      </c>
      <c r="L103" s="619"/>
      <c r="M103" s="879" t="str" cm="1">
        <f t="array" aca="1" ref="M10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03" s="443"/>
      <c r="O103" s="620">
        <f ca="1">الجدول3[[#This Row],[المدفوع]]-الجدول3[[#This Row],[المبلغ المستحق]]</f>
        <v>0</v>
      </c>
      <c r="P103" s="621"/>
      <c r="Q103" s="113"/>
    </row>
    <row r="104" spans="2:17" hidden="1">
      <c r="B104" s="369">
        <v>66</v>
      </c>
      <c r="C104" s="623" t="s">
        <v>988</v>
      </c>
      <c r="D104" s="4">
        <v>10248740301</v>
      </c>
      <c r="E104" s="370" t="s">
        <v>38</v>
      </c>
      <c r="F104" s="370" t="s">
        <v>896</v>
      </c>
      <c r="G104" s="371">
        <v>46500</v>
      </c>
      <c r="H104" s="617" t="s">
        <v>336</v>
      </c>
      <c r="I104" s="375">
        <v>2800</v>
      </c>
      <c r="J104" s="687">
        <f ca="1">IF(B$1&gt;=الجدول3[[#This Row],[تاريخ الدفعة]],الجدول3[[#This Row],[مبلغ الدفعة]],0)</f>
        <v>0</v>
      </c>
      <c r="K104" s="373">
        <v>0</v>
      </c>
      <c r="L104" s="619"/>
      <c r="M104" s="879" t="str" cm="1">
        <f t="array" aca="1" ref="M10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04" s="443"/>
      <c r="O104" s="620">
        <f ca="1">الجدول3[[#This Row],[المدفوع]]-الجدول3[[#This Row],[المبلغ المستحق]]</f>
        <v>0</v>
      </c>
      <c r="P104" s="621"/>
      <c r="Q104" s="113"/>
    </row>
    <row r="105" spans="2:17" hidden="1">
      <c r="B105" s="370">
        <v>67</v>
      </c>
      <c r="C105" s="623" t="s">
        <v>988</v>
      </c>
      <c r="D105" s="4">
        <v>10248740301</v>
      </c>
      <c r="E105" s="370" t="s">
        <v>38</v>
      </c>
      <c r="F105" s="370" t="s">
        <v>896</v>
      </c>
      <c r="G105" s="371">
        <v>46530</v>
      </c>
      <c r="H105" s="617" t="s">
        <v>337</v>
      </c>
      <c r="I105" s="375">
        <v>2800</v>
      </c>
      <c r="J105" s="687">
        <f ca="1">IF(B$1&gt;=الجدول3[[#This Row],[تاريخ الدفعة]],الجدول3[[#This Row],[مبلغ الدفعة]],0)</f>
        <v>0</v>
      </c>
      <c r="K105" s="373">
        <v>0</v>
      </c>
      <c r="L105" s="619"/>
      <c r="M105" s="879" t="str" cm="1">
        <f t="array" aca="1" ref="M10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05" s="443"/>
      <c r="O105" s="620">
        <f ca="1">الجدول3[[#This Row],[المدفوع]]-الجدول3[[#This Row],[المبلغ المستحق]]</f>
        <v>0</v>
      </c>
      <c r="P105" s="621"/>
      <c r="Q105" s="113"/>
    </row>
    <row r="106" spans="2:17" hidden="1">
      <c r="B106" s="369">
        <v>68</v>
      </c>
      <c r="C106" s="623" t="s">
        <v>988</v>
      </c>
      <c r="D106" s="4">
        <v>10248740301</v>
      </c>
      <c r="E106" s="370" t="s">
        <v>38</v>
      </c>
      <c r="F106" s="370" t="s">
        <v>896</v>
      </c>
      <c r="G106" s="371">
        <v>46561</v>
      </c>
      <c r="H106" s="617" t="s">
        <v>338</v>
      </c>
      <c r="I106" s="375">
        <v>2800</v>
      </c>
      <c r="J106" s="687">
        <f ca="1">IF(B$1&gt;=الجدول3[[#This Row],[تاريخ الدفعة]],الجدول3[[#This Row],[مبلغ الدفعة]],0)</f>
        <v>0</v>
      </c>
      <c r="K106" s="373">
        <v>0</v>
      </c>
      <c r="L106" s="619"/>
      <c r="M106" s="879" t="str" cm="1">
        <f t="array" aca="1" ref="M10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06" s="443"/>
      <c r="O106" s="620">
        <f ca="1">الجدول3[[#This Row],[المدفوع]]-الجدول3[[#This Row],[المبلغ المستحق]]</f>
        <v>0</v>
      </c>
      <c r="P106" s="621"/>
      <c r="Q106" s="113"/>
    </row>
    <row r="107" spans="2:17" hidden="1">
      <c r="B107" s="370">
        <v>69</v>
      </c>
      <c r="C107" s="623" t="s">
        <v>988</v>
      </c>
      <c r="D107" s="4">
        <v>10248740301</v>
      </c>
      <c r="E107" s="370" t="s">
        <v>38</v>
      </c>
      <c r="F107" s="370" t="s">
        <v>896</v>
      </c>
      <c r="G107" s="371">
        <v>46591</v>
      </c>
      <c r="H107" s="617" t="s">
        <v>339</v>
      </c>
      <c r="I107" s="375">
        <v>2800</v>
      </c>
      <c r="J107" s="687">
        <f ca="1">IF(B$1&gt;=الجدول3[[#This Row],[تاريخ الدفعة]],الجدول3[[#This Row],[مبلغ الدفعة]],0)</f>
        <v>0</v>
      </c>
      <c r="K107" s="373">
        <v>0</v>
      </c>
      <c r="L107" s="619"/>
      <c r="M107" s="879" t="str" cm="1">
        <f t="array" aca="1" ref="M10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07" s="443"/>
      <c r="O107" s="620">
        <f ca="1">الجدول3[[#This Row],[المدفوع]]-الجدول3[[#This Row],[المبلغ المستحق]]</f>
        <v>0</v>
      </c>
      <c r="P107" s="621"/>
      <c r="Q107" s="113"/>
    </row>
    <row r="108" spans="2:17" hidden="1">
      <c r="B108" s="369">
        <v>133</v>
      </c>
      <c r="C108" s="623" t="s">
        <v>941</v>
      </c>
      <c r="D108" s="4">
        <v>10181957244</v>
      </c>
      <c r="E108" s="370" t="s">
        <v>32</v>
      </c>
      <c r="F108" s="370" t="s">
        <v>896</v>
      </c>
      <c r="G108" s="371">
        <v>46270</v>
      </c>
      <c r="H108" s="371" t="s">
        <v>328</v>
      </c>
      <c r="I108" s="375">
        <v>2000</v>
      </c>
      <c r="J108" s="687">
        <f ca="1">IF(B$1&gt;=الجدول3[[#This Row],[تاريخ الدفعة]],الجدول3[[#This Row],[مبلغ الدفعة]],0)</f>
        <v>2000</v>
      </c>
      <c r="K108" s="373">
        <v>2000</v>
      </c>
      <c r="L108" s="374">
        <v>46271</v>
      </c>
      <c r="M108" s="689" t="s">
        <v>164</v>
      </c>
      <c r="N108" s="443" t="s">
        <v>328</v>
      </c>
      <c r="O108" s="620">
        <f ca="1">الجدول3[[#This Row],[المدفوع]]-الجدول3[[#This Row],[المبلغ المستحق]]</f>
        <v>0</v>
      </c>
      <c r="P108" s="443"/>
      <c r="Q108" s="113"/>
    </row>
    <row r="109" spans="2:17" hidden="1">
      <c r="B109" s="370">
        <v>33</v>
      </c>
      <c r="C109" s="623" t="s">
        <v>907</v>
      </c>
      <c r="D109" s="4">
        <v>10250862101</v>
      </c>
      <c r="E109" s="370" t="s">
        <v>34</v>
      </c>
      <c r="F109" s="370" t="s">
        <v>896</v>
      </c>
      <c r="G109" s="371">
        <v>46253</v>
      </c>
      <c r="H109" s="617" t="s">
        <v>277</v>
      </c>
      <c r="I109" s="375">
        <v>2000</v>
      </c>
      <c r="J109" s="687">
        <f ca="1">IF(B$1&gt;=الجدول3[[#This Row],[تاريخ الدفعة]],الجدول3[[#This Row],[مبلغ الدفعة]],0)</f>
        <v>2000</v>
      </c>
      <c r="K109" s="373">
        <v>2000</v>
      </c>
      <c r="L109" s="374">
        <v>46266</v>
      </c>
      <c r="M109" s="689" t="s">
        <v>164</v>
      </c>
      <c r="N109" s="443" t="s">
        <v>328</v>
      </c>
      <c r="O109" s="620">
        <f ca="1">الجدول3[[#This Row],[المدفوع]]-الجدول3[[#This Row],[المبلغ المستحق]]</f>
        <v>0</v>
      </c>
      <c r="P109" s="443"/>
      <c r="Q109" s="113"/>
    </row>
    <row r="110" spans="2:17" hidden="1">
      <c r="B110" s="369">
        <v>72</v>
      </c>
      <c r="C110" s="623" t="s">
        <v>901</v>
      </c>
      <c r="D110" s="4">
        <v>10230635933</v>
      </c>
      <c r="E110" s="370" t="s">
        <v>37</v>
      </c>
      <c r="F110" s="370" t="s">
        <v>896</v>
      </c>
      <c r="G110" s="371">
        <v>46318</v>
      </c>
      <c r="H110" s="617" t="s">
        <v>331</v>
      </c>
      <c r="I110" s="375">
        <v>2500</v>
      </c>
      <c r="J110" s="687">
        <f ca="1">IF(B$1&gt;=الجدول3[[#This Row],[تاريخ الدفعة]],الجدول3[[#This Row],[مبلغ الدفعة]],0)</f>
        <v>2500</v>
      </c>
      <c r="K110" s="373">
        <v>0</v>
      </c>
      <c r="L110" s="374"/>
      <c r="M110" s="879" t="str" cm="1">
        <f t="array" aca="1" ref="M11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v>
      </c>
      <c r="N110" s="443"/>
      <c r="O110" s="620">
        <f ca="1">الجدول3[[#This Row],[المدفوع]]-الجدول3[[#This Row],[المبلغ المستحق]]</f>
        <v>-2500</v>
      </c>
      <c r="P110" s="443"/>
      <c r="Q110" s="113"/>
    </row>
    <row r="111" spans="2:17" hidden="1">
      <c r="B111" s="370">
        <v>73</v>
      </c>
      <c r="C111" s="623" t="s">
        <v>901</v>
      </c>
      <c r="D111" s="4">
        <v>10230635933</v>
      </c>
      <c r="E111" s="370" t="s">
        <v>37</v>
      </c>
      <c r="F111" s="370" t="s">
        <v>896</v>
      </c>
      <c r="G111" s="371">
        <v>46349</v>
      </c>
      <c r="H111" s="617" t="s">
        <v>332</v>
      </c>
      <c r="I111" s="375">
        <v>2500</v>
      </c>
      <c r="J111" s="687">
        <f ca="1">IF(B$1&gt;=الجدول3[[#This Row],[تاريخ الدفعة]],الجدول3[[#This Row],[مبلغ الدفعة]],0)</f>
        <v>0</v>
      </c>
      <c r="K111" s="373">
        <v>0</v>
      </c>
      <c r="L111" s="374"/>
      <c r="M111" s="879" t="str" cm="1">
        <f t="array" aca="1" ref="M11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11" s="443"/>
      <c r="O111" s="620">
        <f ca="1">الجدول3[[#This Row],[المدفوع]]-الجدول3[[#This Row],[المبلغ المستحق]]</f>
        <v>0</v>
      </c>
      <c r="P111" s="443"/>
      <c r="Q111" s="113"/>
    </row>
    <row r="112" spans="2:17" hidden="1">
      <c r="B112" s="369">
        <v>74</v>
      </c>
      <c r="C112" s="623" t="s">
        <v>901</v>
      </c>
      <c r="D112" s="4">
        <v>10230635933</v>
      </c>
      <c r="E112" s="370" t="s">
        <v>37</v>
      </c>
      <c r="F112" s="370" t="s">
        <v>896</v>
      </c>
      <c r="G112" s="371">
        <v>46379</v>
      </c>
      <c r="H112" s="617" t="s">
        <v>333</v>
      </c>
      <c r="I112" s="375">
        <v>2500</v>
      </c>
      <c r="J112" s="687">
        <f ca="1">IF(B$1&gt;=الجدول3[[#This Row],[تاريخ الدفعة]],الجدول3[[#This Row],[مبلغ الدفعة]],0)</f>
        <v>0</v>
      </c>
      <c r="K112" s="373">
        <v>0</v>
      </c>
      <c r="L112" s="374"/>
      <c r="M112" s="879" t="str" cm="1">
        <f t="array" aca="1" ref="M11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12" s="443"/>
      <c r="O112" s="620">
        <f ca="1">الجدول3[[#This Row],[المدفوع]]-الجدول3[[#This Row],[المبلغ المستحق]]</f>
        <v>0</v>
      </c>
      <c r="P112" s="443"/>
      <c r="Q112" s="113"/>
    </row>
    <row r="113" spans="2:17" hidden="1">
      <c r="B113" s="370">
        <v>75</v>
      </c>
      <c r="C113" s="623" t="s">
        <v>901</v>
      </c>
      <c r="D113" s="4">
        <v>10230635933</v>
      </c>
      <c r="E113" s="370" t="s">
        <v>37</v>
      </c>
      <c r="F113" s="370" t="s">
        <v>896</v>
      </c>
      <c r="G113" s="371">
        <v>46410</v>
      </c>
      <c r="H113" s="617" t="s">
        <v>637</v>
      </c>
      <c r="I113" s="375">
        <v>2500</v>
      </c>
      <c r="J113" s="687">
        <f ca="1">IF(B$1&gt;=الجدول3[[#This Row],[تاريخ الدفعة]],الجدول3[[#This Row],[مبلغ الدفعة]],0)</f>
        <v>0</v>
      </c>
      <c r="K113" s="373">
        <v>0</v>
      </c>
      <c r="L113" s="374"/>
      <c r="M113" s="879" t="str" cm="1">
        <f t="array" aca="1" ref="M11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13" s="443"/>
      <c r="O113" s="620">
        <f ca="1">الجدول3[[#This Row],[المدفوع]]-الجدول3[[#This Row],[المبلغ المستحق]]</f>
        <v>0</v>
      </c>
      <c r="P113" s="443"/>
      <c r="Q113" s="113"/>
    </row>
    <row r="114" spans="2:17" hidden="1">
      <c r="B114" s="369">
        <v>76</v>
      </c>
      <c r="C114" s="623" t="s">
        <v>901</v>
      </c>
      <c r="D114" s="4">
        <v>10230635933</v>
      </c>
      <c r="E114" s="370" t="s">
        <v>37</v>
      </c>
      <c r="F114" s="370" t="s">
        <v>896</v>
      </c>
      <c r="G114" s="371">
        <v>46441</v>
      </c>
      <c r="H114" s="617" t="s">
        <v>334</v>
      </c>
      <c r="I114" s="375">
        <v>2500</v>
      </c>
      <c r="J114" s="687">
        <f ca="1">IF(B$1&gt;=الجدول3[[#This Row],[تاريخ الدفعة]],الجدول3[[#This Row],[مبلغ الدفعة]],0)</f>
        <v>0</v>
      </c>
      <c r="K114" s="373">
        <v>0</v>
      </c>
      <c r="L114" s="374"/>
      <c r="M114" s="879" t="str" cm="1">
        <f t="array" aca="1" ref="M11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14" s="443"/>
      <c r="O114" s="620">
        <f ca="1">الجدول3[[#This Row],[المدفوع]]-الجدول3[[#This Row],[المبلغ المستحق]]</f>
        <v>0</v>
      </c>
      <c r="P114" s="443"/>
      <c r="Q114" s="113"/>
    </row>
    <row r="115" spans="2:17" hidden="1">
      <c r="B115" s="370">
        <v>77</v>
      </c>
      <c r="C115" s="623" t="s">
        <v>901</v>
      </c>
      <c r="D115" s="4">
        <v>10230635933</v>
      </c>
      <c r="E115" s="370" t="s">
        <v>37</v>
      </c>
      <c r="F115" s="370" t="s">
        <v>896</v>
      </c>
      <c r="G115" s="371">
        <v>46469</v>
      </c>
      <c r="H115" s="617" t="s">
        <v>335</v>
      </c>
      <c r="I115" s="375">
        <v>2500</v>
      </c>
      <c r="J115" s="687">
        <f ca="1">IF(B$1&gt;=الجدول3[[#This Row],[تاريخ الدفعة]],الجدول3[[#This Row],[مبلغ الدفعة]],0)</f>
        <v>0</v>
      </c>
      <c r="K115" s="373">
        <v>0</v>
      </c>
      <c r="L115" s="374"/>
      <c r="M115" s="879" t="str" cm="1">
        <f t="array" aca="1" ref="M11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15" s="443"/>
      <c r="O115" s="620">
        <f ca="1">الجدول3[[#This Row],[المدفوع]]-الجدول3[[#This Row],[المبلغ المستحق]]</f>
        <v>0</v>
      </c>
      <c r="P115" s="443"/>
      <c r="Q115" s="113"/>
    </row>
    <row r="116" spans="2:17" hidden="1">
      <c r="B116" s="369">
        <v>78</v>
      </c>
      <c r="C116" s="623" t="s">
        <v>901</v>
      </c>
      <c r="D116" s="4">
        <v>10230635933</v>
      </c>
      <c r="E116" s="370" t="s">
        <v>37</v>
      </c>
      <c r="F116" s="370" t="s">
        <v>896</v>
      </c>
      <c r="G116" s="371">
        <v>46500</v>
      </c>
      <c r="H116" s="617" t="s">
        <v>336</v>
      </c>
      <c r="I116" s="375">
        <v>2500</v>
      </c>
      <c r="J116" s="687">
        <f ca="1">IF(B$1&gt;=الجدول3[[#This Row],[تاريخ الدفعة]],الجدول3[[#This Row],[مبلغ الدفعة]],0)</f>
        <v>0</v>
      </c>
      <c r="K116" s="373">
        <v>0</v>
      </c>
      <c r="L116" s="374"/>
      <c r="M116" s="879" t="str" cm="1">
        <f t="array" aca="1" ref="M11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16" s="443"/>
      <c r="O116" s="620">
        <f ca="1">الجدول3[[#This Row],[المدفوع]]-الجدول3[[#This Row],[المبلغ المستحق]]</f>
        <v>0</v>
      </c>
      <c r="P116" s="443"/>
      <c r="Q116" s="113"/>
    </row>
    <row r="117" spans="2:17" hidden="1">
      <c r="B117" s="370">
        <v>79</v>
      </c>
      <c r="C117" s="623" t="s">
        <v>901</v>
      </c>
      <c r="D117" s="4">
        <v>10230635933</v>
      </c>
      <c r="E117" s="370" t="s">
        <v>37</v>
      </c>
      <c r="F117" s="370" t="s">
        <v>896</v>
      </c>
      <c r="G117" s="371">
        <v>46530</v>
      </c>
      <c r="H117" s="617" t="s">
        <v>337</v>
      </c>
      <c r="I117" s="375">
        <v>2500</v>
      </c>
      <c r="J117" s="687">
        <f ca="1">IF(B$1&gt;=الجدول3[[#This Row],[تاريخ الدفعة]],الجدول3[[#This Row],[مبلغ الدفعة]],0)</f>
        <v>0</v>
      </c>
      <c r="K117" s="373">
        <v>0</v>
      </c>
      <c r="L117" s="374"/>
      <c r="M117" s="879" t="str" cm="1">
        <f t="array" aca="1" ref="M11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17" s="443"/>
      <c r="O117" s="620">
        <f ca="1">الجدول3[[#This Row],[المدفوع]]-الجدول3[[#This Row],[المبلغ المستحق]]</f>
        <v>0</v>
      </c>
      <c r="P117" s="443"/>
      <c r="Q117" s="113"/>
    </row>
    <row r="118" spans="2:17" hidden="1">
      <c r="B118" s="369">
        <v>80</v>
      </c>
      <c r="C118" s="623" t="s">
        <v>901</v>
      </c>
      <c r="D118" s="4">
        <v>10230635933</v>
      </c>
      <c r="E118" s="370" t="s">
        <v>37</v>
      </c>
      <c r="F118" s="370" t="s">
        <v>896</v>
      </c>
      <c r="G118" s="371">
        <v>46561</v>
      </c>
      <c r="H118" s="617" t="s">
        <v>338</v>
      </c>
      <c r="I118" s="375">
        <v>2500</v>
      </c>
      <c r="J118" s="687">
        <f ca="1">IF(B$1&gt;=الجدول3[[#This Row],[تاريخ الدفعة]],الجدول3[[#This Row],[مبلغ الدفعة]],0)</f>
        <v>0</v>
      </c>
      <c r="K118" s="373">
        <v>0</v>
      </c>
      <c r="L118" s="374"/>
      <c r="M118" s="879" t="str" cm="1">
        <f t="array" aca="1" ref="M11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18" s="443"/>
      <c r="O118" s="620">
        <f ca="1">الجدول3[[#This Row],[المدفوع]]-الجدول3[[#This Row],[المبلغ المستحق]]</f>
        <v>0</v>
      </c>
      <c r="P118" s="443"/>
      <c r="Q118" s="113"/>
    </row>
    <row r="119" spans="2:17" hidden="1">
      <c r="B119" s="370">
        <v>81</v>
      </c>
      <c r="C119" s="622" t="s">
        <v>901</v>
      </c>
      <c r="D119" s="4">
        <v>10230635933</v>
      </c>
      <c r="E119" s="370" t="s">
        <v>37</v>
      </c>
      <c r="F119" s="370" t="s">
        <v>896</v>
      </c>
      <c r="G119" s="371">
        <v>46591</v>
      </c>
      <c r="H119" s="617" t="s">
        <v>339</v>
      </c>
      <c r="I119" s="375">
        <v>2500</v>
      </c>
      <c r="J119" s="687">
        <f ca="1">IF(B$1&gt;=الجدول3[[#This Row],[تاريخ الدفعة]],الجدول3[[#This Row],[مبلغ الدفعة]],0)</f>
        <v>0</v>
      </c>
      <c r="K119" s="373">
        <v>0</v>
      </c>
      <c r="L119" s="619"/>
      <c r="M119" s="879" t="str" cm="1">
        <f t="array" aca="1" ref="M11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19" s="443"/>
      <c r="O119" s="620">
        <f ca="1">الجدول3[[#This Row],[المدفوع]]-الجدول3[[#This Row],[المبلغ المستحق]]</f>
        <v>0</v>
      </c>
      <c r="P119" s="621"/>
      <c r="Q119" s="113"/>
    </row>
    <row r="120" spans="2:17" hidden="1">
      <c r="B120" s="369">
        <v>163</v>
      </c>
      <c r="C120" s="113" t="s">
        <v>951</v>
      </c>
      <c r="D120" s="726">
        <v>10744903211</v>
      </c>
      <c r="E120" s="370" t="s">
        <v>34</v>
      </c>
      <c r="F120" s="370" t="s">
        <v>896</v>
      </c>
      <c r="G120" s="371">
        <v>46274</v>
      </c>
      <c r="H120" s="371" t="s">
        <v>328</v>
      </c>
      <c r="I120" s="375">
        <v>1900</v>
      </c>
      <c r="J120" s="687">
        <f ca="1">IF(B$1&gt;=الجدول3[[#This Row],[تاريخ الدفعة]],الجدول3[[#This Row],[مبلغ الدفعة]],0)</f>
        <v>1900</v>
      </c>
      <c r="K120" s="373">
        <v>1900</v>
      </c>
      <c r="L120" s="374">
        <v>46275</v>
      </c>
      <c r="M120" s="689" t="s">
        <v>164</v>
      </c>
      <c r="N120" s="443" t="s">
        <v>328</v>
      </c>
      <c r="O120" s="620">
        <f ca="1">الجدول3[[#This Row],[المدفوع]]-الجدول3[[#This Row],[المبلغ المستحق]]</f>
        <v>0</v>
      </c>
      <c r="P120" s="443"/>
      <c r="Q120" s="113"/>
    </row>
    <row r="121" spans="2:17" hidden="1">
      <c r="B121" s="370">
        <v>83</v>
      </c>
      <c r="C121" s="4" t="s">
        <v>903</v>
      </c>
      <c r="D121" s="4">
        <v>10831589570</v>
      </c>
      <c r="E121" s="370" t="s">
        <v>35</v>
      </c>
      <c r="F121" s="370" t="s">
        <v>896</v>
      </c>
      <c r="G121" s="371">
        <v>46288</v>
      </c>
      <c r="H121" s="617" t="s">
        <v>963</v>
      </c>
      <c r="I121" s="375">
        <v>1900</v>
      </c>
      <c r="J121" s="687">
        <f ca="1">IF(B$1&gt;=الجدول3[[#This Row],[تاريخ الدفعة]],الجدول3[[#This Row],[مبلغ الدفعة]],0)</f>
        <v>1900</v>
      </c>
      <c r="K121" s="373">
        <v>0</v>
      </c>
      <c r="L121" s="374"/>
      <c r="M121" s="370" t="s">
        <v>963</v>
      </c>
      <c r="N121" s="443"/>
      <c r="O121" s="620">
        <f ca="1">الجدول3[[#This Row],[المدفوع]]-الجدول3[[#This Row],[المبلغ المستحق]]</f>
        <v>-1900</v>
      </c>
      <c r="P121" s="443"/>
      <c r="Q121" s="113"/>
    </row>
    <row r="122" spans="2:17" hidden="1">
      <c r="B122" s="370">
        <v>84</v>
      </c>
      <c r="C122" s="4" t="s">
        <v>903</v>
      </c>
      <c r="D122" s="624">
        <v>10831589570</v>
      </c>
      <c r="E122" s="370" t="s">
        <v>35</v>
      </c>
      <c r="F122" s="370" t="s">
        <v>896</v>
      </c>
      <c r="G122" s="371">
        <v>46318</v>
      </c>
      <c r="H122" s="617" t="s">
        <v>963</v>
      </c>
      <c r="I122" s="375">
        <v>1900</v>
      </c>
      <c r="J122" s="687">
        <f ca="1">IF(B$1&gt;=الجدول3[[#This Row],[تاريخ الدفعة]],الجدول3[[#This Row],[مبلغ الدفعة]],0)</f>
        <v>1900</v>
      </c>
      <c r="K122" s="373">
        <v>0</v>
      </c>
      <c r="L122" s="374"/>
      <c r="M122" s="370" t="s">
        <v>963</v>
      </c>
      <c r="N122" s="443"/>
      <c r="O122" s="620">
        <f ca="1">الجدول3[[#This Row],[المدفوع]]-الجدول3[[#This Row],[المبلغ المستحق]]</f>
        <v>-1900</v>
      </c>
      <c r="P122" s="443"/>
      <c r="Q122" s="113"/>
    </row>
    <row r="123" spans="2:17" hidden="1">
      <c r="B123" s="696">
        <v>85</v>
      </c>
      <c r="C123" s="720" t="s">
        <v>906</v>
      </c>
      <c r="D123" s="720">
        <v>10825954136</v>
      </c>
      <c r="E123" s="697" t="s">
        <v>39</v>
      </c>
      <c r="F123" s="697" t="s">
        <v>896</v>
      </c>
      <c r="G123" s="698">
        <v>46257</v>
      </c>
      <c r="H123" s="698" t="s">
        <v>277</v>
      </c>
      <c r="I123" s="699">
        <v>2800</v>
      </c>
      <c r="J123" s="687">
        <f ca="1">IF(B$1&gt;=الجدول3[[#This Row],[تاريخ الدفعة]],الجدول3[[#This Row],[مبلغ الدفعة]],0)</f>
        <v>2800</v>
      </c>
      <c r="K123" s="700">
        <v>2800</v>
      </c>
      <c r="L123" s="701">
        <v>46298</v>
      </c>
      <c r="M123" s="879" t="s">
        <v>41</v>
      </c>
      <c r="N123" s="702" t="s">
        <v>331</v>
      </c>
      <c r="O123" s="620">
        <f ca="1">الجدول3[[#This Row],[المدفوع]]-الجدول3[[#This Row],[المبلغ المستحق]]</f>
        <v>0</v>
      </c>
      <c r="P123" s="702"/>
      <c r="Q123" s="703"/>
    </row>
    <row r="124" spans="2:17" hidden="1">
      <c r="B124" s="704">
        <v>86</v>
      </c>
      <c r="C124" s="722" t="s">
        <v>906</v>
      </c>
      <c r="D124" s="722">
        <v>10825954136</v>
      </c>
      <c r="E124" s="705" t="s">
        <v>39</v>
      </c>
      <c r="F124" s="705" t="s">
        <v>896</v>
      </c>
      <c r="G124" s="706">
        <v>46288</v>
      </c>
      <c r="H124" s="706" t="s">
        <v>328</v>
      </c>
      <c r="I124" s="707">
        <v>2800</v>
      </c>
      <c r="J124" s="687">
        <f ca="1">IF(B$1&gt;=الجدول3[[#This Row],[تاريخ الدفعة]],الجدول3[[#This Row],[مبلغ الدفعة]],0)</f>
        <v>2800</v>
      </c>
      <c r="K124" s="708">
        <v>0</v>
      </c>
      <c r="L124" s="709"/>
      <c r="M124" s="879" t="str" cm="1">
        <f t="array" aca="1" ref="M12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متأخر</v>
      </c>
      <c r="N124" s="710"/>
      <c r="O124" s="620">
        <f ca="1">الجدول3[[#This Row],[المدفوع]]-الجدول3[[#This Row],[المبلغ المستحق]]</f>
        <v>-2800</v>
      </c>
      <c r="P124" s="710"/>
      <c r="Q124" s="711"/>
    </row>
    <row r="125" spans="2:17" hidden="1">
      <c r="B125" s="684">
        <v>87</v>
      </c>
      <c r="C125" s="4" t="s">
        <v>906</v>
      </c>
      <c r="D125" s="4">
        <v>10825954136</v>
      </c>
      <c r="E125" s="684" t="s">
        <v>39</v>
      </c>
      <c r="F125" s="684" t="s">
        <v>896</v>
      </c>
      <c r="G125" s="685">
        <v>46318</v>
      </c>
      <c r="H125" s="692" t="s">
        <v>331</v>
      </c>
      <c r="I125" s="686">
        <v>2800</v>
      </c>
      <c r="J125" s="687">
        <f ca="1">IF(B$1&gt;=الجدول3[[#This Row],[تاريخ الدفعة]],الجدول3[[#This Row],[مبلغ الدفعة]],0)</f>
        <v>2800</v>
      </c>
      <c r="K125" s="687">
        <v>0</v>
      </c>
      <c r="L125" s="688"/>
      <c r="M125" s="879" t="str" cm="1">
        <f t="array" aca="1" ref="M12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v>
      </c>
      <c r="N125" s="690"/>
      <c r="O125" s="620">
        <f ca="1">الجدول3[[#This Row],[المدفوع]]-الجدول3[[#This Row],[المبلغ المستحق]]</f>
        <v>-2800</v>
      </c>
      <c r="P125" s="690"/>
      <c r="Q125" s="113"/>
    </row>
    <row r="126" spans="2:17" hidden="1">
      <c r="B126" s="369">
        <v>88</v>
      </c>
      <c r="C126" s="4" t="s">
        <v>906</v>
      </c>
      <c r="D126" s="4">
        <v>10825954136</v>
      </c>
      <c r="E126" s="370" t="s">
        <v>39</v>
      </c>
      <c r="F126" s="370" t="s">
        <v>896</v>
      </c>
      <c r="G126" s="371">
        <v>46349</v>
      </c>
      <c r="H126" s="617" t="s">
        <v>332</v>
      </c>
      <c r="I126" s="375">
        <v>2800</v>
      </c>
      <c r="J126" s="687">
        <f ca="1">IF(B$1&gt;=الجدول3[[#This Row],[تاريخ الدفعة]],الجدول3[[#This Row],[مبلغ الدفعة]],0)</f>
        <v>0</v>
      </c>
      <c r="K126" s="373">
        <v>0</v>
      </c>
      <c r="L126" s="374"/>
      <c r="M126" s="879" t="str" cm="1">
        <f t="array" aca="1" ref="M12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26" s="443"/>
      <c r="O126" s="620">
        <f ca="1">الجدول3[[#This Row],[المدفوع]]-الجدول3[[#This Row],[المبلغ المستحق]]</f>
        <v>0</v>
      </c>
      <c r="P126" s="443"/>
      <c r="Q126" s="113"/>
    </row>
    <row r="127" spans="2:17" hidden="1">
      <c r="B127" s="370">
        <v>89</v>
      </c>
      <c r="C127" s="4" t="s">
        <v>906</v>
      </c>
      <c r="D127" s="4">
        <v>10825954136</v>
      </c>
      <c r="E127" s="370" t="s">
        <v>39</v>
      </c>
      <c r="F127" s="370" t="s">
        <v>896</v>
      </c>
      <c r="G127" s="371">
        <v>46379</v>
      </c>
      <c r="H127" s="617" t="s">
        <v>333</v>
      </c>
      <c r="I127" s="375">
        <v>2800</v>
      </c>
      <c r="J127" s="687">
        <f ca="1">IF(B$1&gt;=الجدول3[[#This Row],[تاريخ الدفعة]],الجدول3[[#This Row],[مبلغ الدفعة]],0)</f>
        <v>0</v>
      </c>
      <c r="K127" s="373">
        <v>0</v>
      </c>
      <c r="L127" s="374"/>
      <c r="M127" s="879" t="str" cm="1">
        <f t="array" aca="1" ref="M12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27" s="443"/>
      <c r="O127" s="620">
        <f ca="1">الجدول3[[#This Row],[المدفوع]]-الجدول3[[#This Row],[المبلغ المستحق]]</f>
        <v>0</v>
      </c>
      <c r="P127" s="443"/>
      <c r="Q127" s="113"/>
    </row>
    <row r="128" spans="2:17" hidden="1">
      <c r="B128" s="369">
        <v>90</v>
      </c>
      <c r="C128" s="4" t="s">
        <v>906</v>
      </c>
      <c r="D128" s="4">
        <v>10825954136</v>
      </c>
      <c r="E128" s="370" t="s">
        <v>39</v>
      </c>
      <c r="F128" s="370" t="s">
        <v>896</v>
      </c>
      <c r="G128" s="371">
        <v>46410</v>
      </c>
      <c r="H128" s="617" t="s">
        <v>637</v>
      </c>
      <c r="I128" s="375">
        <v>2800</v>
      </c>
      <c r="J128" s="687">
        <f ca="1">IF(B$1&gt;=الجدول3[[#This Row],[تاريخ الدفعة]],الجدول3[[#This Row],[مبلغ الدفعة]],0)</f>
        <v>0</v>
      </c>
      <c r="K128" s="373">
        <v>0</v>
      </c>
      <c r="L128" s="374"/>
      <c r="M128" s="879" t="str" cm="1">
        <f t="array" aca="1" ref="M12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28" s="443"/>
      <c r="O128" s="620">
        <f ca="1">الجدول3[[#This Row],[المدفوع]]-الجدول3[[#This Row],[المبلغ المستحق]]</f>
        <v>0</v>
      </c>
      <c r="P128" s="443"/>
      <c r="Q128" s="113"/>
    </row>
    <row r="129" spans="2:17" hidden="1">
      <c r="B129" s="370">
        <v>91</v>
      </c>
      <c r="C129" s="4" t="s">
        <v>906</v>
      </c>
      <c r="D129" s="4">
        <v>10825954136</v>
      </c>
      <c r="E129" s="370" t="s">
        <v>39</v>
      </c>
      <c r="F129" s="370" t="s">
        <v>896</v>
      </c>
      <c r="G129" s="371">
        <v>46441</v>
      </c>
      <c r="H129" s="617" t="s">
        <v>334</v>
      </c>
      <c r="I129" s="375">
        <v>2800</v>
      </c>
      <c r="J129" s="687">
        <f ca="1">IF(B$1&gt;=الجدول3[[#This Row],[تاريخ الدفعة]],الجدول3[[#This Row],[مبلغ الدفعة]],0)</f>
        <v>0</v>
      </c>
      <c r="K129" s="373">
        <v>0</v>
      </c>
      <c r="L129" s="374"/>
      <c r="M129" s="879" t="str" cm="1">
        <f t="array" aca="1" ref="M12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29" s="443"/>
      <c r="O129" s="620">
        <f ca="1">الجدول3[[#This Row],[المدفوع]]-الجدول3[[#This Row],[المبلغ المستحق]]</f>
        <v>0</v>
      </c>
      <c r="P129" s="443"/>
      <c r="Q129" s="113"/>
    </row>
    <row r="130" spans="2:17" hidden="1">
      <c r="B130" s="369">
        <v>92</v>
      </c>
      <c r="C130" s="4" t="s">
        <v>906</v>
      </c>
      <c r="D130" s="4">
        <v>10825954136</v>
      </c>
      <c r="E130" s="370" t="s">
        <v>39</v>
      </c>
      <c r="F130" s="370" t="s">
        <v>896</v>
      </c>
      <c r="G130" s="371">
        <v>46469</v>
      </c>
      <c r="H130" s="617" t="s">
        <v>335</v>
      </c>
      <c r="I130" s="375">
        <v>2800</v>
      </c>
      <c r="J130" s="687">
        <f ca="1">IF(B$1&gt;=الجدول3[[#This Row],[تاريخ الدفعة]],الجدول3[[#This Row],[مبلغ الدفعة]],0)</f>
        <v>0</v>
      </c>
      <c r="K130" s="373">
        <v>0</v>
      </c>
      <c r="L130" s="374"/>
      <c r="M130" s="879" t="str" cm="1">
        <f t="array" aca="1" ref="M13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30" s="443"/>
      <c r="O130" s="620">
        <f ca="1">الجدول3[[#This Row],[المدفوع]]-الجدول3[[#This Row],[المبلغ المستحق]]</f>
        <v>0</v>
      </c>
      <c r="P130" s="443"/>
      <c r="Q130" s="113"/>
    </row>
    <row r="131" spans="2:17" hidden="1">
      <c r="B131" s="370">
        <v>93</v>
      </c>
      <c r="C131" s="4" t="s">
        <v>906</v>
      </c>
      <c r="D131" s="4">
        <v>10825954136</v>
      </c>
      <c r="E131" s="370" t="s">
        <v>39</v>
      </c>
      <c r="F131" s="370" t="s">
        <v>896</v>
      </c>
      <c r="G131" s="371">
        <v>46500</v>
      </c>
      <c r="H131" s="617" t="s">
        <v>336</v>
      </c>
      <c r="I131" s="375">
        <v>2800</v>
      </c>
      <c r="J131" s="687">
        <f ca="1">IF(B$1&gt;=الجدول3[[#This Row],[تاريخ الدفعة]],الجدول3[[#This Row],[مبلغ الدفعة]],0)</f>
        <v>0</v>
      </c>
      <c r="K131" s="373">
        <v>0</v>
      </c>
      <c r="L131" s="374"/>
      <c r="M131" s="879" t="str" cm="1">
        <f t="array" aca="1" ref="M13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31" s="443"/>
      <c r="O131" s="620">
        <f ca="1">الجدول3[[#This Row],[المدفوع]]-الجدول3[[#This Row],[المبلغ المستحق]]</f>
        <v>0</v>
      </c>
      <c r="P131" s="443"/>
      <c r="Q131" s="113"/>
    </row>
    <row r="132" spans="2:17" hidden="1">
      <c r="B132" s="369">
        <v>94</v>
      </c>
      <c r="C132" s="623" t="s">
        <v>906</v>
      </c>
      <c r="D132" s="4">
        <v>10825954136</v>
      </c>
      <c r="E132" s="370" t="s">
        <v>39</v>
      </c>
      <c r="F132" s="370" t="s">
        <v>896</v>
      </c>
      <c r="G132" s="371">
        <v>46530</v>
      </c>
      <c r="H132" s="617" t="s">
        <v>337</v>
      </c>
      <c r="I132" s="375">
        <v>2800</v>
      </c>
      <c r="J132" s="687">
        <f ca="1">IF(B$1&gt;=الجدول3[[#This Row],[تاريخ الدفعة]],الجدول3[[#This Row],[مبلغ الدفعة]],0)</f>
        <v>0</v>
      </c>
      <c r="K132" s="373">
        <v>0</v>
      </c>
      <c r="L132" s="374"/>
      <c r="M132" s="879" t="str" cm="1">
        <f t="array" aca="1" ref="M13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32" s="443"/>
      <c r="O132" s="620">
        <f ca="1">الجدول3[[#This Row],[المدفوع]]-الجدول3[[#This Row],[المبلغ المستحق]]</f>
        <v>0</v>
      </c>
      <c r="P132" s="443"/>
      <c r="Q132" s="113"/>
    </row>
    <row r="133" spans="2:17" hidden="1">
      <c r="B133" s="370">
        <v>95</v>
      </c>
      <c r="C133" s="623" t="s">
        <v>906</v>
      </c>
      <c r="D133" s="4">
        <v>10825954136</v>
      </c>
      <c r="E133" s="370" t="s">
        <v>39</v>
      </c>
      <c r="F133" s="370" t="s">
        <v>896</v>
      </c>
      <c r="G133" s="371">
        <v>46561</v>
      </c>
      <c r="H133" s="617" t="s">
        <v>338</v>
      </c>
      <c r="I133" s="375">
        <v>2800</v>
      </c>
      <c r="J133" s="687">
        <f ca="1">IF(B$1&gt;=الجدول3[[#This Row],[تاريخ الدفعة]],الجدول3[[#This Row],[مبلغ الدفعة]],0)</f>
        <v>0</v>
      </c>
      <c r="K133" s="373">
        <v>0</v>
      </c>
      <c r="L133" s="374"/>
      <c r="M133" s="879" t="str" cm="1">
        <f t="array" aca="1" ref="M13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33" s="443"/>
      <c r="O133" s="620">
        <f ca="1">الجدول3[[#This Row],[المدفوع]]-الجدول3[[#This Row],[المبلغ المستحق]]</f>
        <v>0</v>
      </c>
      <c r="P133" s="443"/>
      <c r="Q133" s="113"/>
    </row>
    <row r="134" spans="2:17" hidden="1">
      <c r="B134" s="369">
        <v>96</v>
      </c>
      <c r="C134" s="623" t="s">
        <v>906</v>
      </c>
      <c r="D134" s="4">
        <v>10825954136</v>
      </c>
      <c r="E134" s="370" t="s">
        <v>39</v>
      </c>
      <c r="F134" s="370" t="s">
        <v>896</v>
      </c>
      <c r="G134" s="371">
        <v>46591</v>
      </c>
      <c r="H134" s="617" t="s">
        <v>339</v>
      </c>
      <c r="I134" s="375">
        <v>2800</v>
      </c>
      <c r="J134" s="687">
        <f ca="1">IF(B$1&gt;=الجدول3[[#This Row],[تاريخ الدفعة]],الجدول3[[#This Row],[مبلغ الدفعة]],0)</f>
        <v>0</v>
      </c>
      <c r="K134" s="373">
        <v>0</v>
      </c>
      <c r="L134" s="374"/>
      <c r="M134" s="879" t="str" cm="1">
        <f t="array" aca="1" ref="M13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34" s="443"/>
      <c r="O134" s="620">
        <f ca="1">الجدول3[[#This Row],[المدفوع]]-الجدول3[[#This Row],[المبلغ المستحق]]</f>
        <v>0</v>
      </c>
      <c r="P134" s="443"/>
      <c r="Q134" s="113"/>
    </row>
    <row r="135" spans="2:17" hidden="1">
      <c r="B135" s="370">
        <v>82</v>
      </c>
      <c r="C135" s="652" t="s">
        <v>903</v>
      </c>
      <c r="D135" s="4">
        <v>10831589570</v>
      </c>
      <c r="E135" s="370" t="s">
        <v>35</v>
      </c>
      <c r="F135" s="370" t="s">
        <v>896</v>
      </c>
      <c r="G135" s="371">
        <v>46257</v>
      </c>
      <c r="H135" s="371" t="s">
        <v>277</v>
      </c>
      <c r="I135" s="375">
        <v>1900</v>
      </c>
      <c r="J135" s="687">
        <f ca="1">IF(B$1&gt;=الجدول3[[#This Row],[تاريخ الدفعة]],الجدول3[[#This Row],[مبلغ الدفعة]],0)</f>
        <v>1900</v>
      </c>
      <c r="K135" s="373">
        <v>1900</v>
      </c>
      <c r="L135" s="374"/>
      <c r="M135" s="689" t="s">
        <v>164</v>
      </c>
      <c r="N135" s="443" t="s">
        <v>328</v>
      </c>
      <c r="O135" s="620">
        <f ca="1">الجدول3[[#This Row],[المدفوع]]-الجدول3[[#This Row],[المبلغ المستحق]]</f>
        <v>0</v>
      </c>
      <c r="P135" s="443"/>
      <c r="Q135" s="113"/>
    </row>
    <row r="136" spans="2:17" hidden="1">
      <c r="B136" s="369">
        <v>97</v>
      </c>
      <c r="C136" s="623" t="s">
        <v>922</v>
      </c>
      <c r="D136" s="4">
        <v>10879253534</v>
      </c>
      <c r="E136" s="370" t="s">
        <v>36</v>
      </c>
      <c r="F136" s="370" t="s">
        <v>896</v>
      </c>
      <c r="G136" s="371">
        <v>46259</v>
      </c>
      <c r="H136" s="617" t="s">
        <v>277</v>
      </c>
      <c r="I136" s="375">
        <v>1800</v>
      </c>
      <c r="J136" s="687">
        <f ca="1">IF(B$1&gt;=الجدول3[[#This Row],[تاريخ الدفعة]],الجدول3[[#This Row],[مبلغ الدفعة]],0)</f>
        <v>1800</v>
      </c>
      <c r="K136" s="373">
        <v>1800</v>
      </c>
      <c r="L136" s="374">
        <v>46261</v>
      </c>
      <c r="M136" s="689" t="s">
        <v>164</v>
      </c>
      <c r="N136" s="443" t="s">
        <v>328</v>
      </c>
      <c r="O136" s="620">
        <f ca="1">الجدول3[[#This Row],[المدفوع]]-الجدول3[[#This Row],[المبلغ المستحق]]</f>
        <v>0</v>
      </c>
      <c r="P136" s="443"/>
      <c r="Q136" s="113"/>
    </row>
    <row r="137" spans="2:17" hidden="1">
      <c r="B137" s="370">
        <v>99</v>
      </c>
      <c r="C137" s="622" t="s">
        <v>922</v>
      </c>
      <c r="D137" s="4">
        <v>10879253534</v>
      </c>
      <c r="E137" s="370" t="s">
        <v>36</v>
      </c>
      <c r="F137" s="370" t="s">
        <v>896</v>
      </c>
      <c r="G137" s="371">
        <v>46320</v>
      </c>
      <c r="H137" s="617" t="s">
        <v>331</v>
      </c>
      <c r="I137" s="375">
        <v>1800</v>
      </c>
      <c r="J137" s="687">
        <f ca="1">IF(B$1&gt;=الجدول3[[#This Row],[تاريخ الدفعة]],الجدول3[[#This Row],[مبلغ الدفعة]],0)</f>
        <v>1800</v>
      </c>
      <c r="K137" s="373">
        <v>0</v>
      </c>
      <c r="L137" s="619"/>
      <c r="M137" s="879" t="str" cm="1">
        <f t="array" aca="1" ref="M13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v>
      </c>
      <c r="N137" s="443"/>
      <c r="O137" s="620">
        <f ca="1">الجدول3[[#This Row],[المدفوع]]-الجدول3[[#This Row],[المبلغ المستحق]]</f>
        <v>-1800</v>
      </c>
      <c r="P137" s="621"/>
      <c r="Q137" s="113"/>
    </row>
    <row r="138" spans="2:17" hidden="1">
      <c r="B138" s="369">
        <v>100</v>
      </c>
      <c r="C138" s="622" t="s">
        <v>922</v>
      </c>
      <c r="D138" s="4">
        <v>10879253534</v>
      </c>
      <c r="E138" s="370" t="s">
        <v>36</v>
      </c>
      <c r="F138" s="370" t="s">
        <v>896</v>
      </c>
      <c r="G138" s="371">
        <v>46351</v>
      </c>
      <c r="H138" s="617" t="s">
        <v>332</v>
      </c>
      <c r="I138" s="375">
        <v>1800</v>
      </c>
      <c r="J138" s="687">
        <f ca="1">IF(B$1&gt;=الجدول3[[#This Row],[تاريخ الدفعة]],الجدول3[[#This Row],[مبلغ الدفعة]],0)</f>
        <v>0</v>
      </c>
      <c r="K138" s="373">
        <v>0</v>
      </c>
      <c r="L138" s="619"/>
      <c r="M138" s="879" t="str" cm="1">
        <f t="array" aca="1" ref="M13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38" s="443"/>
      <c r="O138" s="620">
        <f ca="1">الجدول3[[#This Row],[المدفوع]]-الجدول3[[#This Row],[المبلغ المستحق]]</f>
        <v>0</v>
      </c>
      <c r="P138" s="621"/>
      <c r="Q138" s="113"/>
    </row>
    <row r="139" spans="2:17" hidden="1">
      <c r="B139" s="370">
        <v>101</v>
      </c>
      <c r="C139" s="622" t="s">
        <v>922</v>
      </c>
      <c r="D139" s="4">
        <v>10879253534</v>
      </c>
      <c r="E139" s="370" t="s">
        <v>36</v>
      </c>
      <c r="F139" s="370" t="s">
        <v>896</v>
      </c>
      <c r="G139" s="371">
        <v>46381</v>
      </c>
      <c r="H139" s="617" t="s">
        <v>333</v>
      </c>
      <c r="I139" s="375">
        <v>1800</v>
      </c>
      <c r="J139" s="687">
        <f ca="1">IF(B$1&gt;=الجدول3[[#This Row],[تاريخ الدفعة]],الجدول3[[#This Row],[مبلغ الدفعة]],0)</f>
        <v>0</v>
      </c>
      <c r="K139" s="373">
        <v>0</v>
      </c>
      <c r="L139" s="619"/>
      <c r="M139" s="879" t="str" cm="1">
        <f t="array" aca="1" ref="M13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39" s="443"/>
      <c r="O139" s="620">
        <f ca="1">الجدول3[[#This Row],[المدفوع]]-الجدول3[[#This Row],[المبلغ المستحق]]</f>
        <v>0</v>
      </c>
      <c r="P139" s="621"/>
      <c r="Q139" s="113"/>
    </row>
    <row r="140" spans="2:17" hidden="1">
      <c r="B140" s="369">
        <v>102</v>
      </c>
      <c r="C140" s="622" t="s">
        <v>922</v>
      </c>
      <c r="D140" s="4">
        <v>10879253534</v>
      </c>
      <c r="E140" s="370" t="s">
        <v>36</v>
      </c>
      <c r="F140" s="370" t="s">
        <v>896</v>
      </c>
      <c r="G140" s="371">
        <v>46412</v>
      </c>
      <c r="H140" s="617" t="s">
        <v>637</v>
      </c>
      <c r="I140" s="375">
        <v>1800</v>
      </c>
      <c r="J140" s="687">
        <f ca="1">IF(B$1&gt;=الجدول3[[#This Row],[تاريخ الدفعة]],الجدول3[[#This Row],[مبلغ الدفعة]],0)</f>
        <v>0</v>
      </c>
      <c r="K140" s="373">
        <v>0</v>
      </c>
      <c r="L140" s="619"/>
      <c r="M140" s="879" t="str" cm="1">
        <f t="array" aca="1" ref="M14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40" s="443"/>
      <c r="O140" s="620">
        <f ca="1">الجدول3[[#This Row],[المدفوع]]-الجدول3[[#This Row],[المبلغ المستحق]]</f>
        <v>0</v>
      </c>
      <c r="P140" s="621"/>
      <c r="Q140" s="113"/>
    </row>
    <row r="141" spans="2:17" hidden="1">
      <c r="B141" s="370">
        <v>103</v>
      </c>
      <c r="C141" s="622" t="s">
        <v>922</v>
      </c>
      <c r="D141" s="4">
        <v>10879253534</v>
      </c>
      <c r="E141" s="370" t="s">
        <v>36</v>
      </c>
      <c r="F141" s="370" t="s">
        <v>896</v>
      </c>
      <c r="G141" s="371">
        <v>46443</v>
      </c>
      <c r="H141" s="617" t="s">
        <v>334</v>
      </c>
      <c r="I141" s="375">
        <v>1800</v>
      </c>
      <c r="J141" s="687">
        <f ca="1">IF(B$1&gt;=الجدول3[[#This Row],[تاريخ الدفعة]],الجدول3[[#This Row],[مبلغ الدفعة]],0)</f>
        <v>0</v>
      </c>
      <c r="K141" s="373">
        <v>0</v>
      </c>
      <c r="L141" s="619"/>
      <c r="M141" s="879" t="str" cm="1">
        <f t="array" aca="1" ref="M14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41" s="443"/>
      <c r="O141" s="620">
        <f ca="1">الجدول3[[#This Row],[المدفوع]]-الجدول3[[#This Row],[المبلغ المستحق]]</f>
        <v>0</v>
      </c>
      <c r="P141" s="621"/>
      <c r="Q141" s="113"/>
    </row>
    <row r="142" spans="2:17" hidden="1">
      <c r="B142" s="369">
        <v>104</v>
      </c>
      <c r="C142" s="622" t="s">
        <v>922</v>
      </c>
      <c r="D142" s="4">
        <v>10879253534</v>
      </c>
      <c r="E142" s="370" t="s">
        <v>36</v>
      </c>
      <c r="F142" s="370" t="s">
        <v>896</v>
      </c>
      <c r="G142" s="371">
        <v>46471</v>
      </c>
      <c r="H142" s="617" t="s">
        <v>335</v>
      </c>
      <c r="I142" s="375">
        <v>1800</v>
      </c>
      <c r="J142" s="687">
        <f ca="1">IF(B$1&gt;=الجدول3[[#This Row],[تاريخ الدفعة]],الجدول3[[#This Row],[مبلغ الدفعة]],0)</f>
        <v>0</v>
      </c>
      <c r="K142" s="373">
        <v>0</v>
      </c>
      <c r="L142" s="619"/>
      <c r="M142" s="879" t="str" cm="1">
        <f t="array" aca="1" ref="M14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42" s="443"/>
      <c r="O142" s="620">
        <f ca="1">الجدول3[[#This Row],[المدفوع]]-الجدول3[[#This Row],[المبلغ المستحق]]</f>
        <v>0</v>
      </c>
      <c r="P142" s="621"/>
      <c r="Q142" s="113"/>
    </row>
    <row r="143" spans="2:17" hidden="1">
      <c r="B143" s="370">
        <v>105</v>
      </c>
      <c r="C143" s="622" t="s">
        <v>922</v>
      </c>
      <c r="D143" s="4">
        <v>10879253534</v>
      </c>
      <c r="E143" s="370" t="s">
        <v>36</v>
      </c>
      <c r="F143" s="370" t="s">
        <v>896</v>
      </c>
      <c r="G143" s="371">
        <v>46502</v>
      </c>
      <c r="H143" s="617" t="s">
        <v>336</v>
      </c>
      <c r="I143" s="375">
        <v>1800</v>
      </c>
      <c r="J143" s="687">
        <f ca="1">IF(B$1&gt;=الجدول3[[#This Row],[تاريخ الدفعة]],الجدول3[[#This Row],[مبلغ الدفعة]],0)</f>
        <v>0</v>
      </c>
      <c r="K143" s="373">
        <v>0</v>
      </c>
      <c r="L143" s="619"/>
      <c r="M143" s="879" t="str" cm="1">
        <f t="array" aca="1" ref="M14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43" s="443"/>
      <c r="O143" s="620">
        <f ca="1">الجدول3[[#This Row],[المدفوع]]-الجدول3[[#This Row],[المبلغ المستحق]]</f>
        <v>0</v>
      </c>
      <c r="P143" s="621"/>
      <c r="Q143" s="113"/>
    </row>
    <row r="144" spans="2:17" hidden="1">
      <c r="B144" s="369">
        <v>106</v>
      </c>
      <c r="C144" s="622" t="s">
        <v>922</v>
      </c>
      <c r="D144" s="4">
        <v>10879253534</v>
      </c>
      <c r="E144" s="370" t="s">
        <v>36</v>
      </c>
      <c r="F144" s="370" t="s">
        <v>896</v>
      </c>
      <c r="G144" s="371">
        <v>46532</v>
      </c>
      <c r="H144" s="617" t="s">
        <v>337</v>
      </c>
      <c r="I144" s="375">
        <v>1800</v>
      </c>
      <c r="J144" s="687">
        <f ca="1">IF(B$1&gt;=الجدول3[[#This Row],[تاريخ الدفعة]],الجدول3[[#This Row],[مبلغ الدفعة]],0)</f>
        <v>0</v>
      </c>
      <c r="K144" s="373">
        <v>0</v>
      </c>
      <c r="L144" s="619"/>
      <c r="M144" s="879" t="str" cm="1">
        <f t="array" aca="1" ref="M14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44" s="443"/>
      <c r="O144" s="620">
        <f ca="1">الجدول3[[#This Row],[المدفوع]]-الجدول3[[#This Row],[المبلغ المستحق]]</f>
        <v>0</v>
      </c>
      <c r="P144" s="621"/>
      <c r="Q144" s="113"/>
    </row>
    <row r="145" spans="2:17" hidden="1">
      <c r="B145" s="370">
        <v>107</v>
      </c>
      <c r="C145" s="622" t="s">
        <v>922</v>
      </c>
      <c r="D145" s="4">
        <v>10879253534</v>
      </c>
      <c r="E145" s="370" t="s">
        <v>36</v>
      </c>
      <c r="F145" s="370" t="s">
        <v>896</v>
      </c>
      <c r="G145" s="371">
        <v>46563</v>
      </c>
      <c r="H145" s="617" t="s">
        <v>338</v>
      </c>
      <c r="I145" s="375">
        <v>1800</v>
      </c>
      <c r="J145" s="687">
        <f ca="1">IF(B$1&gt;=الجدول3[[#This Row],[تاريخ الدفعة]],الجدول3[[#This Row],[مبلغ الدفعة]],0)</f>
        <v>0</v>
      </c>
      <c r="K145" s="373">
        <v>0</v>
      </c>
      <c r="L145" s="619"/>
      <c r="M145" s="879" t="str" cm="1">
        <f t="array" aca="1" ref="M14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45" s="443"/>
      <c r="O145" s="620">
        <f ca="1">الجدول3[[#This Row],[المدفوع]]-الجدول3[[#This Row],[المبلغ المستحق]]</f>
        <v>0</v>
      </c>
      <c r="P145" s="621"/>
      <c r="Q145" s="113"/>
    </row>
    <row r="146" spans="2:17" hidden="1">
      <c r="B146" s="369">
        <v>108</v>
      </c>
      <c r="C146" s="622" t="s">
        <v>922</v>
      </c>
      <c r="D146" s="4">
        <v>10879253534</v>
      </c>
      <c r="E146" s="370" t="s">
        <v>36</v>
      </c>
      <c r="F146" s="370" t="s">
        <v>896</v>
      </c>
      <c r="G146" s="371">
        <v>46593</v>
      </c>
      <c r="H146" s="617" t="s">
        <v>339</v>
      </c>
      <c r="I146" s="375">
        <v>1800</v>
      </c>
      <c r="J146" s="687">
        <f ca="1">IF(B$1&gt;=الجدول3[[#This Row],[تاريخ الدفعة]],الجدول3[[#This Row],[مبلغ الدفعة]],0)</f>
        <v>0</v>
      </c>
      <c r="K146" s="373">
        <v>0</v>
      </c>
      <c r="L146" s="619"/>
      <c r="M146" s="879" t="str" cm="1">
        <f t="array" aca="1" ref="M14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46" s="443"/>
      <c r="O146" s="620">
        <f ca="1">الجدول3[[#This Row],[المدفوع]]-الجدول3[[#This Row],[المبلغ المستحق]]</f>
        <v>0</v>
      </c>
      <c r="P146" s="621"/>
      <c r="Q146" s="113"/>
    </row>
    <row r="147" spans="2:17" hidden="1">
      <c r="B147" s="370">
        <v>98</v>
      </c>
      <c r="C147" s="623" t="s">
        <v>922</v>
      </c>
      <c r="D147" s="4">
        <v>10879253534</v>
      </c>
      <c r="E147" s="370" t="s">
        <v>36</v>
      </c>
      <c r="F147" s="370" t="s">
        <v>896</v>
      </c>
      <c r="G147" s="371">
        <v>46290</v>
      </c>
      <c r="H147" s="371" t="s">
        <v>328</v>
      </c>
      <c r="I147" s="375">
        <v>1800</v>
      </c>
      <c r="J147" s="687">
        <f ca="1">IF(B$1&gt;=الجدول3[[#This Row],[تاريخ الدفعة]],الجدول3[[#This Row],[مبلغ الدفعة]],0)</f>
        <v>1800</v>
      </c>
      <c r="K147" s="373">
        <v>1800</v>
      </c>
      <c r="L147" s="374">
        <v>46292</v>
      </c>
      <c r="M147" s="689" t="s">
        <v>164</v>
      </c>
      <c r="N147" s="443" t="s">
        <v>328</v>
      </c>
      <c r="O147" s="620">
        <f ca="1">الجدول3[[#This Row],[المدفوع]]-الجدول3[[#This Row],[المبلغ المستحق]]</f>
        <v>0</v>
      </c>
      <c r="P147" s="443"/>
      <c r="Q147" s="113"/>
    </row>
    <row r="148" spans="2:17" hidden="1">
      <c r="B148" s="369">
        <v>70</v>
      </c>
      <c r="C148" s="623" t="s">
        <v>901</v>
      </c>
      <c r="D148" s="4">
        <v>10230635933</v>
      </c>
      <c r="E148" s="370" t="s">
        <v>37</v>
      </c>
      <c r="F148" s="370" t="s">
        <v>896</v>
      </c>
      <c r="G148" s="371">
        <v>46257</v>
      </c>
      <c r="H148" s="617" t="s">
        <v>277</v>
      </c>
      <c r="I148" s="375">
        <v>2500</v>
      </c>
      <c r="J148" s="687">
        <f ca="1">IF(B$1&gt;=الجدول3[[#This Row],[تاريخ الدفعة]],الجدول3[[#This Row],[مبلغ الدفعة]],0)</f>
        <v>2500</v>
      </c>
      <c r="K148" s="373">
        <v>2500</v>
      </c>
      <c r="L148" s="374">
        <v>46264</v>
      </c>
      <c r="M148" s="689" t="s">
        <v>164</v>
      </c>
      <c r="N148" s="443" t="s">
        <v>328</v>
      </c>
      <c r="O148" s="620">
        <f ca="1">الجدول3[[#This Row],[المدفوع]]-الجدول3[[#This Row],[المبلغ المستحق]]</f>
        <v>0</v>
      </c>
      <c r="P148" s="443"/>
      <c r="Q148" s="113"/>
    </row>
    <row r="149" spans="2:17" hidden="1">
      <c r="B149" s="370">
        <v>111</v>
      </c>
      <c r="C149" s="622" t="s">
        <v>924</v>
      </c>
      <c r="D149" s="4">
        <v>10229579861</v>
      </c>
      <c r="E149" s="370" t="s">
        <v>28</v>
      </c>
      <c r="F149" s="370" t="s">
        <v>896</v>
      </c>
      <c r="G149" s="371">
        <v>46325</v>
      </c>
      <c r="H149" s="617" t="s">
        <v>331</v>
      </c>
      <c r="I149" s="375">
        <v>2000</v>
      </c>
      <c r="J149" s="687">
        <f ca="1">IF(B$1&gt;=الجدول3[[#This Row],[تاريخ الدفعة]],الجدول3[[#This Row],[مبلغ الدفعة]],0)</f>
        <v>0</v>
      </c>
      <c r="K149" s="373">
        <v>0</v>
      </c>
      <c r="L149" s="619"/>
      <c r="M149" s="879" t="str" cm="1">
        <f t="array" aca="1" ref="M14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اقترب</v>
      </c>
      <c r="N149" s="443"/>
      <c r="O149" s="620">
        <f ca="1">الجدول3[[#This Row],[المدفوع]]-الجدول3[[#This Row],[المبلغ المستحق]]</f>
        <v>0</v>
      </c>
      <c r="P149" s="621"/>
      <c r="Q149" s="113"/>
    </row>
    <row r="150" spans="2:17" hidden="1">
      <c r="B150" s="369">
        <v>112</v>
      </c>
      <c r="C150" s="622" t="s">
        <v>924</v>
      </c>
      <c r="D150" s="4">
        <v>10229579861</v>
      </c>
      <c r="E150" s="370" t="s">
        <v>28</v>
      </c>
      <c r="F150" s="370" t="s">
        <v>896</v>
      </c>
      <c r="G150" s="371">
        <v>46356</v>
      </c>
      <c r="H150" s="617" t="s">
        <v>332</v>
      </c>
      <c r="I150" s="375">
        <v>2000</v>
      </c>
      <c r="J150" s="687">
        <f ca="1">IF(B$1&gt;=الجدول3[[#This Row],[تاريخ الدفعة]],الجدول3[[#This Row],[مبلغ الدفعة]],0)</f>
        <v>0</v>
      </c>
      <c r="K150" s="373">
        <v>0</v>
      </c>
      <c r="L150" s="619"/>
      <c r="M150" s="879" t="str" cm="1">
        <f t="array" aca="1" ref="M15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50" s="443"/>
      <c r="O150" s="620">
        <f ca="1">الجدول3[[#This Row],[المدفوع]]-الجدول3[[#This Row],[المبلغ المستحق]]</f>
        <v>0</v>
      </c>
      <c r="P150" s="621"/>
      <c r="Q150" s="113"/>
    </row>
    <row r="151" spans="2:17" hidden="1">
      <c r="B151" s="370">
        <v>113</v>
      </c>
      <c r="C151" s="622" t="s">
        <v>924</v>
      </c>
      <c r="D151" s="4">
        <v>10229579861</v>
      </c>
      <c r="E151" s="370" t="s">
        <v>28</v>
      </c>
      <c r="F151" s="370" t="s">
        <v>896</v>
      </c>
      <c r="G151" s="371">
        <v>46386</v>
      </c>
      <c r="H151" s="617" t="s">
        <v>333</v>
      </c>
      <c r="I151" s="375">
        <v>2000</v>
      </c>
      <c r="J151" s="687">
        <f ca="1">IF(B$1&gt;=الجدول3[[#This Row],[تاريخ الدفعة]],الجدول3[[#This Row],[مبلغ الدفعة]],0)</f>
        <v>0</v>
      </c>
      <c r="K151" s="373">
        <v>0</v>
      </c>
      <c r="L151" s="619"/>
      <c r="M151" s="879" t="str" cm="1">
        <f t="array" aca="1" ref="M15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51" s="443"/>
      <c r="O151" s="620">
        <f ca="1">الجدول3[[#This Row],[المدفوع]]-الجدول3[[#This Row],[المبلغ المستحق]]</f>
        <v>0</v>
      </c>
      <c r="P151" s="621"/>
      <c r="Q151" s="113"/>
    </row>
    <row r="152" spans="2:17" hidden="1">
      <c r="B152" s="369">
        <v>114</v>
      </c>
      <c r="C152" s="622" t="s">
        <v>924</v>
      </c>
      <c r="D152" s="4">
        <v>10229579861</v>
      </c>
      <c r="E152" s="370" t="s">
        <v>28</v>
      </c>
      <c r="F152" s="370" t="s">
        <v>896</v>
      </c>
      <c r="G152" s="371">
        <v>46417</v>
      </c>
      <c r="H152" s="617" t="s">
        <v>637</v>
      </c>
      <c r="I152" s="375">
        <v>2000</v>
      </c>
      <c r="J152" s="687">
        <f ca="1">IF(B$1&gt;=الجدول3[[#This Row],[تاريخ الدفعة]],الجدول3[[#This Row],[مبلغ الدفعة]],0)</f>
        <v>0</v>
      </c>
      <c r="K152" s="373">
        <v>0</v>
      </c>
      <c r="L152" s="619"/>
      <c r="M152" s="879" t="str" cm="1">
        <f t="array" aca="1" ref="M15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52" s="443"/>
      <c r="O152" s="620">
        <f ca="1">الجدول3[[#This Row],[المدفوع]]-الجدول3[[#This Row],[المبلغ المستحق]]</f>
        <v>0</v>
      </c>
      <c r="P152" s="621"/>
      <c r="Q152" s="113"/>
    </row>
    <row r="153" spans="2:17" hidden="1">
      <c r="B153" s="370">
        <v>115</v>
      </c>
      <c r="C153" s="622" t="s">
        <v>924</v>
      </c>
      <c r="D153" s="4">
        <v>10229579861</v>
      </c>
      <c r="E153" s="370" t="s">
        <v>28</v>
      </c>
      <c r="F153" s="370" t="s">
        <v>896</v>
      </c>
      <c r="G153" s="371">
        <v>46446</v>
      </c>
      <c r="H153" s="617" t="s">
        <v>334</v>
      </c>
      <c r="I153" s="375">
        <v>2000</v>
      </c>
      <c r="J153" s="687">
        <f ca="1">IF(B$1&gt;=الجدول3[[#This Row],[تاريخ الدفعة]],الجدول3[[#This Row],[مبلغ الدفعة]],0)</f>
        <v>0</v>
      </c>
      <c r="K153" s="373">
        <v>0</v>
      </c>
      <c r="L153" s="619"/>
      <c r="M153" s="879" t="str" cm="1">
        <f t="array" aca="1" ref="M15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53" s="443"/>
      <c r="O153" s="620">
        <f ca="1">الجدول3[[#This Row],[المدفوع]]-الجدول3[[#This Row],[المبلغ المستحق]]</f>
        <v>0</v>
      </c>
      <c r="P153" s="621"/>
      <c r="Q153" s="113"/>
    </row>
    <row r="154" spans="2:17" hidden="1">
      <c r="B154" s="369">
        <v>116</v>
      </c>
      <c r="C154" s="622" t="s">
        <v>924</v>
      </c>
      <c r="D154" s="4">
        <v>10229579861</v>
      </c>
      <c r="E154" s="370" t="s">
        <v>28</v>
      </c>
      <c r="F154" s="370" t="s">
        <v>896</v>
      </c>
      <c r="G154" s="371">
        <v>46476</v>
      </c>
      <c r="H154" s="617" t="s">
        <v>335</v>
      </c>
      <c r="I154" s="375">
        <v>2000</v>
      </c>
      <c r="J154" s="687">
        <f ca="1">IF(B$1&gt;=الجدول3[[#This Row],[تاريخ الدفعة]],الجدول3[[#This Row],[مبلغ الدفعة]],0)</f>
        <v>0</v>
      </c>
      <c r="K154" s="373">
        <v>0</v>
      </c>
      <c r="L154" s="619"/>
      <c r="M154" s="879" t="str" cm="1">
        <f t="array" aca="1" ref="M15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54" s="443"/>
      <c r="O154" s="620">
        <f ca="1">الجدول3[[#This Row],[المدفوع]]-الجدول3[[#This Row],[المبلغ المستحق]]</f>
        <v>0</v>
      </c>
      <c r="P154" s="621"/>
      <c r="Q154" s="113"/>
    </row>
    <row r="155" spans="2:17" hidden="1">
      <c r="B155" s="370">
        <v>117</v>
      </c>
      <c r="C155" s="622" t="s">
        <v>924</v>
      </c>
      <c r="D155" s="4">
        <v>10229579861</v>
      </c>
      <c r="E155" s="370" t="s">
        <v>28</v>
      </c>
      <c r="F155" s="370" t="s">
        <v>896</v>
      </c>
      <c r="G155" s="371">
        <v>46507</v>
      </c>
      <c r="H155" s="617" t="s">
        <v>336</v>
      </c>
      <c r="I155" s="375">
        <v>2000</v>
      </c>
      <c r="J155" s="687">
        <f ca="1">IF(B$1&gt;=الجدول3[[#This Row],[تاريخ الدفعة]],الجدول3[[#This Row],[مبلغ الدفعة]],0)</f>
        <v>0</v>
      </c>
      <c r="K155" s="373">
        <v>0</v>
      </c>
      <c r="L155" s="619"/>
      <c r="M155" s="879" t="str" cm="1">
        <f t="array" aca="1" ref="M15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55" s="443"/>
      <c r="O155" s="620">
        <f ca="1">الجدول3[[#This Row],[المدفوع]]-الجدول3[[#This Row],[المبلغ المستحق]]</f>
        <v>0</v>
      </c>
      <c r="P155" s="621"/>
      <c r="Q155" s="113"/>
    </row>
    <row r="156" spans="2:17" hidden="1">
      <c r="B156" s="369">
        <v>118</v>
      </c>
      <c r="C156" s="622" t="s">
        <v>924</v>
      </c>
      <c r="D156" s="4">
        <v>10229579861</v>
      </c>
      <c r="E156" s="370" t="s">
        <v>28</v>
      </c>
      <c r="F156" s="370" t="s">
        <v>896</v>
      </c>
      <c r="G156" s="371">
        <v>46537</v>
      </c>
      <c r="H156" s="617" t="s">
        <v>337</v>
      </c>
      <c r="I156" s="375">
        <v>2000</v>
      </c>
      <c r="J156" s="687">
        <f ca="1">IF(B$1&gt;=الجدول3[[#This Row],[تاريخ الدفعة]],الجدول3[[#This Row],[مبلغ الدفعة]],0)</f>
        <v>0</v>
      </c>
      <c r="K156" s="373">
        <v>0</v>
      </c>
      <c r="L156" s="619"/>
      <c r="M156" s="879" t="str" cm="1">
        <f t="array" aca="1" ref="M15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56" s="443"/>
      <c r="O156" s="620">
        <f ca="1">الجدول3[[#This Row],[المدفوع]]-الجدول3[[#This Row],[المبلغ المستحق]]</f>
        <v>0</v>
      </c>
      <c r="P156" s="621"/>
      <c r="Q156" s="113"/>
    </row>
    <row r="157" spans="2:17" hidden="1">
      <c r="B157" s="370">
        <v>119</v>
      </c>
      <c r="C157" s="622" t="s">
        <v>924</v>
      </c>
      <c r="D157" s="4">
        <v>10229579861</v>
      </c>
      <c r="E157" s="370" t="s">
        <v>28</v>
      </c>
      <c r="F157" s="370" t="s">
        <v>896</v>
      </c>
      <c r="G157" s="371">
        <v>46568</v>
      </c>
      <c r="H157" s="617" t="s">
        <v>338</v>
      </c>
      <c r="I157" s="375">
        <v>2000</v>
      </c>
      <c r="J157" s="687">
        <f ca="1">IF(B$1&gt;=الجدول3[[#This Row],[تاريخ الدفعة]],الجدول3[[#This Row],[مبلغ الدفعة]],0)</f>
        <v>0</v>
      </c>
      <c r="K157" s="373">
        <v>0</v>
      </c>
      <c r="L157" s="619"/>
      <c r="M157" s="879" t="str" cm="1">
        <f t="array" aca="1" ref="M15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57" s="443"/>
      <c r="O157" s="620">
        <f ca="1">الجدول3[[#This Row],[المدفوع]]-الجدول3[[#This Row],[المبلغ المستحق]]</f>
        <v>0</v>
      </c>
      <c r="P157" s="621"/>
      <c r="Q157" s="113"/>
    </row>
    <row r="158" spans="2:17" hidden="1">
      <c r="B158" s="369">
        <v>120</v>
      </c>
      <c r="C158" s="622" t="s">
        <v>924</v>
      </c>
      <c r="D158" s="4">
        <v>10229579861</v>
      </c>
      <c r="E158" s="370" t="s">
        <v>28</v>
      </c>
      <c r="F158" s="370" t="s">
        <v>896</v>
      </c>
      <c r="G158" s="371">
        <v>46598</v>
      </c>
      <c r="H158" s="617" t="s">
        <v>339</v>
      </c>
      <c r="I158" s="375">
        <v>2000</v>
      </c>
      <c r="J158" s="687">
        <f ca="1">IF(B$1&gt;=الجدول3[[#This Row],[تاريخ الدفعة]],الجدول3[[#This Row],[مبلغ الدفعة]],0)</f>
        <v>0</v>
      </c>
      <c r="K158" s="373">
        <v>0</v>
      </c>
      <c r="L158" s="619"/>
      <c r="M158" s="879" t="str" cm="1">
        <f t="array" aca="1" ref="M15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58" s="443"/>
      <c r="O158" s="620">
        <f ca="1">الجدول3[[#This Row],[المدفوع]]-الجدول3[[#This Row],[المبلغ المستحق]]</f>
        <v>0</v>
      </c>
      <c r="P158" s="621"/>
      <c r="Q158" s="113"/>
    </row>
    <row r="159" spans="2:17" hidden="1">
      <c r="B159" s="370">
        <v>71</v>
      </c>
      <c r="C159" s="623" t="s">
        <v>901</v>
      </c>
      <c r="D159" s="4">
        <v>10230635933</v>
      </c>
      <c r="E159" s="370" t="s">
        <v>37</v>
      </c>
      <c r="F159" s="370" t="s">
        <v>896</v>
      </c>
      <c r="G159" s="371">
        <v>46288</v>
      </c>
      <c r="H159" s="371" t="s">
        <v>328</v>
      </c>
      <c r="I159" s="375">
        <v>2500</v>
      </c>
      <c r="J159" s="687">
        <f ca="1">IF(B$1&gt;=الجدول3[[#This Row],[تاريخ الدفعة]],الجدول3[[#This Row],[مبلغ الدفعة]],0)</f>
        <v>2500</v>
      </c>
      <c r="K159" s="373">
        <v>2500</v>
      </c>
      <c r="L159" s="374">
        <v>46294</v>
      </c>
      <c r="M159" s="689" t="s">
        <v>164</v>
      </c>
      <c r="N159" s="443" t="s">
        <v>328</v>
      </c>
      <c r="O159" s="620">
        <f ca="1">الجدول3[[#This Row],[المدفوع]]-الجدول3[[#This Row],[المبلغ المستحق]]</f>
        <v>0</v>
      </c>
      <c r="P159" s="443"/>
      <c r="Q159" s="113"/>
    </row>
    <row r="160" spans="2:17" hidden="1">
      <c r="B160" s="369">
        <v>122</v>
      </c>
      <c r="C160" s="623" t="s">
        <v>923</v>
      </c>
      <c r="D160" s="4">
        <v>10293396456</v>
      </c>
      <c r="E160" s="370" t="s">
        <v>29</v>
      </c>
      <c r="F160" s="370" t="s">
        <v>896</v>
      </c>
      <c r="G160" s="371">
        <v>46295</v>
      </c>
      <c r="H160" s="371" t="s">
        <v>328</v>
      </c>
      <c r="I160" s="375">
        <v>2000</v>
      </c>
      <c r="J160" s="687">
        <f ca="1">IF(B$1&gt;=الجدول3[[#This Row],[تاريخ الدفعة]],الجدول3[[#This Row],[مبلغ الدفعة]],0)</f>
        <v>2000</v>
      </c>
      <c r="K160" s="373">
        <v>0</v>
      </c>
      <c r="L160" s="374"/>
      <c r="M160" s="370" t="s">
        <v>963</v>
      </c>
      <c r="N160" s="443"/>
      <c r="O160" s="620">
        <f ca="1">الجدول3[[#This Row],[المدفوع]]-الجدول3[[#This Row],[المبلغ المستحق]]</f>
        <v>-2000</v>
      </c>
      <c r="P160" s="443"/>
      <c r="Q160" s="113"/>
    </row>
    <row r="161" spans="2:17" hidden="1">
      <c r="B161" s="370">
        <v>123</v>
      </c>
      <c r="C161" s="623" t="s">
        <v>923</v>
      </c>
      <c r="D161" s="4">
        <v>10293396456</v>
      </c>
      <c r="E161" s="370" t="s">
        <v>29</v>
      </c>
      <c r="F161" s="370" t="s">
        <v>896</v>
      </c>
      <c r="G161" s="371">
        <v>46325</v>
      </c>
      <c r="H161" s="617" t="s">
        <v>331</v>
      </c>
      <c r="I161" s="375">
        <v>2000</v>
      </c>
      <c r="J161" s="687">
        <f ca="1">IF(B$1&gt;=الجدول3[[#This Row],[تاريخ الدفعة]],الجدول3[[#This Row],[مبلغ الدفعة]],0)</f>
        <v>0</v>
      </c>
      <c r="K161" s="373">
        <v>0</v>
      </c>
      <c r="L161" s="374"/>
      <c r="M161" s="879" t="str" cm="1">
        <f t="array" aca="1" ref="M16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اقترب</v>
      </c>
      <c r="N161" s="443"/>
      <c r="O161" s="620">
        <f ca="1">الجدول3[[#This Row],[المدفوع]]-الجدول3[[#This Row],[المبلغ المستحق]]</f>
        <v>0</v>
      </c>
      <c r="P161" s="443"/>
      <c r="Q161" s="113"/>
    </row>
    <row r="162" spans="2:17" hidden="1">
      <c r="B162" s="369">
        <v>124</v>
      </c>
      <c r="C162" s="623" t="s">
        <v>923</v>
      </c>
      <c r="D162" s="4">
        <v>10293396456</v>
      </c>
      <c r="E162" s="370" t="s">
        <v>29</v>
      </c>
      <c r="F162" s="370" t="s">
        <v>896</v>
      </c>
      <c r="G162" s="371">
        <v>46356</v>
      </c>
      <c r="H162" s="617" t="s">
        <v>332</v>
      </c>
      <c r="I162" s="375">
        <v>2000</v>
      </c>
      <c r="J162" s="687">
        <f ca="1">IF(B$1&gt;=الجدول3[[#This Row],[تاريخ الدفعة]],الجدول3[[#This Row],[مبلغ الدفعة]],0)</f>
        <v>0</v>
      </c>
      <c r="K162" s="373">
        <v>0</v>
      </c>
      <c r="L162" s="374"/>
      <c r="M162" s="879" t="str" cm="1">
        <f t="array" aca="1" ref="M16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62" s="443"/>
      <c r="O162" s="620">
        <f ca="1">الجدول3[[#This Row],[المدفوع]]-الجدول3[[#This Row],[المبلغ المستحق]]</f>
        <v>0</v>
      </c>
      <c r="P162" s="443"/>
      <c r="Q162" s="113"/>
    </row>
    <row r="163" spans="2:17" hidden="1">
      <c r="B163" s="370">
        <v>125</v>
      </c>
      <c r="C163" s="623" t="s">
        <v>923</v>
      </c>
      <c r="D163" s="4">
        <v>10293396456</v>
      </c>
      <c r="E163" s="370" t="s">
        <v>29</v>
      </c>
      <c r="F163" s="370" t="s">
        <v>896</v>
      </c>
      <c r="G163" s="371">
        <v>46386</v>
      </c>
      <c r="H163" s="617" t="s">
        <v>333</v>
      </c>
      <c r="I163" s="375">
        <v>2000</v>
      </c>
      <c r="J163" s="687">
        <f ca="1">IF(B$1&gt;=الجدول3[[#This Row],[تاريخ الدفعة]],الجدول3[[#This Row],[مبلغ الدفعة]],0)</f>
        <v>0</v>
      </c>
      <c r="K163" s="373">
        <v>0</v>
      </c>
      <c r="L163" s="374"/>
      <c r="M163" s="879" t="str" cm="1">
        <f t="array" aca="1" ref="M16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63" s="443"/>
      <c r="O163" s="620">
        <f ca="1">الجدول3[[#This Row],[المدفوع]]-الجدول3[[#This Row],[المبلغ المستحق]]</f>
        <v>0</v>
      </c>
      <c r="P163" s="443"/>
      <c r="Q163" s="113"/>
    </row>
    <row r="164" spans="2:17" hidden="1">
      <c r="B164" s="369">
        <v>126</v>
      </c>
      <c r="C164" s="623" t="s">
        <v>923</v>
      </c>
      <c r="D164" s="4">
        <v>10293396456</v>
      </c>
      <c r="E164" s="370" t="s">
        <v>29</v>
      </c>
      <c r="F164" s="370" t="s">
        <v>896</v>
      </c>
      <c r="G164" s="371">
        <v>46417</v>
      </c>
      <c r="H164" s="617" t="s">
        <v>637</v>
      </c>
      <c r="I164" s="375">
        <v>2000</v>
      </c>
      <c r="J164" s="687">
        <f ca="1">IF(B$1&gt;=الجدول3[[#This Row],[تاريخ الدفعة]],الجدول3[[#This Row],[مبلغ الدفعة]],0)</f>
        <v>0</v>
      </c>
      <c r="K164" s="373">
        <v>0</v>
      </c>
      <c r="L164" s="374"/>
      <c r="M164" s="879" t="str" cm="1">
        <f t="array" aca="1" ref="M16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64" s="443"/>
      <c r="O164" s="620">
        <f ca="1">الجدول3[[#This Row],[المدفوع]]-الجدول3[[#This Row],[المبلغ المستحق]]</f>
        <v>0</v>
      </c>
      <c r="P164" s="443"/>
      <c r="Q164" s="113"/>
    </row>
    <row r="165" spans="2:17" hidden="1">
      <c r="B165" s="370">
        <v>127</v>
      </c>
      <c r="C165" s="623" t="s">
        <v>923</v>
      </c>
      <c r="D165" s="4">
        <v>10293396456</v>
      </c>
      <c r="E165" s="370" t="s">
        <v>29</v>
      </c>
      <c r="F165" s="370" t="s">
        <v>896</v>
      </c>
      <c r="G165" s="371">
        <v>46446</v>
      </c>
      <c r="H165" s="617" t="s">
        <v>334</v>
      </c>
      <c r="I165" s="375">
        <v>2000</v>
      </c>
      <c r="J165" s="687">
        <f ca="1">IF(B$1&gt;=الجدول3[[#This Row],[تاريخ الدفعة]],الجدول3[[#This Row],[مبلغ الدفعة]],0)</f>
        <v>0</v>
      </c>
      <c r="K165" s="373">
        <v>0</v>
      </c>
      <c r="L165" s="374"/>
      <c r="M165" s="879" t="str" cm="1">
        <f t="array" aca="1" ref="M16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65" s="443"/>
      <c r="O165" s="620">
        <f ca="1">الجدول3[[#This Row],[المدفوع]]-الجدول3[[#This Row],[المبلغ المستحق]]</f>
        <v>0</v>
      </c>
      <c r="P165" s="443"/>
      <c r="Q165" s="113"/>
    </row>
    <row r="166" spans="2:17" hidden="1">
      <c r="B166" s="369">
        <v>128</v>
      </c>
      <c r="C166" s="623" t="s">
        <v>923</v>
      </c>
      <c r="D166" s="4">
        <v>10293396456</v>
      </c>
      <c r="E166" s="370" t="s">
        <v>29</v>
      </c>
      <c r="F166" s="370" t="s">
        <v>896</v>
      </c>
      <c r="G166" s="371">
        <v>46476</v>
      </c>
      <c r="H166" s="617" t="s">
        <v>335</v>
      </c>
      <c r="I166" s="375">
        <v>2000</v>
      </c>
      <c r="J166" s="687">
        <f ca="1">IF(B$1&gt;=الجدول3[[#This Row],[تاريخ الدفعة]],الجدول3[[#This Row],[مبلغ الدفعة]],0)</f>
        <v>0</v>
      </c>
      <c r="K166" s="373">
        <v>0</v>
      </c>
      <c r="L166" s="374"/>
      <c r="M166" s="879" t="str" cm="1">
        <f t="array" aca="1" ref="M16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66" s="443"/>
      <c r="O166" s="620">
        <f ca="1">الجدول3[[#This Row],[المدفوع]]-الجدول3[[#This Row],[المبلغ المستحق]]</f>
        <v>0</v>
      </c>
      <c r="P166" s="443"/>
      <c r="Q166" s="113"/>
    </row>
    <row r="167" spans="2:17" hidden="1">
      <c r="B167" s="370">
        <v>129</v>
      </c>
      <c r="C167" s="622" t="s">
        <v>923</v>
      </c>
      <c r="D167" s="4">
        <v>10293396456</v>
      </c>
      <c r="E167" s="370" t="s">
        <v>29</v>
      </c>
      <c r="F167" s="370" t="s">
        <v>896</v>
      </c>
      <c r="G167" s="371">
        <v>46507</v>
      </c>
      <c r="H167" s="617" t="s">
        <v>336</v>
      </c>
      <c r="I167" s="375">
        <v>2000</v>
      </c>
      <c r="J167" s="687">
        <f ca="1">IF(B$1&gt;=الجدول3[[#This Row],[تاريخ الدفعة]],الجدول3[[#This Row],[مبلغ الدفعة]],0)</f>
        <v>0</v>
      </c>
      <c r="K167" s="373">
        <v>0</v>
      </c>
      <c r="L167" s="619"/>
      <c r="M167" s="879" t="str" cm="1">
        <f t="array" aca="1" ref="M16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67" s="443"/>
      <c r="O167" s="620">
        <f ca="1">الجدول3[[#This Row],[المدفوع]]-الجدول3[[#This Row],[المبلغ المستحق]]</f>
        <v>0</v>
      </c>
      <c r="P167" s="621"/>
      <c r="Q167" s="113"/>
    </row>
    <row r="168" spans="2:17" hidden="1">
      <c r="B168" s="369">
        <v>130</v>
      </c>
      <c r="C168" s="622" t="s">
        <v>923</v>
      </c>
      <c r="D168" s="4">
        <v>10293396456</v>
      </c>
      <c r="E168" s="370" t="s">
        <v>29</v>
      </c>
      <c r="F168" s="370" t="s">
        <v>896</v>
      </c>
      <c r="G168" s="371">
        <v>46537</v>
      </c>
      <c r="H168" s="617" t="s">
        <v>337</v>
      </c>
      <c r="I168" s="375">
        <v>2000</v>
      </c>
      <c r="J168" s="687">
        <f ca="1">IF(B$1&gt;=الجدول3[[#This Row],[تاريخ الدفعة]],الجدول3[[#This Row],[مبلغ الدفعة]],0)</f>
        <v>0</v>
      </c>
      <c r="K168" s="373">
        <v>0</v>
      </c>
      <c r="L168" s="619"/>
      <c r="M168" s="879" t="str" cm="1">
        <f t="array" aca="1" ref="M16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68" s="443"/>
      <c r="O168" s="620">
        <f ca="1">الجدول3[[#This Row],[المدفوع]]-الجدول3[[#This Row],[المبلغ المستحق]]</f>
        <v>0</v>
      </c>
      <c r="P168" s="621"/>
      <c r="Q168" s="113"/>
    </row>
    <row r="169" spans="2:17" hidden="1">
      <c r="B169" s="370">
        <v>131</v>
      </c>
      <c r="C169" s="622" t="s">
        <v>923</v>
      </c>
      <c r="D169" s="4">
        <v>10293396456</v>
      </c>
      <c r="E169" s="370" t="s">
        <v>29</v>
      </c>
      <c r="F169" s="370" t="s">
        <v>896</v>
      </c>
      <c r="G169" s="371">
        <v>46568</v>
      </c>
      <c r="H169" s="617" t="s">
        <v>338</v>
      </c>
      <c r="I169" s="375">
        <v>2000</v>
      </c>
      <c r="J169" s="687">
        <f ca="1">IF(B$1&gt;=الجدول3[[#This Row],[تاريخ الدفعة]],الجدول3[[#This Row],[مبلغ الدفعة]],0)</f>
        <v>0</v>
      </c>
      <c r="K169" s="373">
        <v>0</v>
      </c>
      <c r="L169" s="619"/>
      <c r="M169" s="879" t="str" cm="1">
        <f t="array" aca="1" ref="M16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69" s="443"/>
      <c r="O169" s="620">
        <f ca="1">الجدول3[[#This Row],[المدفوع]]-الجدول3[[#This Row],[المبلغ المستحق]]</f>
        <v>0</v>
      </c>
      <c r="P169" s="621"/>
      <c r="Q169" s="113"/>
    </row>
    <row r="170" spans="2:17" hidden="1">
      <c r="B170" s="369">
        <v>132</v>
      </c>
      <c r="C170" s="622" t="s">
        <v>923</v>
      </c>
      <c r="D170" s="4">
        <v>10293396456</v>
      </c>
      <c r="E170" s="370" t="s">
        <v>29</v>
      </c>
      <c r="F170" s="370" t="s">
        <v>896</v>
      </c>
      <c r="G170" s="371">
        <v>46598</v>
      </c>
      <c r="H170" s="617" t="s">
        <v>339</v>
      </c>
      <c r="I170" s="375">
        <v>2000</v>
      </c>
      <c r="J170" s="687">
        <f ca="1">IF(B$1&gt;=الجدول3[[#This Row],[تاريخ الدفعة]],الجدول3[[#This Row],[مبلغ الدفعة]],0)</f>
        <v>0</v>
      </c>
      <c r="K170" s="373">
        <v>0</v>
      </c>
      <c r="L170" s="619"/>
      <c r="M170" s="879" t="str" cm="1">
        <f t="array" aca="1" ref="M17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70" s="443"/>
      <c r="O170" s="620">
        <f ca="1">الجدول3[[#This Row],[المدفوع]]-الجدول3[[#This Row],[المبلغ المستحق]]</f>
        <v>0</v>
      </c>
      <c r="P170" s="621"/>
      <c r="Q170" s="113"/>
    </row>
    <row r="171" spans="2:17" hidden="1">
      <c r="B171" s="370">
        <v>58</v>
      </c>
      <c r="C171" s="623" t="s">
        <v>988</v>
      </c>
      <c r="D171" s="4">
        <v>10248740301</v>
      </c>
      <c r="E171" s="370" t="s">
        <v>38</v>
      </c>
      <c r="F171" s="370" t="s">
        <v>896</v>
      </c>
      <c r="G171" s="371">
        <v>46257</v>
      </c>
      <c r="H171" s="617" t="s">
        <v>277</v>
      </c>
      <c r="I171" s="375">
        <v>2800</v>
      </c>
      <c r="J171" s="687">
        <f ca="1">IF(B$1&gt;=الجدول3[[#This Row],[تاريخ الدفعة]],الجدول3[[#This Row],[مبلغ الدفعة]],0)</f>
        <v>2800</v>
      </c>
      <c r="K171" s="373">
        <v>2800</v>
      </c>
      <c r="L171" s="374">
        <v>46254</v>
      </c>
      <c r="M171" s="689" t="s">
        <v>164</v>
      </c>
      <c r="N171" s="443" t="s">
        <v>328</v>
      </c>
      <c r="O171" s="620">
        <f ca="1">الجدول3[[#This Row],[المدفوع]]-الجدول3[[#This Row],[المبلغ المستحق]]</f>
        <v>0</v>
      </c>
      <c r="P171" s="443"/>
      <c r="Q171" s="113"/>
    </row>
    <row r="172" spans="2:17" hidden="1">
      <c r="B172" s="369">
        <v>134</v>
      </c>
      <c r="C172" s="623" t="s">
        <v>941</v>
      </c>
      <c r="D172" s="4">
        <v>10181957244</v>
      </c>
      <c r="E172" s="370" t="s">
        <v>32</v>
      </c>
      <c r="F172" s="370" t="s">
        <v>896</v>
      </c>
      <c r="G172" s="371">
        <v>46300</v>
      </c>
      <c r="H172" s="617" t="s">
        <v>331</v>
      </c>
      <c r="I172" s="375">
        <v>2000</v>
      </c>
      <c r="J172" s="687">
        <f ca="1">IF(B$1&gt;=الجدول3[[#This Row],[تاريخ الدفعة]],الجدول3[[#This Row],[مبلغ الدفعة]],0)</f>
        <v>2000</v>
      </c>
      <c r="K172" s="373">
        <v>2000</v>
      </c>
      <c r="L172" s="374">
        <v>46297</v>
      </c>
      <c r="M172" s="879" t="s">
        <v>41</v>
      </c>
      <c r="N172" s="443" t="s">
        <v>331</v>
      </c>
      <c r="O172" s="620">
        <f ca="1">الجدول3[[#This Row],[المدفوع]]-الجدول3[[#This Row],[المبلغ المستحق]]</f>
        <v>0</v>
      </c>
      <c r="P172" s="443"/>
      <c r="Q172" s="113"/>
    </row>
    <row r="173" spans="2:17" hidden="1">
      <c r="B173" s="370">
        <v>135</v>
      </c>
      <c r="C173" s="623" t="s">
        <v>941</v>
      </c>
      <c r="D173" s="4">
        <v>10181957244</v>
      </c>
      <c r="E173" s="370" t="s">
        <v>32</v>
      </c>
      <c r="F173" s="370" t="s">
        <v>896</v>
      </c>
      <c r="G173" s="371">
        <v>46331</v>
      </c>
      <c r="H173" s="617" t="s">
        <v>332</v>
      </c>
      <c r="I173" s="375">
        <v>2000</v>
      </c>
      <c r="J173" s="687">
        <f ca="1">IF(B$1&gt;=الجدول3[[#This Row],[تاريخ الدفعة]],الجدول3[[#This Row],[مبلغ الدفعة]],0)</f>
        <v>0</v>
      </c>
      <c r="K173" s="373">
        <v>0</v>
      </c>
      <c r="L173" s="374"/>
      <c r="M173" s="879" t="str" cm="1">
        <f t="array" aca="1" ref="M17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73" s="443"/>
      <c r="O173" s="620">
        <f ca="1">الجدول3[[#This Row],[المدفوع]]-الجدول3[[#This Row],[المبلغ المستحق]]</f>
        <v>0</v>
      </c>
      <c r="P173" s="443"/>
      <c r="Q173" s="113"/>
    </row>
    <row r="174" spans="2:17" hidden="1">
      <c r="B174" s="369">
        <v>136</v>
      </c>
      <c r="C174" s="623" t="s">
        <v>941</v>
      </c>
      <c r="D174" s="4">
        <v>10181957244</v>
      </c>
      <c r="E174" s="370" t="s">
        <v>32</v>
      </c>
      <c r="F174" s="370" t="s">
        <v>896</v>
      </c>
      <c r="G174" s="371">
        <v>46361</v>
      </c>
      <c r="H174" s="617" t="s">
        <v>333</v>
      </c>
      <c r="I174" s="375">
        <v>2000</v>
      </c>
      <c r="J174" s="687">
        <f ca="1">IF(B$1&gt;=الجدول3[[#This Row],[تاريخ الدفعة]],الجدول3[[#This Row],[مبلغ الدفعة]],0)</f>
        <v>0</v>
      </c>
      <c r="K174" s="373">
        <v>0</v>
      </c>
      <c r="L174" s="374"/>
      <c r="M174" s="879" t="str" cm="1">
        <f t="array" aca="1" ref="M17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74" s="443"/>
      <c r="O174" s="620">
        <f ca="1">الجدول3[[#This Row],[المدفوع]]-الجدول3[[#This Row],[المبلغ المستحق]]</f>
        <v>0</v>
      </c>
      <c r="P174" s="443"/>
      <c r="Q174" s="113"/>
    </row>
    <row r="175" spans="2:17" hidden="1">
      <c r="B175" s="370">
        <v>137</v>
      </c>
      <c r="C175" s="623" t="s">
        <v>941</v>
      </c>
      <c r="D175" s="4">
        <v>10181957244</v>
      </c>
      <c r="E175" s="370" t="s">
        <v>32</v>
      </c>
      <c r="F175" s="370" t="s">
        <v>896</v>
      </c>
      <c r="G175" s="371">
        <v>46392</v>
      </c>
      <c r="H175" s="617" t="s">
        <v>637</v>
      </c>
      <c r="I175" s="375">
        <v>2000</v>
      </c>
      <c r="J175" s="687">
        <f ca="1">IF(B$1&gt;=الجدول3[[#This Row],[تاريخ الدفعة]],الجدول3[[#This Row],[مبلغ الدفعة]],0)</f>
        <v>0</v>
      </c>
      <c r="K175" s="373">
        <v>0</v>
      </c>
      <c r="L175" s="374"/>
      <c r="M175" s="879" t="str" cm="1">
        <f t="array" aca="1" ref="M17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75" s="443"/>
      <c r="O175" s="620">
        <f ca="1">الجدول3[[#This Row],[المدفوع]]-الجدول3[[#This Row],[المبلغ المستحق]]</f>
        <v>0</v>
      </c>
      <c r="P175" s="443"/>
      <c r="Q175" s="113"/>
    </row>
    <row r="176" spans="2:17" hidden="1">
      <c r="B176" s="369">
        <v>138</v>
      </c>
      <c r="C176" s="623" t="s">
        <v>941</v>
      </c>
      <c r="D176" s="4">
        <v>10181957244</v>
      </c>
      <c r="E176" s="370" t="s">
        <v>32</v>
      </c>
      <c r="F176" s="370" t="s">
        <v>896</v>
      </c>
      <c r="G176" s="371">
        <v>46423</v>
      </c>
      <c r="H176" s="617" t="s">
        <v>334</v>
      </c>
      <c r="I176" s="375">
        <v>2000</v>
      </c>
      <c r="J176" s="687">
        <f ca="1">IF(B$1&gt;=الجدول3[[#This Row],[تاريخ الدفعة]],الجدول3[[#This Row],[مبلغ الدفعة]],0)</f>
        <v>0</v>
      </c>
      <c r="K176" s="373">
        <v>0</v>
      </c>
      <c r="L176" s="374"/>
      <c r="M176" s="879" t="str" cm="1">
        <f t="array" aca="1" ref="M17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76" s="443"/>
      <c r="O176" s="620">
        <f ca="1">الجدول3[[#This Row],[المدفوع]]-الجدول3[[#This Row],[المبلغ المستحق]]</f>
        <v>0</v>
      </c>
      <c r="P176" s="443"/>
      <c r="Q176" s="113"/>
    </row>
    <row r="177" spans="2:17" hidden="1">
      <c r="B177" s="370">
        <v>187</v>
      </c>
      <c r="C177" s="370" t="s">
        <v>952</v>
      </c>
      <c r="D177" s="726">
        <v>10645869084</v>
      </c>
      <c r="E177" s="370" t="s">
        <v>65</v>
      </c>
      <c r="F177" s="370" t="s">
        <v>897</v>
      </c>
      <c r="G177" s="371">
        <v>46281</v>
      </c>
      <c r="H177" s="617" t="s">
        <v>328</v>
      </c>
      <c r="I177" s="375">
        <v>2000</v>
      </c>
      <c r="J177" s="687">
        <f ca="1">IF(B$1&gt;=الجدول3[[#This Row],[تاريخ الدفعة]],الجدول3[[#This Row],[مبلغ الدفعة]],0)</f>
        <v>2000</v>
      </c>
      <c r="K177" s="373">
        <v>2000</v>
      </c>
      <c r="L177" s="374">
        <v>46282</v>
      </c>
      <c r="M177" s="689" t="s">
        <v>164</v>
      </c>
      <c r="N177" s="443" t="s">
        <v>328</v>
      </c>
      <c r="O177" s="620">
        <f ca="1">الجدول3[[#This Row],[المدفوع]]-الجدول3[[#This Row],[المبلغ المستحق]]</f>
        <v>0</v>
      </c>
      <c r="P177" s="443"/>
      <c r="Q177" s="113"/>
    </row>
    <row r="178" spans="2:17" hidden="1">
      <c r="B178" s="369">
        <v>140</v>
      </c>
      <c r="C178" s="623" t="s">
        <v>949</v>
      </c>
      <c r="D178" s="4">
        <v>10874887163</v>
      </c>
      <c r="E178" s="370" t="s">
        <v>945</v>
      </c>
      <c r="F178" s="370" t="s">
        <v>897</v>
      </c>
      <c r="G178" s="371">
        <v>46323</v>
      </c>
      <c r="H178" s="617" t="s">
        <v>331</v>
      </c>
      <c r="I178" s="375">
        <v>1900</v>
      </c>
      <c r="J178" s="687">
        <f ca="1">IF(B$1&gt;=الجدول3[[#This Row],[تاريخ الدفعة]],الجدول3[[#This Row],[مبلغ الدفعة]],0)</f>
        <v>1900</v>
      </c>
      <c r="K178" s="373">
        <v>0</v>
      </c>
      <c r="L178" s="374"/>
      <c r="M178" s="879" t="str" cm="1">
        <f t="array" aca="1" ref="M17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 اليوم</v>
      </c>
      <c r="N178" s="443"/>
      <c r="O178" s="620">
        <f ca="1">الجدول3[[#This Row],[المدفوع]]-الجدول3[[#This Row],[المبلغ المستحق]]</f>
        <v>-1900</v>
      </c>
      <c r="P178" s="443"/>
      <c r="Q178" s="113"/>
    </row>
    <row r="179" spans="2:17" hidden="1">
      <c r="B179" s="370">
        <v>141</v>
      </c>
      <c r="C179" s="623" t="s">
        <v>949</v>
      </c>
      <c r="D179" s="4">
        <v>10874887163</v>
      </c>
      <c r="E179" s="370" t="s">
        <v>945</v>
      </c>
      <c r="F179" s="370" t="s">
        <v>897</v>
      </c>
      <c r="G179" s="371">
        <v>46354</v>
      </c>
      <c r="H179" s="617" t="s">
        <v>332</v>
      </c>
      <c r="I179" s="375">
        <v>1900</v>
      </c>
      <c r="J179" s="687">
        <f ca="1">IF(B$1&gt;=الجدول3[[#This Row],[تاريخ الدفعة]],الجدول3[[#This Row],[مبلغ الدفعة]],0)</f>
        <v>0</v>
      </c>
      <c r="K179" s="373">
        <v>0</v>
      </c>
      <c r="L179" s="374"/>
      <c r="M179" s="879" t="str" cm="1">
        <f t="array" aca="1" ref="M17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79" s="443"/>
      <c r="O179" s="620">
        <f ca="1">الجدول3[[#This Row],[المدفوع]]-الجدول3[[#This Row],[المبلغ المستحق]]</f>
        <v>0</v>
      </c>
      <c r="P179" s="443"/>
      <c r="Q179" s="113"/>
    </row>
    <row r="180" spans="2:17" hidden="1">
      <c r="B180" s="369">
        <v>142</v>
      </c>
      <c r="C180" s="623" t="s">
        <v>949</v>
      </c>
      <c r="D180" s="4">
        <v>10874887163</v>
      </c>
      <c r="E180" s="370" t="s">
        <v>945</v>
      </c>
      <c r="F180" s="370" t="s">
        <v>897</v>
      </c>
      <c r="G180" s="371">
        <v>46384</v>
      </c>
      <c r="H180" s="617" t="s">
        <v>333</v>
      </c>
      <c r="I180" s="375">
        <v>1900</v>
      </c>
      <c r="J180" s="687">
        <f ca="1">IF(B$1&gt;=الجدول3[[#This Row],[تاريخ الدفعة]],الجدول3[[#This Row],[مبلغ الدفعة]],0)</f>
        <v>0</v>
      </c>
      <c r="K180" s="373">
        <v>0</v>
      </c>
      <c r="L180" s="374"/>
      <c r="M180" s="879" t="str" cm="1">
        <f t="array" aca="1" ref="M18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80" s="443"/>
      <c r="O180" s="620">
        <f ca="1">الجدول3[[#This Row],[المدفوع]]-الجدول3[[#This Row],[المبلغ المستحق]]</f>
        <v>0</v>
      </c>
      <c r="P180" s="443"/>
      <c r="Q180" s="113"/>
    </row>
    <row r="181" spans="2:17" hidden="1">
      <c r="B181" s="370">
        <v>143</v>
      </c>
      <c r="C181" s="623" t="s">
        <v>949</v>
      </c>
      <c r="D181" s="4">
        <v>10874887163</v>
      </c>
      <c r="E181" s="370" t="s">
        <v>945</v>
      </c>
      <c r="F181" s="370" t="s">
        <v>897</v>
      </c>
      <c r="G181" s="371">
        <v>46415</v>
      </c>
      <c r="H181" s="617" t="s">
        <v>637</v>
      </c>
      <c r="I181" s="375">
        <v>1900</v>
      </c>
      <c r="J181" s="687">
        <f ca="1">IF(B$1&gt;=الجدول3[[#This Row],[تاريخ الدفعة]],الجدول3[[#This Row],[مبلغ الدفعة]],0)</f>
        <v>0</v>
      </c>
      <c r="K181" s="373">
        <v>0</v>
      </c>
      <c r="L181" s="374"/>
      <c r="M181" s="879" t="str" cm="1">
        <f t="array" aca="1" ref="M18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81" s="443"/>
      <c r="O181" s="620">
        <f ca="1">الجدول3[[#This Row],[المدفوع]]-الجدول3[[#This Row],[المبلغ المستحق]]</f>
        <v>0</v>
      </c>
      <c r="P181" s="443"/>
      <c r="Q181" s="113"/>
    </row>
    <row r="182" spans="2:17" hidden="1">
      <c r="B182" s="369">
        <v>144</v>
      </c>
      <c r="C182" s="623" t="s">
        <v>949</v>
      </c>
      <c r="D182" s="4">
        <v>10874887163</v>
      </c>
      <c r="E182" s="370" t="s">
        <v>945</v>
      </c>
      <c r="F182" s="370" t="s">
        <v>897</v>
      </c>
      <c r="G182" s="371">
        <v>46446</v>
      </c>
      <c r="H182" s="617" t="s">
        <v>334</v>
      </c>
      <c r="I182" s="375">
        <v>1900</v>
      </c>
      <c r="J182" s="687">
        <f ca="1">IF(B$1&gt;=الجدول3[[#This Row],[تاريخ الدفعة]],الجدول3[[#This Row],[مبلغ الدفعة]],0)</f>
        <v>0</v>
      </c>
      <c r="K182" s="373">
        <v>0</v>
      </c>
      <c r="L182" s="374"/>
      <c r="M182" s="879" t="str" cm="1">
        <f t="array" aca="1" ref="M18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82" s="443"/>
      <c r="O182" s="620">
        <f ca="1">الجدول3[[#This Row],[المدفوع]]-الجدول3[[#This Row],[المبلغ المستحق]]</f>
        <v>0</v>
      </c>
      <c r="P182" s="443"/>
      <c r="Q182" s="113"/>
    </row>
    <row r="183" spans="2:17" hidden="1">
      <c r="B183" s="370">
        <v>145</v>
      </c>
      <c r="C183" s="623" t="s">
        <v>949</v>
      </c>
      <c r="D183" s="4">
        <v>10874887163</v>
      </c>
      <c r="E183" s="370" t="s">
        <v>945</v>
      </c>
      <c r="F183" s="370" t="s">
        <v>897</v>
      </c>
      <c r="G183" s="371">
        <v>46474</v>
      </c>
      <c r="H183" s="617" t="s">
        <v>335</v>
      </c>
      <c r="I183" s="375">
        <v>1900</v>
      </c>
      <c r="J183" s="687">
        <f ca="1">IF(B$1&gt;=الجدول3[[#This Row],[تاريخ الدفعة]],الجدول3[[#This Row],[مبلغ الدفعة]],0)</f>
        <v>0</v>
      </c>
      <c r="K183" s="373">
        <v>0</v>
      </c>
      <c r="L183" s="374"/>
      <c r="M183" s="879" t="str" cm="1">
        <f t="array" aca="1" ref="M18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83" s="443"/>
      <c r="O183" s="620">
        <f ca="1">الجدول3[[#This Row],[المدفوع]]-الجدول3[[#This Row],[المبلغ المستحق]]</f>
        <v>0</v>
      </c>
      <c r="P183" s="443"/>
      <c r="Q183" s="113"/>
    </row>
    <row r="184" spans="2:17" hidden="1">
      <c r="B184" s="369">
        <v>146</v>
      </c>
      <c r="C184" s="623" t="s">
        <v>949</v>
      </c>
      <c r="D184" s="4">
        <v>10874887163</v>
      </c>
      <c r="E184" s="370" t="s">
        <v>945</v>
      </c>
      <c r="F184" s="370" t="s">
        <v>897</v>
      </c>
      <c r="G184" s="371">
        <v>46505</v>
      </c>
      <c r="H184" s="617" t="s">
        <v>336</v>
      </c>
      <c r="I184" s="375">
        <v>1900</v>
      </c>
      <c r="J184" s="687">
        <f ca="1">IF(B$1&gt;=الجدول3[[#This Row],[تاريخ الدفعة]],الجدول3[[#This Row],[مبلغ الدفعة]],0)</f>
        <v>0</v>
      </c>
      <c r="K184" s="373">
        <v>0</v>
      </c>
      <c r="L184" s="374"/>
      <c r="M184" s="879" t="str" cm="1">
        <f t="array" aca="1" ref="M18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84" s="443"/>
      <c r="O184" s="620">
        <f ca="1">الجدول3[[#This Row],[المدفوع]]-الجدول3[[#This Row],[المبلغ المستحق]]</f>
        <v>0</v>
      </c>
      <c r="P184" s="443"/>
      <c r="Q184" s="113"/>
    </row>
    <row r="185" spans="2:17" hidden="1">
      <c r="B185" s="370">
        <v>147</v>
      </c>
      <c r="C185" s="623" t="s">
        <v>949</v>
      </c>
      <c r="D185" s="4">
        <v>10874887163</v>
      </c>
      <c r="E185" s="370" t="s">
        <v>945</v>
      </c>
      <c r="F185" s="370" t="s">
        <v>897</v>
      </c>
      <c r="G185" s="371">
        <v>46535</v>
      </c>
      <c r="H185" s="617" t="s">
        <v>337</v>
      </c>
      <c r="I185" s="375">
        <v>1900</v>
      </c>
      <c r="J185" s="687">
        <f ca="1">IF(B$1&gt;=الجدول3[[#This Row],[تاريخ الدفعة]],الجدول3[[#This Row],[مبلغ الدفعة]],0)</f>
        <v>0</v>
      </c>
      <c r="K185" s="373">
        <v>0</v>
      </c>
      <c r="L185" s="374"/>
      <c r="M185" s="879" t="str" cm="1">
        <f t="array" aca="1" ref="M18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85" s="443"/>
      <c r="O185" s="620">
        <f ca="1">الجدول3[[#This Row],[المدفوع]]-الجدول3[[#This Row],[المبلغ المستحق]]</f>
        <v>0</v>
      </c>
      <c r="P185" s="443"/>
      <c r="Q185" s="113"/>
    </row>
    <row r="186" spans="2:17" hidden="1">
      <c r="B186" s="369">
        <v>148</v>
      </c>
      <c r="C186" s="623" t="s">
        <v>949</v>
      </c>
      <c r="D186" s="4">
        <v>10874887163</v>
      </c>
      <c r="E186" s="370" t="s">
        <v>945</v>
      </c>
      <c r="F186" s="370" t="s">
        <v>897</v>
      </c>
      <c r="G186" s="371">
        <v>46566</v>
      </c>
      <c r="H186" s="617" t="s">
        <v>338</v>
      </c>
      <c r="I186" s="375">
        <v>1900</v>
      </c>
      <c r="J186" s="687">
        <f ca="1">IF(B$1&gt;=الجدول3[[#This Row],[تاريخ الدفعة]],الجدول3[[#This Row],[مبلغ الدفعة]],0)</f>
        <v>0</v>
      </c>
      <c r="K186" s="373">
        <v>0</v>
      </c>
      <c r="L186" s="374"/>
      <c r="M186" s="879" t="str" cm="1">
        <f t="array" aca="1" ref="M18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86" s="443"/>
      <c r="O186" s="620">
        <f ca="1">الجدول3[[#This Row],[المدفوع]]-الجدول3[[#This Row],[المبلغ المستحق]]</f>
        <v>0</v>
      </c>
      <c r="P186" s="443"/>
      <c r="Q186" s="113"/>
    </row>
    <row r="187" spans="2:17" hidden="1">
      <c r="B187" s="370">
        <v>149</v>
      </c>
      <c r="C187" s="623" t="s">
        <v>949</v>
      </c>
      <c r="D187" s="4">
        <v>10874887163</v>
      </c>
      <c r="E187" s="370" t="s">
        <v>945</v>
      </c>
      <c r="F187" s="370" t="s">
        <v>897</v>
      </c>
      <c r="G187" s="371">
        <v>46596</v>
      </c>
      <c r="H187" s="617" t="s">
        <v>339</v>
      </c>
      <c r="I187" s="375">
        <v>1900</v>
      </c>
      <c r="J187" s="687">
        <f ca="1">IF(B$1&gt;=الجدول3[[#This Row],[تاريخ الدفعة]],الجدول3[[#This Row],[مبلغ الدفعة]],0)</f>
        <v>0</v>
      </c>
      <c r="K187" s="373">
        <v>0</v>
      </c>
      <c r="L187" s="374"/>
      <c r="M187" s="879" t="str" cm="1">
        <f t="array" aca="1" ref="M18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87" s="443"/>
      <c r="O187" s="620">
        <f ca="1">الجدول3[[#This Row],[المدفوع]]-الجدول3[[#This Row],[المبلغ المستحق]]</f>
        <v>0</v>
      </c>
      <c r="P187" s="443"/>
      <c r="Q187" s="113"/>
    </row>
    <row r="188" spans="2:17" hidden="1">
      <c r="B188" s="370">
        <v>150</v>
      </c>
      <c r="C188" s="623" t="s">
        <v>949</v>
      </c>
      <c r="D188" s="4">
        <v>10874887163</v>
      </c>
      <c r="E188" s="370" t="s">
        <v>945</v>
      </c>
      <c r="F188" s="370" t="s">
        <v>897</v>
      </c>
      <c r="G188" s="371">
        <v>46627</v>
      </c>
      <c r="H188" s="371" t="s">
        <v>340</v>
      </c>
      <c r="I188" s="375">
        <v>1900</v>
      </c>
      <c r="J188" s="687">
        <f ca="1">IF(B$1&gt;=الجدول3[[#This Row],[تاريخ الدفعة]],الجدول3[[#This Row],[مبلغ الدفعة]],0)</f>
        <v>0</v>
      </c>
      <c r="K188" s="373">
        <v>0</v>
      </c>
      <c r="L188" s="374"/>
      <c r="M188" s="879" t="str" cm="1">
        <f t="array" aca="1" ref="M18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88" s="443"/>
      <c r="O188" s="620">
        <f ca="1">الجدول3[[#This Row],[المدفوع]]-الجدول3[[#This Row],[المبلغ المستحق]]</f>
        <v>0</v>
      </c>
      <c r="P188" s="443"/>
      <c r="Q188" s="113"/>
    </row>
    <row r="189" spans="2:17" hidden="1">
      <c r="B189" s="712">
        <v>151</v>
      </c>
      <c r="C189" s="713" t="s">
        <v>950</v>
      </c>
      <c r="D189" s="724">
        <v>10677062390</v>
      </c>
      <c r="E189" s="713" t="s">
        <v>30</v>
      </c>
      <c r="F189" s="713" t="s">
        <v>896</v>
      </c>
      <c r="G189" s="714">
        <v>46293</v>
      </c>
      <c r="H189" s="714" t="s">
        <v>328</v>
      </c>
      <c r="I189" s="715">
        <v>1800</v>
      </c>
      <c r="J189" s="687">
        <f ca="1">IF(B$1&gt;=الجدول3[[#This Row],[تاريخ الدفعة]],الجدول3[[#This Row],[مبلغ الدفعة]],0)</f>
        <v>1800</v>
      </c>
      <c r="K189" s="716">
        <v>1800</v>
      </c>
      <c r="L189" s="717">
        <v>46298</v>
      </c>
      <c r="M189" s="879" t="s">
        <v>41</v>
      </c>
      <c r="N189" s="718" t="s">
        <v>331</v>
      </c>
      <c r="O189" s="620">
        <f ca="1">الجدول3[[#This Row],[المدفوع]]-الجدول3[[#This Row],[المبلغ المستحق]]</f>
        <v>0</v>
      </c>
      <c r="P189" s="718"/>
      <c r="Q189" s="719"/>
    </row>
    <row r="190" spans="2:17" hidden="1">
      <c r="B190" s="689">
        <v>152</v>
      </c>
      <c r="C190" s="695" t="s">
        <v>950</v>
      </c>
      <c r="D190" s="4">
        <v>10677062390</v>
      </c>
      <c r="E190" s="684" t="s">
        <v>30</v>
      </c>
      <c r="F190" s="684" t="s">
        <v>896</v>
      </c>
      <c r="G190" s="685">
        <v>46323</v>
      </c>
      <c r="H190" s="692" t="s">
        <v>331</v>
      </c>
      <c r="I190" s="686">
        <v>1800</v>
      </c>
      <c r="J190" s="687">
        <f ca="1">IF(B$1&gt;=الجدول3[[#This Row],[تاريخ الدفعة]],الجدول3[[#This Row],[مبلغ الدفعة]],0)</f>
        <v>1800</v>
      </c>
      <c r="K190" s="687">
        <v>0</v>
      </c>
      <c r="L190" s="688"/>
      <c r="M190" s="879" t="str" cm="1">
        <f t="array" aca="1" ref="M19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 اليوم</v>
      </c>
      <c r="N190" s="690"/>
      <c r="O190" s="620">
        <f ca="1">الجدول3[[#This Row],[المدفوع]]-الجدول3[[#This Row],[المبلغ المستحق]]</f>
        <v>-1800</v>
      </c>
      <c r="P190" s="690"/>
      <c r="Q190" s="113"/>
    </row>
    <row r="191" spans="2:17" hidden="1">
      <c r="B191" s="370">
        <v>153</v>
      </c>
      <c r="C191" s="623" t="s">
        <v>950</v>
      </c>
      <c r="D191" s="4">
        <v>10677062390</v>
      </c>
      <c r="E191" s="370" t="s">
        <v>30</v>
      </c>
      <c r="F191" s="370" t="s">
        <v>896</v>
      </c>
      <c r="G191" s="371">
        <v>46354</v>
      </c>
      <c r="H191" s="617" t="s">
        <v>332</v>
      </c>
      <c r="I191" s="375">
        <v>1800</v>
      </c>
      <c r="J191" s="687">
        <f ca="1">IF(B$1&gt;=الجدول3[[#This Row],[تاريخ الدفعة]],الجدول3[[#This Row],[مبلغ الدفعة]],0)</f>
        <v>0</v>
      </c>
      <c r="K191" s="373">
        <v>0</v>
      </c>
      <c r="L191" s="374"/>
      <c r="M191" s="879" t="str" cm="1">
        <f t="array" aca="1" ref="M19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91" s="443"/>
      <c r="O191" s="620">
        <f ca="1">الجدول3[[#This Row],[المدفوع]]-الجدول3[[#This Row],[المبلغ المستحق]]</f>
        <v>0</v>
      </c>
      <c r="P191" s="443"/>
      <c r="Q191" s="113"/>
    </row>
    <row r="192" spans="2:17" hidden="1">
      <c r="B192" s="369">
        <v>154</v>
      </c>
      <c r="C192" s="623" t="s">
        <v>950</v>
      </c>
      <c r="D192" s="4">
        <v>10677062390</v>
      </c>
      <c r="E192" s="370" t="s">
        <v>30</v>
      </c>
      <c r="F192" s="370" t="s">
        <v>896</v>
      </c>
      <c r="G192" s="371">
        <v>46384</v>
      </c>
      <c r="H192" s="617" t="s">
        <v>333</v>
      </c>
      <c r="I192" s="375">
        <v>1800</v>
      </c>
      <c r="J192" s="687">
        <f ca="1">IF(B$1&gt;=الجدول3[[#This Row],[تاريخ الدفعة]],الجدول3[[#This Row],[مبلغ الدفعة]],0)</f>
        <v>0</v>
      </c>
      <c r="K192" s="373">
        <v>0</v>
      </c>
      <c r="L192" s="374"/>
      <c r="M192" s="879" t="str" cm="1">
        <f t="array" aca="1" ref="M19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92" s="443"/>
      <c r="O192" s="620">
        <f ca="1">الجدول3[[#This Row],[المدفوع]]-الجدول3[[#This Row],[المبلغ المستحق]]</f>
        <v>0</v>
      </c>
      <c r="P192" s="443"/>
      <c r="Q192" s="113"/>
    </row>
    <row r="193" spans="2:17" hidden="1">
      <c r="B193" s="370">
        <v>155</v>
      </c>
      <c r="C193" s="623" t="s">
        <v>950</v>
      </c>
      <c r="D193" s="4">
        <v>10677062390</v>
      </c>
      <c r="E193" s="370" t="s">
        <v>30</v>
      </c>
      <c r="F193" s="370" t="s">
        <v>896</v>
      </c>
      <c r="G193" s="371">
        <v>46415</v>
      </c>
      <c r="H193" s="617" t="s">
        <v>637</v>
      </c>
      <c r="I193" s="375">
        <v>1800</v>
      </c>
      <c r="J193" s="687">
        <f ca="1">IF(B$1&gt;=الجدول3[[#This Row],[تاريخ الدفعة]],الجدول3[[#This Row],[مبلغ الدفعة]],0)</f>
        <v>0</v>
      </c>
      <c r="K193" s="373">
        <v>0</v>
      </c>
      <c r="L193" s="374"/>
      <c r="M193" s="879" t="str" cm="1">
        <f t="array" aca="1" ref="M19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93" s="443"/>
      <c r="O193" s="620">
        <f ca="1">الجدول3[[#This Row],[المدفوع]]-الجدول3[[#This Row],[المبلغ المستحق]]</f>
        <v>0</v>
      </c>
      <c r="P193" s="443"/>
      <c r="Q193" s="113"/>
    </row>
    <row r="194" spans="2:17" hidden="1">
      <c r="B194" s="369">
        <v>156</v>
      </c>
      <c r="C194" s="623" t="s">
        <v>950</v>
      </c>
      <c r="D194" s="4">
        <v>10677062390</v>
      </c>
      <c r="E194" s="370" t="s">
        <v>30</v>
      </c>
      <c r="F194" s="370" t="s">
        <v>896</v>
      </c>
      <c r="G194" s="371">
        <v>46446</v>
      </c>
      <c r="H194" s="617" t="s">
        <v>334</v>
      </c>
      <c r="I194" s="375">
        <v>1800</v>
      </c>
      <c r="J194" s="687">
        <f ca="1">IF(B$1&gt;=الجدول3[[#This Row],[تاريخ الدفعة]],الجدول3[[#This Row],[مبلغ الدفعة]],0)</f>
        <v>0</v>
      </c>
      <c r="K194" s="373">
        <v>0</v>
      </c>
      <c r="L194" s="374"/>
      <c r="M194" s="879" t="str" cm="1">
        <f t="array" aca="1" ref="M19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94" s="443"/>
      <c r="O194" s="620">
        <f ca="1">الجدول3[[#This Row],[المدفوع]]-الجدول3[[#This Row],[المبلغ المستحق]]</f>
        <v>0</v>
      </c>
      <c r="P194" s="443"/>
      <c r="Q194" s="113"/>
    </row>
    <row r="195" spans="2:17" hidden="1">
      <c r="B195" s="370">
        <v>157</v>
      </c>
      <c r="C195" s="623" t="s">
        <v>950</v>
      </c>
      <c r="D195" s="4">
        <v>10677062390</v>
      </c>
      <c r="E195" s="370" t="s">
        <v>30</v>
      </c>
      <c r="F195" s="370" t="s">
        <v>896</v>
      </c>
      <c r="G195" s="371">
        <v>46474</v>
      </c>
      <c r="H195" s="617" t="s">
        <v>335</v>
      </c>
      <c r="I195" s="375">
        <v>1800</v>
      </c>
      <c r="J195" s="687">
        <f ca="1">IF(B$1&gt;=الجدول3[[#This Row],[تاريخ الدفعة]],الجدول3[[#This Row],[مبلغ الدفعة]],0)</f>
        <v>0</v>
      </c>
      <c r="K195" s="373">
        <v>0</v>
      </c>
      <c r="L195" s="374"/>
      <c r="M195" s="879" t="str" cm="1">
        <f t="array" aca="1" ref="M19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95" s="443"/>
      <c r="O195" s="620">
        <f ca="1">الجدول3[[#This Row],[المدفوع]]-الجدول3[[#This Row],[المبلغ المستحق]]</f>
        <v>0</v>
      </c>
      <c r="P195" s="443"/>
      <c r="Q195" s="113"/>
    </row>
    <row r="196" spans="2:17" hidden="1">
      <c r="B196" s="369">
        <v>158</v>
      </c>
      <c r="C196" s="623" t="s">
        <v>950</v>
      </c>
      <c r="D196" s="4">
        <v>10677062390</v>
      </c>
      <c r="E196" s="370" t="s">
        <v>30</v>
      </c>
      <c r="F196" s="370" t="s">
        <v>896</v>
      </c>
      <c r="G196" s="371">
        <v>46505</v>
      </c>
      <c r="H196" s="617" t="s">
        <v>336</v>
      </c>
      <c r="I196" s="375">
        <v>1800</v>
      </c>
      <c r="J196" s="687">
        <f ca="1">IF(B$1&gt;=الجدول3[[#This Row],[تاريخ الدفعة]],الجدول3[[#This Row],[مبلغ الدفعة]],0)</f>
        <v>0</v>
      </c>
      <c r="K196" s="373">
        <v>0</v>
      </c>
      <c r="L196" s="374"/>
      <c r="M196" s="879" t="str" cm="1">
        <f t="array" aca="1" ref="M19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96" s="443"/>
      <c r="O196" s="620">
        <f ca="1">الجدول3[[#This Row],[المدفوع]]-الجدول3[[#This Row],[المبلغ المستحق]]</f>
        <v>0</v>
      </c>
      <c r="P196" s="443"/>
      <c r="Q196" s="113"/>
    </row>
    <row r="197" spans="2:17" hidden="1">
      <c r="B197" s="370">
        <v>159</v>
      </c>
      <c r="C197" s="623" t="s">
        <v>950</v>
      </c>
      <c r="D197" s="4">
        <v>10677062390</v>
      </c>
      <c r="E197" s="370" t="s">
        <v>30</v>
      </c>
      <c r="F197" s="370" t="s">
        <v>896</v>
      </c>
      <c r="G197" s="371">
        <v>46535</v>
      </c>
      <c r="H197" s="617" t="s">
        <v>337</v>
      </c>
      <c r="I197" s="375">
        <v>1800</v>
      </c>
      <c r="J197" s="687">
        <f ca="1">IF(B$1&gt;=الجدول3[[#This Row],[تاريخ الدفعة]],الجدول3[[#This Row],[مبلغ الدفعة]],0)</f>
        <v>0</v>
      </c>
      <c r="K197" s="373">
        <v>0</v>
      </c>
      <c r="L197" s="374"/>
      <c r="M197" s="879" t="str" cm="1">
        <f t="array" aca="1" ref="M19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97" s="443"/>
      <c r="O197" s="620">
        <f ca="1">الجدول3[[#This Row],[المدفوع]]-الجدول3[[#This Row],[المبلغ المستحق]]</f>
        <v>0</v>
      </c>
      <c r="P197" s="443"/>
      <c r="Q197" s="113"/>
    </row>
    <row r="198" spans="2:17" hidden="1">
      <c r="B198" s="369">
        <v>160</v>
      </c>
      <c r="C198" s="623" t="s">
        <v>950</v>
      </c>
      <c r="D198" s="4">
        <v>10677062390</v>
      </c>
      <c r="E198" s="370" t="s">
        <v>30</v>
      </c>
      <c r="F198" s="370" t="s">
        <v>896</v>
      </c>
      <c r="G198" s="371">
        <v>46566</v>
      </c>
      <c r="H198" s="617" t="s">
        <v>338</v>
      </c>
      <c r="I198" s="375">
        <v>1800</v>
      </c>
      <c r="J198" s="687">
        <f ca="1">IF(B$1&gt;=الجدول3[[#This Row],[تاريخ الدفعة]],الجدول3[[#This Row],[مبلغ الدفعة]],0)</f>
        <v>0</v>
      </c>
      <c r="K198" s="373">
        <v>0</v>
      </c>
      <c r="L198" s="374"/>
      <c r="M198" s="879" t="str" cm="1">
        <f t="array" aca="1" ref="M19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98" s="443"/>
      <c r="O198" s="620">
        <f ca="1">الجدول3[[#This Row],[المدفوع]]-الجدول3[[#This Row],[المبلغ المستحق]]</f>
        <v>0</v>
      </c>
      <c r="P198" s="443"/>
      <c r="Q198" s="113"/>
    </row>
    <row r="199" spans="2:17" hidden="1">
      <c r="B199" s="370">
        <v>161</v>
      </c>
      <c r="C199" s="623" t="s">
        <v>950</v>
      </c>
      <c r="D199" s="4">
        <v>10677062390</v>
      </c>
      <c r="E199" s="370" t="s">
        <v>30</v>
      </c>
      <c r="F199" s="370" t="s">
        <v>896</v>
      </c>
      <c r="G199" s="371">
        <v>46596</v>
      </c>
      <c r="H199" s="617" t="s">
        <v>339</v>
      </c>
      <c r="I199" s="375">
        <v>1800</v>
      </c>
      <c r="J199" s="687">
        <f ca="1">IF(B$1&gt;=الجدول3[[#This Row],[تاريخ الدفعة]],الجدول3[[#This Row],[مبلغ الدفعة]],0)</f>
        <v>0</v>
      </c>
      <c r="K199" s="373">
        <v>0</v>
      </c>
      <c r="L199" s="374"/>
      <c r="M199" s="879" t="str" cm="1">
        <f t="array" aca="1" ref="M19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199" s="443"/>
      <c r="O199" s="620">
        <f ca="1">الجدول3[[#This Row],[المدفوع]]-الجدول3[[#This Row],[المبلغ المستحق]]</f>
        <v>0</v>
      </c>
      <c r="P199" s="443"/>
      <c r="Q199" s="113"/>
    </row>
    <row r="200" spans="2:17" hidden="1">
      <c r="B200" s="369">
        <v>162</v>
      </c>
      <c r="C200" s="623" t="s">
        <v>950</v>
      </c>
      <c r="D200" s="4">
        <v>10677062390</v>
      </c>
      <c r="E200" s="370" t="s">
        <v>30</v>
      </c>
      <c r="F200" s="370" t="s">
        <v>896</v>
      </c>
      <c r="G200" s="371">
        <v>46627</v>
      </c>
      <c r="H200" s="371" t="s">
        <v>340</v>
      </c>
      <c r="I200" s="375">
        <v>1800</v>
      </c>
      <c r="J200" s="687">
        <f ca="1">IF(B$1&gt;=الجدول3[[#This Row],[تاريخ الدفعة]],الجدول3[[#This Row],[مبلغ الدفعة]],0)</f>
        <v>0</v>
      </c>
      <c r="K200" s="373">
        <v>0</v>
      </c>
      <c r="L200" s="374"/>
      <c r="M200" s="879" t="str" cm="1">
        <f t="array" aca="1" ref="M20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00" s="443"/>
      <c r="O200" s="620">
        <f ca="1">الجدول3[[#This Row],[المدفوع]]-الجدول3[[#This Row],[المبلغ المستحق]]</f>
        <v>0</v>
      </c>
      <c r="P200" s="443"/>
      <c r="Q200" s="113"/>
    </row>
    <row r="201" spans="2:17" hidden="1">
      <c r="B201" s="370">
        <v>59</v>
      </c>
      <c r="C201" s="623" t="s">
        <v>988</v>
      </c>
      <c r="D201" s="652">
        <v>10248740301</v>
      </c>
      <c r="E201" s="370" t="s">
        <v>38</v>
      </c>
      <c r="F201" s="370" t="s">
        <v>896</v>
      </c>
      <c r="G201" s="371">
        <v>46288</v>
      </c>
      <c r="H201" s="617" t="s">
        <v>328</v>
      </c>
      <c r="I201" s="375">
        <v>2800</v>
      </c>
      <c r="J201" s="687">
        <f ca="1">IF(B$1&gt;=الجدول3[[#This Row],[تاريخ الدفعة]],الجدول3[[#This Row],[مبلغ الدفعة]],0)</f>
        <v>2800</v>
      </c>
      <c r="K201" s="373">
        <v>2800</v>
      </c>
      <c r="L201" s="374">
        <v>46292</v>
      </c>
      <c r="M201" s="689" t="s">
        <v>164</v>
      </c>
      <c r="N201" s="443" t="s">
        <v>328</v>
      </c>
      <c r="O201" s="620">
        <f ca="1">الجدول3[[#This Row],[المدفوع]]-الجدول3[[#This Row],[المبلغ المستحق]]</f>
        <v>0</v>
      </c>
      <c r="P201" s="443"/>
      <c r="Q201" s="113"/>
    </row>
    <row r="202" spans="2:17" hidden="1">
      <c r="B202" s="369">
        <v>164</v>
      </c>
      <c r="C202" s="369" t="s">
        <v>951</v>
      </c>
      <c r="D202" s="618">
        <v>10744903211</v>
      </c>
      <c r="E202" s="369" t="s">
        <v>34</v>
      </c>
      <c r="F202" s="370" t="s">
        <v>896</v>
      </c>
      <c r="G202" s="371">
        <v>46304</v>
      </c>
      <c r="H202" s="617" t="s">
        <v>331</v>
      </c>
      <c r="I202" s="375">
        <v>1900</v>
      </c>
      <c r="J202" s="687">
        <f ca="1">IF(B$1&gt;=الجدول3[[#This Row],[تاريخ الدفعة]],الجدول3[[#This Row],[مبلغ الدفعة]],0)</f>
        <v>1900</v>
      </c>
      <c r="K202" s="373">
        <v>1900</v>
      </c>
      <c r="L202" s="619">
        <v>46302</v>
      </c>
      <c r="M202" s="879" t="s">
        <v>41</v>
      </c>
      <c r="N202" s="443" t="s">
        <v>331</v>
      </c>
      <c r="O202" s="620">
        <f ca="1">الجدول3[[#This Row],[المدفوع]]-الجدول3[[#This Row],[المبلغ المستحق]]</f>
        <v>0</v>
      </c>
      <c r="P202" s="621"/>
      <c r="Q202" s="113"/>
    </row>
    <row r="203" spans="2:17" hidden="1">
      <c r="B203" s="370">
        <v>165</v>
      </c>
      <c r="C203" s="370" t="s">
        <v>951</v>
      </c>
      <c r="D203" s="624">
        <v>10744903211</v>
      </c>
      <c r="E203" s="369" t="s">
        <v>34</v>
      </c>
      <c r="F203" s="370" t="s">
        <v>896</v>
      </c>
      <c r="G203" s="371">
        <v>46335</v>
      </c>
      <c r="H203" s="617" t="s">
        <v>332</v>
      </c>
      <c r="I203" s="375">
        <v>1900</v>
      </c>
      <c r="J203" s="687">
        <f ca="1">IF(B$1&gt;=الجدول3[[#This Row],[تاريخ الدفعة]],الجدول3[[#This Row],[مبلغ الدفعة]],0)</f>
        <v>0</v>
      </c>
      <c r="K203" s="373">
        <v>0</v>
      </c>
      <c r="L203" s="619"/>
      <c r="M203" s="879" t="str" cm="1">
        <f t="array" aca="1" ref="M20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03" s="443"/>
      <c r="O203" s="620">
        <f ca="1">الجدول3[[#This Row],[المدفوع]]-الجدول3[[#This Row],[المبلغ المستحق]]</f>
        <v>0</v>
      </c>
      <c r="P203" s="621"/>
      <c r="Q203" s="113"/>
    </row>
    <row r="204" spans="2:17" hidden="1">
      <c r="B204" s="369">
        <v>166</v>
      </c>
      <c r="C204" s="369" t="s">
        <v>951</v>
      </c>
      <c r="D204" s="618">
        <v>10744903211</v>
      </c>
      <c r="E204" s="370" t="s">
        <v>34</v>
      </c>
      <c r="F204" s="370" t="s">
        <v>896</v>
      </c>
      <c r="G204" s="371">
        <v>46365</v>
      </c>
      <c r="H204" s="617" t="s">
        <v>333</v>
      </c>
      <c r="I204" s="375">
        <v>1900</v>
      </c>
      <c r="J204" s="687">
        <f ca="1">IF(B$1&gt;=الجدول3[[#This Row],[تاريخ الدفعة]],الجدول3[[#This Row],[مبلغ الدفعة]],0)</f>
        <v>0</v>
      </c>
      <c r="K204" s="373">
        <v>0</v>
      </c>
      <c r="L204" s="374"/>
      <c r="M204" s="879" t="str" cm="1">
        <f t="array" aca="1" ref="M20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04" s="443"/>
      <c r="O204" s="620">
        <f ca="1">الجدول3[[#This Row],[المدفوع]]-الجدول3[[#This Row],[المبلغ المستحق]]</f>
        <v>0</v>
      </c>
      <c r="P204" s="443"/>
      <c r="Q204" s="113"/>
    </row>
    <row r="205" spans="2:17" hidden="1">
      <c r="B205" s="370">
        <v>167</v>
      </c>
      <c r="C205" s="370" t="s">
        <v>951</v>
      </c>
      <c r="D205" s="624">
        <v>10744903211</v>
      </c>
      <c r="E205" s="370" t="s">
        <v>34</v>
      </c>
      <c r="F205" s="370" t="s">
        <v>896</v>
      </c>
      <c r="G205" s="371">
        <v>46396</v>
      </c>
      <c r="H205" s="617" t="s">
        <v>637</v>
      </c>
      <c r="I205" s="375">
        <v>1900</v>
      </c>
      <c r="J205" s="687">
        <f ca="1">IF(B$1&gt;=الجدول3[[#This Row],[تاريخ الدفعة]],الجدول3[[#This Row],[مبلغ الدفعة]],0)</f>
        <v>0</v>
      </c>
      <c r="K205" s="373">
        <v>0</v>
      </c>
      <c r="L205" s="374"/>
      <c r="M205" s="879" t="str" cm="1">
        <f t="array" aca="1" ref="M20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05" s="443"/>
      <c r="O205" s="620">
        <f ca="1">الجدول3[[#This Row],[المدفوع]]-الجدول3[[#This Row],[المبلغ المستحق]]</f>
        <v>0</v>
      </c>
      <c r="P205" s="443"/>
      <c r="Q205" s="113"/>
    </row>
    <row r="206" spans="2:17" hidden="1">
      <c r="B206" s="369">
        <v>168</v>
      </c>
      <c r="C206" s="369" t="s">
        <v>951</v>
      </c>
      <c r="D206" s="618">
        <v>10744903211</v>
      </c>
      <c r="E206" s="370" t="s">
        <v>34</v>
      </c>
      <c r="F206" s="370" t="s">
        <v>896</v>
      </c>
      <c r="G206" s="371">
        <v>46427</v>
      </c>
      <c r="H206" s="617" t="s">
        <v>334</v>
      </c>
      <c r="I206" s="375">
        <v>1900</v>
      </c>
      <c r="J206" s="687">
        <f ca="1">IF(B$1&gt;=الجدول3[[#This Row],[تاريخ الدفعة]],الجدول3[[#This Row],[مبلغ الدفعة]],0)</f>
        <v>0</v>
      </c>
      <c r="K206" s="373">
        <v>0</v>
      </c>
      <c r="L206" s="374"/>
      <c r="M206" s="879" t="str" cm="1">
        <f t="array" aca="1" ref="M20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06" s="443"/>
      <c r="O206" s="620">
        <f ca="1">الجدول3[[#This Row],[المدفوع]]-الجدول3[[#This Row],[المبلغ المستحق]]</f>
        <v>0</v>
      </c>
      <c r="P206" s="443"/>
      <c r="Q206" s="113"/>
    </row>
    <row r="207" spans="2:17" hidden="1">
      <c r="B207" s="370">
        <v>169</v>
      </c>
      <c r="C207" s="370" t="s">
        <v>951</v>
      </c>
      <c r="D207" s="624">
        <v>10744903211</v>
      </c>
      <c r="E207" s="370" t="s">
        <v>34</v>
      </c>
      <c r="F207" s="370" t="s">
        <v>896</v>
      </c>
      <c r="G207" s="371">
        <v>46455</v>
      </c>
      <c r="H207" s="617" t="s">
        <v>335</v>
      </c>
      <c r="I207" s="375">
        <v>1900</v>
      </c>
      <c r="J207" s="687">
        <f ca="1">IF(B$1&gt;=الجدول3[[#This Row],[تاريخ الدفعة]],الجدول3[[#This Row],[مبلغ الدفعة]],0)</f>
        <v>0</v>
      </c>
      <c r="K207" s="373">
        <v>0</v>
      </c>
      <c r="L207" s="374"/>
      <c r="M207" s="879" t="str" cm="1">
        <f t="array" aca="1" ref="M20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07" s="443"/>
      <c r="O207" s="620">
        <f ca="1">الجدول3[[#This Row],[المدفوع]]-الجدول3[[#This Row],[المبلغ المستحق]]</f>
        <v>0</v>
      </c>
      <c r="P207" s="443"/>
      <c r="Q207" s="113"/>
    </row>
    <row r="208" spans="2:17" hidden="1">
      <c r="B208" s="369">
        <v>170</v>
      </c>
      <c r="C208" s="369" t="s">
        <v>951</v>
      </c>
      <c r="D208" s="618">
        <v>10744903211</v>
      </c>
      <c r="E208" s="370" t="s">
        <v>34</v>
      </c>
      <c r="F208" s="370" t="s">
        <v>896</v>
      </c>
      <c r="G208" s="371">
        <v>46486</v>
      </c>
      <c r="H208" s="617" t="s">
        <v>336</v>
      </c>
      <c r="I208" s="375">
        <v>1900</v>
      </c>
      <c r="J208" s="687">
        <f ca="1">IF(B$1&gt;=الجدول3[[#This Row],[تاريخ الدفعة]],الجدول3[[#This Row],[مبلغ الدفعة]],0)</f>
        <v>0</v>
      </c>
      <c r="K208" s="373">
        <v>0</v>
      </c>
      <c r="L208" s="374"/>
      <c r="M208" s="879" t="str" cm="1">
        <f t="array" aca="1" ref="M20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08" s="443"/>
      <c r="O208" s="620">
        <f ca="1">الجدول3[[#This Row],[المدفوع]]-الجدول3[[#This Row],[المبلغ المستحق]]</f>
        <v>0</v>
      </c>
      <c r="P208" s="443"/>
      <c r="Q208" s="113"/>
    </row>
    <row r="209" spans="2:17" hidden="1">
      <c r="B209" s="370">
        <v>171</v>
      </c>
      <c r="C209" s="370" t="s">
        <v>951</v>
      </c>
      <c r="D209" s="624">
        <v>10744903211</v>
      </c>
      <c r="E209" s="370" t="s">
        <v>34</v>
      </c>
      <c r="F209" s="370" t="s">
        <v>896</v>
      </c>
      <c r="G209" s="371">
        <v>46516</v>
      </c>
      <c r="H209" s="617" t="s">
        <v>337</v>
      </c>
      <c r="I209" s="375">
        <v>1900</v>
      </c>
      <c r="J209" s="687">
        <f ca="1">IF(B$1&gt;=الجدول3[[#This Row],[تاريخ الدفعة]],الجدول3[[#This Row],[مبلغ الدفعة]],0)</f>
        <v>0</v>
      </c>
      <c r="K209" s="373">
        <v>0</v>
      </c>
      <c r="L209" s="374"/>
      <c r="M209" s="879" t="str" cm="1">
        <f t="array" aca="1" ref="M20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09" s="443"/>
      <c r="O209" s="620">
        <f ca="1">الجدول3[[#This Row],[المدفوع]]-الجدول3[[#This Row],[المبلغ المستحق]]</f>
        <v>0</v>
      </c>
      <c r="P209" s="443"/>
      <c r="Q209" s="113"/>
    </row>
    <row r="210" spans="2:17" hidden="1">
      <c r="B210" s="369">
        <v>172</v>
      </c>
      <c r="C210" s="369" t="s">
        <v>951</v>
      </c>
      <c r="D210" s="618">
        <v>10744903211</v>
      </c>
      <c r="E210" s="370" t="s">
        <v>34</v>
      </c>
      <c r="F210" s="370" t="s">
        <v>896</v>
      </c>
      <c r="G210" s="371">
        <v>46547</v>
      </c>
      <c r="H210" s="617" t="s">
        <v>338</v>
      </c>
      <c r="I210" s="375">
        <v>1900</v>
      </c>
      <c r="J210" s="687">
        <f ca="1">IF(B$1&gt;=الجدول3[[#This Row],[تاريخ الدفعة]],الجدول3[[#This Row],[مبلغ الدفعة]],0)</f>
        <v>0</v>
      </c>
      <c r="K210" s="373">
        <v>0</v>
      </c>
      <c r="L210" s="374"/>
      <c r="M210" s="879" t="str" cm="1">
        <f t="array" aca="1" ref="M21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10" s="443"/>
      <c r="O210" s="620">
        <f ca="1">الجدول3[[#This Row],[المدفوع]]-الجدول3[[#This Row],[المبلغ المستحق]]</f>
        <v>0</v>
      </c>
      <c r="P210" s="443"/>
      <c r="Q210" s="113"/>
    </row>
    <row r="211" spans="2:17" hidden="1">
      <c r="B211" s="370">
        <v>173</v>
      </c>
      <c r="C211" s="370" t="s">
        <v>951</v>
      </c>
      <c r="D211" s="624">
        <v>10744903211</v>
      </c>
      <c r="E211" s="370" t="s">
        <v>34</v>
      </c>
      <c r="F211" s="370" t="s">
        <v>896</v>
      </c>
      <c r="G211" s="371">
        <v>46577</v>
      </c>
      <c r="H211" s="617" t="s">
        <v>339</v>
      </c>
      <c r="I211" s="375">
        <v>1900</v>
      </c>
      <c r="J211" s="687">
        <f ca="1">IF(B$1&gt;=الجدول3[[#This Row],[تاريخ الدفعة]],الجدول3[[#This Row],[مبلغ الدفعة]],0)</f>
        <v>0</v>
      </c>
      <c r="K211" s="373">
        <v>0</v>
      </c>
      <c r="L211" s="374"/>
      <c r="M211" s="879" t="str" cm="1">
        <f t="array" aca="1" ref="M21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11" s="443"/>
      <c r="O211" s="620">
        <f ca="1">الجدول3[[#This Row],[المدفوع]]-الجدول3[[#This Row],[المبلغ المستحق]]</f>
        <v>0</v>
      </c>
      <c r="P211" s="443"/>
      <c r="Q211" s="113"/>
    </row>
    <row r="212" spans="2:17" hidden="1">
      <c r="B212" s="369">
        <v>174</v>
      </c>
      <c r="C212" s="369" t="s">
        <v>951</v>
      </c>
      <c r="D212" s="618">
        <v>10744903211</v>
      </c>
      <c r="E212" s="370" t="s">
        <v>34</v>
      </c>
      <c r="F212" s="370" t="s">
        <v>896</v>
      </c>
      <c r="G212" s="371">
        <v>46608</v>
      </c>
      <c r="H212" s="371" t="s">
        <v>340</v>
      </c>
      <c r="I212" s="375">
        <v>1900</v>
      </c>
      <c r="J212" s="687">
        <f ca="1">IF(B$1&gt;=الجدول3[[#This Row],[تاريخ الدفعة]],الجدول3[[#This Row],[مبلغ الدفعة]],0)</f>
        <v>0</v>
      </c>
      <c r="K212" s="373">
        <v>0</v>
      </c>
      <c r="L212" s="374"/>
      <c r="M212" s="879" t="str" cm="1">
        <f t="array" aca="1" ref="M21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12" s="443"/>
      <c r="O212" s="620">
        <f ca="1">الجدول3[[#This Row],[المدفوع]]-الجدول3[[#This Row],[المبلغ المستحق]]</f>
        <v>0</v>
      </c>
      <c r="P212" s="443"/>
      <c r="Q212" s="113"/>
    </row>
    <row r="213" spans="2:17" hidden="1">
      <c r="B213" s="370">
        <v>175</v>
      </c>
      <c r="C213" s="370" t="s">
        <v>950</v>
      </c>
      <c r="D213" s="624">
        <v>10353217790</v>
      </c>
      <c r="E213" s="370" t="s">
        <v>944</v>
      </c>
      <c r="F213" s="370" t="s">
        <v>897</v>
      </c>
      <c r="G213" s="371">
        <v>46278</v>
      </c>
      <c r="H213" s="617" t="s">
        <v>328</v>
      </c>
      <c r="I213" s="375">
        <v>1800</v>
      </c>
      <c r="J213" s="687">
        <f ca="1">IF(B$1&gt;=الجدول3[[#This Row],[تاريخ الدفعة]],الجدول3[[#This Row],[مبلغ الدفعة]],0)</f>
        <v>1800</v>
      </c>
      <c r="K213" s="373">
        <v>1800</v>
      </c>
      <c r="L213" s="374">
        <v>46296</v>
      </c>
      <c r="M213" s="689" t="s">
        <v>164</v>
      </c>
      <c r="N213" s="443" t="s">
        <v>328</v>
      </c>
      <c r="O213" s="620">
        <f ca="1">الجدول3[[#This Row],[المدفوع]]-الجدول3[[#This Row],[المبلغ المستحق]]</f>
        <v>0</v>
      </c>
      <c r="P213" s="443"/>
      <c r="Q213" s="113"/>
    </row>
    <row r="214" spans="2:17" hidden="1">
      <c r="B214" s="369">
        <v>176</v>
      </c>
      <c r="C214" s="370" t="s">
        <v>950</v>
      </c>
      <c r="D214" s="624">
        <v>10353217790</v>
      </c>
      <c r="E214" s="370" t="s">
        <v>944</v>
      </c>
      <c r="F214" s="370" t="s">
        <v>897</v>
      </c>
      <c r="G214" s="371">
        <v>46308</v>
      </c>
      <c r="H214" s="617" t="s">
        <v>331</v>
      </c>
      <c r="I214" s="375">
        <v>1800</v>
      </c>
      <c r="J214" s="687">
        <f ca="1">IF(B$1&gt;=الجدول3[[#This Row],[تاريخ الدفعة]],الجدول3[[#This Row],[مبلغ الدفعة]],0)</f>
        <v>1800</v>
      </c>
      <c r="K214" s="373">
        <v>0</v>
      </c>
      <c r="L214" s="374"/>
      <c r="M214" s="879" t="str" cm="1">
        <f t="array" aca="1" ref="M21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v>
      </c>
      <c r="N214" s="443"/>
      <c r="O214" s="620">
        <f ca="1">الجدول3[[#This Row],[المدفوع]]-الجدول3[[#This Row],[المبلغ المستحق]]</f>
        <v>-1800</v>
      </c>
      <c r="P214" s="443"/>
      <c r="Q214" s="113"/>
    </row>
    <row r="215" spans="2:17" hidden="1">
      <c r="B215" s="370">
        <v>177</v>
      </c>
      <c r="C215" s="370" t="s">
        <v>950</v>
      </c>
      <c r="D215" s="624">
        <v>10353217790</v>
      </c>
      <c r="E215" s="370" t="s">
        <v>944</v>
      </c>
      <c r="F215" s="370" t="s">
        <v>897</v>
      </c>
      <c r="G215" s="371">
        <v>46339</v>
      </c>
      <c r="H215" s="617" t="s">
        <v>332</v>
      </c>
      <c r="I215" s="375">
        <v>1800</v>
      </c>
      <c r="J215" s="687">
        <f ca="1">IF(B$1&gt;=الجدول3[[#This Row],[تاريخ الدفعة]],الجدول3[[#This Row],[مبلغ الدفعة]],0)</f>
        <v>0</v>
      </c>
      <c r="K215" s="373">
        <v>0</v>
      </c>
      <c r="L215" s="374"/>
      <c r="M215" s="879" t="str" cm="1">
        <f t="array" aca="1" ref="M21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15" s="443"/>
      <c r="O215" s="620">
        <f ca="1">الجدول3[[#This Row],[المدفوع]]-الجدول3[[#This Row],[المبلغ المستحق]]</f>
        <v>0</v>
      </c>
      <c r="P215" s="443"/>
      <c r="Q215" s="113"/>
    </row>
    <row r="216" spans="2:17" hidden="1">
      <c r="B216" s="369">
        <v>178</v>
      </c>
      <c r="C216" s="370" t="s">
        <v>950</v>
      </c>
      <c r="D216" s="624">
        <v>10353217790</v>
      </c>
      <c r="E216" s="370" t="s">
        <v>944</v>
      </c>
      <c r="F216" s="370" t="s">
        <v>897</v>
      </c>
      <c r="G216" s="371">
        <v>46369</v>
      </c>
      <c r="H216" s="617" t="s">
        <v>333</v>
      </c>
      <c r="I216" s="375">
        <v>1800</v>
      </c>
      <c r="J216" s="687">
        <f ca="1">IF(B$1&gt;=الجدول3[[#This Row],[تاريخ الدفعة]],الجدول3[[#This Row],[مبلغ الدفعة]],0)</f>
        <v>0</v>
      </c>
      <c r="K216" s="373">
        <v>0</v>
      </c>
      <c r="L216" s="374"/>
      <c r="M216" s="879" t="str" cm="1">
        <f t="array" aca="1" ref="M21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16" s="443"/>
      <c r="O216" s="620">
        <f ca="1">الجدول3[[#This Row],[المدفوع]]-الجدول3[[#This Row],[المبلغ المستحق]]</f>
        <v>0</v>
      </c>
      <c r="P216" s="443"/>
      <c r="Q216" s="113"/>
    </row>
    <row r="217" spans="2:17" hidden="1">
      <c r="B217" s="370">
        <v>179</v>
      </c>
      <c r="C217" s="370" t="s">
        <v>950</v>
      </c>
      <c r="D217" s="624">
        <v>10353217790</v>
      </c>
      <c r="E217" s="370" t="s">
        <v>944</v>
      </c>
      <c r="F217" s="370" t="s">
        <v>897</v>
      </c>
      <c r="G217" s="371">
        <v>46400</v>
      </c>
      <c r="H217" s="617" t="s">
        <v>637</v>
      </c>
      <c r="I217" s="375">
        <v>1800</v>
      </c>
      <c r="J217" s="687">
        <f ca="1">IF(B$1&gt;=الجدول3[[#This Row],[تاريخ الدفعة]],الجدول3[[#This Row],[مبلغ الدفعة]],0)</f>
        <v>0</v>
      </c>
      <c r="K217" s="373">
        <v>0</v>
      </c>
      <c r="L217" s="374"/>
      <c r="M217" s="879" t="str" cm="1">
        <f t="array" aca="1" ref="M21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17" s="443"/>
      <c r="O217" s="620">
        <f ca="1">الجدول3[[#This Row],[المدفوع]]-الجدول3[[#This Row],[المبلغ المستحق]]</f>
        <v>0</v>
      </c>
      <c r="P217" s="443"/>
      <c r="Q217" s="113"/>
    </row>
    <row r="218" spans="2:17" hidden="1">
      <c r="B218" s="369">
        <v>180</v>
      </c>
      <c r="C218" s="370" t="s">
        <v>950</v>
      </c>
      <c r="D218" s="624">
        <v>10353217790</v>
      </c>
      <c r="E218" s="370" t="s">
        <v>944</v>
      </c>
      <c r="F218" s="370" t="s">
        <v>897</v>
      </c>
      <c r="G218" s="371">
        <v>46431</v>
      </c>
      <c r="H218" s="617" t="s">
        <v>334</v>
      </c>
      <c r="I218" s="375">
        <v>1800</v>
      </c>
      <c r="J218" s="687">
        <f ca="1">IF(B$1&gt;=الجدول3[[#This Row],[تاريخ الدفعة]],الجدول3[[#This Row],[مبلغ الدفعة]],0)</f>
        <v>0</v>
      </c>
      <c r="K218" s="373">
        <v>0</v>
      </c>
      <c r="L218" s="374"/>
      <c r="M218" s="879" t="str" cm="1">
        <f t="array" aca="1" ref="M21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18" s="443"/>
      <c r="O218" s="620">
        <f ca="1">الجدول3[[#This Row],[المدفوع]]-الجدول3[[#This Row],[المبلغ المستحق]]</f>
        <v>0</v>
      </c>
      <c r="P218" s="443"/>
      <c r="Q218" s="113"/>
    </row>
    <row r="219" spans="2:17" hidden="1">
      <c r="B219" s="370">
        <v>181</v>
      </c>
      <c r="C219" s="370" t="s">
        <v>950</v>
      </c>
      <c r="D219" s="624">
        <v>10353217790</v>
      </c>
      <c r="E219" s="370" t="s">
        <v>944</v>
      </c>
      <c r="F219" s="370" t="s">
        <v>897</v>
      </c>
      <c r="G219" s="371">
        <v>46459</v>
      </c>
      <c r="H219" s="617" t="s">
        <v>335</v>
      </c>
      <c r="I219" s="375">
        <v>1800</v>
      </c>
      <c r="J219" s="687">
        <f ca="1">IF(B$1&gt;=الجدول3[[#This Row],[تاريخ الدفعة]],الجدول3[[#This Row],[مبلغ الدفعة]],0)</f>
        <v>0</v>
      </c>
      <c r="K219" s="373">
        <v>0</v>
      </c>
      <c r="L219" s="374"/>
      <c r="M219" s="879" t="str" cm="1">
        <f t="array" aca="1" ref="M21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19" s="443"/>
      <c r="O219" s="620">
        <f ca="1">الجدول3[[#This Row],[المدفوع]]-الجدول3[[#This Row],[المبلغ المستحق]]</f>
        <v>0</v>
      </c>
      <c r="P219" s="443"/>
      <c r="Q219" s="113"/>
    </row>
    <row r="220" spans="2:17" hidden="1">
      <c r="B220" s="369">
        <v>182</v>
      </c>
      <c r="C220" s="370" t="s">
        <v>950</v>
      </c>
      <c r="D220" s="624">
        <v>10353217790</v>
      </c>
      <c r="E220" s="370" t="s">
        <v>944</v>
      </c>
      <c r="F220" s="370" t="s">
        <v>897</v>
      </c>
      <c r="G220" s="371">
        <v>46490</v>
      </c>
      <c r="H220" s="617" t="s">
        <v>336</v>
      </c>
      <c r="I220" s="375">
        <v>1800</v>
      </c>
      <c r="J220" s="687">
        <f ca="1">IF(B$1&gt;=الجدول3[[#This Row],[تاريخ الدفعة]],الجدول3[[#This Row],[مبلغ الدفعة]],0)</f>
        <v>0</v>
      </c>
      <c r="K220" s="373">
        <v>0</v>
      </c>
      <c r="L220" s="374"/>
      <c r="M220" s="879" t="str" cm="1">
        <f t="array" aca="1" ref="M22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20" s="443"/>
      <c r="O220" s="620">
        <f ca="1">الجدول3[[#This Row],[المدفوع]]-الجدول3[[#This Row],[المبلغ المستحق]]</f>
        <v>0</v>
      </c>
      <c r="P220" s="443"/>
      <c r="Q220" s="113"/>
    </row>
    <row r="221" spans="2:17" hidden="1">
      <c r="B221" s="370">
        <v>183</v>
      </c>
      <c r="C221" s="370" t="s">
        <v>950</v>
      </c>
      <c r="D221" s="624">
        <v>10353217790</v>
      </c>
      <c r="E221" s="370" t="s">
        <v>944</v>
      </c>
      <c r="F221" s="370" t="s">
        <v>897</v>
      </c>
      <c r="G221" s="371">
        <v>46520</v>
      </c>
      <c r="H221" s="617" t="s">
        <v>337</v>
      </c>
      <c r="I221" s="375">
        <v>1800</v>
      </c>
      <c r="J221" s="687">
        <f ca="1">IF(B$1&gt;=الجدول3[[#This Row],[تاريخ الدفعة]],الجدول3[[#This Row],[مبلغ الدفعة]],0)</f>
        <v>0</v>
      </c>
      <c r="K221" s="373">
        <v>0</v>
      </c>
      <c r="L221" s="374"/>
      <c r="M221" s="879" t="str" cm="1">
        <f t="array" aca="1" ref="M22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21" s="443"/>
      <c r="O221" s="620">
        <f ca="1">الجدول3[[#This Row],[المدفوع]]-الجدول3[[#This Row],[المبلغ المستحق]]</f>
        <v>0</v>
      </c>
      <c r="P221" s="443"/>
      <c r="Q221" s="113"/>
    </row>
    <row r="222" spans="2:17" hidden="1">
      <c r="B222" s="369">
        <v>184</v>
      </c>
      <c r="C222" s="370" t="s">
        <v>950</v>
      </c>
      <c r="D222" s="624">
        <v>10353217790</v>
      </c>
      <c r="E222" s="370" t="s">
        <v>944</v>
      </c>
      <c r="F222" s="370" t="s">
        <v>897</v>
      </c>
      <c r="G222" s="371">
        <v>46551</v>
      </c>
      <c r="H222" s="617" t="s">
        <v>338</v>
      </c>
      <c r="I222" s="375">
        <v>1800</v>
      </c>
      <c r="J222" s="687">
        <f ca="1">IF(B$1&gt;=الجدول3[[#This Row],[تاريخ الدفعة]],الجدول3[[#This Row],[مبلغ الدفعة]],0)</f>
        <v>0</v>
      </c>
      <c r="K222" s="373">
        <v>0</v>
      </c>
      <c r="L222" s="374"/>
      <c r="M222" s="879" t="str" cm="1">
        <f t="array" aca="1" ref="M22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22" s="443"/>
      <c r="O222" s="620">
        <f ca="1">الجدول3[[#This Row],[المدفوع]]-الجدول3[[#This Row],[المبلغ المستحق]]</f>
        <v>0</v>
      </c>
      <c r="P222" s="443"/>
      <c r="Q222" s="113"/>
    </row>
    <row r="223" spans="2:17" hidden="1">
      <c r="B223" s="370">
        <v>185</v>
      </c>
      <c r="C223" s="370" t="s">
        <v>950</v>
      </c>
      <c r="D223" s="624">
        <v>10353217790</v>
      </c>
      <c r="E223" s="370" t="s">
        <v>944</v>
      </c>
      <c r="F223" s="370" t="s">
        <v>897</v>
      </c>
      <c r="G223" s="371">
        <v>46581</v>
      </c>
      <c r="H223" s="617" t="s">
        <v>339</v>
      </c>
      <c r="I223" s="375">
        <v>1800</v>
      </c>
      <c r="J223" s="687">
        <f ca="1">IF(B$1&gt;=الجدول3[[#This Row],[تاريخ الدفعة]],الجدول3[[#This Row],[مبلغ الدفعة]],0)</f>
        <v>0</v>
      </c>
      <c r="K223" s="373">
        <v>0</v>
      </c>
      <c r="L223" s="374"/>
      <c r="M223" s="879" t="str" cm="1">
        <f t="array" aca="1" ref="M22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23" s="443"/>
      <c r="O223" s="620">
        <f ca="1">الجدول3[[#This Row],[المدفوع]]-الجدول3[[#This Row],[المبلغ المستحق]]</f>
        <v>0</v>
      </c>
      <c r="P223" s="443"/>
      <c r="Q223" s="113"/>
    </row>
    <row r="224" spans="2:17" hidden="1">
      <c r="B224" s="369">
        <v>186</v>
      </c>
      <c r="C224" s="370" t="s">
        <v>950</v>
      </c>
      <c r="D224" s="624">
        <v>10353217790</v>
      </c>
      <c r="E224" s="370" t="s">
        <v>944</v>
      </c>
      <c r="F224" s="370" t="s">
        <v>897</v>
      </c>
      <c r="G224" s="371">
        <v>46612</v>
      </c>
      <c r="H224" s="371" t="s">
        <v>340</v>
      </c>
      <c r="I224" s="375">
        <v>1800</v>
      </c>
      <c r="J224" s="687">
        <f ca="1">IF(B$1&gt;=الجدول3[[#This Row],[تاريخ الدفعة]],الجدول3[[#This Row],[مبلغ الدفعة]],0)</f>
        <v>0</v>
      </c>
      <c r="K224" s="373">
        <v>0</v>
      </c>
      <c r="L224" s="374"/>
      <c r="M224" s="879" t="str" cm="1">
        <f t="array" aca="1" ref="M22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24" s="443"/>
      <c r="O224" s="620">
        <f ca="1">الجدول3[[#This Row],[المدفوع]]-الجدول3[[#This Row],[المبلغ المستحق]]</f>
        <v>0</v>
      </c>
      <c r="P224" s="443"/>
      <c r="Q224" s="113"/>
    </row>
    <row r="225" spans="2:17" hidden="1">
      <c r="B225" s="370">
        <v>139</v>
      </c>
      <c r="C225" s="623" t="s">
        <v>949</v>
      </c>
      <c r="D225" s="652">
        <v>10874887163</v>
      </c>
      <c r="E225" s="370" t="s">
        <v>945</v>
      </c>
      <c r="F225" s="370" t="s">
        <v>897</v>
      </c>
      <c r="G225" s="371">
        <v>46293</v>
      </c>
      <c r="H225" s="617" t="s">
        <v>328</v>
      </c>
      <c r="I225" s="375">
        <v>1900</v>
      </c>
      <c r="J225" s="687">
        <f ca="1">IF(B$1&gt;=الجدول3[[#This Row],[تاريخ الدفعة]],الجدول3[[#This Row],[مبلغ الدفعة]],0)</f>
        <v>1900</v>
      </c>
      <c r="K225" s="373">
        <v>1900</v>
      </c>
      <c r="L225" s="374">
        <v>46292</v>
      </c>
      <c r="M225" s="689" t="s">
        <v>164</v>
      </c>
      <c r="N225" s="443" t="s">
        <v>328</v>
      </c>
      <c r="O225" s="620">
        <f ca="1">الجدول3[[#This Row],[المدفوع]]-الجدول3[[#This Row],[المبلغ المستحق]]</f>
        <v>0</v>
      </c>
      <c r="P225" s="443"/>
      <c r="Q225" s="113"/>
    </row>
    <row r="226" spans="2:17" hidden="1">
      <c r="B226" s="369">
        <v>188</v>
      </c>
      <c r="C226" s="370" t="s">
        <v>952</v>
      </c>
      <c r="D226" s="624">
        <v>10645869084</v>
      </c>
      <c r="E226" s="370" t="s">
        <v>65</v>
      </c>
      <c r="F226" s="370" t="s">
        <v>897</v>
      </c>
      <c r="G226" s="617">
        <v>46311</v>
      </c>
      <c r="H226" s="617" t="s">
        <v>331</v>
      </c>
      <c r="I226" s="375">
        <v>2000</v>
      </c>
      <c r="J226" s="687">
        <f ca="1">IF(B$1&gt;=الجدول3[[#This Row],[تاريخ الدفعة]],الجدول3[[#This Row],[مبلغ الدفعة]],0)</f>
        <v>2000</v>
      </c>
      <c r="K226" s="373">
        <v>2000</v>
      </c>
      <c r="L226" s="619">
        <v>46311</v>
      </c>
      <c r="M226" s="879" t="s">
        <v>41</v>
      </c>
      <c r="N226" s="443" t="s">
        <v>331</v>
      </c>
      <c r="O226" s="620">
        <f ca="1">الجدول3[[#This Row],[المدفوع]]-الجدول3[[#This Row],[المبلغ المستحق]]</f>
        <v>0</v>
      </c>
      <c r="P226" s="621"/>
      <c r="Q226" s="113"/>
    </row>
    <row r="227" spans="2:17" hidden="1">
      <c r="B227" s="370">
        <v>189</v>
      </c>
      <c r="C227" s="370" t="s">
        <v>952</v>
      </c>
      <c r="D227" s="624">
        <v>10645869084</v>
      </c>
      <c r="E227" s="370" t="s">
        <v>65</v>
      </c>
      <c r="F227" s="370" t="s">
        <v>897</v>
      </c>
      <c r="G227" s="371">
        <v>46342</v>
      </c>
      <c r="H227" s="617" t="s">
        <v>332</v>
      </c>
      <c r="I227" s="375">
        <v>2000</v>
      </c>
      <c r="J227" s="687">
        <f ca="1">IF(B$1&gt;=الجدول3[[#This Row],[تاريخ الدفعة]],الجدول3[[#This Row],[مبلغ الدفعة]],0)</f>
        <v>0</v>
      </c>
      <c r="K227" s="373">
        <v>0</v>
      </c>
      <c r="L227" s="619"/>
      <c r="M227" s="879" t="str" cm="1">
        <f t="array" aca="1" ref="M22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27" s="443"/>
      <c r="O227" s="620">
        <f ca="1">الجدول3[[#This Row],[المدفوع]]-الجدول3[[#This Row],[المبلغ المستحق]]</f>
        <v>0</v>
      </c>
      <c r="P227" s="621"/>
      <c r="Q227" s="113"/>
    </row>
    <row r="228" spans="2:17" hidden="1">
      <c r="B228" s="369">
        <v>190</v>
      </c>
      <c r="C228" s="370" t="s">
        <v>952</v>
      </c>
      <c r="D228" s="624">
        <v>10645869084</v>
      </c>
      <c r="E228" s="370" t="s">
        <v>65</v>
      </c>
      <c r="F228" s="370" t="s">
        <v>897</v>
      </c>
      <c r="G228" s="617">
        <v>46372</v>
      </c>
      <c r="H228" s="617" t="s">
        <v>333</v>
      </c>
      <c r="I228" s="375">
        <v>2000</v>
      </c>
      <c r="J228" s="687">
        <f ca="1">IF(B$1&gt;=الجدول3[[#This Row],[تاريخ الدفعة]],الجدول3[[#This Row],[مبلغ الدفعة]],0)</f>
        <v>0</v>
      </c>
      <c r="K228" s="373">
        <v>0</v>
      </c>
      <c r="L228" s="619"/>
      <c r="M228" s="879" t="str" cm="1">
        <f t="array" aca="1" ref="M22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28" s="443"/>
      <c r="O228" s="620">
        <f ca="1">الجدول3[[#This Row],[المدفوع]]-الجدول3[[#This Row],[المبلغ المستحق]]</f>
        <v>0</v>
      </c>
      <c r="P228" s="621"/>
      <c r="Q228" s="113"/>
    </row>
    <row r="229" spans="2:17" hidden="1">
      <c r="B229" s="370">
        <v>191</v>
      </c>
      <c r="C229" s="370" t="s">
        <v>952</v>
      </c>
      <c r="D229" s="624">
        <v>10645869084</v>
      </c>
      <c r="E229" s="370" t="s">
        <v>65</v>
      </c>
      <c r="F229" s="370" t="s">
        <v>897</v>
      </c>
      <c r="G229" s="371">
        <v>46403</v>
      </c>
      <c r="H229" s="617" t="s">
        <v>637</v>
      </c>
      <c r="I229" s="375">
        <v>2000</v>
      </c>
      <c r="J229" s="687">
        <f ca="1">IF(B$1&gt;=الجدول3[[#This Row],[تاريخ الدفعة]],الجدول3[[#This Row],[مبلغ الدفعة]],0)</f>
        <v>0</v>
      </c>
      <c r="K229" s="373">
        <v>0</v>
      </c>
      <c r="L229" s="619"/>
      <c r="M229" s="879" t="str" cm="1">
        <f t="array" aca="1" ref="M22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29" s="443"/>
      <c r="O229" s="620">
        <f ca="1">الجدول3[[#This Row],[المدفوع]]-الجدول3[[#This Row],[المبلغ المستحق]]</f>
        <v>0</v>
      </c>
      <c r="P229" s="621"/>
      <c r="Q229" s="113"/>
    </row>
    <row r="230" spans="2:17" hidden="1">
      <c r="B230" s="369">
        <v>192</v>
      </c>
      <c r="C230" s="370" t="s">
        <v>952</v>
      </c>
      <c r="D230" s="624">
        <v>10645869084</v>
      </c>
      <c r="E230" s="370" t="s">
        <v>65</v>
      </c>
      <c r="F230" s="370" t="s">
        <v>897</v>
      </c>
      <c r="G230" s="617">
        <v>46434</v>
      </c>
      <c r="H230" s="617" t="s">
        <v>334</v>
      </c>
      <c r="I230" s="375">
        <v>2000</v>
      </c>
      <c r="J230" s="687">
        <f ca="1">IF(B$1&gt;=الجدول3[[#This Row],[تاريخ الدفعة]],الجدول3[[#This Row],[مبلغ الدفعة]],0)</f>
        <v>0</v>
      </c>
      <c r="K230" s="373">
        <v>0</v>
      </c>
      <c r="L230" s="619"/>
      <c r="M230" s="879" t="str" cm="1">
        <f t="array" aca="1" ref="M23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30" s="443"/>
      <c r="O230" s="620">
        <f ca="1">الجدول3[[#This Row],[المدفوع]]-الجدول3[[#This Row],[المبلغ المستحق]]</f>
        <v>0</v>
      </c>
      <c r="P230" s="621"/>
      <c r="Q230" s="113"/>
    </row>
    <row r="231" spans="2:17" hidden="1">
      <c r="B231" s="370">
        <v>193</v>
      </c>
      <c r="C231" s="370" t="s">
        <v>952</v>
      </c>
      <c r="D231" s="624">
        <v>10645869084</v>
      </c>
      <c r="E231" s="370" t="s">
        <v>65</v>
      </c>
      <c r="F231" s="370" t="s">
        <v>897</v>
      </c>
      <c r="G231" s="371">
        <v>46462</v>
      </c>
      <c r="H231" s="617" t="s">
        <v>335</v>
      </c>
      <c r="I231" s="375">
        <v>2000</v>
      </c>
      <c r="J231" s="687">
        <f ca="1">IF(B$1&gt;=الجدول3[[#This Row],[تاريخ الدفعة]],الجدول3[[#This Row],[مبلغ الدفعة]],0)</f>
        <v>0</v>
      </c>
      <c r="K231" s="373">
        <v>0</v>
      </c>
      <c r="L231" s="619"/>
      <c r="M231" s="879" t="str" cm="1">
        <f t="array" aca="1" ref="M23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31" s="443"/>
      <c r="O231" s="620">
        <f ca="1">الجدول3[[#This Row],[المدفوع]]-الجدول3[[#This Row],[المبلغ المستحق]]</f>
        <v>0</v>
      </c>
      <c r="P231" s="621"/>
      <c r="Q231" s="113"/>
    </row>
    <row r="232" spans="2:17" hidden="1">
      <c r="B232" s="369">
        <v>194</v>
      </c>
      <c r="C232" s="370" t="s">
        <v>952</v>
      </c>
      <c r="D232" s="624">
        <v>10645869084</v>
      </c>
      <c r="E232" s="370" t="s">
        <v>65</v>
      </c>
      <c r="F232" s="370" t="s">
        <v>897</v>
      </c>
      <c r="G232" s="617">
        <v>46493</v>
      </c>
      <c r="H232" s="617" t="s">
        <v>336</v>
      </c>
      <c r="I232" s="375">
        <v>2000</v>
      </c>
      <c r="J232" s="687">
        <f ca="1">IF(B$1&gt;=الجدول3[[#This Row],[تاريخ الدفعة]],الجدول3[[#This Row],[مبلغ الدفعة]],0)</f>
        <v>0</v>
      </c>
      <c r="K232" s="373">
        <v>0</v>
      </c>
      <c r="L232" s="619"/>
      <c r="M232" s="879" t="str" cm="1">
        <f t="array" aca="1" ref="M23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32" s="443"/>
      <c r="O232" s="620">
        <f ca="1">الجدول3[[#This Row],[المدفوع]]-الجدول3[[#This Row],[المبلغ المستحق]]</f>
        <v>0</v>
      </c>
      <c r="P232" s="621"/>
      <c r="Q232" s="113"/>
    </row>
    <row r="233" spans="2:17" hidden="1">
      <c r="B233" s="370">
        <v>195</v>
      </c>
      <c r="C233" s="370" t="s">
        <v>952</v>
      </c>
      <c r="D233" s="624">
        <v>10645869084</v>
      </c>
      <c r="E233" s="370" t="s">
        <v>65</v>
      </c>
      <c r="F233" s="370" t="s">
        <v>897</v>
      </c>
      <c r="G233" s="371">
        <v>46523</v>
      </c>
      <c r="H233" s="617" t="s">
        <v>337</v>
      </c>
      <c r="I233" s="375">
        <v>2000</v>
      </c>
      <c r="J233" s="687">
        <f ca="1">IF(B$1&gt;=الجدول3[[#This Row],[تاريخ الدفعة]],الجدول3[[#This Row],[مبلغ الدفعة]],0)</f>
        <v>0</v>
      </c>
      <c r="K233" s="373">
        <v>0</v>
      </c>
      <c r="L233" s="619"/>
      <c r="M233" s="879" t="str" cm="1">
        <f t="array" aca="1" ref="M23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33" s="443"/>
      <c r="O233" s="620">
        <f ca="1">الجدول3[[#This Row],[المدفوع]]-الجدول3[[#This Row],[المبلغ المستحق]]</f>
        <v>0</v>
      </c>
      <c r="P233" s="621"/>
      <c r="Q233" s="113"/>
    </row>
    <row r="234" spans="2:17" hidden="1">
      <c r="B234" s="369">
        <v>196</v>
      </c>
      <c r="C234" s="370" t="s">
        <v>952</v>
      </c>
      <c r="D234" s="624">
        <v>10645869084</v>
      </c>
      <c r="E234" s="370" t="s">
        <v>65</v>
      </c>
      <c r="F234" s="370" t="s">
        <v>897</v>
      </c>
      <c r="G234" s="617">
        <v>46554</v>
      </c>
      <c r="H234" s="617" t="s">
        <v>338</v>
      </c>
      <c r="I234" s="375">
        <v>2000</v>
      </c>
      <c r="J234" s="687">
        <f ca="1">IF(B$1&gt;=الجدول3[[#This Row],[تاريخ الدفعة]],الجدول3[[#This Row],[مبلغ الدفعة]],0)</f>
        <v>0</v>
      </c>
      <c r="K234" s="373">
        <v>0</v>
      </c>
      <c r="L234" s="619"/>
      <c r="M234" s="879" t="str" cm="1">
        <f t="array" aca="1" ref="M23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34" s="443"/>
      <c r="O234" s="620">
        <f ca="1">الجدول3[[#This Row],[المدفوع]]-الجدول3[[#This Row],[المبلغ المستحق]]</f>
        <v>0</v>
      </c>
      <c r="P234" s="621"/>
      <c r="Q234" s="113"/>
    </row>
    <row r="235" spans="2:17" hidden="1">
      <c r="B235" s="370">
        <v>197</v>
      </c>
      <c r="C235" s="370" t="s">
        <v>952</v>
      </c>
      <c r="D235" s="624">
        <v>10645869084</v>
      </c>
      <c r="E235" s="370" t="s">
        <v>65</v>
      </c>
      <c r="F235" s="370" t="s">
        <v>897</v>
      </c>
      <c r="G235" s="371">
        <v>46584</v>
      </c>
      <c r="H235" s="617" t="s">
        <v>339</v>
      </c>
      <c r="I235" s="375">
        <v>2000</v>
      </c>
      <c r="J235" s="687">
        <f ca="1">IF(B$1&gt;=الجدول3[[#This Row],[تاريخ الدفعة]],الجدول3[[#This Row],[مبلغ الدفعة]],0)</f>
        <v>0</v>
      </c>
      <c r="K235" s="373">
        <v>0</v>
      </c>
      <c r="L235" s="619"/>
      <c r="M235" s="879" t="str" cm="1">
        <f t="array" aca="1" ref="M23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35" s="443"/>
      <c r="O235" s="620">
        <f ca="1">الجدول3[[#This Row],[المدفوع]]-الجدول3[[#This Row],[المبلغ المستحق]]</f>
        <v>0</v>
      </c>
      <c r="P235" s="621"/>
      <c r="Q235" s="113"/>
    </row>
    <row r="236" spans="2:17" hidden="1">
      <c r="B236" s="369">
        <v>198</v>
      </c>
      <c r="C236" s="370" t="s">
        <v>952</v>
      </c>
      <c r="D236" s="624">
        <v>10645869084</v>
      </c>
      <c r="E236" s="370" t="s">
        <v>65</v>
      </c>
      <c r="F236" s="370" t="s">
        <v>897</v>
      </c>
      <c r="G236" s="617">
        <v>46615</v>
      </c>
      <c r="H236" s="371" t="s">
        <v>340</v>
      </c>
      <c r="I236" s="375">
        <v>2000</v>
      </c>
      <c r="J236" s="687">
        <f ca="1">IF(B$1&gt;=الجدول3[[#This Row],[تاريخ الدفعة]],الجدول3[[#This Row],[مبلغ الدفعة]],0)</f>
        <v>0</v>
      </c>
      <c r="K236" s="373">
        <v>0</v>
      </c>
      <c r="L236" s="619"/>
      <c r="M236" s="879" t="str" cm="1">
        <f t="array" aca="1" ref="M23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36" s="443"/>
      <c r="O236" s="620">
        <f ca="1">الجدول3[[#This Row],[المدفوع]]-الجدول3[[#This Row],[المبلغ المستحق]]</f>
        <v>0</v>
      </c>
      <c r="P236" s="621"/>
      <c r="Q236" s="113"/>
    </row>
    <row r="237" spans="2:17" hidden="1">
      <c r="B237" s="370">
        <v>199</v>
      </c>
      <c r="C237" s="850" t="s">
        <v>986</v>
      </c>
      <c r="D237" s="624">
        <v>10023848025</v>
      </c>
      <c r="E237" s="850" t="s">
        <v>977</v>
      </c>
      <c r="F237" s="370" t="s">
        <v>897</v>
      </c>
      <c r="G237" s="851">
        <v>46308</v>
      </c>
      <c r="H237" s="617" t="s">
        <v>331</v>
      </c>
      <c r="I237" s="375">
        <v>2000</v>
      </c>
      <c r="J237" s="687">
        <f ca="1">IF(B$1&gt;=الجدول3[[#This Row],[تاريخ الدفعة]],الجدول3[[#This Row],[مبلغ الدفعة]],0)</f>
        <v>2000</v>
      </c>
      <c r="K237" s="373">
        <v>0</v>
      </c>
      <c r="L237" s="374"/>
      <c r="M237" s="879" t="str" cm="1">
        <f t="array" aca="1" ref="M23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v>
      </c>
      <c r="N237" s="443"/>
      <c r="O237" s="620">
        <f ca="1">الجدول3[[#This Row],[المدفوع]]-الجدول3[[#This Row],[المبلغ المستحق]]</f>
        <v>-2000</v>
      </c>
      <c r="P237" s="443"/>
      <c r="Q237" s="113"/>
    </row>
    <row r="238" spans="2:17" hidden="1">
      <c r="B238" s="369">
        <v>200</v>
      </c>
      <c r="C238" s="850" t="s">
        <v>986</v>
      </c>
      <c r="D238" s="624">
        <v>10023848025</v>
      </c>
      <c r="E238" s="850" t="s">
        <v>977</v>
      </c>
      <c r="F238" s="370" t="s">
        <v>897</v>
      </c>
      <c r="G238" s="851">
        <v>46339</v>
      </c>
      <c r="H238" s="617" t="s">
        <v>332</v>
      </c>
      <c r="I238" s="375">
        <v>2000</v>
      </c>
      <c r="J238" s="687">
        <f ca="1">IF(B$1&gt;=الجدول3[[#This Row],[تاريخ الدفعة]],الجدول3[[#This Row],[مبلغ الدفعة]],0)</f>
        <v>0</v>
      </c>
      <c r="K238" s="373">
        <v>0</v>
      </c>
      <c r="L238" s="852"/>
      <c r="M238" s="879" t="str" cm="1">
        <f t="array" aca="1" ref="M23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38" s="848"/>
      <c r="O238" s="620">
        <f ca="1">الجدول3[[#This Row],[المدفوع]]-الجدول3[[#This Row],[المبلغ المستحق]]</f>
        <v>0</v>
      </c>
      <c r="P238" s="848"/>
      <c r="Q238" s="853"/>
    </row>
    <row r="239" spans="2:17" hidden="1">
      <c r="B239" s="370">
        <v>201</v>
      </c>
      <c r="C239" s="850" t="s">
        <v>986</v>
      </c>
      <c r="D239" s="624">
        <v>10023848025</v>
      </c>
      <c r="E239" s="850" t="s">
        <v>977</v>
      </c>
      <c r="F239" s="370" t="s">
        <v>897</v>
      </c>
      <c r="G239" s="851">
        <v>46369</v>
      </c>
      <c r="H239" s="617" t="s">
        <v>333</v>
      </c>
      <c r="I239" s="375">
        <v>2000</v>
      </c>
      <c r="J239" s="687">
        <f ca="1">IF(B$1&gt;=الجدول3[[#This Row],[تاريخ الدفعة]],الجدول3[[#This Row],[مبلغ الدفعة]],0)</f>
        <v>0</v>
      </c>
      <c r="K239" s="373">
        <v>0</v>
      </c>
      <c r="L239" s="847"/>
      <c r="M239" s="879" t="str" cm="1">
        <f t="array" aca="1" ref="M23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39" s="848"/>
      <c r="O239" s="620">
        <f ca="1">الجدول3[[#This Row],[المدفوع]]-الجدول3[[#This Row],[المبلغ المستحق]]</f>
        <v>0</v>
      </c>
      <c r="P239" s="849"/>
      <c r="Q239" s="853"/>
    </row>
    <row r="240" spans="2:17" hidden="1">
      <c r="B240" s="369">
        <v>202</v>
      </c>
      <c r="C240" s="850" t="s">
        <v>986</v>
      </c>
      <c r="D240" s="624">
        <v>10023848025</v>
      </c>
      <c r="E240" s="850" t="s">
        <v>977</v>
      </c>
      <c r="F240" s="370" t="s">
        <v>897</v>
      </c>
      <c r="G240" s="851">
        <v>46400</v>
      </c>
      <c r="H240" s="617" t="s">
        <v>637</v>
      </c>
      <c r="I240" s="375">
        <v>2000</v>
      </c>
      <c r="J240" s="687">
        <f ca="1">IF(B$1&gt;=الجدول3[[#This Row],[تاريخ الدفعة]],الجدول3[[#This Row],[مبلغ الدفعة]],0)</f>
        <v>0</v>
      </c>
      <c r="K240" s="373">
        <v>0</v>
      </c>
      <c r="L240" s="847"/>
      <c r="M240" s="879" t="str" cm="1">
        <f t="array" aca="1" ref="M24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40" s="848"/>
      <c r="O240" s="620">
        <f ca="1">الجدول3[[#This Row],[المدفوع]]-الجدول3[[#This Row],[المبلغ المستحق]]</f>
        <v>0</v>
      </c>
      <c r="P240" s="849"/>
      <c r="Q240" s="853"/>
    </row>
    <row r="241" spans="2:17" hidden="1">
      <c r="B241" s="370">
        <v>203</v>
      </c>
      <c r="C241" s="850" t="s">
        <v>986</v>
      </c>
      <c r="D241" s="624">
        <v>10023848025</v>
      </c>
      <c r="E241" s="850" t="s">
        <v>977</v>
      </c>
      <c r="F241" s="370" t="s">
        <v>897</v>
      </c>
      <c r="G241" s="851">
        <v>46431</v>
      </c>
      <c r="H241" s="617" t="s">
        <v>334</v>
      </c>
      <c r="I241" s="375">
        <v>2000</v>
      </c>
      <c r="J241" s="687">
        <f ca="1">IF(B$1&gt;=الجدول3[[#This Row],[تاريخ الدفعة]],الجدول3[[#This Row],[مبلغ الدفعة]],0)</f>
        <v>0</v>
      </c>
      <c r="K241" s="373">
        <v>0</v>
      </c>
      <c r="L241" s="847"/>
      <c r="M241" s="879" t="str" cm="1">
        <f t="array" aca="1" ref="M24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41" s="848"/>
      <c r="O241" s="620">
        <f ca="1">الجدول3[[#This Row],[المدفوع]]-الجدول3[[#This Row],[المبلغ المستحق]]</f>
        <v>0</v>
      </c>
      <c r="P241" s="849"/>
      <c r="Q241" s="853"/>
    </row>
    <row r="242" spans="2:17" hidden="1">
      <c r="B242" s="369">
        <v>204</v>
      </c>
      <c r="C242" s="850" t="s">
        <v>986</v>
      </c>
      <c r="D242" s="624">
        <v>10023848025</v>
      </c>
      <c r="E242" s="850" t="s">
        <v>977</v>
      </c>
      <c r="F242" s="370" t="s">
        <v>897</v>
      </c>
      <c r="G242" s="851">
        <v>46459</v>
      </c>
      <c r="H242" s="617" t="s">
        <v>335</v>
      </c>
      <c r="I242" s="375">
        <v>2000</v>
      </c>
      <c r="J242" s="687">
        <f ca="1">IF(B$1&gt;=الجدول3[[#This Row],[تاريخ الدفعة]],الجدول3[[#This Row],[مبلغ الدفعة]],0)</f>
        <v>0</v>
      </c>
      <c r="K242" s="373">
        <v>0</v>
      </c>
      <c r="L242" s="847"/>
      <c r="M242" s="879" t="str" cm="1">
        <f t="array" aca="1" ref="M24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42" s="848"/>
      <c r="O242" s="620">
        <f ca="1">الجدول3[[#This Row],[المدفوع]]-الجدول3[[#This Row],[المبلغ المستحق]]</f>
        <v>0</v>
      </c>
      <c r="P242" s="849"/>
      <c r="Q242" s="853"/>
    </row>
    <row r="243" spans="2:17" hidden="1">
      <c r="B243" s="370">
        <v>205</v>
      </c>
      <c r="C243" s="850" t="s">
        <v>986</v>
      </c>
      <c r="D243" s="624">
        <v>10023848025</v>
      </c>
      <c r="E243" s="850" t="s">
        <v>977</v>
      </c>
      <c r="F243" s="370" t="s">
        <v>897</v>
      </c>
      <c r="G243" s="851">
        <v>46490</v>
      </c>
      <c r="H243" s="617" t="s">
        <v>336</v>
      </c>
      <c r="I243" s="375">
        <v>2000</v>
      </c>
      <c r="J243" s="687">
        <f ca="1">IF(B$1&gt;=الجدول3[[#This Row],[تاريخ الدفعة]],الجدول3[[#This Row],[مبلغ الدفعة]],0)</f>
        <v>0</v>
      </c>
      <c r="K243" s="373">
        <v>0</v>
      </c>
      <c r="L243" s="847"/>
      <c r="M243" s="879" t="str" cm="1">
        <f t="array" aca="1" ref="M24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43" s="848"/>
      <c r="O243" s="620">
        <f ca="1">الجدول3[[#This Row],[المدفوع]]-الجدول3[[#This Row],[المبلغ المستحق]]</f>
        <v>0</v>
      </c>
      <c r="P243" s="849"/>
      <c r="Q243" s="853"/>
    </row>
    <row r="244" spans="2:17" hidden="1">
      <c r="B244" s="369">
        <v>206</v>
      </c>
      <c r="C244" s="850" t="s">
        <v>986</v>
      </c>
      <c r="D244" s="624">
        <v>10023848025</v>
      </c>
      <c r="E244" s="850" t="s">
        <v>977</v>
      </c>
      <c r="F244" s="370" t="s">
        <v>897</v>
      </c>
      <c r="G244" s="851">
        <v>46520</v>
      </c>
      <c r="H244" s="617" t="s">
        <v>337</v>
      </c>
      <c r="I244" s="375">
        <v>2000</v>
      </c>
      <c r="J244" s="687">
        <f ca="1">IF(B$1&gt;=الجدول3[[#This Row],[تاريخ الدفعة]],الجدول3[[#This Row],[مبلغ الدفعة]],0)</f>
        <v>0</v>
      </c>
      <c r="K244" s="373">
        <v>0</v>
      </c>
      <c r="L244" s="847"/>
      <c r="M244" s="879" t="str" cm="1">
        <f t="array" aca="1" ref="M24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44" s="848"/>
      <c r="O244" s="620">
        <f ca="1">الجدول3[[#This Row],[المدفوع]]-الجدول3[[#This Row],[المبلغ المستحق]]</f>
        <v>0</v>
      </c>
      <c r="P244" s="849"/>
      <c r="Q244" s="853"/>
    </row>
    <row r="245" spans="2:17" hidden="1">
      <c r="B245" s="370">
        <v>207</v>
      </c>
      <c r="C245" s="850" t="s">
        <v>986</v>
      </c>
      <c r="D245" s="624">
        <v>10023848025</v>
      </c>
      <c r="E245" s="850" t="s">
        <v>977</v>
      </c>
      <c r="F245" s="370" t="s">
        <v>897</v>
      </c>
      <c r="G245" s="851">
        <v>46551</v>
      </c>
      <c r="H245" s="617" t="s">
        <v>338</v>
      </c>
      <c r="I245" s="375">
        <v>2000</v>
      </c>
      <c r="J245" s="687">
        <f ca="1">IF(B$1&gt;=الجدول3[[#This Row],[تاريخ الدفعة]],الجدول3[[#This Row],[مبلغ الدفعة]],0)</f>
        <v>0</v>
      </c>
      <c r="K245" s="373">
        <v>0</v>
      </c>
      <c r="L245" s="847"/>
      <c r="M245" s="879" t="str" cm="1">
        <f t="array" aca="1" ref="M24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45" s="848"/>
      <c r="O245" s="620">
        <f ca="1">الجدول3[[#This Row],[المدفوع]]-الجدول3[[#This Row],[المبلغ المستحق]]</f>
        <v>0</v>
      </c>
      <c r="P245" s="849"/>
      <c r="Q245" s="853"/>
    </row>
    <row r="246" spans="2:17" hidden="1">
      <c r="B246" s="369">
        <v>208</v>
      </c>
      <c r="C246" s="850" t="s">
        <v>986</v>
      </c>
      <c r="D246" s="624">
        <v>10023848025</v>
      </c>
      <c r="E246" s="850" t="s">
        <v>977</v>
      </c>
      <c r="F246" s="370" t="s">
        <v>897</v>
      </c>
      <c r="G246" s="851">
        <v>46581</v>
      </c>
      <c r="H246" s="617" t="s">
        <v>339</v>
      </c>
      <c r="I246" s="375">
        <v>2000</v>
      </c>
      <c r="J246" s="687">
        <f ca="1">IF(B$1&gt;=الجدول3[[#This Row],[تاريخ الدفعة]],الجدول3[[#This Row],[مبلغ الدفعة]],0)</f>
        <v>0</v>
      </c>
      <c r="K246" s="373">
        <v>0</v>
      </c>
      <c r="L246" s="847"/>
      <c r="M246" s="879" t="str" cm="1">
        <f t="array" aca="1" ref="M24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46" s="848"/>
      <c r="O246" s="620">
        <f ca="1">الجدول3[[#This Row],[المدفوع]]-الجدول3[[#This Row],[المبلغ المستحق]]</f>
        <v>0</v>
      </c>
      <c r="P246" s="849"/>
      <c r="Q246" s="853"/>
    </row>
    <row r="247" spans="2:17" hidden="1">
      <c r="B247" s="370">
        <v>209</v>
      </c>
      <c r="C247" s="850" t="s">
        <v>986</v>
      </c>
      <c r="D247" s="624">
        <v>10023848025</v>
      </c>
      <c r="E247" s="850" t="s">
        <v>977</v>
      </c>
      <c r="F247" s="370" t="s">
        <v>897</v>
      </c>
      <c r="G247" s="851">
        <v>46612</v>
      </c>
      <c r="H247" s="371" t="s">
        <v>340</v>
      </c>
      <c r="I247" s="375">
        <v>2000</v>
      </c>
      <c r="J247" s="687">
        <f ca="1">IF(B$1&gt;=الجدول3[[#This Row],[تاريخ الدفعة]],الجدول3[[#This Row],[مبلغ الدفعة]],0)</f>
        <v>0</v>
      </c>
      <c r="K247" s="373">
        <v>0</v>
      </c>
      <c r="L247" s="847"/>
      <c r="M247" s="879" t="str" cm="1">
        <f t="array" aca="1" ref="M24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47" s="848"/>
      <c r="O247" s="620">
        <f ca="1">الجدول3[[#This Row],[المدفوع]]-الجدول3[[#This Row],[المبلغ المستحق]]</f>
        <v>0</v>
      </c>
      <c r="P247" s="849"/>
      <c r="Q247" s="853"/>
    </row>
    <row r="248" spans="2:17" hidden="1">
      <c r="B248" s="369">
        <v>210</v>
      </c>
      <c r="C248" s="850" t="s">
        <v>986</v>
      </c>
      <c r="D248" s="624">
        <v>10023848025</v>
      </c>
      <c r="E248" s="850" t="s">
        <v>977</v>
      </c>
      <c r="F248" s="370" t="s">
        <v>897</v>
      </c>
      <c r="G248" s="851">
        <v>46643</v>
      </c>
      <c r="H248" s="851" t="s">
        <v>341</v>
      </c>
      <c r="I248" s="375">
        <v>2000</v>
      </c>
      <c r="J248" s="687">
        <f ca="1">IF(B$1&gt;=الجدول3[[#This Row],[تاريخ الدفعة]],الجدول3[[#This Row],[مبلغ الدفعة]],0)</f>
        <v>0</v>
      </c>
      <c r="K248" s="373">
        <v>0</v>
      </c>
      <c r="L248" s="847"/>
      <c r="M248" s="879" t="str" cm="1">
        <f t="array" aca="1" ref="M24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48" s="848"/>
      <c r="O248" s="620">
        <f ca="1">الجدول3[[#This Row],[المدفوع]]-الجدول3[[#This Row],[المبلغ المستحق]]</f>
        <v>0</v>
      </c>
      <c r="P248" s="849"/>
      <c r="Q248" s="853"/>
    </row>
    <row r="249" spans="2:17" hidden="1">
      <c r="B249" s="370">
        <v>211</v>
      </c>
      <c r="C249" s="850" t="s">
        <v>987</v>
      </c>
      <c r="D249" s="624">
        <v>10235672570</v>
      </c>
      <c r="E249" s="850" t="s">
        <v>919</v>
      </c>
      <c r="F249" s="850" t="s">
        <v>897</v>
      </c>
      <c r="G249" s="851">
        <v>46298</v>
      </c>
      <c r="H249" s="617" t="s">
        <v>331</v>
      </c>
      <c r="I249" s="375">
        <v>2500</v>
      </c>
      <c r="J249" s="687">
        <f ca="1">IF(B$1&gt;=الجدول3[[#This Row],[تاريخ الدفعة]],الجدول3[[#This Row],[مبلغ الدفعة]],0)</f>
        <v>2500</v>
      </c>
      <c r="K249" s="373">
        <v>2500</v>
      </c>
      <c r="L249" s="852">
        <v>46299</v>
      </c>
      <c r="M249" s="879" t="s">
        <v>41</v>
      </c>
      <c r="N249" s="848" t="s">
        <v>331</v>
      </c>
      <c r="O249" s="620">
        <f ca="1">الجدول3[[#This Row],[المدفوع]]-الجدول3[[#This Row],[المبلغ المستحق]]</f>
        <v>0</v>
      </c>
      <c r="P249" s="848"/>
      <c r="Q249" s="853"/>
    </row>
    <row r="250" spans="2:17" hidden="1">
      <c r="B250" s="369">
        <v>212</v>
      </c>
      <c r="C250" s="850" t="s">
        <v>987</v>
      </c>
      <c r="D250" s="624">
        <v>10235672570</v>
      </c>
      <c r="E250" s="850" t="s">
        <v>919</v>
      </c>
      <c r="F250" s="850" t="s">
        <v>897</v>
      </c>
      <c r="G250" s="851">
        <v>46329</v>
      </c>
      <c r="H250" s="617" t="s">
        <v>332</v>
      </c>
      <c r="I250" s="375">
        <v>2500</v>
      </c>
      <c r="J250" s="687">
        <f ca="1">IF(B$1&gt;=الجدول3[[#This Row],[تاريخ الدفعة]],الجدول3[[#This Row],[مبلغ الدفعة]],0)</f>
        <v>0</v>
      </c>
      <c r="K250" s="373">
        <v>0</v>
      </c>
      <c r="L250" s="852"/>
      <c r="M250" s="879" t="str" cm="1">
        <f t="array" aca="1" ref="M25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اقترب</v>
      </c>
      <c r="N250" s="848"/>
      <c r="O250" s="620">
        <f ca="1">الجدول3[[#This Row],[المدفوع]]-الجدول3[[#This Row],[المبلغ المستحق]]</f>
        <v>0</v>
      </c>
      <c r="P250" s="848"/>
      <c r="Q250" s="853"/>
    </row>
    <row r="251" spans="2:17" hidden="1">
      <c r="B251" s="370">
        <v>213</v>
      </c>
      <c r="C251" s="850" t="s">
        <v>987</v>
      </c>
      <c r="D251" s="624">
        <v>10235672570</v>
      </c>
      <c r="E251" s="850" t="s">
        <v>919</v>
      </c>
      <c r="F251" s="850" t="s">
        <v>897</v>
      </c>
      <c r="G251" s="851">
        <v>46359</v>
      </c>
      <c r="H251" s="617" t="s">
        <v>333</v>
      </c>
      <c r="I251" s="375">
        <v>2500</v>
      </c>
      <c r="J251" s="687">
        <f ca="1">IF(B$1&gt;=الجدول3[[#This Row],[تاريخ الدفعة]],الجدول3[[#This Row],[مبلغ الدفعة]],0)</f>
        <v>0</v>
      </c>
      <c r="K251" s="373">
        <v>0</v>
      </c>
      <c r="L251" s="852"/>
      <c r="M251" s="879" t="str" cm="1">
        <f t="array" aca="1" ref="M25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51" s="848"/>
      <c r="O251" s="620">
        <f ca="1">الجدول3[[#This Row],[المدفوع]]-الجدول3[[#This Row],[المبلغ المستحق]]</f>
        <v>0</v>
      </c>
      <c r="P251" s="848"/>
      <c r="Q251" s="853"/>
    </row>
    <row r="252" spans="2:17" hidden="1">
      <c r="B252" s="369">
        <v>214</v>
      </c>
      <c r="C252" s="850" t="s">
        <v>987</v>
      </c>
      <c r="D252" s="624">
        <v>10235672570</v>
      </c>
      <c r="E252" s="850" t="s">
        <v>919</v>
      </c>
      <c r="F252" s="850" t="s">
        <v>897</v>
      </c>
      <c r="G252" s="851">
        <v>46390</v>
      </c>
      <c r="H252" s="617" t="s">
        <v>637</v>
      </c>
      <c r="I252" s="375">
        <v>2500</v>
      </c>
      <c r="J252" s="687">
        <f ca="1">IF(B$1&gt;=الجدول3[[#This Row],[تاريخ الدفعة]],الجدول3[[#This Row],[مبلغ الدفعة]],0)</f>
        <v>0</v>
      </c>
      <c r="K252" s="373">
        <v>0</v>
      </c>
      <c r="L252" s="852"/>
      <c r="M252" s="879" t="str" cm="1">
        <f t="array" aca="1" ref="M25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52" s="848"/>
      <c r="O252" s="620">
        <f ca="1">الجدول3[[#This Row],[المدفوع]]-الجدول3[[#This Row],[المبلغ المستحق]]</f>
        <v>0</v>
      </c>
      <c r="P252" s="848"/>
      <c r="Q252" s="853"/>
    </row>
    <row r="253" spans="2:17" hidden="1">
      <c r="B253" s="370">
        <v>215</v>
      </c>
      <c r="C253" s="850" t="s">
        <v>989</v>
      </c>
      <c r="D253" s="624">
        <v>10256514417</v>
      </c>
      <c r="E253" s="850" t="s">
        <v>975</v>
      </c>
      <c r="F253" s="850" t="s">
        <v>897</v>
      </c>
      <c r="G253" s="851">
        <v>46306</v>
      </c>
      <c r="H253" s="617" t="s">
        <v>331</v>
      </c>
      <c r="I253" s="375">
        <v>1900</v>
      </c>
      <c r="J253" s="687">
        <f ca="1">IF(B$1&gt;=الجدول3[[#This Row],[تاريخ الدفعة]],الجدول3[[#This Row],[مبلغ الدفعة]],0)</f>
        <v>1900</v>
      </c>
      <c r="K253" s="373">
        <v>1000</v>
      </c>
      <c r="L253" s="852">
        <v>46306</v>
      </c>
      <c r="M253" s="879" t="s">
        <v>41</v>
      </c>
      <c r="N253" s="848" t="s">
        <v>331</v>
      </c>
      <c r="O253" s="620">
        <f ca="1">الجدول3[[#This Row],[المدفوع]]-الجدول3[[#This Row],[المبلغ المستحق]]</f>
        <v>-900</v>
      </c>
      <c r="P253" s="848"/>
      <c r="Q253" s="853"/>
    </row>
    <row r="254" spans="2:17" hidden="1">
      <c r="B254" s="369">
        <v>216</v>
      </c>
      <c r="C254" s="844" t="s">
        <v>989</v>
      </c>
      <c r="D254" s="624">
        <v>10256514417</v>
      </c>
      <c r="E254" s="850" t="s">
        <v>975</v>
      </c>
      <c r="F254" s="850" t="s">
        <v>897</v>
      </c>
      <c r="G254" s="845">
        <v>46337</v>
      </c>
      <c r="H254" s="617" t="s">
        <v>332</v>
      </c>
      <c r="I254" s="375">
        <v>1900</v>
      </c>
      <c r="J254" s="687">
        <f ca="1">IF(B$1&gt;=الجدول3[[#This Row],[تاريخ الدفعة]],الجدول3[[#This Row],[مبلغ الدفعة]],0)</f>
        <v>0</v>
      </c>
      <c r="K254" s="373">
        <v>0</v>
      </c>
      <c r="L254" s="847"/>
      <c r="M254" s="879" t="str" cm="1">
        <f t="array" aca="1" ref="M25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54" s="848"/>
      <c r="O254" s="620">
        <f ca="1">الجدول3[[#This Row],[المدفوع]]-الجدول3[[#This Row],[المبلغ المستحق]]</f>
        <v>0</v>
      </c>
      <c r="P254" s="849"/>
      <c r="Q254" s="853"/>
    </row>
    <row r="255" spans="2:17" hidden="1">
      <c r="B255" s="370">
        <v>217</v>
      </c>
      <c r="C255" s="844" t="s">
        <v>989</v>
      </c>
      <c r="D255" s="624">
        <v>10256514417</v>
      </c>
      <c r="E255" s="850" t="s">
        <v>975</v>
      </c>
      <c r="F255" s="850" t="s">
        <v>897</v>
      </c>
      <c r="G255" s="851">
        <v>46367</v>
      </c>
      <c r="H255" s="617" t="s">
        <v>333</v>
      </c>
      <c r="I255" s="375">
        <v>1900</v>
      </c>
      <c r="J255" s="687">
        <f ca="1">IF(B$1&gt;=الجدول3[[#This Row],[تاريخ الدفعة]],الجدول3[[#This Row],[مبلغ الدفعة]],0)</f>
        <v>0</v>
      </c>
      <c r="K255" s="373">
        <v>0</v>
      </c>
      <c r="L255" s="847"/>
      <c r="M255" s="879" t="str" cm="1">
        <f t="array" aca="1" ref="M25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55" s="848"/>
      <c r="O255" s="620">
        <f ca="1">الجدول3[[#This Row],[المدفوع]]-الجدول3[[#This Row],[المبلغ المستحق]]</f>
        <v>0</v>
      </c>
      <c r="P255" s="849"/>
      <c r="Q255" s="853"/>
    </row>
    <row r="256" spans="2:17" hidden="1">
      <c r="B256" s="369">
        <v>218</v>
      </c>
      <c r="C256" s="844" t="s">
        <v>989</v>
      </c>
      <c r="D256" s="624">
        <v>10256514417</v>
      </c>
      <c r="E256" s="850" t="s">
        <v>975</v>
      </c>
      <c r="F256" s="850" t="s">
        <v>897</v>
      </c>
      <c r="G256" s="845">
        <v>46398</v>
      </c>
      <c r="H256" s="617" t="s">
        <v>637</v>
      </c>
      <c r="I256" s="375">
        <v>1900</v>
      </c>
      <c r="J256" s="687">
        <f ca="1">IF(B$1&gt;=الجدول3[[#This Row],[تاريخ الدفعة]],الجدول3[[#This Row],[مبلغ الدفعة]],0)</f>
        <v>0</v>
      </c>
      <c r="K256" s="373">
        <v>0</v>
      </c>
      <c r="L256" s="847"/>
      <c r="M256" s="879" t="str" cm="1">
        <f t="array" aca="1" ref="M25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56" s="848"/>
      <c r="O256" s="620">
        <f ca="1">الجدول3[[#This Row],[المدفوع]]-الجدول3[[#This Row],[المبلغ المستحق]]</f>
        <v>0</v>
      </c>
      <c r="P256" s="849"/>
      <c r="Q256" s="853"/>
    </row>
    <row r="257" spans="2:17" hidden="1">
      <c r="B257" s="370">
        <v>219</v>
      </c>
      <c r="C257" s="844" t="s">
        <v>989</v>
      </c>
      <c r="D257" s="624">
        <v>10256514417</v>
      </c>
      <c r="E257" s="850" t="s">
        <v>975</v>
      </c>
      <c r="F257" s="850" t="s">
        <v>897</v>
      </c>
      <c r="G257" s="851">
        <v>46429</v>
      </c>
      <c r="H257" s="617" t="s">
        <v>334</v>
      </c>
      <c r="I257" s="375">
        <v>1900</v>
      </c>
      <c r="J257" s="687">
        <f ca="1">IF(B$1&gt;=الجدول3[[#This Row],[تاريخ الدفعة]],الجدول3[[#This Row],[مبلغ الدفعة]],0)</f>
        <v>0</v>
      </c>
      <c r="K257" s="373">
        <v>0</v>
      </c>
      <c r="L257" s="847"/>
      <c r="M257" s="879" t="str" cm="1">
        <f t="array" aca="1" ref="M25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57" s="848"/>
      <c r="O257" s="620">
        <f ca="1">الجدول3[[#This Row],[المدفوع]]-الجدول3[[#This Row],[المبلغ المستحق]]</f>
        <v>0</v>
      </c>
      <c r="P257" s="849"/>
      <c r="Q257" s="853"/>
    </row>
    <row r="258" spans="2:17" hidden="1">
      <c r="B258" s="369">
        <v>220</v>
      </c>
      <c r="C258" s="844" t="s">
        <v>989</v>
      </c>
      <c r="D258" s="624">
        <v>10256514417</v>
      </c>
      <c r="E258" s="850" t="s">
        <v>975</v>
      </c>
      <c r="F258" s="850" t="s">
        <v>897</v>
      </c>
      <c r="G258" s="845">
        <v>46457</v>
      </c>
      <c r="H258" s="617" t="s">
        <v>335</v>
      </c>
      <c r="I258" s="375">
        <v>1900</v>
      </c>
      <c r="J258" s="687">
        <f ca="1">IF(B$1&gt;=الجدول3[[#This Row],[تاريخ الدفعة]],الجدول3[[#This Row],[مبلغ الدفعة]],0)</f>
        <v>0</v>
      </c>
      <c r="K258" s="373">
        <v>0</v>
      </c>
      <c r="L258" s="847"/>
      <c r="M258" s="879" t="str" cm="1">
        <f t="array" aca="1" ref="M25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58" s="848"/>
      <c r="O258" s="620">
        <f ca="1">الجدول3[[#This Row],[المدفوع]]-الجدول3[[#This Row],[المبلغ المستحق]]</f>
        <v>0</v>
      </c>
      <c r="P258" s="849"/>
      <c r="Q258" s="853"/>
    </row>
    <row r="259" spans="2:17" hidden="1">
      <c r="B259" s="370">
        <v>221</v>
      </c>
      <c r="C259" s="844" t="s">
        <v>989</v>
      </c>
      <c r="D259" s="624">
        <v>10256514417</v>
      </c>
      <c r="E259" s="850" t="s">
        <v>975</v>
      </c>
      <c r="F259" s="850" t="s">
        <v>897</v>
      </c>
      <c r="G259" s="851">
        <v>46488</v>
      </c>
      <c r="H259" s="617" t="s">
        <v>336</v>
      </c>
      <c r="I259" s="375">
        <v>1900</v>
      </c>
      <c r="J259" s="687">
        <f ca="1">IF(B$1&gt;=الجدول3[[#This Row],[تاريخ الدفعة]],الجدول3[[#This Row],[مبلغ الدفعة]],0)</f>
        <v>0</v>
      </c>
      <c r="K259" s="373">
        <v>0</v>
      </c>
      <c r="L259" s="847"/>
      <c r="M259" s="879" t="str" cm="1">
        <f t="array" aca="1" ref="M25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59" s="848"/>
      <c r="O259" s="620">
        <f ca="1">الجدول3[[#This Row],[المدفوع]]-الجدول3[[#This Row],[المبلغ المستحق]]</f>
        <v>0</v>
      </c>
      <c r="P259" s="849"/>
      <c r="Q259" s="853"/>
    </row>
    <row r="260" spans="2:17" hidden="1">
      <c r="B260" s="369">
        <v>222</v>
      </c>
      <c r="C260" s="844" t="s">
        <v>989</v>
      </c>
      <c r="D260" s="624">
        <v>10256514417</v>
      </c>
      <c r="E260" s="850" t="s">
        <v>975</v>
      </c>
      <c r="F260" s="850" t="s">
        <v>897</v>
      </c>
      <c r="G260" s="845">
        <v>46518</v>
      </c>
      <c r="H260" s="617" t="s">
        <v>337</v>
      </c>
      <c r="I260" s="375">
        <v>1900</v>
      </c>
      <c r="J260" s="687">
        <f ca="1">IF(B$1&gt;=الجدول3[[#This Row],[تاريخ الدفعة]],الجدول3[[#This Row],[مبلغ الدفعة]],0)</f>
        <v>0</v>
      </c>
      <c r="K260" s="373">
        <v>0</v>
      </c>
      <c r="L260" s="847"/>
      <c r="M260" s="879" t="str" cm="1">
        <f t="array" aca="1" ref="M26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60" s="848"/>
      <c r="O260" s="620">
        <f ca="1">الجدول3[[#This Row],[المدفوع]]-الجدول3[[#This Row],[المبلغ المستحق]]</f>
        <v>0</v>
      </c>
      <c r="P260" s="849"/>
      <c r="Q260" s="853"/>
    </row>
    <row r="261" spans="2:17" hidden="1">
      <c r="B261" s="370">
        <v>223</v>
      </c>
      <c r="C261" s="844" t="s">
        <v>989</v>
      </c>
      <c r="D261" s="624">
        <v>10256514417</v>
      </c>
      <c r="E261" s="850" t="s">
        <v>975</v>
      </c>
      <c r="F261" s="850" t="s">
        <v>897</v>
      </c>
      <c r="G261" s="851">
        <v>46549</v>
      </c>
      <c r="H261" s="617" t="s">
        <v>338</v>
      </c>
      <c r="I261" s="375">
        <v>1900</v>
      </c>
      <c r="J261" s="687">
        <f ca="1">IF(B$1&gt;=الجدول3[[#This Row],[تاريخ الدفعة]],الجدول3[[#This Row],[مبلغ الدفعة]],0)</f>
        <v>0</v>
      </c>
      <c r="K261" s="373">
        <v>0</v>
      </c>
      <c r="L261" s="847"/>
      <c r="M261" s="879" t="str" cm="1">
        <f t="array" aca="1" ref="M26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61" s="848"/>
      <c r="O261" s="620">
        <f ca="1">الجدول3[[#This Row],[المدفوع]]-الجدول3[[#This Row],[المبلغ المستحق]]</f>
        <v>0</v>
      </c>
      <c r="P261" s="849"/>
      <c r="Q261" s="853"/>
    </row>
    <row r="262" spans="2:17" hidden="1">
      <c r="B262" s="369">
        <v>224</v>
      </c>
      <c r="C262" s="844" t="s">
        <v>989</v>
      </c>
      <c r="D262" s="624">
        <v>10256514417</v>
      </c>
      <c r="E262" s="850" t="s">
        <v>975</v>
      </c>
      <c r="F262" s="850" t="s">
        <v>897</v>
      </c>
      <c r="G262" s="845">
        <v>46579</v>
      </c>
      <c r="H262" s="617" t="s">
        <v>339</v>
      </c>
      <c r="I262" s="375">
        <v>1900</v>
      </c>
      <c r="J262" s="687">
        <f ca="1">IF(B$1&gt;=الجدول3[[#This Row],[تاريخ الدفعة]],الجدول3[[#This Row],[مبلغ الدفعة]],0)</f>
        <v>0</v>
      </c>
      <c r="K262" s="373">
        <v>0</v>
      </c>
      <c r="L262" s="847"/>
      <c r="M262" s="879" t="str" cm="1">
        <f t="array" aca="1" ref="M26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62" s="848"/>
      <c r="O262" s="620">
        <f ca="1">الجدول3[[#This Row],[المدفوع]]-الجدول3[[#This Row],[المبلغ المستحق]]</f>
        <v>0</v>
      </c>
      <c r="P262" s="849"/>
      <c r="Q262" s="853"/>
    </row>
    <row r="263" spans="2:17" hidden="1">
      <c r="B263" s="370">
        <v>225</v>
      </c>
      <c r="C263" s="844" t="s">
        <v>989</v>
      </c>
      <c r="D263" s="624">
        <v>10256514417</v>
      </c>
      <c r="E263" s="850" t="s">
        <v>975</v>
      </c>
      <c r="F263" s="850" t="s">
        <v>897</v>
      </c>
      <c r="G263" s="851">
        <v>46610</v>
      </c>
      <c r="H263" s="371" t="s">
        <v>340</v>
      </c>
      <c r="I263" s="375">
        <v>1900</v>
      </c>
      <c r="J263" s="687">
        <f ca="1">IF(B$1&gt;=الجدول3[[#This Row],[تاريخ الدفعة]],الجدول3[[#This Row],[مبلغ الدفعة]],0)</f>
        <v>0</v>
      </c>
      <c r="K263" s="373">
        <v>0</v>
      </c>
      <c r="L263" s="847"/>
      <c r="M263" s="879" t="str" cm="1">
        <f t="array" aca="1" ref="M26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63" s="848"/>
      <c r="O263" s="620">
        <f ca="1">الجدول3[[#This Row],[المدفوع]]-الجدول3[[#This Row],[المبلغ المستحق]]</f>
        <v>0</v>
      </c>
      <c r="P263" s="849"/>
      <c r="Q263" s="853"/>
    </row>
    <row r="264" spans="2:17" hidden="1">
      <c r="B264" s="369">
        <v>226</v>
      </c>
      <c r="C264" s="844" t="s">
        <v>989</v>
      </c>
      <c r="D264" s="624">
        <v>10256514417</v>
      </c>
      <c r="E264" s="850" t="s">
        <v>975</v>
      </c>
      <c r="F264" s="850" t="s">
        <v>897</v>
      </c>
      <c r="G264" s="845">
        <v>46641</v>
      </c>
      <c r="H264" s="851" t="s">
        <v>341</v>
      </c>
      <c r="I264" s="375">
        <v>1900</v>
      </c>
      <c r="J264" s="687">
        <f ca="1">IF(B$1&gt;=الجدول3[[#This Row],[تاريخ الدفعة]],الجدول3[[#This Row],[مبلغ الدفعة]],0)</f>
        <v>0</v>
      </c>
      <c r="K264" s="373">
        <v>0</v>
      </c>
      <c r="L264" s="847"/>
      <c r="M264" s="879" t="str" cm="1">
        <f t="array" aca="1" ref="M26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64" s="848"/>
      <c r="O264" s="620">
        <f ca="1">الجدول3[[#This Row],[المدفوع]]-الجدول3[[#This Row],[المبلغ المستحق]]</f>
        <v>0</v>
      </c>
      <c r="P264" s="849"/>
      <c r="Q264" s="853"/>
    </row>
    <row r="265" spans="2:17" hidden="1">
      <c r="B265" s="370">
        <v>227</v>
      </c>
      <c r="C265" s="854" t="s">
        <v>990</v>
      </c>
      <c r="D265" s="4">
        <v>10349815150</v>
      </c>
      <c r="E265" s="850" t="s">
        <v>980</v>
      </c>
      <c r="F265" s="850" t="s">
        <v>896</v>
      </c>
      <c r="G265" s="851">
        <v>46302</v>
      </c>
      <c r="H265" s="617" t="s">
        <v>331</v>
      </c>
      <c r="I265" s="375">
        <v>1000</v>
      </c>
      <c r="J265" s="687">
        <f ca="1">IF(B$1&gt;=الجدول3[[#This Row],[تاريخ الدفعة]],الجدول3[[#This Row],[مبلغ الدفعة]],0)</f>
        <v>1000</v>
      </c>
      <c r="K265" s="373">
        <v>1000</v>
      </c>
      <c r="L265" s="852">
        <v>46312</v>
      </c>
      <c r="M265" s="879" t="s">
        <v>41</v>
      </c>
      <c r="N265" s="848" t="s">
        <v>331</v>
      </c>
      <c r="O265" s="620">
        <f ca="1">الجدول3[[#This Row],[المدفوع]]-الجدول3[[#This Row],[المبلغ المستحق]]</f>
        <v>0</v>
      </c>
      <c r="P265" s="848"/>
      <c r="Q265" s="853"/>
    </row>
    <row r="266" spans="2:17" hidden="1">
      <c r="B266" s="369">
        <v>228</v>
      </c>
      <c r="C266" s="854" t="s">
        <v>990</v>
      </c>
      <c r="D266" s="4">
        <v>10349815150</v>
      </c>
      <c r="E266" s="850" t="s">
        <v>980</v>
      </c>
      <c r="F266" s="850" t="s">
        <v>896</v>
      </c>
      <c r="G266" s="845">
        <v>46333</v>
      </c>
      <c r="H266" s="617" t="s">
        <v>332</v>
      </c>
      <c r="I266" s="375">
        <v>1000</v>
      </c>
      <c r="J266" s="687">
        <f ca="1">IF(B$1&gt;=الجدول3[[#This Row],[تاريخ الدفعة]],الجدول3[[#This Row],[مبلغ الدفعة]],0)</f>
        <v>0</v>
      </c>
      <c r="K266" s="373">
        <v>0</v>
      </c>
      <c r="L266" s="847"/>
      <c r="M266" s="879" t="str" cm="1">
        <f t="array" aca="1" ref="M26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66" s="848"/>
      <c r="O266" s="620">
        <f ca="1">الجدول3[[#This Row],[المدفوع]]-الجدول3[[#This Row],[المبلغ المستحق]]</f>
        <v>0</v>
      </c>
      <c r="P266" s="849"/>
      <c r="Q266" s="853"/>
    </row>
    <row r="267" spans="2:17" hidden="1">
      <c r="B267" s="370">
        <v>229</v>
      </c>
      <c r="C267" s="854" t="s">
        <v>990</v>
      </c>
      <c r="D267" s="4">
        <v>10349815150</v>
      </c>
      <c r="E267" s="850" t="s">
        <v>980</v>
      </c>
      <c r="F267" s="850" t="s">
        <v>896</v>
      </c>
      <c r="G267" s="845">
        <v>46363</v>
      </c>
      <c r="H267" s="617" t="s">
        <v>333</v>
      </c>
      <c r="I267" s="375">
        <v>1000</v>
      </c>
      <c r="J267" s="687">
        <f ca="1">IF(B$1&gt;=الجدول3[[#This Row],[تاريخ الدفعة]],الجدول3[[#This Row],[مبلغ الدفعة]],0)</f>
        <v>0</v>
      </c>
      <c r="K267" s="373">
        <v>0</v>
      </c>
      <c r="L267" s="847"/>
      <c r="M267" s="879" t="str" cm="1">
        <f t="array" aca="1" ref="M26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67" s="848"/>
      <c r="O267" s="620">
        <f ca="1">الجدول3[[#This Row],[المدفوع]]-الجدول3[[#This Row],[المبلغ المستحق]]</f>
        <v>0</v>
      </c>
      <c r="P267" s="849"/>
      <c r="Q267" s="853"/>
    </row>
    <row r="268" spans="2:17" hidden="1">
      <c r="B268" s="369">
        <v>230</v>
      </c>
      <c r="C268" s="850" t="s">
        <v>991</v>
      </c>
      <c r="D268" s="624">
        <v>10393688367</v>
      </c>
      <c r="E268" s="850" t="s">
        <v>920</v>
      </c>
      <c r="F268" s="850" t="s">
        <v>897</v>
      </c>
      <c r="G268" s="851">
        <v>46310</v>
      </c>
      <c r="H268" s="617" t="s">
        <v>331</v>
      </c>
      <c r="I268" s="375">
        <v>1800</v>
      </c>
      <c r="J268" s="687">
        <f ca="1">IF(B$1&gt;=الجدول3[[#This Row],[تاريخ الدفعة]],الجدول3[[#This Row],[مبلغ الدفعة]],0)</f>
        <v>1800</v>
      </c>
      <c r="K268" s="373">
        <v>0</v>
      </c>
      <c r="L268" s="852"/>
      <c r="M268" s="879" t="str" cm="1">
        <f t="array" aca="1" ref="M26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v>
      </c>
      <c r="N268" s="848"/>
      <c r="O268" s="620">
        <f ca="1">الجدول3[[#This Row],[المدفوع]]-الجدول3[[#This Row],[المبلغ المستحق]]</f>
        <v>-1800</v>
      </c>
      <c r="P268" s="848"/>
      <c r="Q268" s="853"/>
    </row>
    <row r="269" spans="2:17" hidden="1">
      <c r="B269" s="370">
        <v>231</v>
      </c>
      <c r="C269" s="850" t="s">
        <v>991</v>
      </c>
      <c r="D269" s="624">
        <v>10393688367</v>
      </c>
      <c r="E269" s="850" t="s">
        <v>920</v>
      </c>
      <c r="F269" s="850" t="s">
        <v>897</v>
      </c>
      <c r="G269" s="845">
        <v>46341</v>
      </c>
      <c r="H269" s="617" t="s">
        <v>332</v>
      </c>
      <c r="I269" s="375">
        <v>1800</v>
      </c>
      <c r="J269" s="687">
        <f ca="1">IF(B$1&gt;=الجدول3[[#This Row],[تاريخ الدفعة]],الجدول3[[#This Row],[مبلغ الدفعة]],0)</f>
        <v>0</v>
      </c>
      <c r="K269" s="373">
        <v>0</v>
      </c>
      <c r="L269" s="847"/>
      <c r="M269" s="879" t="str" cm="1">
        <f t="array" aca="1" ref="M26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69" s="848"/>
      <c r="O269" s="620">
        <f ca="1">الجدول3[[#This Row],[المدفوع]]-الجدول3[[#This Row],[المبلغ المستحق]]</f>
        <v>0</v>
      </c>
      <c r="P269" s="849"/>
      <c r="Q269" s="853"/>
    </row>
    <row r="270" spans="2:17" hidden="1">
      <c r="B270" s="369">
        <v>232</v>
      </c>
      <c r="C270" s="850" t="s">
        <v>991</v>
      </c>
      <c r="D270" s="624">
        <v>10393688367</v>
      </c>
      <c r="E270" s="850" t="s">
        <v>920</v>
      </c>
      <c r="F270" s="850" t="s">
        <v>897</v>
      </c>
      <c r="G270" s="851">
        <v>46371</v>
      </c>
      <c r="H270" s="617" t="s">
        <v>333</v>
      </c>
      <c r="I270" s="375">
        <v>1800</v>
      </c>
      <c r="J270" s="687">
        <f ca="1">IF(B$1&gt;=الجدول3[[#This Row],[تاريخ الدفعة]],الجدول3[[#This Row],[مبلغ الدفعة]],0)</f>
        <v>0</v>
      </c>
      <c r="K270" s="373">
        <v>0</v>
      </c>
      <c r="L270" s="847"/>
      <c r="M270" s="879" t="str" cm="1">
        <f t="array" aca="1" ref="M27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70" s="848"/>
      <c r="O270" s="620">
        <f ca="1">الجدول3[[#This Row],[المدفوع]]-الجدول3[[#This Row],[المبلغ المستحق]]</f>
        <v>0</v>
      </c>
      <c r="P270" s="849"/>
      <c r="Q270" s="853"/>
    </row>
    <row r="271" spans="2:17" hidden="1">
      <c r="B271" s="370">
        <v>233</v>
      </c>
      <c r="C271" s="850" t="s">
        <v>991</v>
      </c>
      <c r="D271" s="624">
        <v>10393688367</v>
      </c>
      <c r="E271" s="850" t="s">
        <v>920</v>
      </c>
      <c r="F271" s="850" t="s">
        <v>897</v>
      </c>
      <c r="G271" s="845">
        <v>46402</v>
      </c>
      <c r="H271" s="617" t="s">
        <v>637</v>
      </c>
      <c r="I271" s="375">
        <v>1800</v>
      </c>
      <c r="J271" s="687">
        <f ca="1">IF(B$1&gt;=الجدول3[[#This Row],[تاريخ الدفعة]],الجدول3[[#This Row],[مبلغ الدفعة]],0)</f>
        <v>0</v>
      </c>
      <c r="K271" s="373">
        <v>0</v>
      </c>
      <c r="L271" s="847"/>
      <c r="M271" s="879" t="str" cm="1">
        <f t="array" aca="1" ref="M27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71" s="848"/>
      <c r="O271" s="620">
        <f ca="1">الجدول3[[#This Row],[المدفوع]]-الجدول3[[#This Row],[المبلغ المستحق]]</f>
        <v>0</v>
      </c>
      <c r="P271" s="849"/>
      <c r="Q271" s="853"/>
    </row>
    <row r="272" spans="2:17" hidden="1">
      <c r="B272" s="369">
        <v>234</v>
      </c>
      <c r="C272" s="850" t="s">
        <v>991</v>
      </c>
      <c r="D272" s="624">
        <v>10393688367</v>
      </c>
      <c r="E272" s="850" t="s">
        <v>920</v>
      </c>
      <c r="F272" s="850" t="s">
        <v>897</v>
      </c>
      <c r="G272" s="851">
        <v>46433</v>
      </c>
      <c r="H272" s="617" t="s">
        <v>334</v>
      </c>
      <c r="I272" s="375">
        <v>1800</v>
      </c>
      <c r="J272" s="687">
        <f ca="1">IF(B$1&gt;=الجدول3[[#This Row],[تاريخ الدفعة]],الجدول3[[#This Row],[مبلغ الدفعة]],0)</f>
        <v>0</v>
      </c>
      <c r="K272" s="373">
        <v>0</v>
      </c>
      <c r="L272" s="847"/>
      <c r="M272" s="879" t="str" cm="1">
        <f t="array" aca="1" ref="M27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72" s="848"/>
      <c r="O272" s="620">
        <f ca="1">الجدول3[[#This Row],[المدفوع]]-الجدول3[[#This Row],[المبلغ المستحق]]</f>
        <v>0</v>
      </c>
      <c r="P272" s="849"/>
      <c r="Q272" s="853"/>
    </row>
    <row r="273" spans="2:17" hidden="1">
      <c r="B273" s="370">
        <v>235</v>
      </c>
      <c r="C273" s="850" t="s">
        <v>991</v>
      </c>
      <c r="D273" s="624">
        <v>10393688367</v>
      </c>
      <c r="E273" s="850" t="s">
        <v>920</v>
      </c>
      <c r="F273" s="850" t="s">
        <v>897</v>
      </c>
      <c r="G273" s="845">
        <v>46461</v>
      </c>
      <c r="H273" s="617" t="s">
        <v>335</v>
      </c>
      <c r="I273" s="375">
        <v>1800</v>
      </c>
      <c r="J273" s="687">
        <f ca="1">IF(B$1&gt;=الجدول3[[#This Row],[تاريخ الدفعة]],الجدول3[[#This Row],[مبلغ الدفعة]],0)</f>
        <v>0</v>
      </c>
      <c r="K273" s="373">
        <v>0</v>
      </c>
      <c r="L273" s="847"/>
      <c r="M273" s="879" t="str" cm="1">
        <f t="array" aca="1" ref="M27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73" s="848"/>
      <c r="O273" s="620">
        <f ca="1">الجدول3[[#This Row],[المدفوع]]-الجدول3[[#This Row],[المبلغ المستحق]]</f>
        <v>0</v>
      </c>
      <c r="P273" s="849"/>
      <c r="Q273" s="853"/>
    </row>
    <row r="274" spans="2:17" hidden="1">
      <c r="B274" s="369">
        <v>236</v>
      </c>
      <c r="C274" s="850" t="s">
        <v>991</v>
      </c>
      <c r="D274" s="624">
        <v>10393688367</v>
      </c>
      <c r="E274" s="850" t="s">
        <v>920</v>
      </c>
      <c r="F274" s="850" t="s">
        <v>897</v>
      </c>
      <c r="G274" s="851">
        <v>46492</v>
      </c>
      <c r="H274" s="617" t="s">
        <v>336</v>
      </c>
      <c r="I274" s="375">
        <v>1800</v>
      </c>
      <c r="J274" s="687">
        <f ca="1">IF(B$1&gt;=الجدول3[[#This Row],[تاريخ الدفعة]],الجدول3[[#This Row],[مبلغ الدفعة]],0)</f>
        <v>0</v>
      </c>
      <c r="K274" s="373">
        <v>0</v>
      </c>
      <c r="L274" s="847"/>
      <c r="M274" s="879" t="str" cm="1">
        <f t="array" aca="1" ref="M27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74" s="848"/>
      <c r="O274" s="620">
        <f ca="1">الجدول3[[#This Row],[المدفوع]]-الجدول3[[#This Row],[المبلغ المستحق]]</f>
        <v>0</v>
      </c>
      <c r="P274" s="849"/>
      <c r="Q274" s="853"/>
    </row>
    <row r="275" spans="2:17" hidden="1">
      <c r="B275" s="370">
        <v>237</v>
      </c>
      <c r="C275" s="850" t="s">
        <v>991</v>
      </c>
      <c r="D275" s="624">
        <v>10393688367</v>
      </c>
      <c r="E275" s="850" t="s">
        <v>920</v>
      </c>
      <c r="F275" s="850" t="s">
        <v>897</v>
      </c>
      <c r="G275" s="845">
        <v>46522</v>
      </c>
      <c r="H275" s="617" t="s">
        <v>337</v>
      </c>
      <c r="I275" s="375">
        <v>1800</v>
      </c>
      <c r="J275" s="687">
        <f ca="1">IF(B$1&gt;=الجدول3[[#This Row],[تاريخ الدفعة]],الجدول3[[#This Row],[مبلغ الدفعة]],0)</f>
        <v>0</v>
      </c>
      <c r="K275" s="373">
        <v>0</v>
      </c>
      <c r="L275" s="847"/>
      <c r="M275" s="879" t="str" cm="1">
        <f t="array" aca="1" ref="M27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75" s="848"/>
      <c r="O275" s="620">
        <f ca="1">الجدول3[[#This Row],[المدفوع]]-الجدول3[[#This Row],[المبلغ المستحق]]</f>
        <v>0</v>
      </c>
      <c r="P275" s="849"/>
      <c r="Q275" s="853"/>
    </row>
    <row r="276" spans="2:17" hidden="1">
      <c r="B276" s="369">
        <v>238</v>
      </c>
      <c r="C276" s="850" t="s">
        <v>991</v>
      </c>
      <c r="D276" s="624">
        <v>10393688367</v>
      </c>
      <c r="E276" s="850" t="s">
        <v>920</v>
      </c>
      <c r="F276" s="850" t="s">
        <v>897</v>
      </c>
      <c r="G276" s="851">
        <v>46553</v>
      </c>
      <c r="H276" s="617" t="s">
        <v>338</v>
      </c>
      <c r="I276" s="375">
        <v>1800</v>
      </c>
      <c r="J276" s="687">
        <f ca="1">IF(B$1&gt;=الجدول3[[#This Row],[تاريخ الدفعة]],الجدول3[[#This Row],[مبلغ الدفعة]],0)</f>
        <v>0</v>
      </c>
      <c r="K276" s="373">
        <v>0</v>
      </c>
      <c r="L276" s="847"/>
      <c r="M276" s="879" t="str" cm="1">
        <f t="array" aca="1" ref="M27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76" s="848"/>
      <c r="O276" s="620">
        <f ca="1">الجدول3[[#This Row],[المدفوع]]-الجدول3[[#This Row],[المبلغ المستحق]]</f>
        <v>0</v>
      </c>
      <c r="P276" s="849"/>
      <c r="Q276" s="853"/>
    </row>
    <row r="277" spans="2:17" hidden="1">
      <c r="B277" s="370">
        <v>239</v>
      </c>
      <c r="C277" s="850" t="s">
        <v>991</v>
      </c>
      <c r="D277" s="624">
        <v>10393688367</v>
      </c>
      <c r="E277" s="850" t="s">
        <v>920</v>
      </c>
      <c r="F277" s="850" t="s">
        <v>897</v>
      </c>
      <c r="G277" s="845">
        <v>46583</v>
      </c>
      <c r="H277" s="617" t="s">
        <v>339</v>
      </c>
      <c r="I277" s="375">
        <v>1800</v>
      </c>
      <c r="J277" s="687">
        <f ca="1">IF(B$1&gt;=الجدول3[[#This Row],[تاريخ الدفعة]],الجدول3[[#This Row],[مبلغ الدفعة]],0)</f>
        <v>0</v>
      </c>
      <c r="K277" s="373">
        <v>0</v>
      </c>
      <c r="L277" s="847"/>
      <c r="M277" s="879" t="str" cm="1">
        <f t="array" aca="1" ref="M27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77" s="848"/>
      <c r="O277" s="620">
        <f ca="1">الجدول3[[#This Row],[المدفوع]]-الجدول3[[#This Row],[المبلغ المستحق]]</f>
        <v>0</v>
      </c>
      <c r="P277" s="849"/>
      <c r="Q277" s="853"/>
    </row>
    <row r="278" spans="2:17" hidden="1">
      <c r="B278" s="369">
        <v>240</v>
      </c>
      <c r="C278" s="850" t="s">
        <v>991</v>
      </c>
      <c r="D278" s="624">
        <v>10393688367</v>
      </c>
      <c r="E278" s="850" t="s">
        <v>920</v>
      </c>
      <c r="F278" s="850" t="s">
        <v>897</v>
      </c>
      <c r="G278" s="851">
        <v>46614</v>
      </c>
      <c r="H278" s="371" t="s">
        <v>340</v>
      </c>
      <c r="I278" s="375">
        <v>1800</v>
      </c>
      <c r="J278" s="687">
        <f ca="1">IF(B$1&gt;=الجدول3[[#This Row],[تاريخ الدفعة]],الجدول3[[#This Row],[مبلغ الدفعة]],0)</f>
        <v>0</v>
      </c>
      <c r="K278" s="373">
        <v>0</v>
      </c>
      <c r="L278" s="847"/>
      <c r="M278" s="879" t="str" cm="1">
        <f t="array" aca="1" ref="M27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78" s="848"/>
      <c r="O278" s="620">
        <f ca="1">الجدول3[[#This Row],[المدفوع]]-الجدول3[[#This Row],[المبلغ المستحق]]</f>
        <v>0</v>
      </c>
      <c r="P278" s="849"/>
      <c r="Q278" s="853"/>
    </row>
    <row r="279" spans="2:17" hidden="1">
      <c r="B279" s="370">
        <v>241</v>
      </c>
      <c r="C279" s="850" t="s">
        <v>991</v>
      </c>
      <c r="D279" s="624">
        <v>10393688367</v>
      </c>
      <c r="E279" s="850" t="s">
        <v>920</v>
      </c>
      <c r="F279" s="850" t="s">
        <v>897</v>
      </c>
      <c r="G279" s="845">
        <v>46645</v>
      </c>
      <c r="H279" s="851" t="s">
        <v>341</v>
      </c>
      <c r="I279" s="375">
        <v>1800</v>
      </c>
      <c r="J279" s="687">
        <f ca="1">IF(B$1&gt;=الجدول3[[#This Row],[تاريخ الدفعة]],الجدول3[[#This Row],[مبلغ الدفعة]],0)</f>
        <v>0</v>
      </c>
      <c r="K279" s="373">
        <v>0</v>
      </c>
      <c r="L279" s="847"/>
      <c r="M279" s="879" t="str" cm="1">
        <f t="array" aca="1" ref="M27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79" s="848"/>
      <c r="O279" s="620">
        <f ca="1">الجدول3[[#This Row],[المدفوع]]-الجدول3[[#This Row],[المبلغ المستحق]]</f>
        <v>0</v>
      </c>
      <c r="P279" s="849"/>
      <c r="Q279" s="853"/>
    </row>
    <row r="280" spans="2:17" hidden="1">
      <c r="B280" s="369">
        <v>242</v>
      </c>
      <c r="C280" s="850" t="s">
        <v>993</v>
      </c>
      <c r="D280" s="624">
        <v>10440619610</v>
      </c>
      <c r="E280" s="850" t="s">
        <v>918</v>
      </c>
      <c r="F280" s="850" t="s">
        <v>897</v>
      </c>
      <c r="G280" s="851">
        <v>46312</v>
      </c>
      <c r="H280" s="617" t="s">
        <v>331</v>
      </c>
      <c r="I280" s="375">
        <v>2500</v>
      </c>
      <c r="J280" s="687">
        <f ca="1">IF(B$1&gt;=الجدول3[[#This Row],[تاريخ الدفعة]],الجدول3[[#This Row],[مبلغ الدفعة]],0)</f>
        <v>2500</v>
      </c>
      <c r="K280" s="373">
        <v>0</v>
      </c>
      <c r="L280" s="852"/>
      <c r="M280" s="879" t="str" cm="1">
        <f t="array" aca="1" ref="M28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v>
      </c>
      <c r="N280" s="848"/>
      <c r="O280" s="620">
        <f ca="1">الجدول3[[#This Row],[المدفوع]]-الجدول3[[#This Row],[المبلغ المستحق]]</f>
        <v>-2500</v>
      </c>
      <c r="P280" s="848"/>
      <c r="Q280" s="853"/>
    </row>
    <row r="281" spans="2:17" hidden="1">
      <c r="B281" s="370">
        <v>243</v>
      </c>
      <c r="C281" s="850" t="s">
        <v>993</v>
      </c>
      <c r="D281" s="624">
        <v>10440619610</v>
      </c>
      <c r="E281" s="850" t="s">
        <v>918</v>
      </c>
      <c r="F281" s="850" t="s">
        <v>897</v>
      </c>
      <c r="G281" s="851">
        <v>46343</v>
      </c>
      <c r="H281" s="617" t="s">
        <v>332</v>
      </c>
      <c r="I281" s="375">
        <v>2500</v>
      </c>
      <c r="J281" s="687">
        <f ca="1">IF(B$1&gt;=الجدول3[[#This Row],[تاريخ الدفعة]],الجدول3[[#This Row],[مبلغ الدفعة]],0)</f>
        <v>0</v>
      </c>
      <c r="K281" s="373">
        <v>0</v>
      </c>
      <c r="L281" s="852"/>
      <c r="M281" s="879" t="str" cm="1">
        <f t="array" aca="1" ref="M28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81" s="848"/>
      <c r="O281" s="620">
        <f ca="1">الجدول3[[#This Row],[المدفوع]]-الجدول3[[#This Row],[المبلغ المستحق]]</f>
        <v>0</v>
      </c>
      <c r="P281" s="848"/>
      <c r="Q281" s="853"/>
    </row>
    <row r="282" spans="2:17" hidden="1">
      <c r="B282" s="369">
        <v>244</v>
      </c>
      <c r="C282" s="4" t="s">
        <v>994</v>
      </c>
      <c r="D282" s="624">
        <v>10843187723</v>
      </c>
      <c r="E282" s="850" t="s">
        <v>37</v>
      </c>
      <c r="F282" s="850">
        <v>102</v>
      </c>
      <c r="G282" s="851">
        <v>46262</v>
      </c>
      <c r="H282" s="698" t="s">
        <v>963</v>
      </c>
      <c r="I282" s="375">
        <v>4000</v>
      </c>
      <c r="J282" s="687">
        <v>0</v>
      </c>
      <c r="K282" s="373">
        <v>0</v>
      </c>
      <c r="L282" s="852"/>
      <c r="M282" s="879" t="str" cm="1">
        <f t="array" aca="1" ref="M28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متأخر</v>
      </c>
      <c r="N282" s="848"/>
      <c r="O282" s="620">
        <f>الجدول3[[#This Row],[المدفوع]]-الجدول3[[#This Row],[المبلغ المستحق]]</f>
        <v>0</v>
      </c>
      <c r="P282" s="848"/>
      <c r="Q282" s="853"/>
    </row>
    <row r="283" spans="2:17" hidden="1">
      <c r="B283" s="370">
        <v>245</v>
      </c>
      <c r="C283" s="4" t="s">
        <v>994</v>
      </c>
      <c r="D283" s="624">
        <v>10843187723</v>
      </c>
      <c r="E283" s="850" t="s">
        <v>37</v>
      </c>
      <c r="F283" s="850">
        <v>102</v>
      </c>
      <c r="G283" s="851">
        <v>46293</v>
      </c>
      <c r="H283" s="698" t="s">
        <v>963</v>
      </c>
      <c r="I283" s="375">
        <v>4000</v>
      </c>
      <c r="J283" s="687">
        <v>0</v>
      </c>
      <c r="K283" s="373">
        <v>0</v>
      </c>
      <c r="L283" s="852"/>
      <c r="M283" s="879" t="str" cm="1">
        <f t="array" aca="1" ref="M28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متأخر</v>
      </c>
      <c r="N283" s="848"/>
      <c r="O283" s="620">
        <f>الجدول3[[#This Row],[المدفوع]]-الجدول3[[#This Row],[المبلغ المستحق]]</f>
        <v>0</v>
      </c>
      <c r="P283" s="848"/>
      <c r="Q283" s="853"/>
    </row>
    <row r="284" spans="2:17" hidden="1">
      <c r="B284" s="369">
        <v>246</v>
      </c>
      <c r="C284" s="4" t="s">
        <v>994</v>
      </c>
      <c r="D284" s="624">
        <v>10843187723</v>
      </c>
      <c r="E284" s="850" t="s">
        <v>37</v>
      </c>
      <c r="F284" s="850">
        <v>102</v>
      </c>
      <c r="G284" s="851">
        <v>46323</v>
      </c>
      <c r="H284" s="692" t="s">
        <v>331</v>
      </c>
      <c r="I284" s="375">
        <v>4000</v>
      </c>
      <c r="J284" s="687">
        <f ca="1">IF(B$1&gt;=الجدول3[[#This Row],[تاريخ الدفعة]],الجدول3[[#This Row],[مبلغ الدفعة]],0)</f>
        <v>4000</v>
      </c>
      <c r="K284" s="373">
        <v>0</v>
      </c>
      <c r="L284" s="847"/>
      <c r="M284" s="879" t="str" cm="1">
        <f t="array" aca="1" ref="M28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 اليوم</v>
      </c>
      <c r="N284" s="848"/>
      <c r="O284" s="620">
        <f ca="1">الجدول3[[#This Row],[المدفوع]]-الجدول3[[#This Row],[المبلغ المستحق]]</f>
        <v>-4000</v>
      </c>
      <c r="P284" s="849"/>
      <c r="Q284" s="853"/>
    </row>
    <row r="285" spans="2:17" hidden="1">
      <c r="B285" s="370">
        <v>247</v>
      </c>
      <c r="C285" s="4" t="s">
        <v>994</v>
      </c>
      <c r="D285" s="624">
        <v>10843187723</v>
      </c>
      <c r="E285" s="850" t="s">
        <v>37</v>
      </c>
      <c r="F285" s="850">
        <v>102</v>
      </c>
      <c r="G285" s="851">
        <v>46354</v>
      </c>
      <c r="H285" s="617" t="s">
        <v>332</v>
      </c>
      <c r="I285" s="375">
        <v>4000</v>
      </c>
      <c r="J285" s="687">
        <f ca="1">IF(B$1&gt;=الجدول3[[#This Row],[تاريخ الدفعة]],الجدول3[[#This Row],[مبلغ الدفعة]],0)</f>
        <v>0</v>
      </c>
      <c r="K285" s="373">
        <v>0</v>
      </c>
      <c r="L285" s="847"/>
      <c r="M285" s="879" t="str" cm="1">
        <f t="array" aca="1" ref="M28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85" s="848"/>
      <c r="O285" s="620">
        <f ca="1">الجدول3[[#This Row],[المدفوع]]-الجدول3[[#This Row],[المبلغ المستحق]]</f>
        <v>0</v>
      </c>
      <c r="P285" s="849"/>
      <c r="Q285" s="853"/>
    </row>
    <row r="286" spans="2:17" hidden="1">
      <c r="B286" s="369">
        <v>248</v>
      </c>
      <c r="C286" s="4" t="s">
        <v>994</v>
      </c>
      <c r="D286" s="624">
        <v>10843187723</v>
      </c>
      <c r="E286" s="850" t="s">
        <v>37</v>
      </c>
      <c r="F286" s="850">
        <v>102</v>
      </c>
      <c r="G286" s="851">
        <v>46384</v>
      </c>
      <c r="H286" s="617" t="s">
        <v>333</v>
      </c>
      <c r="I286" s="375">
        <v>4000</v>
      </c>
      <c r="J286" s="687">
        <f ca="1">IF(B$1&gt;=الجدول3[[#This Row],[تاريخ الدفعة]],الجدول3[[#This Row],[مبلغ الدفعة]],0)</f>
        <v>0</v>
      </c>
      <c r="K286" s="373">
        <v>0</v>
      </c>
      <c r="L286" s="847"/>
      <c r="M286" s="879" t="str" cm="1">
        <f t="array" aca="1" ref="M28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86" s="848"/>
      <c r="O286" s="620">
        <f ca="1">الجدول3[[#This Row],[المدفوع]]-الجدول3[[#This Row],[المبلغ المستحق]]</f>
        <v>0</v>
      </c>
      <c r="P286" s="849"/>
      <c r="Q286" s="853"/>
    </row>
    <row r="287" spans="2:17" hidden="1">
      <c r="B287" s="370">
        <v>249</v>
      </c>
      <c r="C287" s="4" t="s">
        <v>994</v>
      </c>
      <c r="D287" s="624">
        <v>10843187723</v>
      </c>
      <c r="E287" s="850" t="s">
        <v>37</v>
      </c>
      <c r="F287" s="850">
        <v>102</v>
      </c>
      <c r="G287" s="851">
        <v>46415</v>
      </c>
      <c r="H287" s="617" t="s">
        <v>637</v>
      </c>
      <c r="I287" s="375">
        <v>4000</v>
      </c>
      <c r="J287" s="687">
        <f ca="1">IF(B$1&gt;=الجدول3[[#This Row],[تاريخ الدفعة]],الجدول3[[#This Row],[مبلغ الدفعة]],0)</f>
        <v>0</v>
      </c>
      <c r="K287" s="373">
        <v>0</v>
      </c>
      <c r="L287" s="847"/>
      <c r="M287" s="879" t="str" cm="1">
        <f t="array" aca="1" ref="M28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87" s="848"/>
      <c r="O287" s="620">
        <f ca="1">الجدول3[[#This Row],[المدفوع]]-الجدول3[[#This Row],[المبلغ المستحق]]</f>
        <v>0</v>
      </c>
      <c r="P287" s="849"/>
      <c r="Q287" s="853"/>
    </row>
    <row r="288" spans="2:17" hidden="1">
      <c r="B288" s="369">
        <v>250</v>
      </c>
      <c r="C288" s="4" t="s">
        <v>994</v>
      </c>
      <c r="D288" s="624">
        <v>10843187723</v>
      </c>
      <c r="E288" s="850" t="s">
        <v>37</v>
      </c>
      <c r="F288" s="850">
        <v>102</v>
      </c>
      <c r="G288" s="851">
        <v>46446</v>
      </c>
      <c r="H288" s="617" t="s">
        <v>334</v>
      </c>
      <c r="I288" s="375">
        <v>4000</v>
      </c>
      <c r="J288" s="687">
        <f ca="1">IF(B$1&gt;=الجدول3[[#This Row],[تاريخ الدفعة]],الجدول3[[#This Row],[مبلغ الدفعة]],0)</f>
        <v>0</v>
      </c>
      <c r="K288" s="373">
        <v>0</v>
      </c>
      <c r="L288" s="847"/>
      <c r="M288" s="879" t="str" cm="1">
        <f t="array" aca="1" ref="M28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88" s="848"/>
      <c r="O288" s="620">
        <f ca="1">الجدول3[[#This Row],[المدفوع]]-الجدول3[[#This Row],[المبلغ المستحق]]</f>
        <v>0</v>
      </c>
      <c r="P288" s="849"/>
      <c r="Q288" s="853"/>
    </row>
    <row r="289" spans="2:17" hidden="1">
      <c r="B289" s="370">
        <v>251</v>
      </c>
      <c r="C289" s="4" t="s">
        <v>994</v>
      </c>
      <c r="D289" s="624">
        <v>10843187723</v>
      </c>
      <c r="E289" s="850" t="s">
        <v>37</v>
      </c>
      <c r="F289" s="850">
        <v>102</v>
      </c>
      <c r="G289" s="851">
        <v>46474</v>
      </c>
      <c r="H289" s="617" t="s">
        <v>335</v>
      </c>
      <c r="I289" s="375">
        <v>4000</v>
      </c>
      <c r="J289" s="687">
        <f ca="1">IF(B$1&gt;=الجدول3[[#This Row],[تاريخ الدفعة]],الجدول3[[#This Row],[مبلغ الدفعة]],0)</f>
        <v>0</v>
      </c>
      <c r="K289" s="373">
        <v>0</v>
      </c>
      <c r="L289" s="847"/>
      <c r="M289" s="879" t="str" cm="1">
        <f t="array" aca="1" ref="M28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89" s="848"/>
      <c r="O289" s="620">
        <f ca="1">الجدول3[[#This Row],[المدفوع]]-الجدول3[[#This Row],[المبلغ المستحق]]</f>
        <v>0</v>
      </c>
      <c r="P289" s="849"/>
      <c r="Q289" s="853"/>
    </row>
    <row r="290" spans="2:17" hidden="1">
      <c r="B290" s="369">
        <v>252</v>
      </c>
      <c r="C290" s="4" t="s">
        <v>994</v>
      </c>
      <c r="D290" s="624">
        <v>10843187723</v>
      </c>
      <c r="E290" s="850" t="s">
        <v>37</v>
      </c>
      <c r="F290" s="850">
        <v>102</v>
      </c>
      <c r="G290" s="851">
        <v>46505</v>
      </c>
      <c r="H290" s="617" t="s">
        <v>336</v>
      </c>
      <c r="I290" s="375">
        <v>4000</v>
      </c>
      <c r="J290" s="687">
        <f ca="1">IF(B$1&gt;=الجدول3[[#This Row],[تاريخ الدفعة]],الجدول3[[#This Row],[مبلغ الدفعة]],0)</f>
        <v>0</v>
      </c>
      <c r="K290" s="373">
        <v>0</v>
      </c>
      <c r="L290" s="847"/>
      <c r="M290" s="879" t="str" cm="1">
        <f t="array" aca="1" ref="M29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90" s="848"/>
      <c r="O290" s="620">
        <f ca="1">الجدول3[[#This Row],[المدفوع]]-الجدول3[[#This Row],[المبلغ المستحق]]</f>
        <v>0</v>
      </c>
      <c r="P290" s="849"/>
      <c r="Q290" s="853"/>
    </row>
    <row r="291" spans="2:17" hidden="1">
      <c r="B291" s="370">
        <v>253</v>
      </c>
      <c r="C291" s="4" t="s">
        <v>994</v>
      </c>
      <c r="D291" s="624">
        <v>10843187723</v>
      </c>
      <c r="E291" s="850" t="s">
        <v>37</v>
      </c>
      <c r="F291" s="850">
        <v>102</v>
      </c>
      <c r="G291" s="851">
        <v>46535</v>
      </c>
      <c r="H291" s="617" t="s">
        <v>337</v>
      </c>
      <c r="I291" s="375">
        <v>4000</v>
      </c>
      <c r="J291" s="687">
        <f ca="1">IF(B$1&gt;=الجدول3[[#This Row],[تاريخ الدفعة]],الجدول3[[#This Row],[مبلغ الدفعة]],0)</f>
        <v>0</v>
      </c>
      <c r="K291" s="373">
        <v>0</v>
      </c>
      <c r="L291" s="847"/>
      <c r="M291" s="879" t="str" cm="1">
        <f t="array" aca="1" ref="M29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91" s="848"/>
      <c r="O291" s="620">
        <f ca="1">الجدول3[[#This Row],[المدفوع]]-الجدول3[[#This Row],[المبلغ المستحق]]</f>
        <v>0</v>
      </c>
      <c r="P291" s="849"/>
      <c r="Q291" s="853"/>
    </row>
    <row r="292" spans="2:17" hidden="1">
      <c r="B292" s="369">
        <v>254</v>
      </c>
      <c r="C292" s="4" t="s">
        <v>994</v>
      </c>
      <c r="D292" s="624">
        <v>10843187723</v>
      </c>
      <c r="E292" s="850" t="s">
        <v>37</v>
      </c>
      <c r="F292" s="850">
        <v>102</v>
      </c>
      <c r="G292" s="851">
        <v>46566</v>
      </c>
      <c r="H292" s="617" t="s">
        <v>338</v>
      </c>
      <c r="I292" s="375">
        <v>4000</v>
      </c>
      <c r="J292" s="687">
        <f ca="1">IF(B$1&gt;=الجدول3[[#This Row],[تاريخ الدفعة]],الجدول3[[#This Row],[مبلغ الدفعة]],0)</f>
        <v>0</v>
      </c>
      <c r="K292" s="373">
        <v>0</v>
      </c>
      <c r="L292" s="847"/>
      <c r="M292" s="879" t="str" cm="1">
        <f t="array" aca="1" ref="M29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92" s="848"/>
      <c r="O292" s="620">
        <f ca="1">الجدول3[[#This Row],[المدفوع]]-الجدول3[[#This Row],[المبلغ المستحق]]</f>
        <v>0</v>
      </c>
      <c r="P292" s="849"/>
      <c r="Q292" s="853"/>
    </row>
    <row r="293" spans="2:17" hidden="1">
      <c r="B293" s="370">
        <v>255</v>
      </c>
      <c r="C293" s="4" t="s">
        <v>994</v>
      </c>
      <c r="D293" s="624">
        <v>10843187723</v>
      </c>
      <c r="E293" s="850" t="s">
        <v>37</v>
      </c>
      <c r="F293" s="850">
        <v>102</v>
      </c>
      <c r="G293" s="851">
        <v>46596</v>
      </c>
      <c r="H293" s="617" t="s">
        <v>339</v>
      </c>
      <c r="I293" s="375">
        <v>4000</v>
      </c>
      <c r="J293" s="687">
        <f ca="1">IF(B$1&gt;=الجدول3[[#This Row],[تاريخ الدفعة]],الجدول3[[#This Row],[مبلغ الدفعة]],0)</f>
        <v>0</v>
      </c>
      <c r="K293" s="846">
        <v>0</v>
      </c>
      <c r="L293" s="847"/>
      <c r="M293" s="879" t="str" cm="1">
        <f t="array" aca="1" ref="M29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93" s="848"/>
      <c r="O293" s="620">
        <f ca="1">الجدول3[[#This Row],[المدفوع]]-الجدول3[[#This Row],[المبلغ المستحق]]</f>
        <v>0</v>
      </c>
      <c r="P293" s="849"/>
      <c r="Q293" s="853"/>
    </row>
    <row r="294" spans="2:17" hidden="1">
      <c r="B294" s="369">
        <v>256</v>
      </c>
      <c r="C294" s="850" t="s">
        <v>1060</v>
      </c>
      <c r="D294" s="624">
        <v>10929387859</v>
      </c>
      <c r="E294" s="850" t="s">
        <v>947</v>
      </c>
      <c r="F294" s="850" t="s">
        <v>897</v>
      </c>
      <c r="G294" s="851">
        <v>46305</v>
      </c>
      <c r="H294" s="851" t="s">
        <v>331</v>
      </c>
      <c r="I294" s="375">
        <v>2000</v>
      </c>
      <c r="J294" s="687">
        <f ca="1">IF(B$1&gt;=الجدول3[[#This Row],[تاريخ الدفعة]],الجدول3[[#This Row],[مبلغ الدفعة]],0)</f>
        <v>2000</v>
      </c>
      <c r="K294" s="373">
        <v>2000</v>
      </c>
      <c r="L294" s="852">
        <v>46305</v>
      </c>
      <c r="M294" s="879" t="s">
        <v>41</v>
      </c>
      <c r="N294" s="848" t="s">
        <v>331</v>
      </c>
      <c r="O294" s="620">
        <f ca="1">الجدول3[[#This Row],[المدفوع]]-الجدول3[[#This Row],[المبلغ المستحق]]</f>
        <v>0</v>
      </c>
      <c r="P294" s="848"/>
      <c r="Q294" s="853"/>
    </row>
    <row r="295" spans="2:17" hidden="1">
      <c r="B295" s="370">
        <v>257</v>
      </c>
      <c r="C295" s="4" t="s">
        <v>1060</v>
      </c>
      <c r="D295" s="624">
        <v>10929387859</v>
      </c>
      <c r="E295" s="850" t="s">
        <v>947</v>
      </c>
      <c r="F295" s="850" t="s">
        <v>897</v>
      </c>
      <c r="G295" s="851">
        <v>46336</v>
      </c>
      <c r="H295" s="617" t="s">
        <v>332</v>
      </c>
      <c r="I295" s="375">
        <v>2000</v>
      </c>
      <c r="J295" s="687">
        <f ca="1">IF(B$1&gt;=الجدول3[[#This Row],[تاريخ الدفعة]],الجدول3[[#This Row],[مبلغ الدفعة]],0)</f>
        <v>0</v>
      </c>
      <c r="K295" s="846">
        <v>0</v>
      </c>
      <c r="L295" s="847"/>
      <c r="M295" s="879" t="str" cm="1">
        <f t="array" aca="1" ref="M29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95" s="848"/>
      <c r="O295" s="620">
        <f ca="1">الجدول3[[#This Row],[المدفوع]]-الجدول3[[#This Row],[المبلغ المستحق]]</f>
        <v>0</v>
      </c>
      <c r="P295" s="849"/>
      <c r="Q295" s="886"/>
    </row>
    <row r="296" spans="2:17" hidden="1">
      <c r="B296" s="369">
        <v>258</v>
      </c>
      <c r="C296" s="4" t="s">
        <v>1060</v>
      </c>
      <c r="D296" s="624">
        <v>10929387859</v>
      </c>
      <c r="E296" s="850" t="s">
        <v>947</v>
      </c>
      <c r="F296" s="850" t="s">
        <v>897</v>
      </c>
      <c r="G296" s="851">
        <v>46366</v>
      </c>
      <c r="H296" s="617" t="s">
        <v>333</v>
      </c>
      <c r="I296" s="375">
        <v>2000</v>
      </c>
      <c r="J296" s="687">
        <f ca="1">IF(B$1&gt;=الجدول3[[#This Row],[تاريخ الدفعة]],الجدول3[[#This Row],[مبلغ الدفعة]],0)</f>
        <v>0</v>
      </c>
      <c r="K296" s="846">
        <v>0</v>
      </c>
      <c r="L296" s="847"/>
      <c r="M296" s="879" t="str" cm="1">
        <f t="array" aca="1" ref="M29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296" s="848"/>
      <c r="O296" s="620">
        <f ca="1">الجدول3[[#This Row],[المدفوع]]-الجدول3[[#This Row],[المبلغ المستحق]]</f>
        <v>0</v>
      </c>
      <c r="P296" s="849"/>
      <c r="Q296" s="886"/>
    </row>
    <row r="297" spans="2:17" hidden="1">
      <c r="B297" s="370">
        <v>259</v>
      </c>
      <c r="C297" s="881" t="s">
        <v>81</v>
      </c>
      <c r="D297" s="882">
        <v>10857273361</v>
      </c>
      <c r="E297" s="369" t="s">
        <v>28</v>
      </c>
      <c r="F297" s="369">
        <v>102</v>
      </c>
      <c r="G297" s="617">
        <v>45757</v>
      </c>
      <c r="H297" s="617" t="s">
        <v>143</v>
      </c>
      <c r="I297" s="883">
        <v>3500</v>
      </c>
      <c r="J297" s="687">
        <f ca="1">IF(B$1&gt;=الجدول3[[#This Row],[تاريخ الدفعة]],الجدول3[[#This Row],[مبلغ الدفعة]],0)</f>
        <v>3500</v>
      </c>
      <c r="K297" s="883">
        <v>3500</v>
      </c>
      <c r="L297" s="908">
        <v>45756</v>
      </c>
      <c r="M297" s="369" t="s">
        <v>164</v>
      </c>
      <c r="N297" s="909" t="s">
        <v>143</v>
      </c>
      <c r="O297" s="620">
        <f ca="1">الجدول3[[#This Row],[المدفوع]]-الجدول3[[#This Row],[المبلغ المستحق]]</f>
        <v>0</v>
      </c>
      <c r="P297" s="621"/>
      <c r="Q297" s="733"/>
    </row>
    <row r="298" spans="2:17" hidden="1">
      <c r="B298" s="369">
        <v>260</v>
      </c>
      <c r="C298" s="881" t="s">
        <v>1014</v>
      </c>
      <c r="D298" s="882">
        <v>10961328891</v>
      </c>
      <c r="E298" s="369" t="s">
        <v>1015</v>
      </c>
      <c r="F298" s="369">
        <v>102</v>
      </c>
      <c r="G298" s="617">
        <v>45953</v>
      </c>
      <c r="H298" s="617" t="s">
        <v>259</v>
      </c>
      <c r="I298" s="883">
        <v>4000</v>
      </c>
      <c r="J298" s="687">
        <f ca="1">IF(B$1&gt;=الجدول3[[#This Row],[تاريخ الدفعة]],الجدول3[[#This Row],[مبلغ الدفعة]],0)</f>
        <v>4000</v>
      </c>
      <c r="K298" s="883">
        <v>4000</v>
      </c>
      <c r="L298" s="617">
        <v>45973</v>
      </c>
      <c r="M298" s="369" t="s">
        <v>164</v>
      </c>
      <c r="N298" s="909" t="s">
        <v>263</v>
      </c>
      <c r="O298" s="620">
        <f ca="1">الجدول3[[#This Row],[المدفوع]]-الجدول3[[#This Row],[المبلغ المستحق]]</f>
        <v>0</v>
      </c>
      <c r="P298" s="621"/>
      <c r="Q298" s="733"/>
    </row>
    <row r="299" spans="2:17" hidden="1">
      <c r="B299" s="370">
        <v>261</v>
      </c>
      <c r="C299" s="881" t="s">
        <v>81</v>
      </c>
      <c r="D299" s="882">
        <v>10857273361</v>
      </c>
      <c r="E299" s="369" t="s">
        <v>28</v>
      </c>
      <c r="F299" s="369">
        <v>102</v>
      </c>
      <c r="G299" s="617">
        <v>45787</v>
      </c>
      <c r="H299" s="617" t="s">
        <v>74</v>
      </c>
      <c r="I299" s="883">
        <v>3500</v>
      </c>
      <c r="J299" s="687">
        <f ca="1">IF(B$1&gt;=الجدول3[[#This Row],[تاريخ الدفعة]],الجدول3[[#This Row],[مبلغ الدفعة]],0)</f>
        <v>3500</v>
      </c>
      <c r="K299" s="883">
        <v>3500</v>
      </c>
      <c r="L299" s="910">
        <v>45789</v>
      </c>
      <c r="M299" s="369" t="s">
        <v>164</v>
      </c>
      <c r="N299" s="909" t="s">
        <v>74</v>
      </c>
      <c r="O299" s="620">
        <f ca="1">الجدول3[[#This Row],[المدفوع]]-الجدول3[[#This Row],[المبلغ المستحق]]</f>
        <v>0</v>
      </c>
      <c r="P299" s="621"/>
      <c r="Q299" s="733"/>
    </row>
    <row r="300" spans="2:17" hidden="1">
      <c r="B300" s="369">
        <v>262</v>
      </c>
      <c r="C300" s="881" t="s">
        <v>81</v>
      </c>
      <c r="D300" s="882">
        <v>10857273361</v>
      </c>
      <c r="E300" s="369" t="s">
        <v>28</v>
      </c>
      <c r="F300" s="369">
        <v>102</v>
      </c>
      <c r="G300" s="617">
        <v>45818</v>
      </c>
      <c r="H300" s="617" t="s">
        <v>145</v>
      </c>
      <c r="I300" s="883">
        <v>3500</v>
      </c>
      <c r="J300" s="687">
        <f ca="1">IF(B$1&gt;=الجدول3[[#This Row],[تاريخ الدفعة]],الجدول3[[#This Row],[مبلغ الدفعة]],0)</f>
        <v>3500</v>
      </c>
      <c r="K300" s="883">
        <v>3500</v>
      </c>
      <c r="L300" s="910">
        <v>45821</v>
      </c>
      <c r="M300" s="369" t="s">
        <v>164</v>
      </c>
      <c r="N300" s="909" t="s">
        <v>145</v>
      </c>
      <c r="O300" s="620">
        <f ca="1">الجدول3[[#This Row],[المدفوع]]-الجدول3[[#This Row],[المبلغ المستحق]]</f>
        <v>0</v>
      </c>
      <c r="P300" s="621"/>
      <c r="Q300" s="733"/>
    </row>
    <row r="301" spans="2:17" hidden="1">
      <c r="B301" s="370">
        <v>263</v>
      </c>
      <c r="C301" s="881" t="s">
        <v>81</v>
      </c>
      <c r="D301" s="882">
        <v>10857273361</v>
      </c>
      <c r="E301" s="369" t="s">
        <v>28</v>
      </c>
      <c r="F301" s="369">
        <v>102</v>
      </c>
      <c r="G301" s="617">
        <v>45848</v>
      </c>
      <c r="H301" s="617" t="s">
        <v>146</v>
      </c>
      <c r="I301" s="883">
        <v>3500</v>
      </c>
      <c r="J301" s="687">
        <f ca="1">IF(B$1&gt;=الجدول3[[#This Row],[تاريخ الدفعة]],الجدول3[[#This Row],[مبلغ الدفعة]],0)</f>
        <v>3500</v>
      </c>
      <c r="K301" s="883">
        <v>3500</v>
      </c>
      <c r="L301" s="910">
        <v>45856</v>
      </c>
      <c r="M301" s="369" t="s">
        <v>164</v>
      </c>
      <c r="N301" s="909" t="s">
        <v>146</v>
      </c>
      <c r="O301" s="620">
        <f ca="1">الجدول3[[#This Row],[المدفوع]]-الجدول3[[#This Row],[المبلغ المستحق]]</f>
        <v>0</v>
      </c>
      <c r="P301" s="621"/>
      <c r="Q301" s="733"/>
    </row>
    <row r="302" spans="2:17" hidden="1">
      <c r="B302" s="369">
        <v>264</v>
      </c>
      <c r="C302" s="881" t="s">
        <v>81</v>
      </c>
      <c r="D302" s="882">
        <v>10857273361</v>
      </c>
      <c r="E302" s="369" t="s">
        <v>28</v>
      </c>
      <c r="F302" s="369">
        <v>102</v>
      </c>
      <c r="G302" s="617">
        <v>45879</v>
      </c>
      <c r="H302" s="617" t="s">
        <v>147</v>
      </c>
      <c r="I302" s="883">
        <v>3500</v>
      </c>
      <c r="J302" s="687">
        <f ca="1">IF(B$1&gt;=الجدول3[[#This Row],[تاريخ الدفعة]],الجدول3[[#This Row],[مبلغ الدفعة]],0)</f>
        <v>3500</v>
      </c>
      <c r="K302" s="883">
        <v>3500</v>
      </c>
      <c r="L302" s="910">
        <v>45882</v>
      </c>
      <c r="M302" s="369" t="s">
        <v>164</v>
      </c>
      <c r="N302" s="909" t="s">
        <v>147</v>
      </c>
      <c r="O302" s="620">
        <f ca="1">الجدول3[[#This Row],[المدفوع]]-الجدول3[[#This Row],[المبلغ المستحق]]</f>
        <v>0</v>
      </c>
      <c r="P302" s="621"/>
      <c r="Q302" s="733"/>
    </row>
    <row r="303" spans="2:17" hidden="1">
      <c r="B303" s="370">
        <v>265</v>
      </c>
      <c r="C303" s="881" t="s">
        <v>81</v>
      </c>
      <c r="D303" s="882">
        <v>10857273361</v>
      </c>
      <c r="E303" s="369" t="s">
        <v>28</v>
      </c>
      <c r="F303" s="369">
        <v>102</v>
      </c>
      <c r="G303" s="617">
        <v>45910</v>
      </c>
      <c r="H303" s="617" t="s">
        <v>165</v>
      </c>
      <c r="I303" s="883">
        <v>3500</v>
      </c>
      <c r="J303" s="687">
        <f ca="1">IF(B$1&gt;=الجدول3[[#This Row],[تاريخ الدفعة]],الجدول3[[#This Row],[مبلغ الدفعة]],0)</f>
        <v>3500</v>
      </c>
      <c r="K303" s="883">
        <v>3500</v>
      </c>
      <c r="L303" s="910">
        <v>45910</v>
      </c>
      <c r="M303" s="369" t="s">
        <v>164</v>
      </c>
      <c r="N303" s="909" t="s">
        <v>165</v>
      </c>
      <c r="O303" s="620">
        <f ca="1">الجدول3[[#This Row],[المدفوع]]-الجدول3[[#This Row],[المبلغ المستحق]]</f>
        <v>0</v>
      </c>
      <c r="P303" s="621"/>
      <c r="Q303" s="733"/>
    </row>
    <row r="304" spans="2:17" hidden="1">
      <c r="B304" s="369">
        <v>266</v>
      </c>
      <c r="C304" s="881" t="s">
        <v>81</v>
      </c>
      <c r="D304" s="882">
        <v>10857273361</v>
      </c>
      <c r="E304" s="369" t="s">
        <v>28</v>
      </c>
      <c r="F304" s="369">
        <v>102</v>
      </c>
      <c r="G304" s="617">
        <v>45940</v>
      </c>
      <c r="H304" s="617" t="s">
        <v>259</v>
      </c>
      <c r="I304" s="883">
        <v>3500</v>
      </c>
      <c r="J304" s="687">
        <f ca="1">IF(B$1&gt;=الجدول3[[#This Row],[تاريخ الدفعة]],الجدول3[[#This Row],[مبلغ الدفعة]],0)</f>
        <v>3500</v>
      </c>
      <c r="K304" s="883">
        <v>3500</v>
      </c>
      <c r="L304" s="617">
        <v>45951</v>
      </c>
      <c r="M304" s="369" t="s">
        <v>164</v>
      </c>
      <c r="N304" s="909" t="s">
        <v>259</v>
      </c>
      <c r="O304" s="620">
        <f ca="1">الجدول3[[#This Row],[المدفوع]]-الجدول3[[#This Row],[المبلغ المستحق]]</f>
        <v>0</v>
      </c>
      <c r="P304" s="621"/>
      <c r="Q304" s="733"/>
    </row>
    <row r="305" spans="2:17" hidden="1">
      <c r="B305" s="370">
        <v>267</v>
      </c>
      <c r="C305" s="881" t="s">
        <v>81</v>
      </c>
      <c r="D305" s="882">
        <v>10857273361</v>
      </c>
      <c r="E305" s="369" t="s">
        <v>28</v>
      </c>
      <c r="F305" s="369">
        <v>102</v>
      </c>
      <c r="G305" s="617">
        <v>45971</v>
      </c>
      <c r="H305" s="617" t="s">
        <v>263</v>
      </c>
      <c r="I305" s="883">
        <v>3500</v>
      </c>
      <c r="J305" s="687">
        <f ca="1">IF(B$1&gt;=الجدول3[[#This Row],[تاريخ الدفعة]],الجدول3[[#This Row],[مبلغ الدفعة]],0)</f>
        <v>3500</v>
      </c>
      <c r="K305" s="883">
        <v>3500</v>
      </c>
      <c r="L305" s="617">
        <v>45973</v>
      </c>
      <c r="M305" s="369" t="s">
        <v>164</v>
      </c>
      <c r="N305" s="909" t="s">
        <v>263</v>
      </c>
      <c r="O305" s="620">
        <f ca="1">الجدول3[[#This Row],[المدفوع]]-الجدول3[[#This Row],[المبلغ المستحق]]</f>
        <v>0</v>
      </c>
      <c r="P305" s="621"/>
      <c r="Q305" s="733"/>
    </row>
    <row r="306" spans="2:17" hidden="1">
      <c r="B306" s="369">
        <v>268</v>
      </c>
      <c r="C306" s="881" t="s">
        <v>81</v>
      </c>
      <c r="D306" s="882">
        <v>10857273361</v>
      </c>
      <c r="E306" s="369" t="s">
        <v>28</v>
      </c>
      <c r="F306" s="369">
        <v>102</v>
      </c>
      <c r="G306" s="617">
        <v>46001</v>
      </c>
      <c r="H306" s="617" t="s">
        <v>262</v>
      </c>
      <c r="I306" s="883">
        <v>3500</v>
      </c>
      <c r="J306" s="687">
        <f ca="1">IF(B$1&gt;=الجدول3[[#This Row],[تاريخ الدفعة]],الجدول3[[#This Row],[مبلغ الدفعة]],0)</f>
        <v>3500</v>
      </c>
      <c r="K306" s="883">
        <v>3500</v>
      </c>
      <c r="L306" s="617">
        <v>46010</v>
      </c>
      <c r="M306" s="369" t="s">
        <v>164</v>
      </c>
      <c r="N306" s="909" t="s">
        <v>262</v>
      </c>
      <c r="O306" s="620">
        <f ca="1">الجدول3[[#This Row],[المدفوع]]-الجدول3[[#This Row],[المبلغ المستحق]]</f>
        <v>0</v>
      </c>
      <c r="P306" s="621"/>
      <c r="Q306" s="733"/>
    </row>
    <row r="307" spans="2:17" hidden="1">
      <c r="B307" s="370">
        <v>269</v>
      </c>
      <c r="C307" s="881" t="s">
        <v>81</v>
      </c>
      <c r="D307" s="882">
        <v>10857273361</v>
      </c>
      <c r="E307" s="369" t="s">
        <v>28</v>
      </c>
      <c r="F307" s="369">
        <v>102</v>
      </c>
      <c r="G307" s="617">
        <v>46032</v>
      </c>
      <c r="H307" s="617" t="s">
        <v>270</v>
      </c>
      <c r="I307" s="883">
        <v>3500</v>
      </c>
      <c r="J307" s="687">
        <f ca="1">IF(B$1&gt;=الجدول3[[#This Row],[تاريخ الدفعة]],الجدول3[[#This Row],[مبلغ الدفعة]],0)</f>
        <v>3500</v>
      </c>
      <c r="K307" s="883">
        <v>3500</v>
      </c>
      <c r="L307" s="617">
        <v>46045</v>
      </c>
      <c r="M307" s="369" t="s">
        <v>164</v>
      </c>
      <c r="N307" s="909" t="s">
        <v>270</v>
      </c>
      <c r="O307" s="620">
        <f ca="1">الجدول3[[#This Row],[المدفوع]]-الجدول3[[#This Row],[المبلغ المستحق]]</f>
        <v>0</v>
      </c>
      <c r="P307" s="621"/>
      <c r="Q307" s="733"/>
    </row>
    <row r="308" spans="2:17" hidden="1">
      <c r="B308" s="369">
        <v>270</v>
      </c>
      <c r="C308" s="881" t="s">
        <v>81</v>
      </c>
      <c r="D308" s="882">
        <v>10857273361</v>
      </c>
      <c r="E308" s="369" t="s">
        <v>28</v>
      </c>
      <c r="F308" s="369">
        <v>102</v>
      </c>
      <c r="G308" s="617">
        <v>46063</v>
      </c>
      <c r="H308" s="617" t="s">
        <v>271</v>
      </c>
      <c r="I308" s="883">
        <v>3500</v>
      </c>
      <c r="J308" s="687">
        <f ca="1">IF(B$1&gt;=الجدول3[[#This Row],[تاريخ الدفعة]],الجدول3[[#This Row],[مبلغ الدفعة]],0)</f>
        <v>3500</v>
      </c>
      <c r="K308" s="883">
        <v>3500</v>
      </c>
      <c r="L308" s="617">
        <v>46086</v>
      </c>
      <c r="M308" s="369" t="s">
        <v>164</v>
      </c>
      <c r="N308" s="621" t="s">
        <v>271</v>
      </c>
      <c r="O308" s="620">
        <f ca="1">الجدول3[[#This Row],[المدفوع]]-الجدول3[[#This Row],[المبلغ المستحق]]</f>
        <v>0</v>
      </c>
      <c r="P308" s="621"/>
      <c r="Q308" s="733"/>
    </row>
    <row r="309" spans="2:17" hidden="1">
      <c r="B309" s="370">
        <v>271</v>
      </c>
      <c r="C309" s="881" t="s">
        <v>81</v>
      </c>
      <c r="D309" s="882">
        <v>10857273361</v>
      </c>
      <c r="E309" s="369" t="s">
        <v>28</v>
      </c>
      <c r="F309" s="369">
        <v>102</v>
      </c>
      <c r="G309" s="617">
        <v>46091</v>
      </c>
      <c r="H309" s="617" t="s">
        <v>272</v>
      </c>
      <c r="I309" s="883">
        <v>3500</v>
      </c>
      <c r="J309" s="687">
        <f ca="1">IF(B$1&gt;=الجدول3[[#This Row],[تاريخ الدفعة]],الجدول3[[#This Row],[مبلغ الدفعة]],0)</f>
        <v>3500</v>
      </c>
      <c r="K309" s="883">
        <v>3500</v>
      </c>
      <c r="L309" s="617">
        <v>46117</v>
      </c>
      <c r="M309" s="369" t="s">
        <v>164</v>
      </c>
      <c r="N309" s="621" t="s">
        <v>272</v>
      </c>
      <c r="O309" s="620">
        <f ca="1">الجدول3[[#This Row],[المدفوع]]-الجدول3[[#This Row],[المبلغ المستحق]]</f>
        <v>0</v>
      </c>
      <c r="P309" s="621"/>
      <c r="Q309" s="733"/>
    </row>
    <row r="310" spans="2:17" hidden="1">
      <c r="B310" s="369">
        <v>272</v>
      </c>
      <c r="C310" s="881" t="s">
        <v>1016</v>
      </c>
      <c r="D310" s="882">
        <v>10372736628</v>
      </c>
      <c r="E310" s="369" t="s">
        <v>29</v>
      </c>
      <c r="F310" s="369">
        <v>102</v>
      </c>
      <c r="G310" s="888">
        <v>45920</v>
      </c>
      <c r="H310" s="617" t="s">
        <v>165</v>
      </c>
      <c r="I310" s="883">
        <v>3000</v>
      </c>
      <c r="J310" s="687">
        <f ca="1">IF(B$1&gt;=الجدول3[[#This Row],[تاريخ الدفعة]],الجدول3[[#This Row],[مبلغ الدفعة]],0)</f>
        <v>3000</v>
      </c>
      <c r="K310" s="911">
        <v>3000</v>
      </c>
      <c r="L310" s="908">
        <v>45925</v>
      </c>
      <c r="M310" s="369" t="s">
        <v>164</v>
      </c>
      <c r="N310" s="909" t="s">
        <v>165</v>
      </c>
      <c r="O310" s="620">
        <f ca="1">الجدول3[[#This Row],[المدفوع]]-الجدول3[[#This Row],[المبلغ المستحق]]</f>
        <v>0</v>
      </c>
      <c r="P310" s="621"/>
      <c r="Q310" s="733" t="s">
        <v>1061</v>
      </c>
    </row>
    <row r="311" spans="2:17" hidden="1">
      <c r="B311" s="370">
        <v>273</v>
      </c>
      <c r="C311" s="881" t="s">
        <v>1016</v>
      </c>
      <c r="D311" s="882">
        <v>10372736628</v>
      </c>
      <c r="E311" s="369" t="s">
        <v>29</v>
      </c>
      <c r="F311" s="369">
        <v>102</v>
      </c>
      <c r="G311" s="888">
        <v>45950</v>
      </c>
      <c r="H311" s="617" t="s">
        <v>259</v>
      </c>
      <c r="I311" s="883">
        <v>3000</v>
      </c>
      <c r="J311" s="687">
        <f ca="1">IF(B$1&gt;=الجدول3[[#This Row],[تاريخ الدفعة]],الجدول3[[#This Row],[مبلغ الدفعة]],0)</f>
        <v>3000</v>
      </c>
      <c r="K311" s="883">
        <v>3000</v>
      </c>
      <c r="L311" s="617">
        <v>45959</v>
      </c>
      <c r="M311" s="369" t="s">
        <v>164</v>
      </c>
      <c r="N311" s="909" t="s">
        <v>259</v>
      </c>
      <c r="O311" s="620">
        <f ca="1">الجدول3[[#This Row],[المدفوع]]-الجدول3[[#This Row],[المبلغ المستحق]]</f>
        <v>0</v>
      </c>
      <c r="P311" s="621"/>
      <c r="Q311" s="733" t="s">
        <v>1061</v>
      </c>
    </row>
    <row r="312" spans="2:17" hidden="1">
      <c r="B312" s="369">
        <v>274</v>
      </c>
      <c r="C312" s="881" t="s">
        <v>1016</v>
      </c>
      <c r="D312" s="882">
        <v>10372736628</v>
      </c>
      <c r="E312" s="369" t="s">
        <v>29</v>
      </c>
      <c r="F312" s="369">
        <v>102</v>
      </c>
      <c r="G312" s="888">
        <v>45981</v>
      </c>
      <c r="H312" s="617" t="s">
        <v>263</v>
      </c>
      <c r="I312" s="883">
        <v>3000</v>
      </c>
      <c r="J312" s="687">
        <f ca="1">IF(B$1&gt;=الجدول3[[#This Row],[تاريخ الدفعة]],الجدول3[[#This Row],[مبلغ الدفعة]],0)</f>
        <v>3000</v>
      </c>
      <c r="K312" s="883">
        <v>3000</v>
      </c>
      <c r="L312" s="617">
        <v>45988</v>
      </c>
      <c r="M312" s="369" t="s">
        <v>164</v>
      </c>
      <c r="N312" s="909" t="s">
        <v>263</v>
      </c>
      <c r="O312" s="620">
        <f ca="1">الجدول3[[#This Row],[المدفوع]]-الجدول3[[#This Row],[المبلغ المستحق]]</f>
        <v>0</v>
      </c>
      <c r="P312" s="621"/>
      <c r="Q312" s="733" t="s">
        <v>1061</v>
      </c>
    </row>
    <row r="313" spans="2:17" hidden="1">
      <c r="B313" s="370">
        <v>275</v>
      </c>
      <c r="C313" s="881" t="s">
        <v>1016</v>
      </c>
      <c r="D313" s="882">
        <v>10372736628</v>
      </c>
      <c r="E313" s="369" t="s">
        <v>29</v>
      </c>
      <c r="F313" s="369">
        <v>102</v>
      </c>
      <c r="G313" s="888">
        <v>46011</v>
      </c>
      <c r="H313" s="617" t="s">
        <v>963</v>
      </c>
      <c r="I313" s="883">
        <v>3000</v>
      </c>
      <c r="J313" s="687">
        <f ca="1">IF(B$1&gt;=الجدول3[[#This Row],[تاريخ الدفعة]],الجدول3[[#This Row],[مبلغ الدفعة]],0)</f>
        <v>3000</v>
      </c>
      <c r="K313" s="883">
        <v>0</v>
      </c>
      <c r="L313" s="617">
        <v>0</v>
      </c>
      <c r="M313" s="369" t="s">
        <v>329</v>
      </c>
      <c r="N313" s="621"/>
      <c r="O313" s="620">
        <f ca="1">الجدول3[[#This Row],[المدفوع]]-الجدول3[[#This Row],[المبلغ المستحق]]</f>
        <v>-3000</v>
      </c>
      <c r="P313" s="621"/>
      <c r="Q313" s="733" t="s">
        <v>1061</v>
      </c>
    </row>
    <row r="314" spans="2:17" hidden="1">
      <c r="B314" s="369">
        <v>276</v>
      </c>
      <c r="C314" s="881" t="s">
        <v>1016</v>
      </c>
      <c r="D314" s="882">
        <v>10372736628</v>
      </c>
      <c r="E314" s="369" t="s">
        <v>29</v>
      </c>
      <c r="F314" s="369">
        <v>102</v>
      </c>
      <c r="G314" s="888">
        <v>46042</v>
      </c>
      <c r="H314" s="617" t="s">
        <v>963</v>
      </c>
      <c r="I314" s="883">
        <v>3000</v>
      </c>
      <c r="J314" s="687">
        <f ca="1">IF(B$1&gt;=الجدول3[[#This Row],[تاريخ الدفعة]],الجدول3[[#This Row],[مبلغ الدفعة]],0)</f>
        <v>3000</v>
      </c>
      <c r="K314" s="883">
        <v>0</v>
      </c>
      <c r="L314" s="617">
        <v>0</v>
      </c>
      <c r="M314" s="369" t="s">
        <v>329</v>
      </c>
      <c r="N314" s="621"/>
      <c r="O314" s="620">
        <f ca="1">الجدول3[[#This Row],[المدفوع]]-الجدول3[[#This Row],[المبلغ المستحق]]</f>
        <v>-3000</v>
      </c>
      <c r="P314" s="621"/>
      <c r="Q314" s="733" t="s">
        <v>1061</v>
      </c>
    </row>
    <row r="315" spans="2:17" hidden="1">
      <c r="B315" s="370">
        <v>277</v>
      </c>
      <c r="C315" s="881" t="s">
        <v>1016</v>
      </c>
      <c r="D315" s="882">
        <v>10372736628</v>
      </c>
      <c r="E315" s="369" t="s">
        <v>29</v>
      </c>
      <c r="F315" s="369">
        <v>102</v>
      </c>
      <c r="G315" s="888">
        <v>46073</v>
      </c>
      <c r="H315" s="617" t="s">
        <v>963</v>
      </c>
      <c r="I315" s="883">
        <v>3000</v>
      </c>
      <c r="J315" s="687">
        <f ca="1">IF(B$1&gt;=الجدول3[[#This Row],[تاريخ الدفعة]],الجدول3[[#This Row],[مبلغ الدفعة]],0)</f>
        <v>3000</v>
      </c>
      <c r="K315" s="883">
        <v>0</v>
      </c>
      <c r="L315" s="617">
        <v>0</v>
      </c>
      <c r="M315" s="369" t="s">
        <v>329</v>
      </c>
      <c r="N315" s="621"/>
      <c r="O315" s="620">
        <f ca="1">الجدول3[[#This Row],[المدفوع]]-الجدول3[[#This Row],[المبلغ المستحق]]</f>
        <v>-3000</v>
      </c>
      <c r="P315" s="621"/>
      <c r="Q315" s="733" t="s">
        <v>1061</v>
      </c>
    </row>
    <row r="316" spans="2:17" hidden="1">
      <c r="B316" s="369">
        <v>278</v>
      </c>
      <c r="C316" s="881" t="s">
        <v>1016</v>
      </c>
      <c r="D316" s="882">
        <v>10372736628</v>
      </c>
      <c r="E316" s="369" t="s">
        <v>29</v>
      </c>
      <c r="F316" s="369">
        <v>102</v>
      </c>
      <c r="G316" s="888">
        <v>46101</v>
      </c>
      <c r="H316" s="617" t="s">
        <v>963</v>
      </c>
      <c r="I316" s="883">
        <v>3000</v>
      </c>
      <c r="J316" s="687">
        <f ca="1">IF(B$1&gt;=الجدول3[[#This Row],[تاريخ الدفعة]],الجدول3[[#This Row],[مبلغ الدفعة]],0)</f>
        <v>3000</v>
      </c>
      <c r="K316" s="883">
        <v>0</v>
      </c>
      <c r="L316" s="617">
        <v>0</v>
      </c>
      <c r="M316" s="369" t="s">
        <v>329</v>
      </c>
      <c r="N316" s="621"/>
      <c r="O316" s="620">
        <f ca="1">الجدول3[[#This Row],[المدفوع]]-الجدول3[[#This Row],[المبلغ المستحق]]</f>
        <v>-3000</v>
      </c>
      <c r="P316" s="621"/>
      <c r="Q316" s="733" t="s">
        <v>1061</v>
      </c>
    </row>
    <row r="317" spans="2:17" hidden="1">
      <c r="B317" s="370">
        <v>279</v>
      </c>
      <c r="C317" s="881" t="s">
        <v>1016</v>
      </c>
      <c r="D317" s="882">
        <v>10372736628</v>
      </c>
      <c r="E317" s="369" t="s">
        <v>29</v>
      </c>
      <c r="F317" s="369">
        <v>102</v>
      </c>
      <c r="G317" s="888">
        <v>46132</v>
      </c>
      <c r="H317" s="617" t="s">
        <v>963</v>
      </c>
      <c r="I317" s="883">
        <v>3000</v>
      </c>
      <c r="J317" s="687">
        <f ca="1">IF(B$1&gt;=الجدول3[[#This Row],[تاريخ الدفعة]],الجدول3[[#This Row],[مبلغ الدفعة]],0)</f>
        <v>3000</v>
      </c>
      <c r="K317" s="883">
        <v>0</v>
      </c>
      <c r="L317" s="617">
        <v>0</v>
      </c>
      <c r="M317" s="369" t="s">
        <v>329</v>
      </c>
      <c r="N317" s="621"/>
      <c r="O317" s="620">
        <f ca="1">الجدول3[[#This Row],[المدفوع]]-الجدول3[[#This Row],[المبلغ المستحق]]</f>
        <v>-3000</v>
      </c>
      <c r="P317" s="621"/>
      <c r="Q317" s="733" t="s">
        <v>1061</v>
      </c>
    </row>
    <row r="318" spans="2:17" hidden="1">
      <c r="B318" s="369">
        <v>280</v>
      </c>
      <c r="C318" s="881" t="s">
        <v>1016</v>
      </c>
      <c r="D318" s="882">
        <v>10372736628</v>
      </c>
      <c r="E318" s="369" t="s">
        <v>29</v>
      </c>
      <c r="F318" s="369">
        <v>102</v>
      </c>
      <c r="G318" s="888">
        <v>46162</v>
      </c>
      <c r="H318" s="617" t="s">
        <v>963</v>
      </c>
      <c r="I318" s="883">
        <v>3000</v>
      </c>
      <c r="J318" s="687">
        <f ca="1">IF(B$1&gt;=الجدول3[[#This Row],[تاريخ الدفعة]],الجدول3[[#This Row],[مبلغ الدفعة]],0)</f>
        <v>3000</v>
      </c>
      <c r="K318" s="883">
        <v>0</v>
      </c>
      <c r="L318" s="617">
        <v>0</v>
      </c>
      <c r="M318" s="369" t="s">
        <v>329</v>
      </c>
      <c r="N318" s="621"/>
      <c r="O318" s="620">
        <f ca="1">الجدول3[[#This Row],[المدفوع]]-الجدول3[[#This Row],[المبلغ المستحق]]</f>
        <v>-3000</v>
      </c>
      <c r="P318" s="621"/>
      <c r="Q318" s="733" t="s">
        <v>1061</v>
      </c>
    </row>
    <row r="319" spans="2:17" hidden="1">
      <c r="B319" s="370">
        <v>281</v>
      </c>
      <c r="C319" s="881" t="s">
        <v>1016</v>
      </c>
      <c r="D319" s="882">
        <v>10372736628</v>
      </c>
      <c r="E319" s="369" t="s">
        <v>29</v>
      </c>
      <c r="F319" s="369">
        <v>102</v>
      </c>
      <c r="G319" s="888">
        <v>46193</v>
      </c>
      <c r="H319" s="617" t="s">
        <v>963</v>
      </c>
      <c r="I319" s="883">
        <v>3000</v>
      </c>
      <c r="J319" s="687">
        <f ca="1">IF(B$1&gt;=الجدول3[[#This Row],[تاريخ الدفعة]],الجدول3[[#This Row],[مبلغ الدفعة]],0)</f>
        <v>3000</v>
      </c>
      <c r="K319" s="883">
        <v>0</v>
      </c>
      <c r="L319" s="617">
        <v>0</v>
      </c>
      <c r="M319" s="369" t="s">
        <v>329</v>
      </c>
      <c r="N319" s="621"/>
      <c r="O319" s="620">
        <f ca="1">الجدول3[[#This Row],[المدفوع]]-الجدول3[[#This Row],[المبلغ المستحق]]</f>
        <v>-3000</v>
      </c>
      <c r="P319" s="621"/>
      <c r="Q319" s="733" t="s">
        <v>1061</v>
      </c>
    </row>
    <row r="320" spans="2:17" hidden="1">
      <c r="B320" s="369">
        <v>282</v>
      </c>
      <c r="C320" s="881" t="s">
        <v>1016</v>
      </c>
      <c r="D320" s="882">
        <v>10372736628</v>
      </c>
      <c r="E320" s="369" t="s">
        <v>29</v>
      </c>
      <c r="F320" s="369">
        <v>102</v>
      </c>
      <c r="G320" s="888">
        <v>46223</v>
      </c>
      <c r="H320" s="617" t="s">
        <v>963</v>
      </c>
      <c r="I320" s="883">
        <v>3000</v>
      </c>
      <c r="J320" s="687">
        <f ca="1">IF(B$1&gt;=الجدول3[[#This Row],[تاريخ الدفعة]],الجدول3[[#This Row],[مبلغ الدفعة]],0)</f>
        <v>3000</v>
      </c>
      <c r="K320" s="883">
        <v>0</v>
      </c>
      <c r="L320" s="617">
        <v>0</v>
      </c>
      <c r="M320" s="369" t="s">
        <v>329</v>
      </c>
      <c r="N320" s="621"/>
      <c r="O320" s="620">
        <f ca="1">الجدول3[[#This Row],[المدفوع]]-الجدول3[[#This Row],[المبلغ المستحق]]</f>
        <v>-3000</v>
      </c>
      <c r="P320" s="621"/>
      <c r="Q320" s="733" t="s">
        <v>1061</v>
      </c>
    </row>
    <row r="321" spans="2:17" hidden="1">
      <c r="B321" s="370">
        <v>283</v>
      </c>
      <c r="C321" s="881" t="s">
        <v>1016</v>
      </c>
      <c r="D321" s="882">
        <v>10372736628</v>
      </c>
      <c r="E321" s="369" t="s">
        <v>29</v>
      </c>
      <c r="F321" s="369">
        <v>102</v>
      </c>
      <c r="G321" s="888">
        <v>46254</v>
      </c>
      <c r="H321" s="617" t="s">
        <v>963</v>
      </c>
      <c r="I321" s="883">
        <v>3000</v>
      </c>
      <c r="J321" s="687">
        <f ca="1">IF(B$1&gt;=الجدول3[[#This Row],[تاريخ الدفعة]],الجدول3[[#This Row],[مبلغ الدفعة]],0)</f>
        <v>3000</v>
      </c>
      <c r="K321" s="883">
        <v>0</v>
      </c>
      <c r="L321" s="617">
        <v>0</v>
      </c>
      <c r="M321" s="369" t="s">
        <v>329</v>
      </c>
      <c r="N321" s="621"/>
      <c r="O321" s="620">
        <f ca="1">الجدول3[[#This Row],[المدفوع]]-الجدول3[[#This Row],[المبلغ المستحق]]</f>
        <v>-3000</v>
      </c>
      <c r="P321" s="621"/>
      <c r="Q321" s="733" t="s">
        <v>1061</v>
      </c>
    </row>
    <row r="322" spans="2:17" hidden="1">
      <c r="B322" s="369">
        <v>284</v>
      </c>
      <c r="C322" s="881" t="s">
        <v>1017</v>
      </c>
      <c r="D322" s="369">
        <v>10442690717</v>
      </c>
      <c r="E322" s="369" t="s">
        <v>30</v>
      </c>
      <c r="F322" s="369">
        <v>102</v>
      </c>
      <c r="G322" s="617">
        <v>45921</v>
      </c>
      <c r="H322" s="617" t="s">
        <v>165</v>
      </c>
      <c r="I322" s="883">
        <v>4000</v>
      </c>
      <c r="J322" s="687">
        <f ca="1">IF(B$1&gt;=الجدول3[[#This Row],[تاريخ الدفعة]],الجدول3[[#This Row],[مبلغ الدفعة]],0)</f>
        <v>4000</v>
      </c>
      <c r="K322" s="883">
        <v>4000</v>
      </c>
      <c r="L322" s="617">
        <v>45921</v>
      </c>
      <c r="M322" s="369" t="s">
        <v>164</v>
      </c>
      <c r="N322" s="909" t="s">
        <v>165</v>
      </c>
      <c r="O322" s="620">
        <f ca="1">الجدول3[[#This Row],[المدفوع]]-الجدول3[[#This Row],[المبلغ المستحق]]</f>
        <v>0</v>
      </c>
      <c r="P322" s="621"/>
      <c r="Q322" s="733" t="s">
        <v>1061</v>
      </c>
    </row>
    <row r="323" spans="2:17" hidden="1">
      <c r="B323" s="370">
        <v>285</v>
      </c>
      <c r="C323" s="881" t="s">
        <v>1018</v>
      </c>
      <c r="D323" s="882">
        <v>10216949908</v>
      </c>
      <c r="E323" s="369" t="s">
        <v>31</v>
      </c>
      <c r="F323" s="369">
        <v>102</v>
      </c>
      <c r="G323" s="617">
        <v>45785</v>
      </c>
      <c r="H323" s="617" t="s">
        <v>74</v>
      </c>
      <c r="I323" s="883">
        <v>3500</v>
      </c>
      <c r="J323" s="687">
        <f ca="1">IF(B$1&gt;=الجدول3[[#This Row],[تاريخ الدفعة]],الجدول3[[#This Row],[مبلغ الدفعة]],0)</f>
        <v>3500</v>
      </c>
      <c r="K323" s="911">
        <v>3500</v>
      </c>
      <c r="L323" s="908">
        <v>45785</v>
      </c>
      <c r="M323" s="369" t="s">
        <v>164</v>
      </c>
      <c r="N323" s="909" t="s">
        <v>74</v>
      </c>
      <c r="O323" s="620">
        <f ca="1">الجدول3[[#This Row],[المدفوع]]-الجدول3[[#This Row],[المبلغ المستحق]]</f>
        <v>0</v>
      </c>
      <c r="P323" s="621"/>
      <c r="Q323" s="733"/>
    </row>
    <row r="324" spans="2:17" hidden="1">
      <c r="B324" s="369">
        <v>286</v>
      </c>
      <c r="C324" s="881" t="s">
        <v>1018</v>
      </c>
      <c r="D324" s="882">
        <v>10216949908</v>
      </c>
      <c r="E324" s="369" t="s">
        <v>31</v>
      </c>
      <c r="F324" s="369">
        <v>102</v>
      </c>
      <c r="G324" s="617">
        <v>45816</v>
      </c>
      <c r="H324" s="617" t="s">
        <v>145</v>
      </c>
      <c r="I324" s="883">
        <v>3500</v>
      </c>
      <c r="J324" s="687">
        <f ca="1">IF(B$1&gt;=الجدول3[[#This Row],[تاريخ الدفعة]],الجدول3[[#This Row],[مبلغ الدفعة]],0)</f>
        <v>3500</v>
      </c>
      <c r="K324" s="912">
        <v>3500</v>
      </c>
      <c r="L324" s="910">
        <v>45823</v>
      </c>
      <c r="M324" s="369" t="s">
        <v>164</v>
      </c>
      <c r="N324" s="909" t="s">
        <v>145</v>
      </c>
      <c r="O324" s="620">
        <f ca="1">الجدول3[[#This Row],[المدفوع]]-الجدول3[[#This Row],[المبلغ المستحق]]</f>
        <v>0</v>
      </c>
      <c r="P324" s="621"/>
      <c r="Q324" s="733"/>
    </row>
    <row r="325" spans="2:17" hidden="1">
      <c r="B325" s="370">
        <v>287</v>
      </c>
      <c r="C325" s="881" t="s">
        <v>1018</v>
      </c>
      <c r="D325" s="882">
        <v>10216949908</v>
      </c>
      <c r="E325" s="369" t="s">
        <v>31</v>
      </c>
      <c r="F325" s="369">
        <v>102</v>
      </c>
      <c r="G325" s="617">
        <v>45846</v>
      </c>
      <c r="H325" s="617" t="s">
        <v>146</v>
      </c>
      <c r="I325" s="883">
        <v>3500</v>
      </c>
      <c r="J325" s="687">
        <f ca="1">IF(B$1&gt;=الجدول3[[#This Row],[تاريخ الدفعة]],الجدول3[[#This Row],[مبلغ الدفعة]],0)</f>
        <v>3500</v>
      </c>
      <c r="K325" s="912">
        <v>3500</v>
      </c>
      <c r="L325" s="910">
        <v>45867</v>
      </c>
      <c r="M325" s="369" t="s">
        <v>164</v>
      </c>
      <c r="N325" s="909" t="s">
        <v>146</v>
      </c>
      <c r="O325" s="620">
        <f ca="1">الجدول3[[#This Row],[المدفوع]]-الجدول3[[#This Row],[المبلغ المستحق]]</f>
        <v>0</v>
      </c>
      <c r="P325" s="621"/>
      <c r="Q325" s="733"/>
    </row>
    <row r="326" spans="2:17" hidden="1">
      <c r="B326" s="369">
        <v>288</v>
      </c>
      <c r="C326" s="881" t="s">
        <v>1018</v>
      </c>
      <c r="D326" s="882">
        <v>10216949908</v>
      </c>
      <c r="E326" s="369" t="s">
        <v>31</v>
      </c>
      <c r="F326" s="369">
        <v>102</v>
      </c>
      <c r="G326" s="617">
        <v>45877</v>
      </c>
      <c r="H326" s="617" t="s">
        <v>147</v>
      </c>
      <c r="I326" s="883">
        <v>3500</v>
      </c>
      <c r="J326" s="687">
        <f ca="1">IF(B$1&gt;=الجدول3[[#This Row],[تاريخ الدفعة]],الجدول3[[#This Row],[مبلغ الدفعة]],0)</f>
        <v>3500</v>
      </c>
      <c r="K326" s="912">
        <v>3500</v>
      </c>
      <c r="L326" s="910">
        <v>45895</v>
      </c>
      <c r="M326" s="369" t="s">
        <v>164</v>
      </c>
      <c r="N326" s="909" t="s">
        <v>147</v>
      </c>
      <c r="O326" s="620">
        <f ca="1">الجدول3[[#This Row],[المدفوع]]-الجدول3[[#This Row],[المبلغ المستحق]]</f>
        <v>0</v>
      </c>
      <c r="P326" s="621"/>
      <c r="Q326" s="733"/>
    </row>
    <row r="327" spans="2:17" hidden="1">
      <c r="B327" s="370">
        <v>289</v>
      </c>
      <c r="C327" s="881" t="s">
        <v>1018</v>
      </c>
      <c r="D327" s="882">
        <v>10216949908</v>
      </c>
      <c r="E327" s="369" t="s">
        <v>31</v>
      </c>
      <c r="F327" s="369">
        <v>102</v>
      </c>
      <c r="G327" s="617">
        <v>45908</v>
      </c>
      <c r="H327" s="617" t="s">
        <v>165</v>
      </c>
      <c r="I327" s="883">
        <v>3500</v>
      </c>
      <c r="J327" s="687">
        <f ca="1">IF(B$1&gt;=الجدول3[[#This Row],[تاريخ الدفعة]],الجدول3[[#This Row],[مبلغ الدفعة]],0)</f>
        <v>3500</v>
      </c>
      <c r="K327" s="912">
        <v>3500</v>
      </c>
      <c r="L327" s="910">
        <v>45927</v>
      </c>
      <c r="M327" s="369" t="s">
        <v>164</v>
      </c>
      <c r="N327" s="909" t="s">
        <v>165</v>
      </c>
      <c r="O327" s="620">
        <f ca="1">الجدول3[[#This Row],[المدفوع]]-الجدول3[[#This Row],[المبلغ المستحق]]</f>
        <v>0</v>
      </c>
      <c r="P327" s="621"/>
      <c r="Q327" s="733"/>
    </row>
    <row r="328" spans="2:17" hidden="1">
      <c r="B328" s="369">
        <v>290</v>
      </c>
      <c r="C328" s="881" t="s">
        <v>1018</v>
      </c>
      <c r="D328" s="882">
        <v>10216949908</v>
      </c>
      <c r="E328" s="369" t="s">
        <v>31</v>
      </c>
      <c r="F328" s="369">
        <v>102</v>
      </c>
      <c r="G328" s="617">
        <v>45938</v>
      </c>
      <c r="H328" s="617" t="s">
        <v>259</v>
      </c>
      <c r="I328" s="883">
        <v>3500</v>
      </c>
      <c r="J328" s="687">
        <f ca="1">IF(B$1&gt;=الجدول3[[#This Row],[تاريخ الدفعة]],الجدول3[[#This Row],[مبلغ الدفعة]],0)</f>
        <v>3500</v>
      </c>
      <c r="K328" s="883">
        <v>3500</v>
      </c>
      <c r="L328" s="617">
        <v>45959</v>
      </c>
      <c r="M328" s="369" t="s">
        <v>164</v>
      </c>
      <c r="N328" s="909" t="s">
        <v>259</v>
      </c>
      <c r="O328" s="620">
        <f ca="1">الجدول3[[#This Row],[المدفوع]]-الجدول3[[#This Row],[المبلغ المستحق]]</f>
        <v>0</v>
      </c>
      <c r="P328" s="621"/>
      <c r="Q328" s="733"/>
    </row>
    <row r="329" spans="2:17" hidden="1">
      <c r="B329" s="370">
        <v>291</v>
      </c>
      <c r="C329" s="881" t="s">
        <v>1018</v>
      </c>
      <c r="D329" s="882">
        <v>10216949908</v>
      </c>
      <c r="E329" s="369" t="s">
        <v>31</v>
      </c>
      <c r="F329" s="369">
        <v>102</v>
      </c>
      <c r="G329" s="617">
        <v>45969</v>
      </c>
      <c r="H329" s="617" t="s">
        <v>263</v>
      </c>
      <c r="I329" s="883">
        <v>3500</v>
      </c>
      <c r="J329" s="687">
        <f ca="1">IF(B$1&gt;=الجدول3[[#This Row],[تاريخ الدفعة]],الجدول3[[#This Row],[مبلغ الدفعة]],0)</f>
        <v>3500</v>
      </c>
      <c r="K329" s="883">
        <v>3500</v>
      </c>
      <c r="L329" s="617">
        <v>45999</v>
      </c>
      <c r="M329" s="369" t="s">
        <v>164</v>
      </c>
      <c r="N329" s="909" t="s">
        <v>262</v>
      </c>
      <c r="O329" s="620">
        <f ca="1">الجدول3[[#This Row],[المدفوع]]-الجدول3[[#This Row],[المبلغ المستحق]]</f>
        <v>0</v>
      </c>
      <c r="P329" s="621"/>
      <c r="Q329" s="733"/>
    </row>
    <row r="330" spans="2:17" hidden="1">
      <c r="B330" s="369">
        <v>292</v>
      </c>
      <c r="C330" s="881" t="s">
        <v>1018</v>
      </c>
      <c r="D330" s="882">
        <v>10216949908</v>
      </c>
      <c r="E330" s="369" t="s">
        <v>31</v>
      </c>
      <c r="F330" s="369">
        <v>102</v>
      </c>
      <c r="G330" s="617">
        <v>45999</v>
      </c>
      <c r="H330" s="617" t="s">
        <v>262</v>
      </c>
      <c r="I330" s="883">
        <v>3500</v>
      </c>
      <c r="J330" s="687">
        <f ca="1">IF(B$1&gt;=الجدول3[[#This Row],[تاريخ الدفعة]],الجدول3[[#This Row],[مبلغ الدفعة]],0)</f>
        <v>3500</v>
      </c>
      <c r="K330" s="883">
        <v>3500</v>
      </c>
      <c r="L330" s="617">
        <v>46050</v>
      </c>
      <c r="M330" s="369" t="s">
        <v>164</v>
      </c>
      <c r="N330" s="909" t="s">
        <v>270</v>
      </c>
      <c r="O330" s="620">
        <f ca="1">الجدول3[[#This Row],[المدفوع]]-الجدول3[[#This Row],[المبلغ المستحق]]</f>
        <v>0</v>
      </c>
      <c r="P330" s="621"/>
      <c r="Q330" s="733"/>
    </row>
    <row r="331" spans="2:17" hidden="1">
      <c r="B331" s="370">
        <v>293</v>
      </c>
      <c r="C331" s="881" t="s">
        <v>1018</v>
      </c>
      <c r="D331" s="882">
        <v>10216949908</v>
      </c>
      <c r="E331" s="369" t="s">
        <v>31</v>
      </c>
      <c r="F331" s="369">
        <v>102</v>
      </c>
      <c r="G331" s="617">
        <v>46030</v>
      </c>
      <c r="H331" s="617" t="s">
        <v>270</v>
      </c>
      <c r="I331" s="883">
        <v>3500</v>
      </c>
      <c r="J331" s="687">
        <f ca="1">IF(B$1&gt;=الجدول3[[#This Row],[تاريخ الدفعة]],الجدول3[[#This Row],[مبلغ الدفعة]],0)</f>
        <v>3500</v>
      </c>
      <c r="K331" s="883">
        <v>3500</v>
      </c>
      <c r="L331" s="617">
        <v>46050</v>
      </c>
      <c r="M331" s="369" t="s">
        <v>164</v>
      </c>
      <c r="N331" s="909" t="s">
        <v>270</v>
      </c>
      <c r="O331" s="620">
        <f ca="1">الجدول3[[#This Row],[المدفوع]]-الجدول3[[#This Row],[المبلغ المستحق]]</f>
        <v>0</v>
      </c>
      <c r="P331" s="621"/>
      <c r="Q331" s="733"/>
    </row>
    <row r="332" spans="2:17" hidden="1">
      <c r="B332" s="369">
        <v>294</v>
      </c>
      <c r="C332" s="881" t="s">
        <v>1018</v>
      </c>
      <c r="D332" s="882">
        <v>10216949908</v>
      </c>
      <c r="E332" s="369" t="s">
        <v>31</v>
      </c>
      <c r="F332" s="369">
        <v>102</v>
      </c>
      <c r="G332" s="617">
        <v>46061</v>
      </c>
      <c r="H332" s="617" t="s">
        <v>271</v>
      </c>
      <c r="I332" s="883">
        <v>3400</v>
      </c>
      <c r="J332" s="687">
        <f ca="1">IF(B$1&gt;=الجدول3[[#This Row],[تاريخ الدفعة]],الجدول3[[#This Row],[مبلغ الدفعة]],0)</f>
        <v>3400</v>
      </c>
      <c r="K332" s="883">
        <v>3400</v>
      </c>
      <c r="L332" s="617">
        <v>46139</v>
      </c>
      <c r="M332" s="369" t="s">
        <v>164</v>
      </c>
      <c r="N332" s="621" t="s">
        <v>273</v>
      </c>
      <c r="O332" s="620">
        <f ca="1">الجدول3[[#This Row],[المدفوع]]-الجدول3[[#This Row],[المبلغ المستحق]]</f>
        <v>0</v>
      </c>
      <c r="P332" s="621"/>
      <c r="Q332" s="733"/>
    </row>
    <row r="333" spans="2:17" hidden="1">
      <c r="B333" s="370">
        <v>295</v>
      </c>
      <c r="C333" s="881" t="s">
        <v>1018</v>
      </c>
      <c r="D333" s="882">
        <v>10216949908</v>
      </c>
      <c r="E333" s="369" t="s">
        <v>31</v>
      </c>
      <c r="F333" s="369">
        <v>102</v>
      </c>
      <c r="G333" s="617">
        <v>46089</v>
      </c>
      <c r="H333" s="617" t="s">
        <v>272</v>
      </c>
      <c r="I333" s="883">
        <v>3500</v>
      </c>
      <c r="J333" s="687">
        <f ca="1">IF(B$1&gt;=الجدول3[[#This Row],[تاريخ الدفعة]],الجدول3[[#This Row],[مبلغ الدفعة]],0)</f>
        <v>3500</v>
      </c>
      <c r="K333" s="883">
        <v>3500</v>
      </c>
      <c r="L333" s="617">
        <v>46296</v>
      </c>
      <c r="M333" s="369" t="s">
        <v>61</v>
      </c>
      <c r="N333" s="621" t="s">
        <v>328</v>
      </c>
      <c r="O333" s="620">
        <f ca="1">الجدول3[[#This Row],[المدفوع]]-الجدول3[[#This Row],[المبلغ المستحق]]</f>
        <v>0</v>
      </c>
      <c r="P333" s="621"/>
      <c r="Q333" s="733"/>
    </row>
    <row r="334" spans="2:17" hidden="1">
      <c r="B334" s="369">
        <v>296</v>
      </c>
      <c r="C334" s="881" t="s">
        <v>1018</v>
      </c>
      <c r="D334" s="882">
        <v>10216949908</v>
      </c>
      <c r="E334" s="369" t="s">
        <v>31</v>
      </c>
      <c r="F334" s="369">
        <v>102</v>
      </c>
      <c r="G334" s="617">
        <v>46120</v>
      </c>
      <c r="H334" s="617" t="s">
        <v>273</v>
      </c>
      <c r="I334" s="883">
        <v>3500</v>
      </c>
      <c r="J334" s="687">
        <f ca="1">IF(B$1&gt;=الجدول3[[#This Row],[تاريخ الدفعة]],الجدول3[[#This Row],[مبلغ الدفعة]],0)</f>
        <v>3500</v>
      </c>
      <c r="K334" s="883">
        <v>3500</v>
      </c>
      <c r="L334" s="617">
        <v>46296</v>
      </c>
      <c r="M334" s="369" t="s">
        <v>61</v>
      </c>
      <c r="N334" s="621" t="s">
        <v>328</v>
      </c>
      <c r="O334" s="620">
        <f ca="1">الجدول3[[#This Row],[المدفوع]]-الجدول3[[#This Row],[المبلغ المستحق]]</f>
        <v>0</v>
      </c>
      <c r="P334" s="621"/>
      <c r="Q334" s="733"/>
    </row>
    <row r="335" spans="2:17" hidden="1">
      <c r="B335" s="370">
        <v>297</v>
      </c>
      <c r="C335" s="881" t="s">
        <v>1019</v>
      </c>
      <c r="D335" s="882">
        <v>10152221282</v>
      </c>
      <c r="E335" s="369" t="s">
        <v>32</v>
      </c>
      <c r="F335" s="369">
        <v>102</v>
      </c>
      <c r="G335" s="617">
        <v>45935</v>
      </c>
      <c r="H335" s="617" t="s">
        <v>259</v>
      </c>
      <c r="I335" s="883">
        <v>4000</v>
      </c>
      <c r="J335" s="687">
        <f ca="1">IF(B$1&gt;=الجدول3[[#This Row],[تاريخ الدفعة]],الجدول3[[#This Row],[مبلغ الدفعة]],0)</f>
        <v>4000</v>
      </c>
      <c r="K335" s="883">
        <v>4000</v>
      </c>
      <c r="L335" s="617">
        <v>45957</v>
      </c>
      <c r="M335" s="369" t="s">
        <v>164</v>
      </c>
      <c r="N335" s="909" t="s">
        <v>259</v>
      </c>
      <c r="O335" s="620">
        <f ca="1">الجدول3[[#This Row],[المدفوع]]-الجدول3[[#This Row],[المبلغ المستحق]]</f>
        <v>0</v>
      </c>
      <c r="P335" s="621"/>
      <c r="Q335" s="733" t="s">
        <v>1061</v>
      </c>
    </row>
    <row r="336" spans="2:17" hidden="1">
      <c r="B336" s="369">
        <v>298</v>
      </c>
      <c r="C336" s="881" t="s">
        <v>1019</v>
      </c>
      <c r="D336" s="882">
        <v>10152221282</v>
      </c>
      <c r="E336" s="369" t="s">
        <v>32</v>
      </c>
      <c r="F336" s="369">
        <v>102</v>
      </c>
      <c r="G336" s="617">
        <v>45966</v>
      </c>
      <c r="H336" s="617" t="s">
        <v>263</v>
      </c>
      <c r="I336" s="883">
        <v>4000</v>
      </c>
      <c r="J336" s="687">
        <f ca="1">IF(B$1&gt;=الجدول3[[#This Row],[تاريخ الدفعة]],الجدول3[[#This Row],[مبلغ الدفعة]],0)</f>
        <v>4000</v>
      </c>
      <c r="K336" s="883">
        <v>4000</v>
      </c>
      <c r="L336" s="617">
        <v>45984</v>
      </c>
      <c r="M336" s="369" t="s">
        <v>164</v>
      </c>
      <c r="N336" s="909" t="s">
        <v>263</v>
      </c>
      <c r="O336" s="620">
        <f ca="1">الجدول3[[#This Row],[المدفوع]]-الجدول3[[#This Row],[المبلغ المستحق]]</f>
        <v>0</v>
      </c>
      <c r="P336" s="621"/>
      <c r="Q336" s="733" t="s">
        <v>1061</v>
      </c>
    </row>
    <row r="337" spans="2:17" hidden="1">
      <c r="B337" s="370">
        <v>299</v>
      </c>
      <c r="C337" s="881" t="s">
        <v>1019</v>
      </c>
      <c r="D337" s="882">
        <v>10152221282</v>
      </c>
      <c r="E337" s="369" t="s">
        <v>32</v>
      </c>
      <c r="F337" s="369">
        <v>102</v>
      </c>
      <c r="G337" s="617">
        <v>45996</v>
      </c>
      <c r="H337" s="617" t="s">
        <v>262</v>
      </c>
      <c r="I337" s="883">
        <v>4000</v>
      </c>
      <c r="J337" s="687">
        <f ca="1">IF(B$1&gt;=الجدول3[[#This Row],[تاريخ الدفعة]],الجدول3[[#This Row],[مبلغ الدفعة]],0)</f>
        <v>4000</v>
      </c>
      <c r="K337" s="883">
        <v>4000</v>
      </c>
      <c r="L337" s="617">
        <v>46024</v>
      </c>
      <c r="M337" s="369" t="s">
        <v>164</v>
      </c>
      <c r="N337" s="909" t="s">
        <v>262</v>
      </c>
      <c r="O337" s="620">
        <f ca="1">الجدول3[[#This Row],[المدفوع]]-الجدول3[[#This Row],[المبلغ المستحق]]</f>
        <v>0</v>
      </c>
      <c r="P337" s="621"/>
      <c r="Q337" s="733" t="s">
        <v>1061</v>
      </c>
    </row>
    <row r="338" spans="2:17" hidden="1">
      <c r="B338" s="369">
        <v>300</v>
      </c>
      <c r="C338" s="4" t="s">
        <v>1017</v>
      </c>
      <c r="D338" s="882">
        <v>10630371426</v>
      </c>
      <c r="E338" s="369" t="s">
        <v>37</v>
      </c>
      <c r="F338" s="369">
        <v>102</v>
      </c>
      <c r="G338" s="617">
        <v>45758</v>
      </c>
      <c r="H338" s="617" t="s">
        <v>143</v>
      </c>
      <c r="I338" s="883">
        <v>4000</v>
      </c>
      <c r="J338" s="687">
        <f ca="1">IF(B$1&gt;=الجدول3[[#This Row],[تاريخ الدفعة]],الجدول3[[#This Row],[مبلغ الدفعة]],0)</f>
        <v>4000</v>
      </c>
      <c r="K338" s="911">
        <v>4000</v>
      </c>
      <c r="L338" s="617">
        <v>45758</v>
      </c>
      <c r="M338" s="369" t="s">
        <v>164</v>
      </c>
      <c r="N338" s="909" t="s">
        <v>143</v>
      </c>
      <c r="O338" s="620">
        <f ca="1">الجدول3[[#This Row],[المدفوع]]-الجدول3[[#This Row],[المبلغ المستحق]]</f>
        <v>0</v>
      </c>
      <c r="P338" s="621"/>
      <c r="Q338" s="733" t="s">
        <v>1061</v>
      </c>
    </row>
    <row r="339" spans="2:17" hidden="1">
      <c r="B339" s="370">
        <v>301</v>
      </c>
      <c r="C339" s="4" t="s">
        <v>1017</v>
      </c>
      <c r="D339" s="882">
        <v>10630371426</v>
      </c>
      <c r="E339" s="369" t="s">
        <v>37</v>
      </c>
      <c r="F339" s="369">
        <v>102</v>
      </c>
      <c r="G339" s="617">
        <v>45758</v>
      </c>
      <c r="H339" s="617" t="s">
        <v>74</v>
      </c>
      <c r="I339" s="883">
        <v>4000</v>
      </c>
      <c r="J339" s="687">
        <f ca="1">IF(B$1&gt;=الجدول3[[#This Row],[تاريخ الدفعة]],الجدول3[[#This Row],[مبلغ الدفعة]],0)</f>
        <v>4000</v>
      </c>
      <c r="K339" s="911">
        <v>4000</v>
      </c>
      <c r="L339" s="617">
        <v>45758</v>
      </c>
      <c r="M339" s="369" t="s">
        <v>164</v>
      </c>
      <c r="N339" s="909" t="s">
        <v>74</v>
      </c>
      <c r="O339" s="620">
        <f ca="1">الجدول3[[#This Row],[المدفوع]]-الجدول3[[#This Row],[المبلغ المستحق]]</f>
        <v>0</v>
      </c>
      <c r="P339" s="621"/>
      <c r="Q339" s="733" t="s">
        <v>1061</v>
      </c>
    </row>
    <row r="340" spans="2:17" hidden="1">
      <c r="B340" s="369">
        <v>302</v>
      </c>
      <c r="C340" s="4" t="s">
        <v>1017</v>
      </c>
      <c r="D340" s="882">
        <v>10630371426</v>
      </c>
      <c r="E340" s="369" t="s">
        <v>37</v>
      </c>
      <c r="F340" s="369">
        <v>102</v>
      </c>
      <c r="G340" s="617">
        <v>45758</v>
      </c>
      <c r="H340" s="617" t="s">
        <v>145</v>
      </c>
      <c r="I340" s="883">
        <v>4000</v>
      </c>
      <c r="J340" s="687">
        <f ca="1">IF(B$1&gt;=الجدول3[[#This Row],[تاريخ الدفعة]],الجدول3[[#This Row],[مبلغ الدفعة]],0)</f>
        <v>4000</v>
      </c>
      <c r="K340" s="911">
        <v>4000</v>
      </c>
      <c r="L340" s="617">
        <v>45758</v>
      </c>
      <c r="M340" s="369" t="s">
        <v>164</v>
      </c>
      <c r="N340" s="909" t="s">
        <v>145</v>
      </c>
      <c r="O340" s="620">
        <f ca="1">الجدول3[[#This Row],[المدفوع]]-الجدول3[[#This Row],[المبلغ المستحق]]</f>
        <v>0</v>
      </c>
      <c r="P340" s="621"/>
      <c r="Q340" s="733" t="s">
        <v>1061</v>
      </c>
    </row>
    <row r="341" spans="2:17" hidden="1">
      <c r="B341" s="370">
        <v>303</v>
      </c>
      <c r="C341" s="4" t="s">
        <v>1017</v>
      </c>
      <c r="D341" s="882">
        <v>10630371426</v>
      </c>
      <c r="E341" s="369" t="s">
        <v>37</v>
      </c>
      <c r="F341" s="369">
        <v>102</v>
      </c>
      <c r="G341" s="617">
        <v>45758</v>
      </c>
      <c r="H341" s="617" t="s">
        <v>146</v>
      </c>
      <c r="I341" s="883">
        <v>4000</v>
      </c>
      <c r="J341" s="687">
        <f ca="1">IF(B$1&gt;=الجدول3[[#This Row],[تاريخ الدفعة]],الجدول3[[#This Row],[مبلغ الدفعة]],0)</f>
        <v>4000</v>
      </c>
      <c r="K341" s="911">
        <v>4000</v>
      </c>
      <c r="L341" s="617">
        <v>45758</v>
      </c>
      <c r="M341" s="369" t="s">
        <v>164</v>
      </c>
      <c r="N341" s="909" t="s">
        <v>146</v>
      </c>
      <c r="O341" s="620">
        <f ca="1">الجدول3[[#This Row],[المدفوع]]-الجدول3[[#This Row],[المبلغ المستحق]]</f>
        <v>0</v>
      </c>
      <c r="P341" s="621"/>
      <c r="Q341" s="733" t="s">
        <v>1061</v>
      </c>
    </row>
    <row r="342" spans="2:17" hidden="1">
      <c r="B342" s="369">
        <v>304</v>
      </c>
      <c r="C342" s="4" t="s">
        <v>1017</v>
      </c>
      <c r="D342" s="882">
        <v>10630371426</v>
      </c>
      <c r="E342" s="369" t="s">
        <v>37</v>
      </c>
      <c r="F342" s="369">
        <v>102</v>
      </c>
      <c r="G342" s="617">
        <v>45758</v>
      </c>
      <c r="H342" s="617" t="s">
        <v>147</v>
      </c>
      <c r="I342" s="883">
        <v>4000</v>
      </c>
      <c r="J342" s="687">
        <f ca="1">IF(B$1&gt;=الجدول3[[#This Row],[تاريخ الدفعة]],الجدول3[[#This Row],[مبلغ الدفعة]],0)</f>
        <v>4000</v>
      </c>
      <c r="K342" s="911">
        <v>4000</v>
      </c>
      <c r="L342" s="617">
        <v>45758</v>
      </c>
      <c r="M342" s="369" t="s">
        <v>164</v>
      </c>
      <c r="N342" s="909" t="s">
        <v>147</v>
      </c>
      <c r="O342" s="620">
        <f ca="1">الجدول3[[#This Row],[المدفوع]]-الجدول3[[#This Row],[المبلغ المستحق]]</f>
        <v>0</v>
      </c>
      <c r="P342" s="621"/>
      <c r="Q342" s="733" t="s">
        <v>1061</v>
      </c>
    </row>
    <row r="343" spans="2:17" hidden="1">
      <c r="B343" s="370">
        <v>305</v>
      </c>
      <c r="C343" s="4" t="s">
        <v>1017</v>
      </c>
      <c r="D343" s="882">
        <v>10630371426</v>
      </c>
      <c r="E343" s="369" t="s">
        <v>37</v>
      </c>
      <c r="F343" s="369">
        <v>102</v>
      </c>
      <c r="G343" s="617">
        <v>45758</v>
      </c>
      <c r="H343" s="617" t="s">
        <v>165</v>
      </c>
      <c r="I343" s="883">
        <v>4000</v>
      </c>
      <c r="J343" s="687">
        <f ca="1">IF(B$1&gt;=الجدول3[[#This Row],[تاريخ الدفعة]],الجدول3[[#This Row],[مبلغ الدفعة]],0)</f>
        <v>4000</v>
      </c>
      <c r="K343" s="911">
        <v>4000</v>
      </c>
      <c r="L343" s="617">
        <v>45758</v>
      </c>
      <c r="M343" s="369" t="s">
        <v>164</v>
      </c>
      <c r="N343" s="909" t="s">
        <v>165</v>
      </c>
      <c r="O343" s="620">
        <f ca="1">الجدول3[[#This Row],[المدفوع]]-الجدول3[[#This Row],[المبلغ المستحق]]</f>
        <v>0</v>
      </c>
      <c r="P343" s="621"/>
      <c r="Q343" s="733" t="s">
        <v>1061</v>
      </c>
    </row>
    <row r="344" spans="2:17" hidden="1">
      <c r="B344" s="369">
        <v>306</v>
      </c>
      <c r="C344" s="4" t="s">
        <v>1017</v>
      </c>
      <c r="D344" s="882">
        <v>10630371426</v>
      </c>
      <c r="E344" s="369" t="s">
        <v>37</v>
      </c>
      <c r="F344" s="369">
        <v>102</v>
      </c>
      <c r="G344" s="617">
        <v>45941</v>
      </c>
      <c r="H344" s="617" t="s">
        <v>259</v>
      </c>
      <c r="I344" s="883">
        <v>4000</v>
      </c>
      <c r="J344" s="687">
        <f ca="1">IF(B$1&gt;=الجدول3[[#This Row],[تاريخ الدفعة]],الجدول3[[#This Row],[مبلغ الدفعة]],0)</f>
        <v>4000</v>
      </c>
      <c r="K344" s="911">
        <v>4000</v>
      </c>
      <c r="L344" s="617">
        <v>45944</v>
      </c>
      <c r="M344" s="369" t="s">
        <v>164</v>
      </c>
      <c r="N344" s="909" t="s">
        <v>259</v>
      </c>
      <c r="O344" s="620">
        <f ca="1">الجدول3[[#This Row],[المدفوع]]-الجدول3[[#This Row],[المبلغ المستحق]]</f>
        <v>0</v>
      </c>
      <c r="P344" s="621"/>
      <c r="Q344" s="733" t="s">
        <v>1061</v>
      </c>
    </row>
    <row r="345" spans="2:17" hidden="1">
      <c r="B345" s="370">
        <v>307</v>
      </c>
      <c r="C345" s="4" t="s">
        <v>1017</v>
      </c>
      <c r="D345" s="882">
        <v>10630371426</v>
      </c>
      <c r="E345" s="369" t="s">
        <v>37</v>
      </c>
      <c r="F345" s="369">
        <v>102</v>
      </c>
      <c r="G345" s="617">
        <v>45941</v>
      </c>
      <c r="H345" s="617" t="s">
        <v>263</v>
      </c>
      <c r="I345" s="883">
        <v>4000</v>
      </c>
      <c r="J345" s="687">
        <f ca="1">IF(B$1&gt;=الجدول3[[#This Row],[تاريخ الدفعة]],الجدول3[[#This Row],[مبلغ الدفعة]],0)</f>
        <v>4000</v>
      </c>
      <c r="K345" s="911">
        <v>4000</v>
      </c>
      <c r="L345" s="617">
        <v>45944</v>
      </c>
      <c r="M345" s="369" t="s">
        <v>164</v>
      </c>
      <c r="N345" s="909" t="s">
        <v>263</v>
      </c>
      <c r="O345" s="620">
        <f ca="1">الجدول3[[#This Row],[المدفوع]]-الجدول3[[#This Row],[المبلغ المستحق]]</f>
        <v>0</v>
      </c>
      <c r="P345" s="621"/>
      <c r="Q345" s="733" t="s">
        <v>1061</v>
      </c>
    </row>
    <row r="346" spans="2:17" hidden="1">
      <c r="B346" s="369">
        <v>308</v>
      </c>
      <c r="C346" s="4" t="s">
        <v>1017</v>
      </c>
      <c r="D346" s="882">
        <v>10630371426</v>
      </c>
      <c r="E346" s="369" t="s">
        <v>37</v>
      </c>
      <c r="F346" s="369">
        <v>102</v>
      </c>
      <c r="G346" s="617">
        <v>45941</v>
      </c>
      <c r="H346" s="617" t="s">
        <v>262</v>
      </c>
      <c r="I346" s="883">
        <v>4000</v>
      </c>
      <c r="J346" s="687">
        <f ca="1">IF(B$1&gt;=الجدول3[[#This Row],[تاريخ الدفعة]],الجدول3[[#This Row],[مبلغ الدفعة]],0)</f>
        <v>4000</v>
      </c>
      <c r="K346" s="911">
        <v>4000</v>
      </c>
      <c r="L346" s="617">
        <v>45944</v>
      </c>
      <c r="M346" s="369" t="s">
        <v>164</v>
      </c>
      <c r="N346" s="909" t="s">
        <v>262</v>
      </c>
      <c r="O346" s="620">
        <f ca="1">الجدول3[[#This Row],[المدفوع]]-الجدول3[[#This Row],[المبلغ المستحق]]</f>
        <v>0</v>
      </c>
      <c r="P346" s="621"/>
      <c r="Q346" s="733" t="s">
        <v>1061</v>
      </c>
    </row>
    <row r="347" spans="2:17" hidden="1">
      <c r="B347" s="370">
        <v>309</v>
      </c>
      <c r="C347" s="4" t="s">
        <v>1017</v>
      </c>
      <c r="D347" s="882">
        <v>10630371426</v>
      </c>
      <c r="E347" s="369" t="s">
        <v>37</v>
      </c>
      <c r="F347" s="369">
        <v>102</v>
      </c>
      <c r="G347" s="617">
        <v>45941</v>
      </c>
      <c r="H347" s="617" t="s">
        <v>270</v>
      </c>
      <c r="I347" s="883">
        <v>4000</v>
      </c>
      <c r="J347" s="687">
        <f ca="1">IF(B$1&gt;=الجدول3[[#This Row],[تاريخ الدفعة]],الجدول3[[#This Row],[مبلغ الدفعة]],0)</f>
        <v>4000</v>
      </c>
      <c r="K347" s="911">
        <v>4000</v>
      </c>
      <c r="L347" s="617">
        <v>45944</v>
      </c>
      <c r="M347" s="369" t="s">
        <v>164</v>
      </c>
      <c r="N347" s="909" t="s">
        <v>270</v>
      </c>
      <c r="O347" s="620">
        <f ca="1">الجدول3[[#This Row],[المدفوع]]-الجدول3[[#This Row],[المبلغ المستحق]]</f>
        <v>0</v>
      </c>
      <c r="P347" s="621"/>
      <c r="Q347" s="733" t="s">
        <v>1061</v>
      </c>
    </row>
    <row r="348" spans="2:17" hidden="1">
      <c r="B348" s="369">
        <v>310</v>
      </c>
      <c r="C348" s="4" t="s">
        <v>1017</v>
      </c>
      <c r="D348" s="882">
        <v>10630371426</v>
      </c>
      <c r="E348" s="369" t="s">
        <v>37</v>
      </c>
      <c r="F348" s="369">
        <v>102</v>
      </c>
      <c r="G348" s="617">
        <v>45941</v>
      </c>
      <c r="H348" s="617" t="s">
        <v>271</v>
      </c>
      <c r="I348" s="883">
        <v>4000</v>
      </c>
      <c r="J348" s="687">
        <f ca="1">IF(B$1&gt;=الجدول3[[#This Row],[تاريخ الدفعة]],الجدول3[[#This Row],[مبلغ الدفعة]],0)</f>
        <v>4000</v>
      </c>
      <c r="K348" s="911">
        <v>4000</v>
      </c>
      <c r="L348" s="617">
        <v>45944</v>
      </c>
      <c r="M348" s="369" t="s">
        <v>164</v>
      </c>
      <c r="N348" s="909" t="s">
        <v>271</v>
      </c>
      <c r="O348" s="620">
        <f ca="1">الجدول3[[#This Row],[المدفوع]]-الجدول3[[#This Row],[المبلغ المستحق]]</f>
        <v>0</v>
      </c>
      <c r="P348" s="621"/>
      <c r="Q348" s="733" t="s">
        <v>1061</v>
      </c>
    </row>
    <row r="349" spans="2:17" hidden="1">
      <c r="B349" s="370">
        <v>311</v>
      </c>
      <c r="C349" s="4" t="s">
        <v>1017</v>
      </c>
      <c r="D349" s="882">
        <v>10630371426</v>
      </c>
      <c r="E349" s="369" t="s">
        <v>37</v>
      </c>
      <c r="F349" s="369">
        <v>102</v>
      </c>
      <c r="G349" s="617">
        <v>45941</v>
      </c>
      <c r="H349" s="617" t="s">
        <v>272</v>
      </c>
      <c r="I349" s="883">
        <v>4000</v>
      </c>
      <c r="J349" s="687">
        <f ca="1">IF(B$1&gt;=الجدول3[[#This Row],[تاريخ الدفعة]],الجدول3[[#This Row],[مبلغ الدفعة]],0)</f>
        <v>4000</v>
      </c>
      <c r="K349" s="911">
        <v>4000</v>
      </c>
      <c r="L349" s="617">
        <v>45944</v>
      </c>
      <c r="M349" s="369" t="s">
        <v>164</v>
      </c>
      <c r="N349" s="909" t="s">
        <v>272</v>
      </c>
      <c r="O349" s="620">
        <f ca="1">الجدول3[[#This Row],[المدفوع]]-الجدول3[[#This Row],[المبلغ المستحق]]</f>
        <v>0</v>
      </c>
      <c r="P349" s="621"/>
      <c r="Q349" s="733" t="s">
        <v>1061</v>
      </c>
    </row>
    <row r="350" spans="2:17" hidden="1">
      <c r="B350" s="369">
        <v>312</v>
      </c>
      <c r="C350" s="881" t="s">
        <v>1020</v>
      </c>
      <c r="D350" s="882">
        <v>10934884916</v>
      </c>
      <c r="E350" s="369" t="s">
        <v>38</v>
      </c>
      <c r="F350" s="369">
        <v>102</v>
      </c>
      <c r="G350" s="617">
        <v>45774</v>
      </c>
      <c r="H350" s="617" t="s">
        <v>143</v>
      </c>
      <c r="I350" s="889">
        <v>3340</v>
      </c>
      <c r="J350" s="687">
        <f ca="1">IF(B$1&gt;=الجدول3[[#This Row],[تاريخ الدفعة]],الجدول3[[#This Row],[مبلغ الدفعة]],0)</f>
        <v>3340</v>
      </c>
      <c r="K350" s="911">
        <v>3340</v>
      </c>
      <c r="L350" s="908">
        <v>45778</v>
      </c>
      <c r="M350" s="369" t="s">
        <v>164</v>
      </c>
      <c r="N350" s="909" t="s">
        <v>143</v>
      </c>
      <c r="O350" s="620">
        <f ca="1">الجدول3[[#This Row],[المدفوع]]-الجدول3[[#This Row],[المبلغ المستحق]]</f>
        <v>0</v>
      </c>
      <c r="P350" s="621"/>
      <c r="Q350" s="733" t="s">
        <v>1061</v>
      </c>
    </row>
    <row r="351" spans="2:17" hidden="1">
      <c r="B351" s="370">
        <v>313</v>
      </c>
      <c r="C351" s="881" t="s">
        <v>1020</v>
      </c>
      <c r="D351" s="882">
        <v>10934884916</v>
      </c>
      <c r="E351" s="369" t="s">
        <v>38</v>
      </c>
      <c r="F351" s="369">
        <v>102</v>
      </c>
      <c r="G351" s="617">
        <v>45804</v>
      </c>
      <c r="H351" s="617" t="s">
        <v>74</v>
      </c>
      <c r="I351" s="889">
        <v>2000</v>
      </c>
      <c r="J351" s="687">
        <f ca="1">IF(B$1&gt;=الجدول3[[#This Row],[تاريخ الدفعة]],الجدول3[[#This Row],[مبلغ الدفعة]],0)</f>
        <v>2000</v>
      </c>
      <c r="K351" s="911">
        <v>2000</v>
      </c>
      <c r="L351" s="908">
        <v>45820</v>
      </c>
      <c r="M351" s="369" t="s">
        <v>164</v>
      </c>
      <c r="N351" s="909" t="s">
        <v>74</v>
      </c>
      <c r="O351" s="620">
        <f ca="1">الجدول3[[#This Row],[المدفوع]]-الجدول3[[#This Row],[المبلغ المستحق]]</f>
        <v>0</v>
      </c>
      <c r="P351" s="621"/>
      <c r="Q351" s="733" t="s">
        <v>1061</v>
      </c>
    </row>
    <row r="352" spans="2:17" hidden="1">
      <c r="B352" s="369">
        <v>314</v>
      </c>
      <c r="C352" s="881" t="s">
        <v>1020</v>
      </c>
      <c r="D352" s="882">
        <v>10934884916</v>
      </c>
      <c r="E352" s="369" t="s">
        <v>38</v>
      </c>
      <c r="F352" s="369">
        <v>102</v>
      </c>
      <c r="G352" s="617">
        <v>45835</v>
      </c>
      <c r="H352" s="617" t="s">
        <v>145</v>
      </c>
      <c r="I352" s="889">
        <v>300</v>
      </c>
      <c r="J352" s="687">
        <f ca="1">IF(B$1&gt;=الجدول3[[#This Row],[تاريخ الدفعة]],الجدول3[[#This Row],[مبلغ الدفعة]],0)</f>
        <v>300</v>
      </c>
      <c r="K352" s="911">
        <v>0</v>
      </c>
      <c r="L352" s="617"/>
      <c r="M352" s="369" t="s">
        <v>432</v>
      </c>
      <c r="N352" s="621"/>
      <c r="O352" s="620">
        <f ca="1">الجدول3[[#This Row],[المدفوع]]-الجدول3[[#This Row],[المبلغ المستحق]]</f>
        <v>-300</v>
      </c>
      <c r="P352" s="621"/>
      <c r="Q352" s="733" t="s">
        <v>1061</v>
      </c>
    </row>
    <row r="353" spans="2:17" hidden="1">
      <c r="B353" s="370">
        <v>315</v>
      </c>
      <c r="C353" s="881" t="s">
        <v>1020</v>
      </c>
      <c r="D353" s="882">
        <v>10934884916</v>
      </c>
      <c r="E353" s="369" t="s">
        <v>38</v>
      </c>
      <c r="F353" s="369">
        <v>102</v>
      </c>
      <c r="G353" s="617">
        <v>45835</v>
      </c>
      <c r="H353" s="617" t="s">
        <v>145</v>
      </c>
      <c r="I353" s="889">
        <v>200</v>
      </c>
      <c r="J353" s="687">
        <f ca="1">IF(B$1&gt;=الجدول3[[#This Row],[تاريخ الدفعة]],الجدول3[[#This Row],[مبلغ الدفعة]],0)</f>
        <v>200</v>
      </c>
      <c r="K353" s="911">
        <v>200</v>
      </c>
      <c r="L353" s="908">
        <v>45834</v>
      </c>
      <c r="M353" s="369" t="s">
        <v>164</v>
      </c>
      <c r="N353" s="909" t="s">
        <v>145</v>
      </c>
      <c r="O353" s="620">
        <f ca="1">الجدول3[[#This Row],[المدفوع]]-الجدول3[[#This Row],[المبلغ المستحق]]</f>
        <v>0</v>
      </c>
      <c r="P353" s="621"/>
      <c r="Q353" s="733" t="s">
        <v>1061</v>
      </c>
    </row>
    <row r="354" spans="2:17" hidden="1">
      <c r="B354" s="369">
        <v>316</v>
      </c>
      <c r="C354" s="881" t="s">
        <v>1020</v>
      </c>
      <c r="D354" s="882">
        <v>10934884916</v>
      </c>
      <c r="E354" s="369" t="s">
        <v>38</v>
      </c>
      <c r="F354" s="369">
        <v>102</v>
      </c>
      <c r="G354" s="617">
        <v>45865</v>
      </c>
      <c r="H354" s="617" t="s">
        <v>146</v>
      </c>
      <c r="I354" s="889">
        <v>3200</v>
      </c>
      <c r="J354" s="687">
        <f ca="1">IF(B$1&gt;=الجدول3[[#This Row],[تاريخ الدفعة]],الجدول3[[#This Row],[مبلغ الدفعة]],0)</f>
        <v>3200</v>
      </c>
      <c r="K354" s="911">
        <v>3200</v>
      </c>
      <c r="L354" s="908">
        <v>45896</v>
      </c>
      <c r="M354" s="369" t="s">
        <v>164</v>
      </c>
      <c r="N354" s="909" t="s">
        <v>147</v>
      </c>
      <c r="O354" s="620">
        <f ca="1">الجدول3[[#This Row],[المدفوع]]-الجدول3[[#This Row],[المبلغ المستحق]]</f>
        <v>0</v>
      </c>
      <c r="P354" s="621"/>
      <c r="Q354" s="733" t="s">
        <v>1061</v>
      </c>
    </row>
    <row r="355" spans="2:17" hidden="1">
      <c r="B355" s="370">
        <v>317</v>
      </c>
      <c r="C355" s="881" t="s">
        <v>1020</v>
      </c>
      <c r="D355" s="882">
        <v>10934884916</v>
      </c>
      <c r="E355" s="369" t="s">
        <v>38</v>
      </c>
      <c r="F355" s="369">
        <v>102</v>
      </c>
      <c r="G355" s="617">
        <v>45865</v>
      </c>
      <c r="H355" s="617" t="s">
        <v>146</v>
      </c>
      <c r="I355" s="889">
        <v>500</v>
      </c>
      <c r="J355" s="687">
        <f ca="1">IF(B$1&gt;=الجدول3[[#This Row],[تاريخ الدفعة]],الجدول3[[#This Row],[مبلغ الدفعة]],0)</f>
        <v>500</v>
      </c>
      <c r="K355" s="911">
        <v>0</v>
      </c>
      <c r="L355" s="617"/>
      <c r="M355" s="369" t="s">
        <v>432</v>
      </c>
      <c r="N355" s="621"/>
      <c r="O355" s="620">
        <f ca="1">الجدول3[[#This Row],[المدفوع]]-الجدول3[[#This Row],[المبلغ المستحق]]</f>
        <v>-500</v>
      </c>
      <c r="P355" s="621"/>
      <c r="Q355" s="733" t="s">
        <v>1061</v>
      </c>
    </row>
    <row r="356" spans="2:17" hidden="1">
      <c r="B356" s="369">
        <v>318</v>
      </c>
      <c r="C356" s="881" t="s">
        <v>1020</v>
      </c>
      <c r="D356" s="882">
        <v>10934884916</v>
      </c>
      <c r="E356" s="369" t="s">
        <v>38</v>
      </c>
      <c r="F356" s="369">
        <v>102</v>
      </c>
      <c r="G356" s="617">
        <v>45896</v>
      </c>
      <c r="H356" s="617" t="s">
        <v>147</v>
      </c>
      <c r="I356" s="889">
        <v>4000</v>
      </c>
      <c r="J356" s="687">
        <f ca="1">IF(B$1&gt;=الجدول3[[#This Row],[تاريخ الدفعة]],الجدول3[[#This Row],[مبلغ الدفعة]],0)</f>
        <v>4000</v>
      </c>
      <c r="K356" s="883">
        <v>4000</v>
      </c>
      <c r="L356" s="617">
        <v>46296</v>
      </c>
      <c r="M356" s="369" t="s">
        <v>61</v>
      </c>
      <c r="N356" s="621" t="s">
        <v>328</v>
      </c>
      <c r="O356" s="620">
        <f ca="1">الجدول3[[#This Row],[المدفوع]]-الجدول3[[#This Row],[المبلغ المستحق]]</f>
        <v>0</v>
      </c>
      <c r="P356" s="621"/>
      <c r="Q356" s="733" t="s">
        <v>1061</v>
      </c>
    </row>
    <row r="357" spans="2:17" hidden="1">
      <c r="B357" s="370">
        <v>319</v>
      </c>
      <c r="C357" s="881" t="s">
        <v>1020</v>
      </c>
      <c r="D357" s="882">
        <v>10934884916</v>
      </c>
      <c r="E357" s="369" t="s">
        <v>38</v>
      </c>
      <c r="F357" s="369">
        <v>102</v>
      </c>
      <c r="G357" s="617">
        <v>45927</v>
      </c>
      <c r="H357" s="617" t="s">
        <v>165</v>
      </c>
      <c r="I357" s="889">
        <v>4000</v>
      </c>
      <c r="J357" s="687">
        <f ca="1">IF(B$1&gt;=الجدول3[[#This Row],[تاريخ الدفعة]],الجدول3[[#This Row],[مبلغ الدفعة]],0)</f>
        <v>4000</v>
      </c>
      <c r="K357" s="883">
        <v>0</v>
      </c>
      <c r="L357" s="617"/>
      <c r="M357" s="369" t="s">
        <v>432</v>
      </c>
      <c r="N357" s="621"/>
      <c r="O357" s="620">
        <f ca="1">الجدول3[[#This Row],[المدفوع]]-الجدول3[[#This Row],[المبلغ المستحق]]</f>
        <v>-4000</v>
      </c>
      <c r="P357" s="621"/>
      <c r="Q357" s="733" t="s">
        <v>1061</v>
      </c>
    </row>
    <row r="358" spans="2:17" hidden="1">
      <c r="B358" s="369">
        <v>320</v>
      </c>
      <c r="C358" s="881" t="s">
        <v>1020</v>
      </c>
      <c r="D358" s="882">
        <v>10934884916</v>
      </c>
      <c r="E358" s="369" t="s">
        <v>38</v>
      </c>
      <c r="F358" s="369">
        <v>102</v>
      </c>
      <c r="G358" s="617">
        <v>45957</v>
      </c>
      <c r="H358" s="617" t="s">
        <v>259</v>
      </c>
      <c r="I358" s="889">
        <v>4000</v>
      </c>
      <c r="J358" s="687">
        <f ca="1">IF(B$1&gt;=الجدول3[[#This Row],[تاريخ الدفعة]],الجدول3[[#This Row],[مبلغ الدفعة]],0)</f>
        <v>4000</v>
      </c>
      <c r="K358" s="883">
        <v>0</v>
      </c>
      <c r="L358" s="617"/>
      <c r="M358" s="369" t="s">
        <v>432</v>
      </c>
      <c r="N358" s="621"/>
      <c r="O358" s="620">
        <f ca="1">الجدول3[[#This Row],[المدفوع]]-الجدول3[[#This Row],[المبلغ المستحق]]</f>
        <v>-4000</v>
      </c>
      <c r="P358" s="621"/>
      <c r="Q358" s="733" t="s">
        <v>1061</v>
      </c>
    </row>
    <row r="359" spans="2:17" hidden="1">
      <c r="B359" s="370">
        <v>321</v>
      </c>
      <c r="C359" s="881" t="s">
        <v>1020</v>
      </c>
      <c r="D359" s="882">
        <v>10934884916</v>
      </c>
      <c r="E359" s="369" t="s">
        <v>38</v>
      </c>
      <c r="F359" s="369">
        <v>102</v>
      </c>
      <c r="G359" s="617">
        <v>45988</v>
      </c>
      <c r="H359" s="617" t="s">
        <v>263</v>
      </c>
      <c r="I359" s="889">
        <v>4000</v>
      </c>
      <c r="J359" s="687">
        <f ca="1">IF(B$1&gt;=الجدول3[[#This Row],[تاريخ الدفعة]],الجدول3[[#This Row],[مبلغ الدفعة]],0)</f>
        <v>4000</v>
      </c>
      <c r="K359" s="883">
        <v>0</v>
      </c>
      <c r="L359" s="617"/>
      <c r="M359" s="369" t="s">
        <v>432</v>
      </c>
      <c r="N359" s="621"/>
      <c r="O359" s="620">
        <f ca="1">الجدول3[[#This Row],[المدفوع]]-الجدول3[[#This Row],[المبلغ المستحق]]</f>
        <v>-4000</v>
      </c>
      <c r="P359" s="621"/>
      <c r="Q359" s="733" t="s">
        <v>1061</v>
      </c>
    </row>
    <row r="360" spans="2:17" hidden="1">
      <c r="B360" s="369">
        <v>322</v>
      </c>
      <c r="C360" s="881" t="s">
        <v>1020</v>
      </c>
      <c r="D360" s="882">
        <v>10934884916</v>
      </c>
      <c r="E360" s="369" t="s">
        <v>38</v>
      </c>
      <c r="F360" s="369">
        <v>102</v>
      </c>
      <c r="G360" s="617">
        <v>46018</v>
      </c>
      <c r="H360" s="617" t="s">
        <v>262</v>
      </c>
      <c r="I360" s="889">
        <v>4000</v>
      </c>
      <c r="J360" s="687">
        <f ca="1">IF(B$1&gt;=الجدول3[[#This Row],[تاريخ الدفعة]],الجدول3[[#This Row],[مبلغ الدفعة]],0)</f>
        <v>4000</v>
      </c>
      <c r="K360" s="883">
        <v>0</v>
      </c>
      <c r="L360" s="617"/>
      <c r="M360" s="879" t="s">
        <v>432</v>
      </c>
      <c r="N360" s="621"/>
      <c r="O360" s="620">
        <f ca="1">الجدول3[[#This Row],[المدفوع]]-الجدول3[[#This Row],[المبلغ المستحق]]</f>
        <v>-4000</v>
      </c>
      <c r="P360" s="621"/>
      <c r="Q360" s="733" t="s">
        <v>1061</v>
      </c>
    </row>
    <row r="361" spans="2:17" hidden="1">
      <c r="B361" s="370">
        <v>323</v>
      </c>
      <c r="C361" s="881" t="s">
        <v>1020</v>
      </c>
      <c r="D361" s="882">
        <v>10934884916</v>
      </c>
      <c r="E361" s="369" t="s">
        <v>38</v>
      </c>
      <c r="F361" s="369">
        <v>102</v>
      </c>
      <c r="G361" s="617">
        <v>46049</v>
      </c>
      <c r="H361" s="617" t="s">
        <v>270</v>
      </c>
      <c r="I361" s="889">
        <v>4000</v>
      </c>
      <c r="J361" s="687">
        <f ca="1">IF(B$1&gt;=الجدول3[[#This Row],[تاريخ الدفعة]],الجدول3[[#This Row],[مبلغ الدفعة]],0)</f>
        <v>4000</v>
      </c>
      <c r="K361" s="883">
        <v>0</v>
      </c>
      <c r="L361" s="617">
        <v>0</v>
      </c>
      <c r="M361" s="879" t="str" cm="1">
        <f t="array" aca="1" ref="M36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متأخر</v>
      </c>
      <c r="N361" s="621"/>
      <c r="O361" s="620">
        <f ca="1">الجدول3[[#This Row],[المدفوع]]-الجدول3[[#This Row],[المبلغ المستحق]]</f>
        <v>-4000</v>
      </c>
      <c r="P361" s="621"/>
      <c r="Q361" s="733" t="s">
        <v>1061</v>
      </c>
    </row>
    <row r="362" spans="2:17" hidden="1">
      <c r="B362" s="369">
        <v>324</v>
      </c>
      <c r="C362" s="881" t="s">
        <v>1020</v>
      </c>
      <c r="D362" s="882">
        <v>10934884916</v>
      </c>
      <c r="E362" s="369" t="s">
        <v>38</v>
      </c>
      <c r="F362" s="369">
        <v>102</v>
      </c>
      <c r="G362" s="617">
        <v>46080</v>
      </c>
      <c r="H362" s="879" t="s">
        <v>329</v>
      </c>
      <c r="I362" s="889">
        <v>4000</v>
      </c>
      <c r="J362" s="687">
        <f ca="1">IF(B$1&gt;=الجدول3[[#This Row],[تاريخ الدفعة]],الجدول3[[#This Row],[مبلغ الدفعة]],0)</f>
        <v>4000</v>
      </c>
      <c r="K362" s="883">
        <v>0</v>
      </c>
      <c r="L362" s="617">
        <v>0</v>
      </c>
      <c r="M362" s="879" t="s">
        <v>329</v>
      </c>
      <c r="N362" s="621"/>
      <c r="O362" s="620">
        <f ca="1">الجدول3[[#This Row],[المدفوع]]-الجدول3[[#This Row],[المبلغ المستحق]]</f>
        <v>-4000</v>
      </c>
      <c r="P362" s="621"/>
      <c r="Q362" s="733" t="s">
        <v>1061</v>
      </c>
    </row>
    <row r="363" spans="2:17" hidden="1">
      <c r="B363" s="370">
        <v>325</v>
      </c>
      <c r="C363" s="881" t="s">
        <v>1020</v>
      </c>
      <c r="D363" s="882">
        <v>10934884916</v>
      </c>
      <c r="E363" s="369" t="s">
        <v>38</v>
      </c>
      <c r="F363" s="369">
        <v>102</v>
      </c>
      <c r="G363" s="617">
        <v>46108</v>
      </c>
      <c r="H363" s="879" t="s">
        <v>329</v>
      </c>
      <c r="I363" s="889">
        <v>4000</v>
      </c>
      <c r="J363" s="687">
        <f ca="1">IF(B$1&gt;=الجدول3[[#This Row],[تاريخ الدفعة]],الجدول3[[#This Row],[مبلغ الدفعة]],0)</f>
        <v>4000</v>
      </c>
      <c r="K363" s="883">
        <v>0</v>
      </c>
      <c r="L363" s="617">
        <v>0</v>
      </c>
      <c r="M363" s="879" t="s">
        <v>329</v>
      </c>
      <c r="N363" s="621"/>
      <c r="O363" s="620">
        <f ca="1">الجدول3[[#This Row],[المدفوع]]-الجدول3[[#This Row],[المبلغ المستحق]]</f>
        <v>-4000</v>
      </c>
      <c r="P363" s="621"/>
      <c r="Q363" s="733" t="s">
        <v>1061</v>
      </c>
    </row>
    <row r="364" spans="2:17" hidden="1">
      <c r="B364" s="369">
        <v>326</v>
      </c>
      <c r="C364" s="881" t="s">
        <v>1021</v>
      </c>
      <c r="D364" s="882">
        <v>10754234454</v>
      </c>
      <c r="E364" s="369" t="s">
        <v>39</v>
      </c>
      <c r="F364" s="369">
        <v>102</v>
      </c>
      <c r="G364" s="617">
        <v>45769</v>
      </c>
      <c r="H364" s="617" t="s">
        <v>143</v>
      </c>
      <c r="I364" s="883">
        <v>4000</v>
      </c>
      <c r="J364" s="687">
        <f ca="1">IF(B$1&gt;=الجدول3[[#This Row],[تاريخ الدفعة]],الجدول3[[#This Row],[مبلغ الدفعة]],0)</f>
        <v>4000</v>
      </c>
      <c r="K364" s="883">
        <v>4000</v>
      </c>
      <c r="L364" s="617">
        <v>45952</v>
      </c>
      <c r="M364" s="369" t="s">
        <v>61</v>
      </c>
      <c r="N364" s="909" t="s">
        <v>259</v>
      </c>
      <c r="O364" s="620">
        <f ca="1">الجدول3[[#This Row],[المدفوع]]-الجدول3[[#This Row],[المبلغ المستحق]]</f>
        <v>0</v>
      </c>
      <c r="P364" s="621"/>
      <c r="Q364" s="733"/>
    </row>
    <row r="365" spans="2:17" hidden="1">
      <c r="B365" s="370">
        <v>327</v>
      </c>
      <c r="C365" s="881" t="s">
        <v>1021</v>
      </c>
      <c r="D365" s="882">
        <v>10754234454</v>
      </c>
      <c r="E365" s="369" t="s">
        <v>39</v>
      </c>
      <c r="F365" s="369">
        <v>102</v>
      </c>
      <c r="G365" s="617">
        <v>45799</v>
      </c>
      <c r="H365" s="617" t="s">
        <v>74</v>
      </c>
      <c r="I365" s="883">
        <v>650</v>
      </c>
      <c r="J365" s="687">
        <f ca="1">IF(B$1&gt;=الجدول3[[#This Row],[تاريخ الدفعة]],الجدول3[[#This Row],[مبلغ الدفعة]],0)</f>
        <v>650</v>
      </c>
      <c r="K365" s="883">
        <v>0</v>
      </c>
      <c r="L365" s="617"/>
      <c r="M365" s="879" t="s">
        <v>432</v>
      </c>
      <c r="N365" s="621"/>
      <c r="O365" s="620">
        <f ca="1">الجدول3[[#This Row],[المدفوع]]-الجدول3[[#This Row],[المبلغ المستحق]]</f>
        <v>-650</v>
      </c>
      <c r="P365" s="621"/>
      <c r="Q365" s="733"/>
    </row>
    <row r="366" spans="2:17" hidden="1">
      <c r="B366" s="369">
        <v>328</v>
      </c>
      <c r="C366" s="881" t="s">
        <v>1021</v>
      </c>
      <c r="D366" s="882">
        <v>10754234454</v>
      </c>
      <c r="E366" s="369" t="s">
        <v>39</v>
      </c>
      <c r="F366" s="369">
        <v>102</v>
      </c>
      <c r="G366" s="617">
        <v>45799</v>
      </c>
      <c r="H366" s="617" t="s">
        <v>74</v>
      </c>
      <c r="I366" s="883">
        <v>3350</v>
      </c>
      <c r="J366" s="687">
        <f ca="1">IF(B$1&gt;=الجدول3[[#This Row],[تاريخ الدفعة]],الجدول3[[#This Row],[مبلغ الدفعة]],0)</f>
        <v>3350</v>
      </c>
      <c r="K366" s="883">
        <v>3350</v>
      </c>
      <c r="L366" s="617">
        <v>45952</v>
      </c>
      <c r="M366" s="369" t="s">
        <v>61</v>
      </c>
      <c r="N366" s="909" t="s">
        <v>259</v>
      </c>
      <c r="O366" s="620">
        <f ca="1">الجدول3[[#This Row],[المدفوع]]-الجدول3[[#This Row],[المبلغ المستحق]]</f>
        <v>0</v>
      </c>
      <c r="P366" s="621"/>
      <c r="Q366" s="733"/>
    </row>
    <row r="367" spans="2:17" hidden="1">
      <c r="B367" s="370">
        <v>329</v>
      </c>
      <c r="C367" s="881" t="s">
        <v>1021</v>
      </c>
      <c r="D367" s="882">
        <v>10754234454</v>
      </c>
      <c r="E367" s="369" t="s">
        <v>39</v>
      </c>
      <c r="F367" s="369">
        <v>102</v>
      </c>
      <c r="G367" s="617">
        <v>45830</v>
      </c>
      <c r="H367" s="617" t="s">
        <v>145</v>
      </c>
      <c r="I367" s="883">
        <v>4000</v>
      </c>
      <c r="J367" s="687">
        <f ca="1">IF(B$1&gt;=الجدول3[[#This Row],[تاريخ الدفعة]],الجدول3[[#This Row],[مبلغ الدفعة]],0)</f>
        <v>4000</v>
      </c>
      <c r="K367" s="883">
        <v>4000</v>
      </c>
      <c r="L367" s="617">
        <v>46064</v>
      </c>
      <c r="M367" s="369" t="s">
        <v>61</v>
      </c>
      <c r="N367" s="909" t="s">
        <v>270</v>
      </c>
      <c r="O367" s="620">
        <f ca="1">الجدول3[[#This Row],[المدفوع]]-الجدول3[[#This Row],[المبلغ المستحق]]</f>
        <v>0</v>
      </c>
      <c r="P367" s="621"/>
      <c r="Q367" s="733"/>
    </row>
    <row r="368" spans="2:17" hidden="1">
      <c r="B368" s="369">
        <v>330</v>
      </c>
      <c r="C368" s="881" t="s">
        <v>1021</v>
      </c>
      <c r="D368" s="882">
        <v>10754234454</v>
      </c>
      <c r="E368" s="369" t="s">
        <v>39</v>
      </c>
      <c r="F368" s="369">
        <v>102</v>
      </c>
      <c r="G368" s="617">
        <v>45860</v>
      </c>
      <c r="H368" s="617" t="s">
        <v>146</v>
      </c>
      <c r="I368" s="883">
        <v>4000</v>
      </c>
      <c r="J368" s="687">
        <f ca="1">IF(B$1&gt;=الجدول3[[#This Row],[تاريخ الدفعة]],الجدول3[[#This Row],[مبلغ الدفعة]],0)</f>
        <v>4000</v>
      </c>
      <c r="K368" s="883">
        <v>3923.48</v>
      </c>
      <c r="L368" s="617">
        <v>46064</v>
      </c>
      <c r="M368" s="369" t="s">
        <v>61</v>
      </c>
      <c r="N368" s="909" t="s">
        <v>270</v>
      </c>
      <c r="O368" s="620">
        <f ca="1">الجدول3[[#This Row],[المدفوع]]-الجدول3[[#This Row],[المبلغ المستحق]]</f>
        <v>-76.519999999999982</v>
      </c>
      <c r="P368" s="621"/>
      <c r="Q368" s="733"/>
    </row>
    <row r="369" spans="2:17" hidden="1">
      <c r="B369" s="370">
        <v>331</v>
      </c>
      <c r="C369" s="881" t="s">
        <v>1021</v>
      </c>
      <c r="D369" s="882">
        <v>10754234454</v>
      </c>
      <c r="E369" s="369" t="s">
        <v>39</v>
      </c>
      <c r="F369" s="369">
        <v>102</v>
      </c>
      <c r="G369" s="617">
        <v>45891</v>
      </c>
      <c r="H369" s="617" t="s">
        <v>147</v>
      </c>
      <c r="I369" s="883">
        <v>4000</v>
      </c>
      <c r="J369" s="687">
        <f ca="1">IF(B$1&gt;=الجدول3[[#This Row],[تاريخ الدفعة]],الجدول3[[#This Row],[مبلغ الدفعة]],0)</f>
        <v>4000</v>
      </c>
      <c r="K369" s="883">
        <v>4000</v>
      </c>
      <c r="L369" s="617">
        <v>46162</v>
      </c>
      <c r="M369" s="879" t="s">
        <v>61</v>
      </c>
      <c r="N369" s="621" t="s">
        <v>274</v>
      </c>
      <c r="O369" s="620">
        <f ca="1">الجدول3[[#This Row],[المدفوع]]-الجدول3[[#This Row],[المبلغ المستحق]]</f>
        <v>0</v>
      </c>
      <c r="P369" s="621"/>
      <c r="Q369" s="733"/>
    </row>
    <row r="370" spans="2:17" hidden="1">
      <c r="B370" s="369">
        <v>332</v>
      </c>
      <c r="C370" s="881" t="s">
        <v>1021</v>
      </c>
      <c r="D370" s="882">
        <v>10754234454</v>
      </c>
      <c r="E370" s="369" t="s">
        <v>39</v>
      </c>
      <c r="F370" s="369">
        <v>102</v>
      </c>
      <c r="G370" s="617">
        <v>45922</v>
      </c>
      <c r="H370" s="617" t="s">
        <v>165</v>
      </c>
      <c r="I370" s="883">
        <v>4000</v>
      </c>
      <c r="J370" s="687">
        <f ca="1">IF(B$1&gt;=الجدول3[[#This Row],[تاريخ الدفعة]],الجدول3[[#This Row],[مبلغ الدفعة]],0)</f>
        <v>4000</v>
      </c>
      <c r="K370" s="883">
        <v>0</v>
      </c>
      <c r="L370" s="617"/>
      <c r="M370" s="879" t="s">
        <v>432</v>
      </c>
      <c r="N370" s="621"/>
      <c r="O370" s="620">
        <f ca="1">الجدول3[[#This Row],[المدفوع]]-الجدول3[[#This Row],[المبلغ المستحق]]</f>
        <v>-4000</v>
      </c>
      <c r="P370" s="621"/>
      <c r="Q370" s="733"/>
    </row>
    <row r="371" spans="2:17" hidden="1">
      <c r="B371" s="370">
        <v>333</v>
      </c>
      <c r="C371" s="890" t="s">
        <v>1021</v>
      </c>
      <c r="D371" s="891">
        <v>10754234454</v>
      </c>
      <c r="E371" s="369" t="s">
        <v>39</v>
      </c>
      <c r="F371" s="370">
        <v>102</v>
      </c>
      <c r="G371" s="371">
        <v>45952</v>
      </c>
      <c r="H371" s="617" t="s">
        <v>259</v>
      </c>
      <c r="I371" s="892">
        <v>4000</v>
      </c>
      <c r="J371" s="687">
        <f ca="1">IF(B$1&gt;=الجدول3[[#This Row],[تاريخ الدفعة]],الجدول3[[#This Row],[مبلغ الدفعة]],0)</f>
        <v>4000</v>
      </c>
      <c r="K371" s="883">
        <v>0</v>
      </c>
      <c r="L371" s="617"/>
      <c r="M371" s="879" t="s">
        <v>432</v>
      </c>
      <c r="N371" s="443"/>
      <c r="O371" s="620">
        <f ca="1">الجدول3[[#This Row],[المدفوع]]-الجدول3[[#This Row],[المبلغ المستحق]]</f>
        <v>-4000</v>
      </c>
      <c r="P371" s="621"/>
      <c r="Q371" s="733"/>
    </row>
    <row r="372" spans="2:17" hidden="1">
      <c r="B372" s="369">
        <v>334</v>
      </c>
      <c r="C372" s="890" t="s">
        <v>1021</v>
      </c>
      <c r="D372" s="891">
        <v>10754234454</v>
      </c>
      <c r="E372" s="369" t="s">
        <v>39</v>
      </c>
      <c r="F372" s="370">
        <v>102</v>
      </c>
      <c r="G372" s="371">
        <v>45983</v>
      </c>
      <c r="H372" s="617" t="s">
        <v>263</v>
      </c>
      <c r="I372" s="892">
        <v>4000</v>
      </c>
      <c r="J372" s="687">
        <f ca="1">IF(B$1&gt;=الجدول3[[#This Row],[تاريخ الدفعة]],الجدول3[[#This Row],[مبلغ الدفعة]],0)</f>
        <v>4000</v>
      </c>
      <c r="K372" s="883">
        <v>0</v>
      </c>
      <c r="L372" s="371"/>
      <c r="M372" s="879" t="s">
        <v>432</v>
      </c>
      <c r="N372" s="443"/>
      <c r="O372" s="620">
        <f ca="1">الجدول3[[#This Row],[المدفوع]]-الجدول3[[#This Row],[المبلغ المستحق]]</f>
        <v>-4000</v>
      </c>
      <c r="P372" s="621" t="s">
        <v>1062</v>
      </c>
      <c r="Q372" s="733"/>
    </row>
    <row r="373" spans="2:17" hidden="1">
      <c r="B373" s="370">
        <v>335</v>
      </c>
      <c r="C373" s="890" t="s">
        <v>1021</v>
      </c>
      <c r="D373" s="891">
        <v>10754234454</v>
      </c>
      <c r="E373" s="369" t="s">
        <v>39</v>
      </c>
      <c r="F373" s="370">
        <v>102</v>
      </c>
      <c r="G373" s="371">
        <v>46013</v>
      </c>
      <c r="H373" s="617" t="s">
        <v>262</v>
      </c>
      <c r="I373" s="892">
        <v>4000</v>
      </c>
      <c r="J373" s="687">
        <f ca="1">IF(B$1&gt;=الجدول3[[#This Row],[تاريخ الدفعة]],الجدول3[[#This Row],[مبلغ الدفعة]],0)</f>
        <v>4000</v>
      </c>
      <c r="K373" s="883">
        <v>0</v>
      </c>
      <c r="L373" s="371"/>
      <c r="M373" s="879" t="s">
        <v>432</v>
      </c>
      <c r="N373" s="443"/>
      <c r="O373" s="620">
        <f ca="1">الجدول3[[#This Row],[المدفوع]]-الجدول3[[#This Row],[المبلغ المستحق]]</f>
        <v>-4000</v>
      </c>
      <c r="P373" s="621"/>
      <c r="Q373" s="733"/>
    </row>
    <row r="374" spans="2:17" hidden="1">
      <c r="B374" s="369">
        <v>336</v>
      </c>
      <c r="C374" s="890" t="s">
        <v>1021</v>
      </c>
      <c r="D374" s="891">
        <v>10754234454</v>
      </c>
      <c r="E374" s="369" t="s">
        <v>39</v>
      </c>
      <c r="F374" s="370">
        <v>102</v>
      </c>
      <c r="G374" s="371">
        <v>46044</v>
      </c>
      <c r="H374" s="371" t="s">
        <v>270</v>
      </c>
      <c r="I374" s="892">
        <v>4000</v>
      </c>
      <c r="J374" s="687">
        <f ca="1">IF(B$1&gt;=الجدول3[[#This Row],[تاريخ الدفعة]],الجدول3[[#This Row],[مبلغ الدفعة]],0)</f>
        <v>4000</v>
      </c>
      <c r="K374" s="883">
        <v>0</v>
      </c>
      <c r="L374" s="371">
        <v>0</v>
      </c>
      <c r="M374" s="879" t="s">
        <v>432</v>
      </c>
      <c r="N374" s="443"/>
      <c r="O374" s="620">
        <f ca="1">الجدول3[[#This Row],[المدفوع]]-الجدول3[[#This Row],[المبلغ المستحق]]</f>
        <v>-4000</v>
      </c>
      <c r="P374" s="621"/>
      <c r="Q374" s="733"/>
    </row>
    <row r="375" spans="2:17" hidden="1">
      <c r="B375" s="370">
        <v>337</v>
      </c>
      <c r="C375" s="890" t="s">
        <v>1021</v>
      </c>
      <c r="D375" s="891">
        <v>10754234454</v>
      </c>
      <c r="E375" s="369" t="s">
        <v>39</v>
      </c>
      <c r="F375" s="370">
        <v>102</v>
      </c>
      <c r="G375" s="371">
        <v>46075</v>
      </c>
      <c r="H375" s="371" t="s">
        <v>271</v>
      </c>
      <c r="I375" s="892">
        <v>4000</v>
      </c>
      <c r="J375" s="687">
        <f ca="1">IF(B$1&gt;=الجدول3[[#This Row],[تاريخ الدفعة]],الجدول3[[#This Row],[مبلغ الدفعة]],0)</f>
        <v>4000</v>
      </c>
      <c r="K375" s="883">
        <v>0</v>
      </c>
      <c r="L375" s="371">
        <v>0</v>
      </c>
      <c r="M375" s="879" t="s">
        <v>432</v>
      </c>
      <c r="N375" s="443"/>
      <c r="O375" s="620">
        <f ca="1">الجدول3[[#This Row],[المدفوع]]-الجدول3[[#This Row],[المبلغ المستحق]]</f>
        <v>-4000</v>
      </c>
      <c r="P375" s="621"/>
      <c r="Q375" s="733"/>
    </row>
    <row r="376" spans="2:17" hidden="1">
      <c r="B376" s="369">
        <v>338</v>
      </c>
      <c r="C376" s="890" t="s">
        <v>1021</v>
      </c>
      <c r="D376" s="891">
        <v>10754234454</v>
      </c>
      <c r="E376" s="369" t="s">
        <v>39</v>
      </c>
      <c r="F376" s="370">
        <v>102</v>
      </c>
      <c r="G376" s="371">
        <v>46103</v>
      </c>
      <c r="H376" s="371" t="s">
        <v>272</v>
      </c>
      <c r="I376" s="892">
        <v>4000</v>
      </c>
      <c r="J376" s="687">
        <f ca="1">IF(B$1&gt;=الجدول3[[#This Row],[تاريخ الدفعة]],الجدول3[[#This Row],[مبلغ الدفعة]],0)</f>
        <v>4000</v>
      </c>
      <c r="K376" s="892">
        <v>0</v>
      </c>
      <c r="L376" s="371">
        <v>0</v>
      </c>
      <c r="M376" s="369" t="s">
        <v>432</v>
      </c>
      <c r="N376" s="443"/>
      <c r="O376" s="620">
        <f ca="1">الجدول3[[#This Row],[المدفوع]]-الجدول3[[#This Row],[المبلغ المستحق]]</f>
        <v>-4000</v>
      </c>
      <c r="P376" s="621"/>
      <c r="Q376" s="733"/>
    </row>
    <row r="377" spans="2:17" hidden="1">
      <c r="B377" s="370">
        <v>339</v>
      </c>
      <c r="C377" s="881" t="s">
        <v>1022</v>
      </c>
      <c r="D377" s="882">
        <v>10031355624</v>
      </c>
      <c r="E377" s="369" t="s">
        <v>40</v>
      </c>
      <c r="F377" s="369">
        <v>102</v>
      </c>
      <c r="G377" s="617">
        <v>45807</v>
      </c>
      <c r="H377" s="617" t="s">
        <v>74</v>
      </c>
      <c r="I377" s="883">
        <v>3800</v>
      </c>
      <c r="J377" s="687">
        <f ca="1">IF(B$1&gt;=الجدول3[[#This Row],[تاريخ الدفعة]],الجدول3[[#This Row],[مبلغ الدفعة]],0)</f>
        <v>3800</v>
      </c>
      <c r="K377" s="913">
        <v>3800</v>
      </c>
      <c r="L377" s="908">
        <v>45804</v>
      </c>
      <c r="M377" s="369" t="s">
        <v>164</v>
      </c>
      <c r="N377" s="909" t="s">
        <v>74</v>
      </c>
      <c r="O377" s="620">
        <f ca="1">الجدول3[[#This Row],[المدفوع]]-الجدول3[[#This Row],[المبلغ المستحق]]</f>
        <v>0</v>
      </c>
      <c r="P377" s="621"/>
      <c r="Q377" s="733" t="s">
        <v>1061</v>
      </c>
    </row>
    <row r="378" spans="2:17" hidden="1">
      <c r="B378" s="369">
        <v>340</v>
      </c>
      <c r="C378" s="881" t="s">
        <v>1022</v>
      </c>
      <c r="D378" s="882">
        <v>10031355624</v>
      </c>
      <c r="E378" s="369" t="s">
        <v>40</v>
      </c>
      <c r="F378" s="369">
        <v>102</v>
      </c>
      <c r="G378" s="617">
        <v>45838</v>
      </c>
      <c r="H378" s="617" t="s">
        <v>145</v>
      </c>
      <c r="I378" s="883">
        <v>3800</v>
      </c>
      <c r="J378" s="687">
        <f ca="1">IF(B$1&gt;=الجدول3[[#This Row],[تاريخ الدفعة]],الجدول3[[#This Row],[مبلغ الدفعة]],0)</f>
        <v>3800</v>
      </c>
      <c r="K378" s="913">
        <v>3800</v>
      </c>
      <c r="L378" s="908">
        <v>45838</v>
      </c>
      <c r="M378" s="369" t="s">
        <v>164</v>
      </c>
      <c r="N378" s="909" t="s">
        <v>145</v>
      </c>
      <c r="O378" s="620">
        <f ca="1">الجدول3[[#This Row],[المدفوع]]-الجدول3[[#This Row],[المبلغ المستحق]]</f>
        <v>0</v>
      </c>
      <c r="P378" s="621"/>
      <c r="Q378" s="733" t="s">
        <v>1061</v>
      </c>
    </row>
    <row r="379" spans="2:17" hidden="1">
      <c r="B379" s="370">
        <v>341</v>
      </c>
      <c r="C379" s="881" t="s">
        <v>1022</v>
      </c>
      <c r="D379" s="882">
        <v>10031355624</v>
      </c>
      <c r="E379" s="369" t="s">
        <v>40</v>
      </c>
      <c r="F379" s="369">
        <v>102</v>
      </c>
      <c r="G379" s="617">
        <v>45868</v>
      </c>
      <c r="H379" s="617" t="s">
        <v>146</v>
      </c>
      <c r="I379" s="883">
        <v>3800</v>
      </c>
      <c r="J379" s="687">
        <f ca="1">IF(B$1&gt;=الجدول3[[#This Row],[تاريخ الدفعة]],الجدول3[[#This Row],[مبلغ الدفعة]],0)</f>
        <v>3800</v>
      </c>
      <c r="K379" s="913">
        <v>3800</v>
      </c>
      <c r="L379" s="908">
        <v>45868</v>
      </c>
      <c r="M379" s="369" t="s">
        <v>164</v>
      </c>
      <c r="N379" s="909" t="s">
        <v>146</v>
      </c>
      <c r="O379" s="620">
        <f ca="1">الجدول3[[#This Row],[المدفوع]]-الجدول3[[#This Row],[المبلغ المستحق]]</f>
        <v>0</v>
      </c>
      <c r="P379" s="621"/>
      <c r="Q379" s="733" t="s">
        <v>1061</v>
      </c>
    </row>
    <row r="380" spans="2:17" hidden="1">
      <c r="B380" s="369">
        <v>342</v>
      </c>
      <c r="C380" s="881" t="s">
        <v>1022</v>
      </c>
      <c r="D380" s="882">
        <v>10031355624</v>
      </c>
      <c r="E380" s="369" t="s">
        <v>40</v>
      </c>
      <c r="F380" s="369">
        <v>102</v>
      </c>
      <c r="G380" s="617">
        <v>45899</v>
      </c>
      <c r="H380" s="617" t="s">
        <v>147</v>
      </c>
      <c r="I380" s="883">
        <v>3800</v>
      </c>
      <c r="J380" s="687">
        <f ca="1">IF(B$1&gt;=الجدول3[[#This Row],[تاريخ الدفعة]],الجدول3[[#This Row],[مبلغ الدفعة]],0)</f>
        <v>3800</v>
      </c>
      <c r="K380" s="913">
        <v>3800</v>
      </c>
      <c r="L380" s="908">
        <v>45901</v>
      </c>
      <c r="M380" s="369" t="s">
        <v>164</v>
      </c>
      <c r="N380" s="909" t="s">
        <v>147</v>
      </c>
      <c r="O380" s="620">
        <f ca="1">الجدول3[[#This Row],[المدفوع]]-الجدول3[[#This Row],[المبلغ المستحق]]</f>
        <v>0</v>
      </c>
      <c r="P380" s="621"/>
      <c r="Q380" s="733" t="s">
        <v>1061</v>
      </c>
    </row>
    <row r="381" spans="2:17" hidden="1">
      <c r="B381" s="370">
        <v>343</v>
      </c>
      <c r="C381" s="881" t="s">
        <v>1022</v>
      </c>
      <c r="D381" s="882">
        <v>10031355624</v>
      </c>
      <c r="E381" s="369" t="s">
        <v>40</v>
      </c>
      <c r="F381" s="369">
        <v>102</v>
      </c>
      <c r="G381" s="617">
        <v>45930</v>
      </c>
      <c r="H381" s="617" t="s">
        <v>165</v>
      </c>
      <c r="I381" s="883">
        <v>3800</v>
      </c>
      <c r="J381" s="687">
        <f ca="1">IF(B$1&gt;=الجدول3[[#This Row],[تاريخ الدفعة]],الجدول3[[#This Row],[مبلغ الدفعة]],0)</f>
        <v>3800</v>
      </c>
      <c r="K381" s="913">
        <v>3800</v>
      </c>
      <c r="L381" s="908">
        <v>45931</v>
      </c>
      <c r="M381" s="369" t="s">
        <v>164</v>
      </c>
      <c r="N381" s="909" t="s">
        <v>165</v>
      </c>
      <c r="O381" s="620">
        <f ca="1">الجدول3[[#This Row],[المدفوع]]-الجدول3[[#This Row],[المبلغ المستحق]]</f>
        <v>0</v>
      </c>
      <c r="P381" s="621"/>
      <c r="Q381" s="733" t="s">
        <v>1061</v>
      </c>
    </row>
    <row r="382" spans="2:17" hidden="1">
      <c r="B382" s="369">
        <v>344</v>
      </c>
      <c r="C382" s="881" t="s">
        <v>1022</v>
      </c>
      <c r="D382" s="882">
        <v>10031355624</v>
      </c>
      <c r="E382" s="369" t="s">
        <v>40</v>
      </c>
      <c r="F382" s="369">
        <v>102</v>
      </c>
      <c r="G382" s="617">
        <v>45960</v>
      </c>
      <c r="H382" s="617" t="s">
        <v>259</v>
      </c>
      <c r="I382" s="883">
        <v>3800</v>
      </c>
      <c r="J382" s="687">
        <f ca="1">IF(B$1&gt;=الجدول3[[#This Row],[تاريخ الدفعة]],الجدول3[[#This Row],[مبلغ الدفعة]],0)</f>
        <v>3800</v>
      </c>
      <c r="K382" s="892">
        <v>3800</v>
      </c>
      <c r="L382" s="617">
        <v>45959</v>
      </c>
      <c r="M382" s="369" t="s">
        <v>164</v>
      </c>
      <c r="N382" s="909" t="s">
        <v>259</v>
      </c>
      <c r="O382" s="620">
        <f ca="1">الجدول3[[#This Row],[المدفوع]]-الجدول3[[#This Row],[المبلغ المستحق]]</f>
        <v>0</v>
      </c>
      <c r="P382" s="621"/>
      <c r="Q382" s="733" t="s">
        <v>1061</v>
      </c>
    </row>
    <row r="383" spans="2:17" hidden="1">
      <c r="B383" s="370">
        <v>345</v>
      </c>
      <c r="C383" s="893" t="s">
        <v>1023</v>
      </c>
      <c r="D383" s="369">
        <v>10411247447</v>
      </c>
      <c r="E383" s="369" t="s">
        <v>1024</v>
      </c>
      <c r="F383" s="369">
        <v>102</v>
      </c>
      <c r="G383" s="617">
        <v>45955</v>
      </c>
      <c r="H383" s="617" t="s">
        <v>259</v>
      </c>
      <c r="I383" s="883">
        <v>3800</v>
      </c>
      <c r="J383" s="687">
        <f ca="1">IF(B$1&gt;=الجدول3[[#This Row],[تاريخ الدفعة]],الجدول3[[#This Row],[مبلغ الدفعة]],0)</f>
        <v>3800</v>
      </c>
      <c r="K383" s="892">
        <v>3800</v>
      </c>
      <c r="L383" s="617">
        <v>45956</v>
      </c>
      <c r="M383" s="369" t="s">
        <v>164</v>
      </c>
      <c r="N383" s="909" t="s">
        <v>259</v>
      </c>
      <c r="O383" s="620">
        <f ca="1">الجدول3[[#This Row],[المدفوع]]-الجدول3[[#This Row],[المبلغ المستحق]]</f>
        <v>0</v>
      </c>
      <c r="P383" s="621"/>
      <c r="Q383" s="733" t="s">
        <v>1061</v>
      </c>
    </row>
    <row r="384" spans="2:17" hidden="1">
      <c r="B384" s="369">
        <v>346</v>
      </c>
      <c r="C384" s="893" t="s">
        <v>1023</v>
      </c>
      <c r="D384" s="369">
        <v>10411247447</v>
      </c>
      <c r="E384" s="369" t="s">
        <v>1024</v>
      </c>
      <c r="F384" s="369">
        <v>102</v>
      </c>
      <c r="G384" s="617">
        <v>45986</v>
      </c>
      <c r="H384" s="617" t="s">
        <v>263</v>
      </c>
      <c r="I384" s="883">
        <v>3800</v>
      </c>
      <c r="J384" s="687">
        <f ca="1">IF(B$1&gt;=الجدول3[[#This Row],[تاريخ الدفعة]],الجدول3[[#This Row],[مبلغ الدفعة]],0)</f>
        <v>3800</v>
      </c>
      <c r="K384" s="892">
        <v>3800</v>
      </c>
      <c r="L384" s="617">
        <v>45987</v>
      </c>
      <c r="M384" s="369" t="s">
        <v>164</v>
      </c>
      <c r="N384" s="909" t="s">
        <v>263</v>
      </c>
      <c r="O384" s="620">
        <f ca="1">الجدول3[[#This Row],[المدفوع]]-الجدول3[[#This Row],[المبلغ المستحق]]</f>
        <v>0</v>
      </c>
      <c r="P384" s="621"/>
      <c r="Q384" s="733" t="s">
        <v>1061</v>
      </c>
    </row>
    <row r="385" spans="2:17" hidden="1">
      <c r="B385" s="370">
        <v>347</v>
      </c>
      <c r="C385" s="893" t="s">
        <v>1023</v>
      </c>
      <c r="D385" s="369">
        <v>10411247447</v>
      </c>
      <c r="E385" s="369" t="s">
        <v>1024</v>
      </c>
      <c r="F385" s="369">
        <v>102</v>
      </c>
      <c r="G385" s="617">
        <v>46016</v>
      </c>
      <c r="H385" s="617" t="s">
        <v>262</v>
      </c>
      <c r="I385" s="883">
        <v>3800</v>
      </c>
      <c r="J385" s="687">
        <f ca="1">IF(B$1&gt;=الجدول3[[#This Row],[تاريخ الدفعة]],الجدول3[[#This Row],[مبلغ الدفعة]],0)</f>
        <v>3800</v>
      </c>
      <c r="K385" s="892">
        <v>3800</v>
      </c>
      <c r="L385" s="617">
        <v>46016</v>
      </c>
      <c r="M385" s="369" t="s">
        <v>164</v>
      </c>
      <c r="N385" s="909" t="s">
        <v>262</v>
      </c>
      <c r="O385" s="620">
        <f ca="1">الجدول3[[#This Row],[المدفوع]]-الجدول3[[#This Row],[المبلغ المستحق]]</f>
        <v>0</v>
      </c>
      <c r="P385" s="621"/>
      <c r="Q385" s="733" t="s">
        <v>1061</v>
      </c>
    </row>
    <row r="386" spans="2:17" hidden="1">
      <c r="B386" s="369">
        <v>348</v>
      </c>
      <c r="C386" s="881" t="s">
        <v>1025</v>
      </c>
      <c r="D386" s="882">
        <v>10964815248</v>
      </c>
      <c r="E386" s="369" t="s">
        <v>1024</v>
      </c>
      <c r="F386" s="369">
        <v>102</v>
      </c>
      <c r="G386" s="617">
        <v>45808</v>
      </c>
      <c r="H386" s="617" t="s">
        <v>74</v>
      </c>
      <c r="I386" s="883">
        <v>3800</v>
      </c>
      <c r="J386" s="687">
        <f ca="1">IF(B$1&gt;=الجدول3[[#This Row],[تاريخ الدفعة]],الجدول3[[#This Row],[مبلغ الدفعة]],0)</f>
        <v>3800</v>
      </c>
      <c r="K386" s="913">
        <v>3800</v>
      </c>
      <c r="L386" s="908">
        <v>45808</v>
      </c>
      <c r="M386" s="369" t="s">
        <v>164</v>
      </c>
      <c r="N386" s="909" t="s">
        <v>74</v>
      </c>
      <c r="O386" s="620">
        <f ca="1">الجدول3[[#This Row],[المدفوع]]-الجدول3[[#This Row],[المبلغ المستحق]]</f>
        <v>0</v>
      </c>
      <c r="P386" s="621"/>
      <c r="Q386" s="733" t="s">
        <v>1061</v>
      </c>
    </row>
    <row r="387" spans="2:17" hidden="1">
      <c r="B387" s="370">
        <v>349</v>
      </c>
      <c r="C387" s="881" t="s">
        <v>1025</v>
      </c>
      <c r="D387" s="882">
        <v>10964815248</v>
      </c>
      <c r="E387" s="369" t="s">
        <v>1024</v>
      </c>
      <c r="F387" s="369">
        <v>102</v>
      </c>
      <c r="G387" s="617">
        <v>45838</v>
      </c>
      <c r="H387" s="617" t="s">
        <v>145</v>
      </c>
      <c r="I387" s="883">
        <v>3800</v>
      </c>
      <c r="J387" s="687">
        <f ca="1">IF(B$1&gt;=الجدول3[[#This Row],[تاريخ الدفعة]],الجدول3[[#This Row],[مبلغ الدفعة]],0)</f>
        <v>3800</v>
      </c>
      <c r="K387" s="913">
        <v>3800</v>
      </c>
      <c r="L387" s="908">
        <v>45850</v>
      </c>
      <c r="M387" s="369" t="s">
        <v>164</v>
      </c>
      <c r="N387" s="909" t="s">
        <v>146</v>
      </c>
      <c r="O387" s="620">
        <f ca="1">الجدول3[[#This Row],[المدفوع]]-الجدول3[[#This Row],[المبلغ المستحق]]</f>
        <v>0</v>
      </c>
      <c r="P387" s="621"/>
      <c r="Q387" s="733" t="s">
        <v>1061</v>
      </c>
    </row>
    <row r="388" spans="2:17" hidden="1">
      <c r="B388" s="369">
        <v>350</v>
      </c>
      <c r="C388" s="881" t="s">
        <v>1025</v>
      </c>
      <c r="D388" s="882">
        <v>10964815248</v>
      </c>
      <c r="E388" s="369" t="s">
        <v>1024</v>
      </c>
      <c r="F388" s="369">
        <v>102</v>
      </c>
      <c r="G388" s="617">
        <v>45868</v>
      </c>
      <c r="H388" s="617" t="s">
        <v>146</v>
      </c>
      <c r="I388" s="883">
        <v>3800</v>
      </c>
      <c r="J388" s="687">
        <f ca="1">IF(B$1&gt;=الجدول3[[#This Row],[تاريخ الدفعة]],الجدول3[[#This Row],[مبلغ الدفعة]],0)</f>
        <v>3800</v>
      </c>
      <c r="K388" s="913">
        <v>3800</v>
      </c>
      <c r="L388" s="908">
        <v>45867</v>
      </c>
      <c r="M388" s="369" t="s">
        <v>164</v>
      </c>
      <c r="N388" s="909" t="s">
        <v>146</v>
      </c>
      <c r="O388" s="620">
        <f ca="1">الجدول3[[#This Row],[المدفوع]]-الجدول3[[#This Row],[المبلغ المستحق]]</f>
        <v>0</v>
      </c>
      <c r="P388" s="621"/>
      <c r="Q388" s="733" t="s">
        <v>1061</v>
      </c>
    </row>
    <row r="389" spans="2:17" hidden="1">
      <c r="B389" s="370">
        <v>351</v>
      </c>
      <c r="C389" s="890" t="s">
        <v>1025</v>
      </c>
      <c r="D389" s="891">
        <v>10964815248</v>
      </c>
      <c r="E389" s="369" t="s">
        <v>1024</v>
      </c>
      <c r="F389" s="370">
        <v>102</v>
      </c>
      <c r="G389" s="371">
        <v>45899</v>
      </c>
      <c r="H389" s="371" t="s">
        <v>147</v>
      </c>
      <c r="I389" s="892">
        <v>3800</v>
      </c>
      <c r="J389" s="687">
        <f ca="1">IF(B$1&gt;=الجدول3[[#This Row],[تاريخ الدفعة]],الجدول3[[#This Row],[مبلغ الدفعة]],0)</f>
        <v>3800</v>
      </c>
      <c r="K389" s="913">
        <v>3800</v>
      </c>
      <c r="L389" s="914">
        <v>45898</v>
      </c>
      <c r="M389" s="370" t="s">
        <v>164</v>
      </c>
      <c r="N389" s="915" t="s">
        <v>147</v>
      </c>
      <c r="O389" s="620">
        <f ca="1">الجدول3[[#This Row],[المدفوع]]-الجدول3[[#This Row],[المبلغ المستحق]]</f>
        <v>0</v>
      </c>
      <c r="P389" s="621"/>
      <c r="Q389" s="733" t="s">
        <v>1061</v>
      </c>
    </row>
    <row r="390" spans="2:17" hidden="1">
      <c r="B390" s="369">
        <v>352</v>
      </c>
      <c r="C390" s="890" t="s">
        <v>1025</v>
      </c>
      <c r="D390" s="882">
        <v>10964815248</v>
      </c>
      <c r="E390" s="369" t="s">
        <v>1024</v>
      </c>
      <c r="F390" s="369">
        <v>102</v>
      </c>
      <c r="G390" s="371">
        <v>45930</v>
      </c>
      <c r="H390" s="617" t="s">
        <v>963</v>
      </c>
      <c r="I390" s="892">
        <v>3800</v>
      </c>
      <c r="J390" s="687">
        <f ca="1">IF(B$1&gt;=الجدول3[[#This Row],[تاريخ الدفعة]],الجدول3[[#This Row],[مبلغ الدفعة]],0)</f>
        <v>3800</v>
      </c>
      <c r="K390" s="883">
        <v>0</v>
      </c>
      <c r="L390" s="617">
        <v>0</v>
      </c>
      <c r="M390" s="369" t="s">
        <v>329</v>
      </c>
      <c r="N390" s="909" t="s">
        <v>963</v>
      </c>
      <c r="O390" s="620">
        <f ca="1">الجدول3[[#This Row],[المدفوع]]-الجدول3[[#This Row],[المبلغ المستحق]]</f>
        <v>-3800</v>
      </c>
      <c r="P390" s="621"/>
      <c r="Q390" s="733" t="s">
        <v>1061</v>
      </c>
    </row>
    <row r="391" spans="2:17" hidden="1">
      <c r="B391" s="370">
        <v>353</v>
      </c>
      <c r="C391" s="890" t="s">
        <v>1025</v>
      </c>
      <c r="D391" s="882">
        <v>10964815248</v>
      </c>
      <c r="E391" s="369" t="s">
        <v>1024</v>
      </c>
      <c r="F391" s="369">
        <v>102</v>
      </c>
      <c r="G391" s="371">
        <v>45960</v>
      </c>
      <c r="H391" s="617" t="s">
        <v>963</v>
      </c>
      <c r="I391" s="892">
        <v>3800</v>
      </c>
      <c r="J391" s="687">
        <f ca="1">IF(B$1&gt;=الجدول3[[#This Row],[تاريخ الدفعة]],الجدول3[[#This Row],[مبلغ الدفعة]],0)</f>
        <v>3800</v>
      </c>
      <c r="K391" s="883">
        <v>0</v>
      </c>
      <c r="L391" s="617">
        <v>0</v>
      </c>
      <c r="M391" s="369" t="s">
        <v>329</v>
      </c>
      <c r="N391" s="909" t="s">
        <v>963</v>
      </c>
      <c r="O391" s="620">
        <f ca="1">الجدول3[[#This Row],[المدفوع]]-الجدول3[[#This Row],[المبلغ المستحق]]</f>
        <v>-3800</v>
      </c>
      <c r="P391" s="621"/>
      <c r="Q391" s="733" t="s">
        <v>1061</v>
      </c>
    </row>
    <row r="392" spans="2:17" hidden="1">
      <c r="B392" s="369">
        <v>354</v>
      </c>
      <c r="C392" s="890" t="s">
        <v>1025</v>
      </c>
      <c r="D392" s="891">
        <v>10964815248</v>
      </c>
      <c r="E392" s="369" t="s">
        <v>1024</v>
      </c>
      <c r="F392" s="370">
        <v>102</v>
      </c>
      <c r="G392" s="371">
        <v>45991</v>
      </c>
      <c r="H392" s="617" t="s">
        <v>963</v>
      </c>
      <c r="I392" s="892">
        <v>3800</v>
      </c>
      <c r="J392" s="687">
        <f ca="1">IF(B$1&gt;=الجدول3[[#This Row],[تاريخ الدفعة]],الجدول3[[#This Row],[مبلغ الدفعة]],0)</f>
        <v>3800</v>
      </c>
      <c r="K392" s="883">
        <v>0</v>
      </c>
      <c r="L392" s="371">
        <v>0</v>
      </c>
      <c r="M392" s="370" t="s">
        <v>329</v>
      </c>
      <c r="N392" s="915" t="s">
        <v>963</v>
      </c>
      <c r="O392" s="620">
        <f ca="1">الجدول3[[#This Row],[المدفوع]]-الجدول3[[#This Row],[المبلغ المستحق]]</f>
        <v>-3800</v>
      </c>
      <c r="P392" s="621"/>
      <c r="Q392" s="733" t="s">
        <v>1061</v>
      </c>
    </row>
    <row r="393" spans="2:17" hidden="1">
      <c r="B393" s="370">
        <v>355</v>
      </c>
      <c r="C393" s="890" t="s">
        <v>1025</v>
      </c>
      <c r="D393" s="882">
        <v>10964815248</v>
      </c>
      <c r="E393" s="369" t="s">
        <v>1024</v>
      </c>
      <c r="F393" s="370">
        <v>102</v>
      </c>
      <c r="G393" s="617">
        <v>46021</v>
      </c>
      <c r="H393" s="617" t="s">
        <v>963</v>
      </c>
      <c r="I393" s="892">
        <v>3800</v>
      </c>
      <c r="J393" s="687">
        <f ca="1">IF(B$1&gt;=الجدول3[[#This Row],[تاريخ الدفعة]],الجدول3[[#This Row],[مبلغ الدفعة]],0)</f>
        <v>3800</v>
      </c>
      <c r="K393" s="883">
        <v>0</v>
      </c>
      <c r="L393" s="617">
        <v>0</v>
      </c>
      <c r="M393" s="369" t="s">
        <v>329</v>
      </c>
      <c r="N393" s="909" t="s">
        <v>963</v>
      </c>
      <c r="O393" s="620">
        <f ca="1">الجدول3[[#This Row],[المدفوع]]-الجدول3[[#This Row],[المبلغ المستحق]]</f>
        <v>-3800</v>
      </c>
      <c r="P393" s="621"/>
      <c r="Q393" s="733" t="s">
        <v>1061</v>
      </c>
    </row>
    <row r="394" spans="2:17" hidden="1">
      <c r="B394" s="369">
        <v>356</v>
      </c>
      <c r="C394" s="890" t="s">
        <v>1025</v>
      </c>
      <c r="D394" s="882">
        <v>10964815248</v>
      </c>
      <c r="E394" s="369" t="s">
        <v>1024</v>
      </c>
      <c r="F394" s="370">
        <v>102</v>
      </c>
      <c r="G394" s="371">
        <v>46052</v>
      </c>
      <c r="H394" s="617" t="s">
        <v>963</v>
      </c>
      <c r="I394" s="892">
        <v>3800</v>
      </c>
      <c r="J394" s="687">
        <f ca="1">IF(B$1&gt;=الجدول3[[#This Row],[تاريخ الدفعة]],الجدول3[[#This Row],[مبلغ الدفعة]],0)</f>
        <v>3800</v>
      </c>
      <c r="K394" s="883">
        <v>0</v>
      </c>
      <c r="L394" s="617">
        <v>0</v>
      </c>
      <c r="M394" s="369" t="s">
        <v>329</v>
      </c>
      <c r="N394" s="909" t="s">
        <v>963</v>
      </c>
      <c r="O394" s="620">
        <f ca="1">الجدول3[[#This Row],[المدفوع]]-الجدول3[[#This Row],[المبلغ المستحق]]</f>
        <v>-3800</v>
      </c>
      <c r="P394" s="621"/>
      <c r="Q394" s="733" t="s">
        <v>1061</v>
      </c>
    </row>
    <row r="395" spans="2:17" hidden="1">
      <c r="B395" s="370">
        <v>357</v>
      </c>
      <c r="C395" s="890" t="s">
        <v>1025</v>
      </c>
      <c r="D395" s="882">
        <v>10964815248</v>
      </c>
      <c r="E395" s="369" t="s">
        <v>1024</v>
      </c>
      <c r="F395" s="370">
        <v>102</v>
      </c>
      <c r="G395" s="617">
        <v>46081</v>
      </c>
      <c r="H395" s="617" t="s">
        <v>963</v>
      </c>
      <c r="I395" s="892">
        <v>3800</v>
      </c>
      <c r="J395" s="687">
        <f ca="1">IF(B$1&gt;=الجدول3[[#This Row],[تاريخ الدفعة]],الجدول3[[#This Row],[مبلغ الدفعة]],0)</f>
        <v>3800</v>
      </c>
      <c r="K395" s="883">
        <v>0</v>
      </c>
      <c r="L395" s="617">
        <v>0</v>
      </c>
      <c r="M395" s="369" t="s">
        <v>329</v>
      </c>
      <c r="N395" s="909" t="s">
        <v>963</v>
      </c>
      <c r="O395" s="620">
        <f ca="1">الجدول3[[#This Row],[المدفوع]]-الجدول3[[#This Row],[المبلغ المستحق]]</f>
        <v>-3800</v>
      </c>
      <c r="P395" s="621"/>
      <c r="Q395" s="733" t="s">
        <v>1061</v>
      </c>
    </row>
    <row r="396" spans="2:17" hidden="1">
      <c r="B396" s="369">
        <v>358</v>
      </c>
      <c r="C396" s="890" t="s">
        <v>1025</v>
      </c>
      <c r="D396" s="882">
        <v>10964815248</v>
      </c>
      <c r="E396" s="369" t="s">
        <v>1024</v>
      </c>
      <c r="F396" s="370">
        <v>102</v>
      </c>
      <c r="G396" s="371">
        <v>46109</v>
      </c>
      <c r="H396" s="617" t="s">
        <v>963</v>
      </c>
      <c r="I396" s="892">
        <v>3800</v>
      </c>
      <c r="J396" s="687">
        <f ca="1">IF(B$1&gt;=الجدول3[[#This Row],[تاريخ الدفعة]],الجدول3[[#This Row],[مبلغ الدفعة]],0)</f>
        <v>3800</v>
      </c>
      <c r="K396" s="883">
        <v>0</v>
      </c>
      <c r="L396" s="617">
        <v>0</v>
      </c>
      <c r="M396" s="369" t="s">
        <v>329</v>
      </c>
      <c r="N396" s="909" t="s">
        <v>963</v>
      </c>
      <c r="O396" s="620">
        <f ca="1">الجدول3[[#This Row],[المدفوع]]-الجدول3[[#This Row],[المبلغ المستحق]]</f>
        <v>-3800</v>
      </c>
      <c r="P396" s="621"/>
      <c r="Q396" s="733" t="s">
        <v>1061</v>
      </c>
    </row>
    <row r="397" spans="2:17" hidden="1">
      <c r="B397" s="370">
        <v>359</v>
      </c>
      <c r="C397" s="890" t="s">
        <v>1025</v>
      </c>
      <c r="D397" s="882">
        <v>10964815248</v>
      </c>
      <c r="E397" s="369" t="s">
        <v>1024</v>
      </c>
      <c r="F397" s="370">
        <v>102</v>
      </c>
      <c r="G397" s="617">
        <v>46140</v>
      </c>
      <c r="H397" s="617" t="s">
        <v>963</v>
      </c>
      <c r="I397" s="892">
        <v>3800</v>
      </c>
      <c r="J397" s="687">
        <f ca="1">IF(B$1&gt;=الجدول3[[#This Row],[تاريخ الدفعة]],الجدول3[[#This Row],[مبلغ الدفعة]],0)</f>
        <v>3800</v>
      </c>
      <c r="K397" s="883">
        <v>0</v>
      </c>
      <c r="L397" s="617">
        <v>0</v>
      </c>
      <c r="M397" s="369" t="s">
        <v>329</v>
      </c>
      <c r="N397" s="909" t="s">
        <v>963</v>
      </c>
      <c r="O397" s="620">
        <f ca="1">الجدول3[[#This Row],[المدفوع]]-الجدول3[[#This Row],[المبلغ المستحق]]</f>
        <v>-3800</v>
      </c>
      <c r="P397" s="621"/>
      <c r="Q397" s="733" t="s">
        <v>1061</v>
      </c>
    </row>
    <row r="398" spans="2:17" hidden="1">
      <c r="B398" s="369">
        <v>360</v>
      </c>
      <c r="C398" s="890" t="s">
        <v>1026</v>
      </c>
      <c r="D398" s="882">
        <v>10664358103</v>
      </c>
      <c r="E398" s="369" t="s">
        <v>1027</v>
      </c>
      <c r="F398" s="370">
        <v>102</v>
      </c>
      <c r="G398" s="371">
        <v>45807</v>
      </c>
      <c r="H398" s="617" t="s">
        <v>74</v>
      </c>
      <c r="I398" s="892">
        <v>3800</v>
      </c>
      <c r="J398" s="687">
        <f ca="1">IF(B$1&gt;=الجدول3[[#This Row],[تاريخ الدفعة]],الجدول3[[#This Row],[مبلغ الدفعة]],0)</f>
        <v>3800</v>
      </c>
      <c r="K398" s="911">
        <v>3800</v>
      </c>
      <c r="L398" s="908">
        <v>45804</v>
      </c>
      <c r="M398" s="369" t="s">
        <v>164</v>
      </c>
      <c r="N398" s="909" t="s">
        <v>74</v>
      </c>
      <c r="O398" s="620">
        <f ca="1">الجدول3[[#This Row],[المدفوع]]-الجدول3[[#This Row],[المبلغ المستحق]]</f>
        <v>0</v>
      </c>
      <c r="P398" s="621"/>
      <c r="Q398" s="733" t="s">
        <v>1061</v>
      </c>
    </row>
    <row r="399" spans="2:17" hidden="1">
      <c r="B399" s="370">
        <v>361</v>
      </c>
      <c r="C399" s="890" t="s">
        <v>1026</v>
      </c>
      <c r="D399" s="882">
        <v>10664358103</v>
      </c>
      <c r="E399" s="369" t="s">
        <v>1027</v>
      </c>
      <c r="F399" s="370">
        <v>102</v>
      </c>
      <c r="G399" s="617">
        <v>45838</v>
      </c>
      <c r="H399" s="617" t="s">
        <v>145</v>
      </c>
      <c r="I399" s="892">
        <v>3800</v>
      </c>
      <c r="J399" s="687">
        <f ca="1">IF(B$1&gt;=الجدول3[[#This Row],[تاريخ الدفعة]],الجدول3[[#This Row],[مبلغ الدفعة]],0)</f>
        <v>3800</v>
      </c>
      <c r="K399" s="911">
        <v>3800</v>
      </c>
      <c r="L399" s="908">
        <v>45833</v>
      </c>
      <c r="M399" s="369" t="s">
        <v>164</v>
      </c>
      <c r="N399" s="909" t="s">
        <v>145</v>
      </c>
      <c r="O399" s="620">
        <f ca="1">الجدول3[[#This Row],[المدفوع]]-الجدول3[[#This Row],[المبلغ المستحق]]</f>
        <v>0</v>
      </c>
      <c r="P399" s="621"/>
      <c r="Q399" s="733" t="s">
        <v>1061</v>
      </c>
    </row>
    <row r="400" spans="2:17" hidden="1">
      <c r="B400" s="369">
        <v>362</v>
      </c>
      <c r="C400" s="890" t="s">
        <v>1026</v>
      </c>
      <c r="D400" s="882">
        <v>10664358103</v>
      </c>
      <c r="E400" s="369" t="s">
        <v>1027</v>
      </c>
      <c r="F400" s="370">
        <v>102</v>
      </c>
      <c r="G400" s="371">
        <v>45868</v>
      </c>
      <c r="H400" s="617" t="s">
        <v>146</v>
      </c>
      <c r="I400" s="892">
        <v>3800</v>
      </c>
      <c r="J400" s="687">
        <f ca="1">IF(B$1&gt;=الجدول3[[#This Row],[تاريخ الدفعة]],الجدول3[[#This Row],[مبلغ الدفعة]],0)</f>
        <v>3800</v>
      </c>
      <c r="K400" s="911">
        <v>3800</v>
      </c>
      <c r="L400" s="908">
        <v>45865</v>
      </c>
      <c r="M400" s="369" t="s">
        <v>164</v>
      </c>
      <c r="N400" s="909" t="s">
        <v>146</v>
      </c>
      <c r="O400" s="620">
        <f ca="1">الجدول3[[#This Row],[المدفوع]]-الجدول3[[#This Row],[المبلغ المستحق]]</f>
        <v>0</v>
      </c>
      <c r="P400" s="621"/>
      <c r="Q400" s="733" t="s">
        <v>1061</v>
      </c>
    </row>
    <row r="401" spans="2:17" hidden="1">
      <c r="B401" s="370">
        <v>363</v>
      </c>
      <c r="C401" s="890" t="s">
        <v>1026</v>
      </c>
      <c r="D401" s="882">
        <v>10664358103</v>
      </c>
      <c r="E401" s="369" t="s">
        <v>1027</v>
      </c>
      <c r="F401" s="370">
        <v>102</v>
      </c>
      <c r="G401" s="617">
        <v>45899</v>
      </c>
      <c r="H401" s="617" t="s">
        <v>147</v>
      </c>
      <c r="I401" s="892">
        <v>3800</v>
      </c>
      <c r="J401" s="687">
        <f ca="1">IF(B$1&gt;=الجدول3[[#This Row],[تاريخ الدفعة]],الجدول3[[#This Row],[مبلغ الدفعة]],0)</f>
        <v>3800</v>
      </c>
      <c r="K401" s="911">
        <v>3800</v>
      </c>
      <c r="L401" s="908">
        <v>45899</v>
      </c>
      <c r="M401" s="369" t="s">
        <v>164</v>
      </c>
      <c r="N401" s="909" t="s">
        <v>147</v>
      </c>
      <c r="O401" s="620">
        <f ca="1">الجدول3[[#This Row],[المدفوع]]-الجدول3[[#This Row],[المبلغ المستحق]]</f>
        <v>0</v>
      </c>
      <c r="P401" s="621"/>
      <c r="Q401" s="733" t="s">
        <v>1061</v>
      </c>
    </row>
    <row r="402" spans="2:17" hidden="1">
      <c r="B402" s="369">
        <v>364</v>
      </c>
      <c r="C402" s="890" t="s">
        <v>1026</v>
      </c>
      <c r="D402" s="882">
        <v>10664358103</v>
      </c>
      <c r="E402" s="369" t="s">
        <v>1027</v>
      </c>
      <c r="F402" s="370">
        <v>102</v>
      </c>
      <c r="G402" s="371">
        <v>45930</v>
      </c>
      <c r="H402" s="617" t="s">
        <v>165</v>
      </c>
      <c r="I402" s="892">
        <v>3800</v>
      </c>
      <c r="J402" s="687">
        <f ca="1">IF(B$1&gt;=الجدول3[[#This Row],[تاريخ الدفعة]],الجدول3[[#This Row],[مبلغ الدفعة]],0)</f>
        <v>3800</v>
      </c>
      <c r="K402" s="911">
        <v>3800</v>
      </c>
      <c r="L402" s="908">
        <v>45932</v>
      </c>
      <c r="M402" s="369" t="s">
        <v>164</v>
      </c>
      <c r="N402" s="909" t="s">
        <v>165</v>
      </c>
      <c r="O402" s="620">
        <f ca="1">الجدول3[[#This Row],[المدفوع]]-الجدول3[[#This Row],[المبلغ المستحق]]</f>
        <v>0</v>
      </c>
      <c r="P402" s="621"/>
      <c r="Q402" s="733" t="s">
        <v>1061</v>
      </c>
    </row>
    <row r="403" spans="2:17" hidden="1">
      <c r="B403" s="370">
        <v>365</v>
      </c>
      <c r="C403" s="890" t="s">
        <v>1026</v>
      </c>
      <c r="D403" s="882">
        <v>10664358103</v>
      </c>
      <c r="E403" s="369" t="s">
        <v>1027</v>
      </c>
      <c r="F403" s="370">
        <v>102</v>
      </c>
      <c r="G403" s="617">
        <v>45960</v>
      </c>
      <c r="H403" s="617" t="s">
        <v>963</v>
      </c>
      <c r="I403" s="892">
        <v>0</v>
      </c>
      <c r="J403" s="687">
        <f ca="1">IF(B$1&gt;=الجدول3[[#This Row],[تاريخ الدفعة]],الجدول3[[#This Row],[مبلغ الدفعة]],0)</f>
        <v>0</v>
      </c>
      <c r="K403" s="883">
        <v>0</v>
      </c>
      <c r="L403" s="617">
        <v>0</v>
      </c>
      <c r="M403" s="369" t="s">
        <v>329</v>
      </c>
      <c r="N403" s="909" t="s">
        <v>963</v>
      </c>
      <c r="O403" s="620">
        <f ca="1">الجدول3[[#This Row],[المدفوع]]-الجدول3[[#This Row],[المبلغ المستحق]]</f>
        <v>0</v>
      </c>
      <c r="P403" s="621"/>
      <c r="Q403" s="733" t="s">
        <v>1061</v>
      </c>
    </row>
    <row r="404" spans="2:17" hidden="1">
      <c r="B404" s="369">
        <v>366</v>
      </c>
      <c r="C404" s="890" t="s">
        <v>1014</v>
      </c>
      <c r="D404" s="891">
        <v>10961328891</v>
      </c>
      <c r="E404" s="369" t="s">
        <v>1015</v>
      </c>
      <c r="F404" s="370">
        <v>102</v>
      </c>
      <c r="G404" s="371">
        <v>45831</v>
      </c>
      <c r="H404" s="371" t="s">
        <v>145</v>
      </c>
      <c r="I404" s="892">
        <v>4000</v>
      </c>
      <c r="J404" s="687">
        <f ca="1">IF(B$1&gt;=الجدول3[[#This Row],[تاريخ الدفعة]],الجدول3[[#This Row],[مبلغ الدفعة]],0)</f>
        <v>4000</v>
      </c>
      <c r="K404" s="911">
        <v>4000</v>
      </c>
      <c r="L404" s="914">
        <v>45835</v>
      </c>
      <c r="M404" s="370" t="s">
        <v>164</v>
      </c>
      <c r="N404" s="915" t="s">
        <v>145</v>
      </c>
      <c r="O404" s="620">
        <f ca="1">الجدول3[[#This Row],[المدفوع]]-الجدول3[[#This Row],[المبلغ المستحق]]</f>
        <v>0</v>
      </c>
      <c r="P404" s="621"/>
      <c r="Q404" s="733"/>
    </row>
    <row r="405" spans="2:17" hidden="1">
      <c r="B405" s="370">
        <v>367</v>
      </c>
      <c r="C405" s="890" t="s">
        <v>1014</v>
      </c>
      <c r="D405" s="882">
        <v>10961328891</v>
      </c>
      <c r="E405" s="369" t="s">
        <v>1015</v>
      </c>
      <c r="F405" s="370">
        <v>102</v>
      </c>
      <c r="G405" s="617">
        <v>45861</v>
      </c>
      <c r="H405" s="617" t="s">
        <v>146</v>
      </c>
      <c r="I405" s="892">
        <v>4000</v>
      </c>
      <c r="J405" s="687">
        <f ca="1">IF(B$1&gt;=الجدول3[[#This Row],[تاريخ الدفعة]],الجدول3[[#This Row],[مبلغ الدفعة]],0)</f>
        <v>4000</v>
      </c>
      <c r="K405" s="911">
        <v>4000</v>
      </c>
      <c r="L405" s="908">
        <v>45883</v>
      </c>
      <c r="M405" s="369" t="s">
        <v>164</v>
      </c>
      <c r="N405" s="909" t="s">
        <v>147</v>
      </c>
      <c r="O405" s="620">
        <f ca="1">الجدول3[[#This Row],[المدفوع]]-الجدول3[[#This Row],[المبلغ المستحق]]</f>
        <v>0</v>
      </c>
      <c r="P405" s="621"/>
      <c r="Q405" s="733"/>
    </row>
    <row r="406" spans="2:17" hidden="1">
      <c r="B406" s="369">
        <v>368</v>
      </c>
      <c r="C406" s="890" t="s">
        <v>1014</v>
      </c>
      <c r="D406" s="882">
        <v>10961328891</v>
      </c>
      <c r="E406" s="369" t="s">
        <v>1015</v>
      </c>
      <c r="F406" s="370">
        <v>102</v>
      </c>
      <c r="G406" s="371">
        <v>45892</v>
      </c>
      <c r="H406" s="617" t="s">
        <v>147</v>
      </c>
      <c r="I406" s="892">
        <v>4000</v>
      </c>
      <c r="J406" s="687">
        <f ca="1">IF(B$1&gt;=الجدول3[[#This Row],[تاريخ الدفعة]],الجدول3[[#This Row],[مبلغ الدفعة]],0)</f>
        <v>4000</v>
      </c>
      <c r="K406" s="911">
        <v>4000</v>
      </c>
      <c r="L406" s="908">
        <v>45914</v>
      </c>
      <c r="M406" s="369" t="s">
        <v>164</v>
      </c>
      <c r="N406" s="909" t="s">
        <v>165</v>
      </c>
      <c r="O406" s="620">
        <f ca="1">الجدول3[[#This Row],[المدفوع]]-الجدول3[[#This Row],[المبلغ المستحق]]</f>
        <v>0</v>
      </c>
      <c r="P406" s="621"/>
      <c r="Q406" s="733"/>
    </row>
    <row r="407" spans="2:17" hidden="1">
      <c r="B407" s="370">
        <v>369</v>
      </c>
      <c r="C407" s="890" t="s">
        <v>1014</v>
      </c>
      <c r="D407" s="882">
        <v>10961328891</v>
      </c>
      <c r="E407" s="369" t="s">
        <v>1015</v>
      </c>
      <c r="F407" s="370">
        <v>102</v>
      </c>
      <c r="G407" s="617">
        <v>45923</v>
      </c>
      <c r="H407" s="617" t="s">
        <v>165</v>
      </c>
      <c r="I407" s="892">
        <v>4000</v>
      </c>
      <c r="J407" s="687">
        <f ca="1">IF(B$1&gt;=الجدول3[[#This Row],[تاريخ الدفعة]],الجدول3[[#This Row],[مبلغ الدفعة]],0)</f>
        <v>4000</v>
      </c>
      <c r="K407" s="883">
        <v>4000</v>
      </c>
      <c r="L407" s="617">
        <v>45943</v>
      </c>
      <c r="M407" s="369" t="s">
        <v>164</v>
      </c>
      <c r="N407" s="909" t="s">
        <v>259</v>
      </c>
      <c r="O407" s="620">
        <f ca="1">الجدول3[[#This Row],[المدفوع]]-الجدول3[[#This Row],[المبلغ المستحق]]</f>
        <v>0</v>
      </c>
      <c r="P407" s="621"/>
      <c r="Q407" s="733"/>
    </row>
    <row r="408" spans="2:17" hidden="1">
      <c r="B408" s="369">
        <v>370</v>
      </c>
      <c r="C408" s="890" t="s">
        <v>1014</v>
      </c>
      <c r="D408" s="882">
        <v>10961328891</v>
      </c>
      <c r="E408" s="369" t="s">
        <v>1015</v>
      </c>
      <c r="F408" s="370">
        <v>102</v>
      </c>
      <c r="G408" s="617">
        <v>45984</v>
      </c>
      <c r="H408" s="617" t="s">
        <v>263</v>
      </c>
      <c r="I408" s="892">
        <v>4000</v>
      </c>
      <c r="J408" s="687">
        <f ca="1">IF(B$1&gt;=الجدول3[[#This Row],[تاريخ الدفعة]],الجدول3[[#This Row],[مبلغ الدفعة]],0)</f>
        <v>4000</v>
      </c>
      <c r="K408" s="883">
        <v>4000</v>
      </c>
      <c r="L408" s="617">
        <v>46005</v>
      </c>
      <c r="M408" s="369" t="s">
        <v>164</v>
      </c>
      <c r="N408" s="909" t="s">
        <v>262</v>
      </c>
      <c r="O408" s="620">
        <f ca="1">الجدول3[[#This Row],[المدفوع]]-الجدول3[[#This Row],[المبلغ المستحق]]</f>
        <v>0</v>
      </c>
      <c r="P408" s="621"/>
      <c r="Q408" s="733"/>
    </row>
    <row r="409" spans="2:17" hidden="1">
      <c r="B409" s="370">
        <v>371</v>
      </c>
      <c r="C409" s="890" t="s">
        <v>1014</v>
      </c>
      <c r="D409" s="882">
        <v>10961328891</v>
      </c>
      <c r="E409" s="369" t="s">
        <v>1015</v>
      </c>
      <c r="F409" s="370">
        <v>102</v>
      </c>
      <c r="G409" s="371">
        <v>46014</v>
      </c>
      <c r="H409" s="617" t="s">
        <v>262</v>
      </c>
      <c r="I409" s="892">
        <v>4000</v>
      </c>
      <c r="J409" s="687">
        <f ca="1">IF(B$1&gt;=الجدول3[[#This Row],[تاريخ الدفعة]],الجدول3[[#This Row],[مبلغ الدفعة]],0)</f>
        <v>4000</v>
      </c>
      <c r="K409" s="883">
        <v>4000</v>
      </c>
      <c r="L409" s="617">
        <v>46035</v>
      </c>
      <c r="M409" s="369" t="s">
        <v>164</v>
      </c>
      <c r="N409" s="909" t="s">
        <v>270</v>
      </c>
      <c r="O409" s="620">
        <f ca="1">الجدول3[[#This Row],[المدفوع]]-الجدول3[[#This Row],[المبلغ المستحق]]</f>
        <v>0</v>
      </c>
      <c r="P409" s="621"/>
      <c r="Q409" s="733"/>
    </row>
    <row r="410" spans="2:17" hidden="1">
      <c r="B410" s="369">
        <v>372</v>
      </c>
      <c r="C410" s="890" t="s">
        <v>1014</v>
      </c>
      <c r="D410" s="882">
        <v>10961328891</v>
      </c>
      <c r="E410" s="369" t="s">
        <v>1015</v>
      </c>
      <c r="F410" s="370">
        <v>102</v>
      </c>
      <c r="G410" s="617">
        <v>46045</v>
      </c>
      <c r="H410" s="617" t="s">
        <v>270</v>
      </c>
      <c r="I410" s="892">
        <v>4000</v>
      </c>
      <c r="J410" s="687">
        <f ca="1">IF(B$1&gt;=الجدول3[[#This Row],[تاريخ الدفعة]],الجدول3[[#This Row],[مبلغ الدفعة]],0)</f>
        <v>4000</v>
      </c>
      <c r="K410" s="883">
        <v>4000</v>
      </c>
      <c r="L410" s="617">
        <v>46065</v>
      </c>
      <c r="M410" s="369" t="s">
        <v>164</v>
      </c>
      <c r="N410" s="621" t="s">
        <v>271</v>
      </c>
      <c r="O410" s="620">
        <f ca="1">الجدول3[[#This Row],[المدفوع]]-الجدول3[[#This Row],[المبلغ المستحق]]</f>
        <v>0</v>
      </c>
      <c r="P410" s="621"/>
      <c r="Q410" s="733"/>
    </row>
    <row r="411" spans="2:17" hidden="1">
      <c r="B411" s="370">
        <v>373</v>
      </c>
      <c r="C411" s="890" t="s">
        <v>1014</v>
      </c>
      <c r="D411" s="882">
        <v>10961328891</v>
      </c>
      <c r="E411" s="369" t="s">
        <v>1015</v>
      </c>
      <c r="F411" s="370">
        <v>102</v>
      </c>
      <c r="G411" s="371">
        <v>46076</v>
      </c>
      <c r="H411" s="617" t="s">
        <v>271</v>
      </c>
      <c r="I411" s="892">
        <v>4000</v>
      </c>
      <c r="J411" s="687">
        <f ca="1">IF(B$1&gt;=الجدول3[[#This Row],[تاريخ الدفعة]],الجدول3[[#This Row],[مبلغ الدفعة]],0)</f>
        <v>4000</v>
      </c>
      <c r="K411" s="883">
        <v>4000</v>
      </c>
      <c r="L411" s="617">
        <v>46090</v>
      </c>
      <c r="M411" s="879" t="s">
        <v>164</v>
      </c>
      <c r="N411" s="621" t="s">
        <v>272</v>
      </c>
      <c r="O411" s="620">
        <f ca="1">الجدول3[[#This Row],[المدفوع]]-الجدول3[[#This Row],[المبلغ المستحق]]</f>
        <v>0</v>
      </c>
      <c r="P411" s="621"/>
      <c r="Q411" s="733"/>
    </row>
    <row r="412" spans="2:17" hidden="1">
      <c r="B412" s="369">
        <v>374</v>
      </c>
      <c r="C412" s="890" t="s">
        <v>1028</v>
      </c>
      <c r="D412" s="882">
        <v>10961328891</v>
      </c>
      <c r="E412" s="369" t="s">
        <v>1015</v>
      </c>
      <c r="F412" s="370">
        <v>102</v>
      </c>
      <c r="G412" s="617">
        <v>46104</v>
      </c>
      <c r="H412" s="617" t="s">
        <v>272</v>
      </c>
      <c r="I412" s="892">
        <v>4000</v>
      </c>
      <c r="J412" s="687">
        <f ca="1">IF(B$1&gt;=الجدول3[[#This Row],[تاريخ الدفعة]],الجدول3[[#This Row],[مبلغ الدفعة]],0)</f>
        <v>4000</v>
      </c>
      <c r="K412" s="883">
        <v>4000</v>
      </c>
      <c r="L412" s="617">
        <v>46090</v>
      </c>
      <c r="M412" s="369" t="s">
        <v>164</v>
      </c>
      <c r="N412" s="621" t="s">
        <v>273</v>
      </c>
      <c r="O412" s="620">
        <f ca="1">الجدول3[[#This Row],[المدفوع]]-الجدول3[[#This Row],[المبلغ المستحق]]</f>
        <v>0</v>
      </c>
      <c r="P412" s="621"/>
      <c r="Q412" s="733"/>
    </row>
    <row r="413" spans="2:17" hidden="1">
      <c r="B413" s="370">
        <v>375</v>
      </c>
      <c r="C413" s="890" t="s">
        <v>1028</v>
      </c>
      <c r="D413" s="882">
        <v>10961328891</v>
      </c>
      <c r="E413" s="369" t="s">
        <v>1015</v>
      </c>
      <c r="F413" s="370">
        <v>102</v>
      </c>
      <c r="G413" s="371">
        <v>46135</v>
      </c>
      <c r="H413" s="617" t="s">
        <v>273</v>
      </c>
      <c r="I413" s="892">
        <v>4000</v>
      </c>
      <c r="J413" s="687">
        <f ca="1">IF(B$1&gt;=الجدول3[[#This Row],[تاريخ الدفعة]],الجدول3[[#This Row],[مبلغ الدفعة]],0)</f>
        <v>4000</v>
      </c>
      <c r="K413" s="883">
        <v>4000</v>
      </c>
      <c r="L413" s="617">
        <v>46153</v>
      </c>
      <c r="M413" s="369" t="s">
        <v>164</v>
      </c>
      <c r="N413" s="621" t="s">
        <v>274</v>
      </c>
      <c r="O413" s="620">
        <f ca="1">الجدول3[[#This Row],[المدفوع]]-الجدول3[[#This Row],[المبلغ المستحق]]</f>
        <v>0</v>
      </c>
      <c r="P413" s="621"/>
      <c r="Q413" s="733"/>
    </row>
    <row r="414" spans="2:17" hidden="1">
      <c r="B414" s="369">
        <v>376</v>
      </c>
      <c r="C414" s="890" t="s">
        <v>1028</v>
      </c>
      <c r="D414" s="882">
        <v>10961328891</v>
      </c>
      <c r="E414" s="369" t="s">
        <v>1015</v>
      </c>
      <c r="F414" s="370">
        <v>102</v>
      </c>
      <c r="G414" s="617">
        <v>46165</v>
      </c>
      <c r="H414" s="617" t="s">
        <v>274</v>
      </c>
      <c r="I414" s="892">
        <v>4000</v>
      </c>
      <c r="J414" s="687">
        <f ca="1">IF(B$1&gt;=الجدول3[[#This Row],[تاريخ الدفعة]],الجدول3[[#This Row],[مبلغ الدفعة]],0)</f>
        <v>4000</v>
      </c>
      <c r="K414" s="883">
        <v>4000</v>
      </c>
      <c r="L414" s="617">
        <v>46189</v>
      </c>
      <c r="M414" s="369" t="s">
        <v>164</v>
      </c>
      <c r="N414" s="621" t="s">
        <v>275</v>
      </c>
      <c r="O414" s="620">
        <f ca="1">الجدول3[[#This Row],[المدفوع]]-الجدول3[[#This Row],[المبلغ المستحق]]</f>
        <v>0</v>
      </c>
      <c r="P414" s="443"/>
      <c r="Q414" s="733"/>
    </row>
    <row r="415" spans="2:17" hidden="1">
      <c r="B415" s="370">
        <v>377</v>
      </c>
      <c r="C415" s="881" t="s">
        <v>1017</v>
      </c>
      <c r="D415" s="369">
        <v>10292271476</v>
      </c>
      <c r="E415" s="369" t="s">
        <v>30</v>
      </c>
      <c r="F415" s="370">
        <v>102</v>
      </c>
      <c r="G415" s="617">
        <v>45964</v>
      </c>
      <c r="H415" s="617" t="s">
        <v>263</v>
      </c>
      <c r="I415" s="883">
        <v>3500</v>
      </c>
      <c r="J415" s="687">
        <f ca="1">IF(B$1&gt;=الجدول3[[#This Row],[تاريخ الدفعة]],الجدول3[[#This Row],[مبلغ الدفعة]],0)</f>
        <v>3500</v>
      </c>
      <c r="K415" s="883">
        <v>3500</v>
      </c>
      <c r="L415" s="617">
        <v>46025</v>
      </c>
      <c r="M415" s="369" t="s">
        <v>164</v>
      </c>
      <c r="N415" s="909" t="s">
        <v>262</v>
      </c>
      <c r="O415" s="620">
        <f ca="1">الجدول3[[#This Row],[المدفوع]]-الجدول3[[#This Row],[المبلغ المستحق]]</f>
        <v>0</v>
      </c>
      <c r="P415" s="621"/>
      <c r="Q415" s="733" t="s">
        <v>1061</v>
      </c>
    </row>
    <row r="416" spans="2:17" hidden="1">
      <c r="B416" s="369">
        <v>378</v>
      </c>
      <c r="C416" s="881" t="s">
        <v>1017</v>
      </c>
      <c r="D416" s="369">
        <v>10292271476</v>
      </c>
      <c r="E416" s="369" t="s">
        <v>30</v>
      </c>
      <c r="F416" s="370">
        <v>102</v>
      </c>
      <c r="G416" s="617">
        <v>45994</v>
      </c>
      <c r="H416" s="617" t="s">
        <v>262</v>
      </c>
      <c r="I416" s="883">
        <v>3500</v>
      </c>
      <c r="J416" s="687">
        <f ca="1">IF(B$1&gt;=الجدول3[[#This Row],[تاريخ الدفعة]],الجدول3[[#This Row],[مبلغ الدفعة]],0)</f>
        <v>3500</v>
      </c>
      <c r="K416" s="883">
        <v>3500</v>
      </c>
      <c r="L416" s="617">
        <v>46072</v>
      </c>
      <c r="M416" s="369" t="s">
        <v>164</v>
      </c>
      <c r="N416" s="621" t="s">
        <v>271</v>
      </c>
      <c r="O416" s="620">
        <f ca="1">الجدول3[[#This Row],[المدفوع]]-الجدول3[[#This Row],[المبلغ المستحق]]</f>
        <v>0</v>
      </c>
      <c r="P416" s="621"/>
      <c r="Q416" s="733" t="s">
        <v>1061</v>
      </c>
    </row>
    <row r="417" spans="2:17" hidden="1">
      <c r="B417" s="370">
        <v>379</v>
      </c>
      <c r="C417" s="881" t="s">
        <v>1017</v>
      </c>
      <c r="D417" s="369">
        <v>10292271476</v>
      </c>
      <c r="E417" s="369" t="s">
        <v>30</v>
      </c>
      <c r="F417" s="370">
        <v>102</v>
      </c>
      <c r="G417" s="617">
        <v>46025</v>
      </c>
      <c r="H417" s="617" t="s">
        <v>270</v>
      </c>
      <c r="I417" s="883">
        <v>1750</v>
      </c>
      <c r="J417" s="687">
        <f ca="1">IF(B$1&gt;=الجدول3[[#This Row],[تاريخ الدفعة]],الجدول3[[#This Row],[مبلغ الدفعة]],0)</f>
        <v>1750</v>
      </c>
      <c r="K417" s="883">
        <v>1750</v>
      </c>
      <c r="L417" s="617">
        <v>46072</v>
      </c>
      <c r="M417" s="369" t="s">
        <v>164</v>
      </c>
      <c r="N417" s="621" t="s">
        <v>271</v>
      </c>
      <c r="O417" s="620">
        <f ca="1">الجدول3[[#This Row],[المدفوع]]-الجدول3[[#This Row],[المبلغ المستحق]]</f>
        <v>0</v>
      </c>
      <c r="P417" s="621"/>
      <c r="Q417" s="733" t="s">
        <v>1061</v>
      </c>
    </row>
    <row r="418" spans="2:17" hidden="1">
      <c r="B418" s="369">
        <v>380</v>
      </c>
      <c r="C418" s="881" t="s">
        <v>1017</v>
      </c>
      <c r="D418" s="369">
        <v>10292271476</v>
      </c>
      <c r="E418" s="369" t="s">
        <v>30</v>
      </c>
      <c r="F418" s="370">
        <v>102</v>
      </c>
      <c r="G418" s="617">
        <v>46056</v>
      </c>
      <c r="H418" s="617" t="s">
        <v>963</v>
      </c>
      <c r="I418" s="883">
        <v>3500</v>
      </c>
      <c r="J418" s="687">
        <f ca="1">IF(B$1&gt;=الجدول3[[#This Row],[تاريخ الدفعة]],الجدول3[[#This Row],[مبلغ الدفعة]],0)</f>
        <v>3500</v>
      </c>
      <c r="K418" s="883">
        <v>0</v>
      </c>
      <c r="L418" s="617"/>
      <c r="M418" s="369" t="s">
        <v>329</v>
      </c>
      <c r="N418" s="621"/>
      <c r="O418" s="620">
        <f ca="1">الجدول3[[#This Row],[المدفوع]]-الجدول3[[#This Row],[المبلغ المستحق]]</f>
        <v>-3500</v>
      </c>
      <c r="P418" s="621"/>
      <c r="Q418" s="733" t="s">
        <v>1061</v>
      </c>
    </row>
    <row r="419" spans="2:17" hidden="1">
      <c r="B419" s="370">
        <v>381</v>
      </c>
      <c r="C419" s="881" t="s">
        <v>1017</v>
      </c>
      <c r="D419" s="369">
        <v>10292271476</v>
      </c>
      <c r="E419" s="369" t="s">
        <v>30</v>
      </c>
      <c r="F419" s="370">
        <v>102</v>
      </c>
      <c r="G419" s="617">
        <v>46084</v>
      </c>
      <c r="H419" s="617" t="s">
        <v>963</v>
      </c>
      <c r="I419" s="883">
        <v>3500</v>
      </c>
      <c r="J419" s="687">
        <f ca="1">IF(B$1&gt;=الجدول3[[#This Row],[تاريخ الدفعة]],الجدول3[[#This Row],[مبلغ الدفعة]],0)</f>
        <v>3500</v>
      </c>
      <c r="K419" s="883">
        <v>0</v>
      </c>
      <c r="L419" s="617"/>
      <c r="M419" s="369" t="s">
        <v>329</v>
      </c>
      <c r="N419" s="621"/>
      <c r="O419" s="620">
        <f ca="1">الجدول3[[#This Row],[المدفوع]]-الجدول3[[#This Row],[المبلغ المستحق]]</f>
        <v>-3500</v>
      </c>
      <c r="P419" s="621"/>
      <c r="Q419" s="733" t="s">
        <v>1061</v>
      </c>
    </row>
    <row r="420" spans="2:17" hidden="1">
      <c r="B420" s="369">
        <v>382</v>
      </c>
      <c r="C420" s="881" t="s">
        <v>1017</v>
      </c>
      <c r="D420" s="369">
        <v>10292271476</v>
      </c>
      <c r="E420" s="369" t="s">
        <v>30</v>
      </c>
      <c r="F420" s="370">
        <v>102</v>
      </c>
      <c r="G420" s="617">
        <v>46115</v>
      </c>
      <c r="H420" s="617" t="s">
        <v>963</v>
      </c>
      <c r="I420" s="883">
        <v>3500</v>
      </c>
      <c r="J420" s="687">
        <f ca="1">IF(B$1&gt;=الجدول3[[#This Row],[تاريخ الدفعة]],الجدول3[[#This Row],[مبلغ الدفعة]],0)</f>
        <v>3500</v>
      </c>
      <c r="K420" s="883">
        <v>0</v>
      </c>
      <c r="L420" s="617"/>
      <c r="M420" s="369" t="s">
        <v>329</v>
      </c>
      <c r="N420" s="621"/>
      <c r="O420" s="620">
        <f ca="1">الجدول3[[#This Row],[المدفوع]]-الجدول3[[#This Row],[المبلغ المستحق]]</f>
        <v>-3500</v>
      </c>
      <c r="P420" s="621"/>
      <c r="Q420" s="733" t="s">
        <v>1061</v>
      </c>
    </row>
    <row r="421" spans="2:17" hidden="1">
      <c r="B421" s="370">
        <v>383</v>
      </c>
      <c r="C421" s="881" t="s">
        <v>1017</v>
      </c>
      <c r="D421" s="369">
        <v>10222366037</v>
      </c>
      <c r="E421" s="369" t="s">
        <v>1027</v>
      </c>
      <c r="F421" s="370">
        <v>102</v>
      </c>
      <c r="G421" s="617">
        <v>45971</v>
      </c>
      <c r="H421" s="617" t="s">
        <v>263</v>
      </c>
      <c r="I421" s="883">
        <v>3800</v>
      </c>
      <c r="J421" s="687">
        <f ca="1">IF(B$1&gt;=الجدول3[[#This Row],[تاريخ الدفعة]],الجدول3[[#This Row],[مبلغ الدفعة]],0)</f>
        <v>3800</v>
      </c>
      <c r="K421" s="883">
        <v>3800</v>
      </c>
      <c r="L421" s="617">
        <v>45984</v>
      </c>
      <c r="M421" s="369" t="s">
        <v>164</v>
      </c>
      <c r="N421" s="909" t="s">
        <v>263</v>
      </c>
      <c r="O421" s="620">
        <f ca="1">الجدول3[[#This Row],[المدفوع]]-الجدول3[[#This Row],[المبلغ المستحق]]</f>
        <v>0</v>
      </c>
      <c r="P421" s="621"/>
      <c r="Q421" s="733" t="s">
        <v>1061</v>
      </c>
    </row>
    <row r="422" spans="2:17" hidden="1">
      <c r="B422" s="369">
        <v>384</v>
      </c>
      <c r="C422" s="881" t="s">
        <v>1017</v>
      </c>
      <c r="D422" s="369">
        <v>10222366037</v>
      </c>
      <c r="E422" s="369" t="s">
        <v>1027</v>
      </c>
      <c r="F422" s="370">
        <v>102</v>
      </c>
      <c r="G422" s="617">
        <v>46001</v>
      </c>
      <c r="H422" s="617" t="s">
        <v>963</v>
      </c>
      <c r="I422" s="883">
        <v>3800</v>
      </c>
      <c r="J422" s="687">
        <f ca="1">IF(B$1&gt;=الجدول3[[#This Row],[تاريخ الدفعة]],الجدول3[[#This Row],[مبلغ الدفعة]],0)</f>
        <v>3800</v>
      </c>
      <c r="K422" s="883">
        <v>0</v>
      </c>
      <c r="L422" s="617"/>
      <c r="M422" s="369" t="s">
        <v>329</v>
      </c>
      <c r="N422" s="621"/>
      <c r="O422" s="620">
        <f ca="1">الجدول3[[#This Row],[المدفوع]]-الجدول3[[#This Row],[المبلغ المستحق]]</f>
        <v>-3800</v>
      </c>
      <c r="P422" s="621"/>
      <c r="Q422" s="733" t="s">
        <v>1061</v>
      </c>
    </row>
    <row r="423" spans="2:17" hidden="1">
      <c r="B423" s="370">
        <v>385</v>
      </c>
      <c r="C423" s="890" t="s">
        <v>1022</v>
      </c>
      <c r="D423" s="891">
        <v>10177561284</v>
      </c>
      <c r="E423" s="369" t="s">
        <v>40</v>
      </c>
      <c r="F423" s="370">
        <v>102</v>
      </c>
      <c r="G423" s="371">
        <v>45991</v>
      </c>
      <c r="H423" s="371" t="s">
        <v>263</v>
      </c>
      <c r="I423" s="892">
        <v>3800</v>
      </c>
      <c r="J423" s="687">
        <f ca="1">IF(B$1&gt;=الجدول3[[#This Row],[تاريخ الدفعة]],الجدول3[[#This Row],[مبلغ الدفعة]],0)</f>
        <v>3800</v>
      </c>
      <c r="K423" s="883">
        <v>3800</v>
      </c>
      <c r="L423" s="371">
        <v>45988</v>
      </c>
      <c r="M423" s="369" t="s">
        <v>164</v>
      </c>
      <c r="N423" s="915" t="s">
        <v>263</v>
      </c>
      <c r="O423" s="620">
        <f ca="1">الجدول3[[#This Row],[المدفوع]]-الجدول3[[#This Row],[المبلغ المستحق]]</f>
        <v>0</v>
      </c>
      <c r="P423" s="443"/>
      <c r="Q423" s="733" t="s">
        <v>1061</v>
      </c>
    </row>
    <row r="424" spans="2:17" hidden="1">
      <c r="B424" s="369">
        <v>386</v>
      </c>
      <c r="C424" s="890" t="s">
        <v>1022</v>
      </c>
      <c r="D424" s="891">
        <v>10177561284</v>
      </c>
      <c r="E424" s="369" t="s">
        <v>40</v>
      </c>
      <c r="F424" s="370">
        <v>102</v>
      </c>
      <c r="G424" s="371">
        <v>46021</v>
      </c>
      <c r="H424" s="371" t="s">
        <v>262</v>
      </c>
      <c r="I424" s="892">
        <v>3800</v>
      </c>
      <c r="J424" s="687">
        <f ca="1">IF(B$1&gt;=الجدول3[[#This Row],[تاريخ الدفعة]],الجدول3[[#This Row],[مبلغ الدفعة]],0)</f>
        <v>3800</v>
      </c>
      <c r="K424" s="883">
        <v>3800</v>
      </c>
      <c r="L424" s="371">
        <v>46027</v>
      </c>
      <c r="M424" s="369" t="s">
        <v>164</v>
      </c>
      <c r="N424" s="915" t="s">
        <v>262</v>
      </c>
      <c r="O424" s="620">
        <f ca="1">الجدول3[[#This Row],[المدفوع]]-الجدول3[[#This Row],[المبلغ المستحق]]</f>
        <v>0</v>
      </c>
      <c r="P424" s="443"/>
      <c r="Q424" s="733" t="s">
        <v>1061</v>
      </c>
    </row>
    <row r="425" spans="2:17" hidden="1">
      <c r="B425" s="370">
        <v>387</v>
      </c>
      <c r="C425" s="890" t="s">
        <v>1022</v>
      </c>
      <c r="D425" s="891">
        <v>10177561284</v>
      </c>
      <c r="E425" s="369" t="s">
        <v>40</v>
      </c>
      <c r="F425" s="370">
        <v>102</v>
      </c>
      <c r="G425" s="371">
        <v>46052</v>
      </c>
      <c r="H425" s="371" t="s">
        <v>270</v>
      </c>
      <c r="I425" s="892">
        <v>3800</v>
      </c>
      <c r="J425" s="687">
        <f ca="1">IF(B$1&gt;=الجدول3[[#This Row],[تاريخ الدفعة]],الجدول3[[#This Row],[مبلغ الدفعة]],0)</f>
        <v>3800</v>
      </c>
      <c r="K425" s="883">
        <v>3800</v>
      </c>
      <c r="L425" s="371">
        <v>46051</v>
      </c>
      <c r="M425" s="369" t="s">
        <v>164</v>
      </c>
      <c r="N425" s="915" t="s">
        <v>270</v>
      </c>
      <c r="O425" s="620">
        <f ca="1">الجدول3[[#This Row],[المدفوع]]-الجدول3[[#This Row],[المبلغ المستحق]]</f>
        <v>0</v>
      </c>
      <c r="P425" s="443"/>
      <c r="Q425" s="733" t="s">
        <v>1061</v>
      </c>
    </row>
    <row r="426" spans="2:17" hidden="1">
      <c r="B426" s="369">
        <v>388</v>
      </c>
      <c r="C426" s="895" t="s">
        <v>1029</v>
      </c>
      <c r="D426" s="896">
        <v>10817313059</v>
      </c>
      <c r="E426" s="369" t="s">
        <v>34</v>
      </c>
      <c r="F426" s="370">
        <v>102</v>
      </c>
      <c r="G426" s="371">
        <v>45976</v>
      </c>
      <c r="H426" s="371" t="s">
        <v>263</v>
      </c>
      <c r="I426" s="892">
        <v>4000</v>
      </c>
      <c r="J426" s="687">
        <f ca="1">IF(B$1&gt;=الجدول3[[#This Row],[تاريخ الدفعة]],الجدول3[[#This Row],[مبلغ الدفعة]],0)</f>
        <v>4000</v>
      </c>
      <c r="K426" s="892">
        <v>4000</v>
      </c>
      <c r="L426" s="371">
        <v>17.11</v>
      </c>
      <c r="M426" s="369" t="s">
        <v>164</v>
      </c>
      <c r="N426" s="915" t="s">
        <v>263</v>
      </c>
      <c r="O426" s="620">
        <f ca="1">الجدول3[[#This Row],[المدفوع]]-الجدول3[[#This Row],[المبلغ المستحق]]</f>
        <v>0</v>
      </c>
      <c r="P426" s="443"/>
      <c r="Q426" s="733" t="s">
        <v>1061</v>
      </c>
    </row>
    <row r="427" spans="2:17" hidden="1">
      <c r="B427" s="370">
        <v>389</v>
      </c>
      <c r="C427" s="897" t="s">
        <v>1029</v>
      </c>
      <c r="D427" s="896">
        <v>10817313059</v>
      </c>
      <c r="E427" s="369" t="s">
        <v>34</v>
      </c>
      <c r="F427" s="370">
        <v>102</v>
      </c>
      <c r="G427" s="371">
        <v>46006</v>
      </c>
      <c r="H427" s="617" t="s">
        <v>262</v>
      </c>
      <c r="I427" s="892">
        <v>4000</v>
      </c>
      <c r="J427" s="687">
        <f ca="1">IF(B$1&gt;=الجدول3[[#This Row],[تاريخ الدفعة]],الجدول3[[#This Row],[مبلغ الدفعة]],0)</f>
        <v>4000</v>
      </c>
      <c r="K427" s="892">
        <v>4000</v>
      </c>
      <c r="L427" s="617">
        <v>45978</v>
      </c>
      <c r="M427" s="369" t="s">
        <v>164</v>
      </c>
      <c r="N427" s="909" t="s">
        <v>262</v>
      </c>
      <c r="O427" s="620">
        <f ca="1">الجدول3[[#This Row],[المدفوع]]-الجدول3[[#This Row],[المبلغ المستحق]]</f>
        <v>0</v>
      </c>
      <c r="P427" s="621"/>
      <c r="Q427" s="733" t="s">
        <v>1061</v>
      </c>
    </row>
    <row r="428" spans="2:17" hidden="1">
      <c r="B428" s="369">
        <v>390</v>
      </c>
      <c r="C428" s="895" t="s">
        <v>1029</v>
      </c>
      <c r="D428" s="896">
        <v>10817313059</v>
      </c>
      <c r="E428" s="369" t="s">
        <v>34</v>
      </c>
      <c r="F428" s="370">
        <v>102</v>
      </c>
      <c r="G428" s="371">
        <v>46037</v>
      </c>
      <c r="H428" s="617" t="s">
        <v>270</v>
      </c>
      <c r="I428" s="892">
        <v>4000</v>
      </c>
      <c r="J428" s="687">
        <f ca="1">IF(B$1&gt;=الجدول3[[#This Row],[تاريخ الدفعة]],الجدول3[[#This Row],[مبلغ الدفعة]],0)</f>
        <v>4000</v>
      </c>
      <c r="K428" s="892">
        <v>4000</v>
      </c>
      <c r="L428" s="617">
        <v>45978</v>
      </c>
      <c r="M428" s="369" t="s">
        <v>164</v>
      </c>
      <c r="N428" s="909" t="s">
        <v>270</v>
      </c>
      <c r="O428" s="620">
        <f ca="1">الجدول3[[#This Row],[المدفوع]]-الجدول3[[#This Row],[المبلغ المستحق]]</f>
        <v>0</v>
      </c>
      <c r="P428" s="621"/>
      <c r="Q428" s="733" t="s">
        <v>1061</v>
      </c>
    </row>
    <row r="429" spans="2:17" hidden="1">
      <c r="B429" s="370">
        <v>391</v>
      </c>
      <c r="C429" s="897" t="s">
        <v>1029</v>
      </c>
      <c r="D429" s="896">
        <v>10817313059</v>
      </c>
      <c r="E429" s="369" t="s">
        <v>34</v>
      </c>
      <c r="F429" s="370">
        <v>102</v>
      </c>
      <c r="G429" s="371">
        <v>46068</v>
      </c>
      <c r="H429" s="617" t="s">
        <v>271</v>
      </c>
      <c r="I429" s="892">
        <v>4000</v>
      </c>
      <c r="J429" s="687">
        <f ca="1">IF(B$1&gt;=الجدول3[[#This Row],[تاريخ الدفعة]],الجدول3[[#This Row],[مبلغ الدفعة]],0)</f>
        <v>4000</v>
      </c>
      <c r="K429" s="892">
        <v>4000</v>
      </c>
      <c r="L429" s="617">
        <v>45978</v>
      </c>
      <c r="M429" s="369" t="s">
        <v>164</v>
      </c>
      <c r="N429" s="909" t="s">
        <v>271</v>
      </c>
      <c r="O429" s="620">
        <f ca="1">الجدول3[[#This Row],[المدفوع]]-الجدول3[[#This Row],[المبلغ المستحق]]</f>
        <v>0</v>
      </c>
      <c r="P429" s="621"/>
      <c r="Q429" s="733" t="s">
        <v>1061</v>
      </c>
    </row>
    <row r="430" spans="2:17" hidden="1">
      <c r="B430" s="369">
        <v>392</v>
      </c>
      <c r="C430" s="895" t="s">
        <v>1029</v>
      </c>
      <c r="D430" s="896">
        <v>10817313059</v>
      </c>
      <c r="E430" s="369" t="s">
        <v>34</v>
      </c>
      <c r="F430" s="370">
        <v>102</v>
      </c>
      <c r="G430" s="371">
        <v>46096</v>
      </c>
      <c r="H430" s="617" t="s">
        <v>272</v>
      </c>
      <c r="I430" s="892">
        <v>4000</v>
      </c>
      <c r="J430" s="687">
        <f ca="1">IF(B$1&gt;=الجدول3[[#This Row],[تاريخ الدفعة]],الجدول3[[#This Row],[مبلغ الدفعة]],0)</f>
        <v>4000</v>
      </c>
      <c r="K430" s="892">
        <v>4000</v>
      </c>
      <c r="L430" s="617">
        <v>45978</v>
      </c>
      <c r="M430" s="369" t="s">
        <v>164</v>
      </c>
      <c r="N430" s="909" t="s">
        <v>272</v>
      </c>
      <c r="O430" s="620">
        <f ca="1">الجدول3[[#This Row],[المدفوع]]-الجدول3[[#This Row],[المبلغ المستحق]]</f>
        <v>0</v>
      </c>
      <c r="P430" s="621"/>
      <c r="Q430" s="733" t="s">
        <v>1061</v>
      </c>
    </row>
    <row r="431" spans="2:17" hidden="1">
      <c r="B431" s="370">
        <v>393</v>
      </c>
      <c r="C431" s="897" t="s">
        <v>1029</v>
      </c>
      <c r="D431" s="896">
        <v>10817313059</v>
      </c>
      <c r="E431" s="369" t="s">
        <v>34</v>
      </c>
      <c r="F431" s="370">
        <v>102</v>
      </c>
      <c r="G431" s="371">
        <v>46127</v>
      </c>
      <c r="H431" s="617" t="s">
        <v>273</v>
      </c>
      <c r="I431" s="892">
        <v>4000</v>
      </c>
      <c r="J431" s="687">
        <f ca="1">IF(B$1&gt;=الجدول3[[#This Row],[تاريخ الدفعة]],الجدول3[[#This Row],[مبلغ الدفعة]],0)</f>
        <v>4000</v>
      </c>
      <c r="K431" s="892">
        <v>4000</v>
      </c>
      <c r="L431" s="617">
        <v>45978</v>
      </c>
      <c r="M431" s="369" t="s">
        <v>164</v>
      </c>
      <c r="N431" s="909" t="s">
        <v>273</v>
      </c>
      <c r="O431" s="620">
        <f ca="1">الجدول3[[#This Row],[المدفوع]]-الجدول3[[#This Row],[المبلغ المستحق]]</f>
        <v>0</v>
      </c>
      <c r="P431" s="621"/>
      <c r="Q431" s="733" t="s">
        <v>1061</v>
      </c>
    </row>
    <row r="432" spans="2:17" hidden="1">
      <c r="B432" s="369">
        <v>394</v>
      </c>
      <c r="C432" s="654" t="s">
        <v>1030</v>
      </c>
      <c r="D432" s="370">
        <v>10721829333</v>
      </c>
      <c r="E432" s="369" t="s">
        <v>33</v>
      </c>
      <c r="F432" s="370">
        <v>102</v>
      </c>
      <c r="G432" s="371">
        <v>46006</v>
      </c>
      <c r="H432" s="371" t="s">
        <v>262</v>
      </c>
      <c r="I432" s="375">
        <v>4000</v>
      </c>
      <c r="J432" s="687">
        <f ca="1">IF(B$1&gt;=الجدول3[[#This Row],[تاريخ الدفعة]],الجدول3[[#This Row],[مبلغ الدفعة]],0)</f>
        <v>4000</v>
      </c>
      <c r="K432" s="373">
        <v>4000</v>
      </c>
      <c r="L432" s="374">
        <v>46016</v>
      </c>
      <c r="M432" s="369" t="s">
        <v>164</v>
      </c>
      <c r="N432" s="915" t="s">
        <v>262</v>
      </c>
      <c r="O432" s="620">
        <f ca="1">الجدول3[[#This Row],[المدفوع]]-الجدول3[[#This Row],[المبلغ المستحق]]</f>
        <v>0</v>
      </c>
      <c r="P432" s="443"/>
      <c r="Q432" s="733" t="s">
        <v>1061</v>
      </c>
    </row>
    <row r="433" spans="2:17" hidden="1">
      <c r="B433" s="370">
        <v>395</v>
      </c>
      <c r="C433" s="893" t="s">
        <v>1030</v>
      </c>
      <c r="D433" s="370">
        <v>10721829333</v>
      </c>
      <c r="E433" s="369" t="s">
        <v>33</v>
      </c>
      <c r="F433" s="370">
        <v>102</v>
      </c>
      <c r="G433" s="617">
        <v>46006</v>
      </c>
      <c r="H433" s="617" t="s">
        <v>270</v>
      </c>
      <c r="I433" s="375">
        <v>4000</v>
      </c>
      <c r="J433" s="687">
        <f ca="1">IF(B$1&gt;=الجدول3[[#This Row],[تاريخ الدفعة]],الجدول3[[#This Row],[مبلغ الدفعة]],0)</f>
        <v>4000</v>
      </c>
      <c r="K433" s="373">
        <v>4000</v>
      </c>
      <c r="L433" s="374">
        <v>46016</v>
      </c>
      <c r="M433" s="369" t="s">
        <v>164</v>
      </c>
      <c r="N433" s="909" t="s">
        <v>270</v>
      </c>
      <c r="O433" s="620">
        <f ca="1">الجدول3[[#This Row],[المدفوع]]-الجدول3[[#This Row],[المبلغ المستحق]]</f>
        <v>0</v>
      </c>
      <c r="P433" s="621"/>
      <c r="Q433" s="733" t="s">
        <v>1061</v>
      </c>
    </row>
    <row r="434" spans="2:17" hidden="1">
      <c r="B434" s="369">
        <v>396</v>
      </c>
      <c r="C434" s="893" t="s">
        <v>1030</v>
      </c>
      <c r="D434" s="370">
        <v>10721829333</v>
      </c>
      <c r="E434" s="369" t="s">
        <v>33</v>
      </c>
      <c r="F434" s="370">
        <v>102</v>
      </c>
      <c r="G434" s="617">
        <v>46006</v>
      </c>
      <c r="H434" s="617" t="s">
        <v>271</v>
      </c>
      <c r="I434" s="375">
        <v>4000</v>
      </c>
      <c r="J434" s="687">
        <f ca="1">IF(B$1&gt;=الجدول3[[#This Row],[تاريخ الدفعة]],الجدول3[[#This Row],[مبلغ الدفعة]],0)</f>
        <v>4000</v>
      </c>
      <c r="K434" s="373">
        <v>4000</v>
      </c>
      <c r="L434" s="374">
        <v>46016</v>
      </c>
      <c r="M434" s="369" t="s">
        <v>164</v>
      </c>
      <c r="N434" s="909" t="s">
        <v>271</v>
      </c>
      <c r="O434" s="620">
        <f ca="1">الجدول3[[#This Row],[المدفوع]]-الجدول3[[#This Row],[المبلغ المستحق]]</f>
        <v>0</v>
      </c>
      <c r="P434" s="621"/>
      <c r="Q434" s="733" t="s">
        <v>1061</v>
      </c>
    </row>
    <row r="435" spans="2:17" hidden="1">
      <c r="B435" s="370">
        <v>397</v>
      </c>
      <c r="C435" s="654" t="s">
        <v>1031</v>
      </c>
      <c r="D435" s="370">
        <v>10168971422</v>
      </c>
      <c r="E435" s="369" t="s">
        <v>30</v>
      </c>
      <c r="F435" s="370">
        <v>102</v>
      </c>
      <c r="G435" s="371">
        <v>45900</v>
      </c>
      <c r="H435" s="371" t="s">
        <v>147</v>
      </c>
      <c r="I435" s="375">
        <v>4000</v>
      </c>
      <c r="J435" s="687">
        <f ca="1">IF(B$1&gt;=الجدول3[[#This Row],[تاريخ الدفعة]],الجدول3[[#This Row],[مبلغ الدفعة]],0)</f>
        <v>4000</v>
      </c>
      <c r="K435" s="373">
        <v>4000</v>
      </c>
      <c r="L435" s="374"/>
      <c r="M435" s="370" t="s">
        <v>164</v>
      </c>
      <c r="N435" s="915" t="s">
        <v>147</v>
      </c>
      <c r="O435" s="620">
        <f ca="1">الجدول3[[#This Row],[المدفوع]]-الجدول3[[#This Row],[المبلغ المستحق]]</f>
        <v>0</v>
      </c>
      <c r="P435" s="443"/>
      <c r="Q435" s="733" t="s">
        <v>1061</v>
      </c>
    </row>
    <row r="436" spans="2:17" hidden="1">
      <c r="B436" s="369">
        <v>398</v>
      </c>
      <c r="C436" s="893" t="s">
        <v>1031</v>
      </c>
      <c r="D436" s="370">
        <v>10168971422</v>
      </c>
      <c r="E436" s="369" t="s">
        <v>30</v>
      </c>
      <c r="F436" s="370">
        <v>102</v>
      </c>
      <c r="G436" s="617">
        <v>45930</v>
      </c>
      <c r="H436" s="617" t="s">
        <v>963</v>
      </c>
      <c r="I436" s="375">
        <v>4000</v>
      </c>
      <c r="J436" s="687">
        <f ca="1">IF(B$1&gt;=الجدول3[[#This Row],[تاريخ الدفعة]],الجدول3[[#This Row],[مبلغ الدفعة]],0)</f>
        <v>4000</v>
      </c>
      <c r="K436" s="373">
        <v>0</v>
      </c>
      <c r="L436" s="619"/>
      <c r="M436" s="370" t="s">
        <v>329</v>
      </c>
      <c r="N436" s="621"/>
      <c r="O436" s="620">
        <f ca="1">الجدول3[[#This Row],[المدفوع]]-الجدول3[[#This Row],[المبلغ المستحق]]</f>
        <v>-4000</v>
      </c>
      <c r="P436" s="621"/>
      <c r="Q436" s="733" t="s">
        <v>1061</v>
      </c>
    </row>
    <row r="437" spans="2:17" hidden="1">
      <c r="B437" s="370">
        <v>399</v>
      </c>
      <c r="C437" s="893" t="s">
        <v>1031</v>
      </c>
      <c r="D437" s="370">
        <v>10168971422</v>
      </c>
      <c r="E437" s="369" t="s">
        <v>30</v>
      </c>
      <c r="F437" s="370">
        <v>102</v>
      </c>
      <c r="G437" s="617">
        <v>45961</v>
      </c>
      <c r="H437" s="617" t="s">
        <v>963</v>
      </c>
      <c r="I437" s="375">
        <v>4000</v>
      </c>
      <c r="J437" s="687">
        <f ca="1">IF(B$1&gt;=الجدول3[[#This Row],[تاريخ الدفعة]],الجدول3[[#This Row],[مبلغ الدفعة]],0)</f>
        <v>4000</v>
      </c>
      <c r="K437" s="373">
        <v>0</v>
      </c>
      <c r="L437" s="619"/>
      <c r="M437" s="370" t="s">
        <v>329</v>
      </c>
      <c r="N437" s="621"/>
      <c r="O437" s="620">
        <f ca="1">الجدول3[[#This Row],[المدفوع]]-الجدول3[[#This Row],[المبلغ المستحق]]</f>
        <v>-4000</v>
      </c>
      <c r="P437" s="621"/>
      <c r="Q437" s="733" t="s">
        <v>1061</v>
      </c>
    </row>
    <row r="438" spans="2:17" hidden="1">
      <c r="B438" s="369">
        <v>400</v>
      </c>
      <c r="C438" s="890" t="s">
        <v>1032</v>
      </c>
      <c r="D438" s="891">
        <v>10810602899</v>
      </c>
      <c r="E438" s="369" t="s">
        <v>29</v>
      </c>
      <c r="F438" s="370">
        <v>102</v>
      </c>
      <c r="G438" s="371">
        <v>46010</v>
      </c>
      <c r="H438" s="371" t="s">
        <v>262</v>
      </c>
      <c r="I438" s="375">
        <v>3500</v>
      </c>
      <c r="J438" s="687">
        <f ca="1">IF(B$1&gt;=الجدول3[[#This Row],[تاريخ الدفعة]],الجدول3[[#This Row],[مبلغ الدفعة]],0)</f>
        <v>3500</v>
      </c>
      <c r="K438" s="373">
        <v>3500</v>
      </c>
      <c r="L438" s="374">
        <v>46011</v>
      </c>
      <c r="M438" s="369" t="s">
        <v>164</v>
      </c>
      <c r="N438" s="915" t="s">
        <v>262</v>
      </c>
      <c r="O438" s="620">
        <f ca="1">الجدول3[[#This Row],[المدفوع]]-الجدول3[[#This Row],[المبلغ المستحق]]</f>
        <v>0</v>
      </c>
      <c r="P438" s="443"/>
      <c r="Q438" s="733" t="s">
        <v>1061</v>
      </c>
    </row>
    <row r="439" spans="2:17" hidden="1">
      <c r="B439" s="370">
        <v>401</v>
      </c>
      <c r="C439" s="654" t="s">
        <v>1033</v>
      </c>
      <c r="D439" s="370">
        <v>10357210925</v>
      </c>
      <c r="E439" s="369" t="s">
        <v>32</v>
      </c>
      <c r="F439" s="370">
        <v>102</v>
      </c>
      <c r="G439" s="371">
        <v>46029</v>
      </c>
      <c r="H439" s="371" t="s">
        <v>270</v>
      </c>
      <c r="I439" s="375">
        <v>4000</v>
      </c>
      <c r="J439" s="687">
        <f ca="1">IF(B$1&gt;=الجدول3[[#This Row],[تاريخ الدفعة]],الجدول3[[#This Row],[مبلغ الدفعة]],0)</f>
        <v>4000</v>
      </c>
      <c r="K439" s="846">
        <v>4000</v>
      </c>
      <c r="L439" s="374">
        <v>46032</v>
      </c>
      <c r="M439" s="369" t="s">
        <v>164</v>
      </c>
      <c r="N439" s="915" t="s">
        <v>270</v>
      </c>
      <c r="O439" s="620">
        <f ca="1">الجدول3[[#This Row],[المدفوع]]-الجدول3[[#This Row],[المبلغ المستحق]]</f>
        <v>0</v>
      </c>
      <c r="P439" s="443"/>
      <c r="Q439" s="733"/>
    </row>
    <row r="440" spans="2:17" hidden="1">
      <c r="B440" s="369">
        <v>402</v>
      </c>
      <c r="C440" s="654" t="s">
        <v>1033</v>
      </c>
      <c r="D440" s="370">
        <v>10357210925</v>
      </c>
      <c r="E440" s="369" t="s">
        <v>32</v>
      </c>
      <c r="F440" s="370">
        <v>102</v>
      </c>
      <c r="G440" s="371">
        <v>46060</v>
      </c>
      <c r="H440" s="371" t="s">
        <v>271</v>
      </c>
      <c r="I440" s="375">
        <v>4000</v>
      </c>
      <c r="J440" s="687">
        <f ca="1">IF(B$1&gt;=الجدول3[[#This Row],[تاريخ الدفعة]],الجدول3[[#This Row],[مبلغ الدفعة]],0)</f>
        <v>4000</v>
      </c>
      <c r="K440" s="373">
        <v>4000</v>
      </c>
      <c r="L440" s="374">
        <v>46062</v>
      </c>
      <c r="M440" s="369" t="s">
        <v>164</v>
      </c>
      <c r="N440" s="443" t="s">
        <v>271</v>
      </c>
      <c r="O440" s="620">
        <f ca="1">الجدول3[[#This Row],[المدفوع]]-الجدول3[[#This Row],[المبلغ المستحق]]</f>
        <v>0</v>
      </c>
      <c r="P440" s="443"/>
      <c r="Q440" s="733"/>
    </row>
    <row r="441" spans="2:17" hidden="1">
      <c r="B441" s="370">
        <v>403</v>
      </c>
      <c r="C441" s="654" t="s">
        <v>1033</v>
      </c>
      <c r="D441" s="370">
        <v>10357210925</v>
      </c>
      <c r="E441" s="369" t="s">
        <v>32</v>
      </c>
      <c r="F441" s="370">
        <v>102</v>
      </c>
      <c r="G441" s="371">
        <v>46088</v>
      </c>
      <c r="H441" s="371" t="s">
        <v>272</v>
      </c>
      <c r="I441" s="375">
        <v>3999</v>
      </c>
      <c r="J441" s="687">
        <f ca="1">IF(B$1&gt;=الجدول3[[#This Row],[تاريخ الدفعة]],الجدول3[[#This Row],[مبلغ الدفعة]],0)</f>
        <v>3999</v>
      </c>
      <c r="K441" s="846">
        <v>3999</v>
      </c>
      <c r="L441" s="374">
        <v>46085</v>
      </c>
      <c r="M441" s="369" t="s">
        <v>164</v>
      </c>
      <c r="N441" s="443" t="s">
        <v>272</v>
      </c>
      <c r="O441" s="620">
        <f ca="1">الجدول3[[#This Row],[المدفوع]]-الجدول3[[#This Row],[المبلغ المستحق]]</f>
        <v>0</v>
      </c>
      <c r="P441" s="443"/>
      <c r="Q441" s="733"/>
    </row>
    <row r="442" spans="2:17" hidden="1">
      <c r="B442" s="369">
        <v>404</v>
      </c>
      <c r="C442" s="654" t="s">
        <v>1034</v>
      </c>
      <c r="D442" s="370">
        <v>10567983820</v>
      </c>
      <c r="E442" s="369" t="s">
        <v>29</v>
      </c>
      <c r="F442" s="370">
        <v>102</v>
      </c>
      <c r="G442" s="371">
        <v>45800</v>
      </c>
      <c r="H442" s="371" t="s">
        <v>74</v>
      </c>
      <c r="I442" s="375">
        <v>4000</v>
      </c>
      <c r="J442" s="687">
        <f ca="1">IF(B$1&gt;=الجدول3[[#This Row],[تاريخ الدفعة]],الجدول3[[#This Row],[مبلغ الدفعة]],0)</f>
        <v>4000</v>
      </c>
      <c r="K442" s="373">
        <v>4000</v>
      </c>
      <c r="L442" s="374"/>
      <c r="M442" s="370" t="s">
        <v>164</v>
      </c>
      <c r="N442" s="915" t="s">
        <v>74</v>
      </c>
      <c r="O442" s="620">
        <f ca="1">الجدول3[[#This Row],[المدفوع]]-الجدول3[[#This Row],[المبلغ المستحق]]</f>
        <v>0</v>
      </c>
      <c r="P442" s="443"/>
      <c r="Q442" s="733" t="s">
        <v>1061</v>
      </c>
    </row>
    <row r="443" spans="2:17" hidden="1">
      <c r="B443" s="370">
        <v>405</v>
      </c>
      <c r="C443" s="654" t="s">
        <v>1035</v>
      </c>
      <c r="D443" s="370">
        <v>10125141302</v>
      </c>
      <c r="E443" s="369" t="s">
        <v>30</v>
      </c>
      <c r="F443" s="370">
        <v>102</v>
      </c>
      <c r="G443" s="371">
        <v>45804</v>
      </c>
      <c r="H443" s="371" t="s">
        <v>74</v>
      </c>
      <c r="I443" s="375">
        <v>3500</v>
      </c>
      <c r="J443" s="687">
        <f ca="1">IF(B$1&gt;=الجدول3[[#This Row],[تاريخ الدفعة]],الجدول3[[#This Row],[مبلغ الدفعة]],0)</f>
        <v>3500</v>
      </c>
      <c r="K443" s="373">
        <v>3500</v>
      </c>
      <c r="L443" s="374"/>
      <c r="M443" s="370" t="s">
        <v>164</v>
      </c>
      <c r="N443" s="915" t="s">
        <v>74</v>
      </c>
      <c r="O443" s="620">
        <f ca="1">الجدول3[[#This Row],[المدفوع]]-الجدول3[[#This Row],[المبلغ المستحق]]</f>
        <v>0</v>
      </c>
      <c r="P443" s="443"/>
      <c r="Q443" s="733" t="s">
        <v>1061</v>
      </c>
    </row>
    <row r="444" spans="2:17" hidden="1">
      <c r="B444" s="369">
        <v>406</v>
      </c>
      <c r="C444" s="893" t="s">
        <v>1035</v>
      </c>
      <c r="D444" s="370">
        <v>10125141302</v>
      </c>
      <c r="E444" s="369" t="s">
        <v>30</v>
      </c>
      <c r="F444" s="370">
        <v>102</v>
      </c>
      <c r="G444" s="617">
        <v>45835</v>
      </c>
      <c r="H444" s="617" t="s">
        <v>145</v>
      </c>
      <c r="I444" s="375">
        <v>3500</v>
      </c>
      <c r="J444" s="687">
        <f ca="1">IF(B$1&gt;=الجدول3[[#This Row],[تاريخ الدفعة]],الجدول3[[#This Row],[مبلغ الدفعة]],0)</f>
        <v>3500</v>
      </c>
      <c r="K444" s="373">
        <v>3500</v>
      </c>
      <c r="L444" s="619"/>
      <c r="M444" s="369" t="s">
        <v>164</v>
      </c>
      <c r="N444" s="909" t="s">
        <v>145</v>
      </c>
      <c r="O444" s="620">
        <f ca="1">الجدول3[[#This Row],[المدفوع]]-الجدول3[[#This Row],[المبلغ المستحق]]</f>
        <v>0</v>
      </c>
      <c r="P444" s="621"/>
      <c r="Q444" s="733" t="s">
        <v>1061</v>
      </c>
    </row>
    <row r="445" spans="2:17" hidden="1">
      <c r="B445" s="370">
        <v>407</v>
      </c>
      <c r="C445" s="893" t="s">
        <v>1035</v>
      </c>
      <c r="D445" s="370">
        <v>10125141302</v>
      </c>
      <c r="E445" s="369" t="s">
        <v>30</v>
      </c>
      <c r="F445" s="370">
        <v>102</v>
      </c>
      <c r="G445" s="371">
        <v>45865</v>
      </c>
      <c r="H445" s="371" t="s">
        <v>146</v>
      </c>
      <c r="I445" s="375">
        <v>3500</v>
      </c>
      <c r="J445" s="687">
        <f ca="1">IF(B$1&gt;=الجدول3[[#This Row],[تاريخ الدفعة]],الجدول3[[#This Row],[مبلغ الدفعة]],0)</f>
        <v>3500</v>
      </c>
      <c r="K445" s="373">
        <v>3500</v>
      </c>
      <c r="L445" s="374"/>
      <c r="M445" s="370" t="s">
        <v>164</v>
      </c>
      <c r="N445" s="915" t="s">
        <v>146</v>
      </c>
      <c r="O445" s="620">
        <f ca="1">الجدول3[[#This Row],[المدفوع]]-الجدول3[[#This Row],[المبلغ المستحق]]</f>
        <v>0</v>
      </c>
      <c r="P445" s="443"/>
      <c r="Q445" s="733" t="s">
        <v>1061</v>
      </c>
    </row>
    <row r="446" spans="2:17" hidden="1">
      <c r="B446" s="369">
        <v>408</v>
      </c>
      <c r="C446" s="898" t="s">
        <v>1020</v>
      </c>
      <c r="D446" s="882">
        <v>10934884916</v>
      </c>
      <c r="E446" s="369" t="s">
        <v>38</v>
      </c>
      <c r="F446" s="369">
        <v>102</v>
      </c>
      <c r="G446" s="617">
        <v>45774</v>
      </c>
      <c r="H446" s="371" t="s">
        <v>143</v>
      </c>
      <c r="I446" s="375">
        <v>660</v>
      </c>
      <c r="J446" s="687">
        <f ca="1">IF(B$1&gt;=الجدول3[[#This Row],[تاريخ الدفعة]],الجدول3[[#This Row],[مبلغ الدفعة]],0)</f>
        <v>660</v>
      </c>
      <c r="K446" s="373">
        <v>660</v>
      </c>
      <c r="L446" s="374"/>
      <c r="M446" s="369" t="s">
        <v>164</v>
      </c>
      <c r="N446" s="915" t="s">
        <v>74</v>
      </c>
      <c r="O446" s="620">
        <f ca="1">الجدول3[[#This Row],[المدفوع]]-الجدول3[[#This Row],[المبلغ المستحق]]</f>
        <v>0</v>
      </c>
      <c r="P446" s="443"/>
      <c r="Q446" s="733" t="s">
        <v>1061</v>
      </c>
    </row>
    <row r="447" spans="2:17" hidden="1">
      <c r="B447" s="370">
        <v>409</v>
      </c>
      <c r="C447" s="899" t="s">
        <v>1020</v>
      </c>
      <c r="D447" s="882">
        <v>10934884916</v>
      </c>
      <c r="E447" s="369" t="s">
        <v>38</v>
      </c>
      <c r="F447" s="369">
        <v>102</v>
      </c>
      <c r="G447" s="617">
        <v>45804</v>
      </c>
      <c r="H447" s="617" t="s">
        <v>74</v>
      </c>
      <c r="I447" s="884">
        <v>2000</v>
      </c>
      <c r="J447" s="687">
        <f ca="1">IF(B$1&gt;=الجدول3[[#This Row],[تاريخ الدفعة]],الجدول3[[#This Row],[مبلغ الدفعة]],0)</f>
        <v>2000</v>
      </c>
      <c r="K447" s="846">
        <v>2000</v>
      </c>
      <c r="L447" s="619"/>
      <c r="M447" s="369" t="s">
        <v>164</v>
      </c>
      <c r="N447" s="909" t="s">
        <v>145</v>
      </c>
      <c r="O447" s="620">
        <f ca="1">الجدول3[[#This Row],[المدفوع]]-الجدول3[[#This Row],[المبلغ المستحق]]</f>
        <v>0</v>
      </c>
      <c r="P447" s="621"/>
      <c r="Q447" s="733" t="s">
        <v>1061</v>
      </c>
    </row>
    <row r="448" spans="2:17" ht="16" hidden="1" thickBot="1">
      <c r="B448" s="369">
        <v>410</v>
      </c>
      <c r="C448" s="370" t="s">
        <v>1036</v>
      </c>
      <c r="D448" s="900">
        <v>10335348705</v>
      </c>
      <c r="E448" s="369" t="s">
        <v>29</v>
      </c>
      <c r="F448" s="369">
        <v>102</v>
      </c>
      <c r="G448" s="371">
        <v>45760</v>
      </c>
      <c r="H448" s="371" t="s">
        <v>143</v>
      </c>
      <c r="I448" s="375">
        <v>4000</v>
      </c>
      <c r="J448" s="687">
        <f ca="1">IF(B$1&gt;=الجدول3[[#This Row],[تاريخ الدفعة]],الجدول3[[#This Row],[مبلغ الدفعة]],0)</f>
        <v>4000</v>
      </c>
      <c r="K448" s="373">
        <v>4000</v>
      </c>
      <c r="L448" s="374"/>
      <c r="M448" s="370" t="s">
        <v>164</v>
      </c>
      <c r="N448" s="915" t="s">
        <v>143</v>
      </c>
      <c r="O448" s="620">
        <f ca="1">الجدول3[[#This Row],[المدفوع]]-الجدول3[[#This Row],[المبلغ المستحق]]</f>
        <v>0</v>
      </c>
      <c r="P448" s="443"/>
      <c r="Q448" s="733" t="s">
        <v>1061</v>
      </c>
    </row>
    <row r="449" spans="2:17" hidden="1">
      <c r="B449" s="370">
        <v>411</v>
      </c>
      <c r="C449" s="898" t="s">
        <v>1020</v>
      </c>
      <c r="D449" s="891">
        <v>10934884916</v>
      </c>
      <c r="E449" s="369" t="s">
        <v>38</v>
      </c>
      <c r="F449" s="370">
        <v>102</v>
      </c>
      <c r="G449" s="371">
        <v>45835</v>
      </c>
      <c r="H449" s="371" t="s">
        <v>145</v>
      </c>
      <c r="I449" s="375">
        <v>3500</v>
      </c>
      <c r="J449" s="687">
        <f ca="1">IF(B$1&gt;=الجدول3[[#This Row],[تاريخ الدفعة]],الجدول3[[#This Row],[مبلغ الدفعة]],0)</f>
        <v>3500</v>
      </c>
      <c r="K449" s="373">
        <v>3500</v>
      </c>
      <c r="L449" s="374"/>
      <c r="M449" s="370" t="s">
        <v>164</v>
      </c>
      <c r="N449" s="915" t="s">
        <v>146</v>
      </c>
      <c r="O449" s="620">
        <f ca="1">الجدول3[[#This Row],[المدفوع]]-الجدول3[[#This Row],[المبلغ المستحق]]</f>
        <v>0</v>
      </c>
      <c r="P449" s="443"/>
      <c r="Q449" s="733" t="s">
        <v>1061</v>
      </c>
    </row>
    <row r="450" spans="2:17" hidden="1">
      <c r="B450" s="369">
        <v>412</v>
      </c>
      <c r="C450" s="898" t="s">
        <v>1020</v>
      </c>
      <c r="D450" s="891">
        <v>10934884916</v>
      </c>
      <c r="E450" s="369" t="s">
        <v>38</v>
      </c>
      <c r="F450" s="370">
        <v>102</v>
      </c>
      <c r="G450" s="371">
        <v>45835</v>
      </c>
      <c r="H450" s="371" t="s">
        <v>145</v>
      </c>
      <c r="I450" s="375">
        <v>300</v>
      </c>
      <c r="J450" s="687">
        <f ca="1">IF(B$1&gt;=الجدول3[[#This Row],[تاريخ الدفعة]],الجدول3[[#This Row],[مبلغ الدفعة]],0)</f>
        <v>300</v>
      </c>
      <c r="K450" s="373">
        <v>300</v>
      </c>
      <c r="L450" s="374"/>
      <c r="M450" s="369" t="s">
        <v>164</v>
      </c>
      <c r="N450" s="915" t="s">
        <v>147</v>
      </c>
      <c r="O450" s="620">
        <f ca="1">الجدول3[[#This Row],[المدفوع]]-الجدول3[[#This Row],[المبلغ المستحق]]</f>
        <v>0</v>
      </c>
      <c r="P450" s="443"/>
      <c r="Q450" s="733" t="s">
        <v>1061</v>
      </c>
    </row>
    <row r="451" spans="2:17" hidden="1">
      <c r="B451" s="370">
        <v>413</v>
      </c>
      <c r="C451" s="901" t="s">
        <v>1032</v>
      </c>
      <c r="D451" s="370">
        <v>10849658586</v>
      </c>
      <c r="E451" s="369" t="s">
        <v>29</v>
      </c>
      <c r="F451" s="370">
        <v>102</v>
      </c>
      <c r="G451" s="371">
        <v>46041</v>
      </c>
      <c r="H451" s="371" t="s">
        <v>270</v>
      </c>
      <c r="I451" s="375">
        <v>3500</v>
      </c>
      <c r="J451" s="687">
        <f ca="1">IF(B$1&gt;=الجدول3[[#This Row],[تاريخ الدفعة]],الجدول3[[#This Row],[مبلغ الدفعة]],0)</f>
        <v>3500</v>
      </c>
      <c r="K451" s="373">
        <v>3500</v>
      </c>
      <c r="L451" s="916">
        <v>46050</v>
      </c>
      <c r="M451" s="369" t="s">
        <v>164</v>
      </c>
      <c r="N451" s="915" t="s">
        <v>270</v>
      </c>
      <c r="O451" s="620">
        <f ca="1">الجدول3[[#This Row],[المدفوع]]-الجدول3[[#This Row],[المبلغ المستحق]]</f>
        <v>0</v>
      </c>
      <c r="P451" s="443"/>
      <c r="Q451" s="733" t="s">
        <v>1061</v>
      </c>
    </row>
    <row r="452" spans="2:17" hidden="1">
      <c r="B452" s="369">
        <v>414</v>
      </c>
      <c r="C452" s="726" t="s">
        <v>1023</v>
      </c>
      <c r="D452" s="370">
        <v>10451468132</v>
      </c>
      <c r="E452" s="369" t="s">
        <v>1024</v>
      </c>
      <c r="F452" s="370">
        <v>102</v>
      </c>
      <c r="G452" s="371">
        <v>46048</v>
      </c>
      <c r="H452" s="371" t="s">
        <v>270</v>
      </c>
      <c r="I452" s="375">
        <v>3800</v>
      </c>
      <c r="J452" s="687">
        <f ca="1">IF(B$1&gt;=الجدول3[[#This Row],[تاريخ الدفعة]],الجدول3[[#This Row],[مبلغ الدفعة]],0)</f>
        <v>3800</v>
      </c>
      <c r="K452" s="373">
        <v>3800</v>
      </c>
      <c r="L452" s="374">
        <v>46049</v>
      </c>
      <c r="M452" s="369" t="s">
        <v>164</v>
      </c>
      <c r="N452" s="915" t="s">
        <v>270</v>
      </c>
      <c r="O452" s="620">
        <f ca="1">الجدول3[[#This Row],[المدفوع]]-الجدول3[[#This Row],[المبلغ المستحق]]</f>
        <v>0</v>
      </c>
      <c r="P452" s="443"/>
      <c r="Q452" s="733" t="s">
        <v>1061</v>
      </c>
    </row>
    <row r="453" spans="2:17" hidden="1">
      <c r="B453" s="370">
        <v>415</v>
      </c>
      <c r="C453" s="893" t="s">
        <v>1037</v>
      </c>
      <c r="D453" s="369">
        <v>10634545692</v>
      </c>
      <c r="E453" s="369" t="s">
        <v>35</v>
      </c>
      <c r="F453" s="370">
        <v>102</v>
      </c>
      <c r="G453" s="617">
        <v>46047</v>
      </c>
      <c r="H453" s="371" t="s">
        <v>270</v>
      </c>
      <c r="I453" s="884">
        <v>4000</v>
      </c>
      <c r="J453" s="687">
        <f ca="1">IF(B$1&gt;=الجدول3[[#This Row],[تاريخ الدفعة]],الجدول3[[#This Row],[مبلغ الدفعة]],0)</f>
        <v>4000</v>
      </c>
      <c r="K453" s="373">
        <v>4000</v>
      </c>
      <c r="L453" s="619">
        <v>46047</v>
      </c>
      <c r="M453" s="369" t="s">
        <v>164</v>
      </c>
      <c r="N453" s="909" t="s">
        <v>270</v>
      </c>
      <c r="O453" s="620">
        <f ca="1">الجدول3[[#This Row],[المدفوع]]-الجدول3[[#This Row],[المبلغ المستحق]]</f>
        <v>0</v>
      </c>
      <c r="P453" s="621"/>
      <c r="Q453" s="733" t="s">
        <v>1061</v>
      </c>
    </row>
    <row r="454" spans="2:17" hidden="1">
      <c r="B454" s="369">
        <v>416</v>
      </c>
      <c r="C454" s="893" t="s">
        <v>1037</v>
      </c>
      <c r="D454" s="369">
        <v>10634545692</v>
      </c>
      <c r="E454" s="369" t="s">
        <v>35</v>
      </c>
      <c r="F454" s="370">
        <v>102</v>
      </c>
      <c r="G454" s="617">
        <v>46078</v>
      </c>
      <c r="H454" s="617" t="s">
        <v>271</v>
      </c>
      <c r="I454" s="884">
        <v>4000</v>
      </c>
      <c r="J454" s="687">
        <f ca="1">IF(B$1&gt;=الجدول3[[#This Row],[تاريخ الدفعة]],الجدول3[[#This Row],[مبلغ الدفعة]],0)</f>
        <v>4000</v>
      </c>
      <c r="K454" s="373">
        <v>4000</v>
      </c>
      <c r="L454" s="619">
        <v>46086</v>
      </c>
      <c r="M454" s="369" t="s">
        <v>164</v>
      </c>
      <c r="N454" s="621" t="s">
        <v>271</v>
      </c>
      <c r="O454" s="620">
        <f ca="1">الجدول3[[#This Row],[المدفوع]]-الجدول3[[#This Row],[المبلغ المستحق]]</f>
        <v>0</v>
      </c>
      <c r="P454" s="621"/>
      <c r="Q454" s="733" t="s">
        <v>1061</v>
      </c>
    </row>
    <row r="455" spans="2:17" hidden="1">
      <c r="B455" s="370">
        <v>417</v>
      </c>
      <c r="C455" s="893" t="s">
        <v>1037</v>
      </c>
      <c r="D455" s="369">
        <v>10634545692</v>
      </c>
      <c r="E455" s="369" t="s">
        <v>35</v>
      </c>
      <c r="F455" s="370">
        <v>102</v>
      </c>
      <c r="G455" s="617">
        <v>46106</v>
      </c>
      <c r="H455" s="369" t="s">
        <v>329</v>
      </c>
      <c r="I455" s="884">
        <v>4000</v>
      </c>
      <c r="J455" s="687">
        <f ca="1">IF(B$1&gt;=الجدول3[[#This Row],[تاريخ الدفعة]],الجدول3[[#This Row],[مبلغ الدفعة]],0)</f>
        <v>4000</v>
      </c>
      <c r="K455" s="373">
        <v>0</v>
      </c>
      <c r="L455" s="619"/>
      <c r="M455" s="369" t="s">
        <v>329</v>
      </c>
      <c r="N455" s="621"/>
      <c r="O455" s="620">
        <f ca="1">الجدول3[[#This Row],[المدفوع]]-الجدول3[[#This Row],[المبلغ المستحق]]</f>
        <v>-4000</v>
      </c>
      <c r="P455" s="621"/>
      <c r="Q455" s="733" t="s">
        <v>1061</v>
      </c>
    </row>
    <row r="456" spans="2:17" hidden="1">
      <c r="B456" s="369">
        <v>418</v>
      </c>
      <c r="C456" s="654" t="s">
        <v>1038</v>
      </c>
      <c r="D456" s="370">
        <v>10968662558</v>
      </c>
      <c r="E456" s="369" t="s">
        <v>1027</v>
      </c>
      <c r="F456" s="370">
        <v>102</v>
      </c>
      <c r="G456" s="371">
        <v>46039</v>
      </c>
      <c r="H456" s="371" t="s">
        <v>270</v>
      </c>
      <c r="I456" s="884">
        <v>4000</v>
      </c>
      <c r="J456" s="687">
        <f ca="1">IF(B$1&gt;=الجدول3[[#This Row],[تاريخ الدفعة]],الجدول3[[#This Row],[مبلغ الدفعة]],0)</f>
        <v>4000</v>
      </c>
      <c r="K456" s="373">
        <v>4000</v>
      </c>
      <c r="L456" s="374">
        <v>46039</v>
      </c>
      <c r="M456" s="369" t="s">
        <v>164</v>
      </c>
      <c r="N456" s="915" t="s">
        <v>270</v>
      </c>
      <c r="O456" s="620">
        <f ca="1">الجدول3[[#This Row],[المدفوع]]-الجدول3[[#This Row],[المبلغ المستحق]]</f>
        <v>0</v>
      </c>
      <c r="P456" s="443"/>
      <c r="Q456" s="733" t="s">
        <v>1061</v>
      </c>
    </row>
    <row r="457" spans="2:17" hidden="1">
      <c r="B457" s="370">
        <v>419</v>
      </c>
      <c r="C457" s="654" t="s">
        <v>625</v>
      </c>
      <c r="D457" s="370">
        <v>10979208354</v>
      </c>
      <c r="E457" s="369" t="s">
        <v>36</v>
      </c>
      <c r="F457" s="370">
        <v>102</v>
      </c>
      <c r="G457" s="371">
        <v>46053</v>
      </c>
      <c r="H457" s="371" t="s">
        <v>270</v>
      </c>
      <c r="I457" s="375">
        <v>4000</v>
      </c>
      <c r="J457" s="687">
        <f ca="1">IF(B$1&gt;=الجدول3[[#This Row],[تاريخ الدفعة]],الجدول3[[#This Row],[مبلغ الدفعة]],0)</f>
        <v>4000</v>
      </c>
      <c r="K457" s="846">
        <v>4000</v>
      </c>
      <c r="L457" s="374">
        <v>46089</v>
      </c>
      <c r="M457" s="369" t="s">
        <v>164</v>
      </c>
      <c r="N457" s="915" t="s">
        <v>270</v>
      </c>
      <c r="O457" s="620">
        <f ca="1">الجدول3[[#This Row],[المدفوع]]-الجدول3[[#This Row],[المبلغ المستحق]]</f>
        <v>0</v>
      </c>
      <c r="P457" s="443"/>
      <c r="Q457" s="733"/>
    </row>
    <row r="458" spans="2:17" hidden="1">
      <c r="B458" s="369">
        <v>420</v>
      </c>
      <c r="C458" s="654" t="s">
        <v>625</v>
      </c>
      <c r="D458" s="369">
        <v>10979208354</v>
      </c>
      <c r="E458" s="369" t="s">
        <v>36</v>
      </c>
      <c r="F458" s="370">
        <v>102</v>
      </c>
      <c r="G458" s="617">
        <v>46081</v>
      </c>
      <c r="H458" s="617" t="s">
        <v>271</v>
      </c>
      <c r="I458" s="375">
        <v>4000</v>
      </c>
      <c r="J458" s="687">
        <f ca="1">IF(B$1&gt;=الجدول3[[#This Row],[تاريخ الدفعة]],الجدول3[[#This Row],[مبلغ الدفعة]],0)</f>
        <v>4000</v>
      </c>
      <c r="K458" s="846">
        <v>4000</v>
      </c>
      <c r="L458" s="619">
        <v>46085</v>
      </c>
      <c r="M458" s="369" t="s">
        <v>164</v>
      </c>
      <c r="N458" s="621" t="s">
        <v>271</v>
      </c>
      <c r="O458" s="620">
        <f ca="1">الجدول3[[#This Row],[المدفوع]]-الجدول3[[#This Row],[المبلغ المستحق]]</f>
        <v>0</v>
      </c>
      <c r="P458" s="621"/>
      <c r="Q458" s="733"/>
    </row>
    <row r="459" spans="2:17" hidden="1">
      <c r="B459" s="370">
        <v>421</v>
      </c>
      <c r="C459" s="654" t="s">
        <v>625</v>
      </c>
      <c r="D459" s="369">
        <v>10979208354</v>
      </c>
      <c r="E459" s="369" t="s">
        <v>36</v>
      </c>
      <c r="F459" s="370">
        <v>102</v>
      </c>
      <c r="G459" s="617">
        <v>46112</v>
      </c>
      <c r="H459" s="617" t="s">
        <v>272</v>
      </c>
      <c r="I459" s="375">
        <v>4000</v>
      </c>
      <c r="J459" s="687">
        <f ca="1">IF(B$1&gt;=الجدول3[[#This Row],[تاريخ الدفعة]],الجدول3[[#This Row],[مبلغ الدفعة]],0)</f>
        <v>4000</v>
      </c>
      <c r="K459" s="846">
        <v>4000</v>
      </c>
      <c r="L459" s="619">
        <v>46148</v>
      </c>
      <c r="M459" s="369" t="s">
        <v>164</v>
      </c>
      <c r="N459" s="621" t="s">
        <v>273</v>
      </c>
      <c r="O459" s="620">
        <f ca="1">الجدول3[[#This Row],[المدفوع]]-الجدول3[[#This Row],[المبلغ المستحق]]</f>
        <v>0</v>
      </c>
      <c r="P459" s="621"/>
      <c r="Q459" s="733"/>
    </row>
    <row r="460" spans="2:17" hidden="1">
      <c r="B460" s="369">
        <v>422</v>
      </c>
      <c r="C460" s="890" t="s">
        <v>1021</v>
      </c>
      <c r="D460" s="882">
        <v>10754234454</v>
      </c>
      <c r="E460" s="369" t="s">
        <v>39</v>
      </c>
      <c r="F460" s="369">
        <v>102</v>
      </c>
      <c r="G460" s="617">
        <v>45860</v>
      </c>
      <c r="H460" s="617" t="s">
        <v>146</v>
      </c>
      <c r="I460" s="883">
        <v>77</v>
      </c>
      <c r="J460" s="687">
        <f ca="1">IF(B$1&gt;=الجدول3[[#This Row],[تاريخ الدفعة]],الجدول3[[#This Row],[مبلغ الدفعة]],0)</f>
        <v>77</v>
      </c>
      <c r="K460" s="373">
        <v>0</v>
      </c>
      <c r="L460" s="374"/>
      <c r="M460" s="879" t="s">
        <v>432</v>
      </c>
      <c r="N460" s="443"/>
      <c r="O460" s="620">
        <f ca="1">الجدول3[[#This Row],[المدفوع]]-الجدول3[[#This Row],[المبلغ المستحق]]</f>
        <v>-77</v>
      </c>
      <c r="P460" s="443"/>
      <c r="Q460" s="733"/>
    </row>
    <row r="461" spans="2:17" hidden="1">
      <c r="B461" s="370">
        <v>423</v>
      </c>
      <c r="C461" s="893" t="s">
        <v>1039</v>
      </c>
      <c r="D461" s="369">
        <v>10048083921</v>
      </c>
      <c r="E461" s="369" t="s">
        <v>29</v>
      </c>
      <c r="F461" s="369">
        <v>102</v>
      </c>
      <c r="G461" s="617">
        <v>46072</v>
      </c>
      <c r="H461" s="617" t="s">
        <v>271</v>
      </c>
      <c r="I461" s="884">
        <v>3500</v>
      </c>
      <c r="J461" s="687">
        <f ca="1">IF(B$1&gt;=الجدول3[[#This Row],[تاريخ الدفعة]],الجدول3[[#This Row],[مبلغ الدفعة]],0)</f>
        <v>3500</v>
      </c>
      <c r="K461" s="373">
        <v>3500</v>
      </c>
      <c r="L461" s="619">
        <v>46074</v>
      </c>
      <c r="M461" s="879" t="s">
        <v>164</v>
      </c>
      <c r="N461" s="621" t="s">
        <v>271</v>
      </c>
      <c r="O461" s="620">
        <f ca="1">الجدول3[[#This Row],[المدفوع]]-الجدول3[[#This Row],[المبلغ المستحق]]</f>
        <v>0</v>
      </c>
      <c r="P461" s="621"/>
      <c r="Q461" s="733" t="s">
        <v>1061</v>
      </c>
    </row>
    <row r="462" spans="2:17" hidden="1">
      <c r="B462" s="369">
        <v>424</v>
      </c>
      <c r="C462" s="654" t="s">
        <v>1040</v>
      </c>
      <c r="D462" s="370">
        <v>10776420553</v>
      </c>
      <c r="E462" s="369" t="s">
        <v>30</v>
      </c>
      <c r="F462" s="370">
        <v>102</v>
      </c>
      <c r="G462" s="371">
        <v>46078</v>
      </c>
      <c r="H462" s="371" t="s">
        <v>271</v>
      </c>
      <c r="I462" s="375">
        <v>3500</v>
      </c>
      <c r="J462" s="687">
        <f ca="1">IF(B$1&gt;=الجدول3[[#This Row],[تاريخ الدفعة]],الجدول3[[#This Row],[مبلغ الدفعة]],0)</f>
        <v>3500</v>
      </c>
      <c r="K462" s="846">
        <v>3500</v>
      </c>
      <c r="L462" s="374">
        <v>46075</v>
      </c>
      <c r="M462" s="879" t="s">
        <v>164</v>
      </c>
      <c r="N462" s="443" t="s">
        <v>271</v>
      </c>
      <c r="O462" s="620">
        <f ca="1">الجدول3[[#This Row],[المدفوع]]-الجدول3[[#This Row],[المبلغ المستحق]]</f>
        <v>0</v>
      </c>
      <c r="P462" s="443"/>
      <c r="Q462" s="733"/>
    </row>
    <row r="463" spans="2:17" hidden="1">
      <c r="B463" s="370">
        <v>425</v>
      </c>
      <c r="C463" s="654" t="s">
        <v>1040</v>
      </c>
      <c r="D463" s="369">
        <v>10776420553</v>
      </c>
      <c r="E463" s="369" t="s">
        <v>30</v>
      </c>
      <c r="F463" s="370">
        <v>102</v>
      </c>
      <c r="G463" s="617">
        <v>46106</v>
      </c>
      <c r="H463" s="617" t="s">
        <v>272</v>
      </c>
      <c r="I463" s="375">
        <v>3500</v>
      </c>
      <c r="J463" s="687">
        <f ca="1">IF(B$1&gt;=الجدول3[[#This Row],[تاريخ الدفعة]],الجدول3[[#This Row],[مبلغ الدفعة]],0)</f>
        <v>3500</v>
      </c>
      <c r="K463" s="846">
        <v>3500</v>
      </c>
      <c r="L463" s="619">
        <v>46106</v>
      </c>
      <c r="M463" s="879" t="s">
        <v>164</v>
      </c>
      <c r="N463" s="621" t="s">
        <v>272</v>
      </c>
      <c r="O463" s="620">
        <f ca="1">الجدول3[[#This Row],[المدفوع]]-الجدول3[[#This Row],[المبلغ المستحق]]</f>
        <v>0</v>
      </c>
      <c r="P463" s="621"/>
      <c r="Q463" s="733"/>
    </row>
    <row r="464" spans="2:17" hidden="1">
      <c r="B464" s="369">
        <v>426</v>
      </c>
      <c r="C464" s="654" t="s">
        <v>1040</v>
      </c>
      <c r="D464" s="369">
        <v>10776420553</v>
      </c>
      <c r="E464" s="369" t="s">
        <v>30</v>
      </c>
      <c r="F464" s="370">
        <v>102</v>
      </c>
      <c r="G464" s="617">
        <v>46137</v>
      </c>
      <c r="H464" s="617" t="s">
        <v>273</v>
      </c>
      <c r="I464" s="375">
        <v>3500</v>
      </c>
      <c r="J464" s="687">
        <f ca="1">IF(B$1&gt;=الجدول3[[#This Row],[تاريخ الدفعة]],الجدول3[[#This Row],[مبلغ الدفعة]],0)</f>
        <v>3500</v>
      </c>
      <c r="K464" s="846">
        <v>3500</v>
      </c>
      <c r="L464" s="619">
        <v>46164</v>
      </c>
      <c r="M464" s="879" t="s">
        <v>164</v>
      </c>
      <c r="N464" s="621" t="s">
        <v>274</v>
      </c>
      <c r="O464" s="620">
        <f ca="1">الجدول3[[#This Row],[المدفوع]]-الجدول3[[#This Row],[المبلغ المستحق]]</f>
        <v>0</v>
      </c>
      <c r="P464" s="621"/>
      <c r="Q464" s="733"/>
    </row>
    <row r="465" spans="2:17" hidden="1">
      <c r="B465" s="370">
        <v>427</v>
      </c>
      <c r="C465" s="901" t="s">
        <v>1022</v>
      </c>
      <c r="D465" s="370">
        <v>10534580051</v>
      </c>
      <c r="E465" s="369" t="s">
        <v>40</v>
      </c>
      <c r="F465" s="370">
        <v>102</v>
      </c>
      <c r="G465" s="371">
        <v>46081</v>
      </c>
      <c r="H465" s="371" t="s">
        <v>271</v>
      </c>
      <c r="I465" s="375">
        <v>3800</v>
      </c>
      <c r="J465" s="687">
        <f ca="1">IF(B$1&gt;=الجدول3[[#This Row],[تاريخ الدفعة]],الجدول3[[#This Row],[مبلغ الدفعة]],0)</f>
        <v>3800</v>
      </c>
      <c r="K465" s="917">
        <v>3800</v>
      </c>
      <c r="L465" s="916">
        <v>46081</v>
      </c>
      <c r="M465" s="370" t="s">
        <v>164</v>
      </c>
      <c r="N465" s="443" t="s">
        <v>271</v>
      </c>
      <c r="O465" s="620">
        <f ca="1">الجدول3[[#This Row],[المدفوع]]-الجدول3[[#This Row],[المبلغ المستحق]]</f>
        <v>0</v>
      </c>
      <c r="P465" s="443"/>
      <c r="Q465" s="733" t="s">
        <v>1061</v>
      </c>
    </row>
    <row r="466" spans="2:17" hidden="1">
      <c r="B466" s="369">
        <v>428</v>
      </c>
      <c r="C466" s="654" t="s">
        <v>1041</v>
      </c>
      <c r="D466" s="370">
        <v>10340718386</v>
      </c>
      <c r="E466" s="369" t="s">
        <v>38</v>
      </c>
      <c r="F466" s="370">
        <v>102</v>
      </c>
      <c r="G466" s="371">
        <v>46068</v>
      </c>
      <c r="H466" s="371" t="s">
        <v>271</v>
      </c>
      <c r="I466" s="375">
        <v>4000</v>
      </c>
      <c r="J466" s="687">
        <f ca="1">IF(B$1&gt;=الجدول3[[#This Row],[تاريخ الدفعة]],الجدول3[[#This Row],[مبلغ الدفعة]],0)</f>
        <v>4000</v>
      </c>
      <c r="K466" s="373">
        <v>4000</v>
      </c>
      <c r="L466" s="374">
        <v>46095</v>
      </c>
      <c r="M466" s="879" t="s">
        <v>164</v>
      </c>
      <c r="N466" s="443" t="s">
        <v>272</v>
      </c>
      <c r="O466" s="620">
        <f ca="1">الجدول3[[#This Row],[المدفوع]]-الجدول3[[#This Row],[المبلغ المستحق]]</f>
        <v>0</v>
      </c>
      <c r="P466" s="443"/>
      <c r="Q466" s="733" t="s">
        <v>1061</v>
      </c>
    </row>
    <row r="467" spans="2:17" hidden="1">
      <c r="B467" s="370">
        <v>429</v>
      </c>
      <c r="C467" s="902" t="s">
        <v>1023</v>
      </c>
      <c r="D467" s="370">
        <v>10451468132</v>
      </c>
      <c r="E467" s="369" t="s">
        <v>1024</v>
      </c>
      <c r="F467" s="370">
        <v>102</v>
      </c>
      <c r="G467" s="371">
        <v>46079</v>
      </c>
      <c r="H467" s="371" t="s">
        <v>271</v>
      </c>
      <c r="I467" s="375">
        <v>750</v>
      </c>
      <c r="J467" s="687">
        <f ca="1">IF(B$1&gt;=الجدول3[[#This Row],[تاريخ الدفعة]],الجدول3[[#This Row],[مبلغ الدفعة]],0)</f>
        <v>750</v>
      </c>
      <c r="K467" s="373">
        <v>750</v>
      </c>
      <c r="L467" s="374">
        <v>46078</v>
      </c>
      <c r="M467" s="879" t="s">
        <v>164</v>
      </c>
      <c r="N467" s="443" t="s">
        <v>271</v>
      </c>
      <c r="O467" s="620">
        <f ca="1">الجدول3[[#This Row],[المدفوع]]-الجدول3[[#This Row],[المبلغ المستحق]]</f>
        <v>0</v>
      </c>
      <c r="P467" s="443"/>
      <c r="Q467" s="733" t="s">
        <v>1061</v>
      </c>
    </row>
    <row r="468" spans="2:17" hidden="1">
      <c r="B468" s="369">
        <v>430</v>
      </c>
      <c r="C468" s="654" t="s">
        <v>1022</v>
      </c>
      <c r="D468" s="903">
        <v>10872041359</v>
      </c>
      <c r="E468" s="369" t="s">
        <v>40</v>
      </c>
      <c r="F468" s="370">
        <v>102</v>
      </c>
      <c r="G468" s="371">
        <v>46109</v>
      </c>
      <c r="H468" s="371" t="s">
        <v>272</v>
      </c>
      <c r="I468" s="375">
        <v>3800</v>
      </c>
      <c r="J468" s="687">
        <f ca="1">IF(B$1&gt;=الجدول3[[#This Row],[تاريخ الدفعة]],الجدول3[[#This Row],[مبلغ الدفعة]],0)</f>
        <v>3800</v>
      </c>
      <c r="K468" s="373">
        <v>3800</v>
      </c>
      <c r="L468" s="374">
        <v>46117</v>
      </c>
      <c r="M468" s="879" t="s">
        <v>164</v>
      </c>
      <c r="N468" s="443" t="s">
        <v>272</v>
      </c>
      <c r="O468" s="620">
        <f ca="1">الجدول3[[#This Row],[المدفوع]]-الجدول3[[#This Row],[المبلغ المستحق]]</f>
        <v>0</v>
      </c>
      <c r="P468" s="443"/>
      <c r="Q468" s="733"/>
    </row>
    <row r="469" spans="2:17" hidden="1">
      <c r="B469" s="370">
        <v>431</v>
      </c>
      <c r="C469" s="881" t="s">
        <v>1017</v>
      </c>
      <c r="D469" s="4">
        <v>10157139921</v>
      </c>
      <c r="E469" s="369" t="s">
        <v>1027</v>
      </c>
      <c r="F469" s="370">
        <v>102</v>
      </c>
      <c r="G469" s="371">
        <v>46106</v>
      </c>
      <c r="H469" s="371" t="s">
        <v>272</v>
      </c>
      <c r="I469" s="375">
        <v>3800</v>
      </c>
      <c r="J469" s="687">
        <f ca="1">IF(B$1&gt;=الجدول3[[#This Row],[تاريخ الدفعة]],الجدول3[[#This Row],[مبلغ الدفعة]],0)</f>
        <v>3800</v>
      </c>
      <c r="K469" s="373">
        <v>3800</v>
      </c>
      <c r="L469" s="374">
        <v>46141</v>
      </c>
      <c r="M469" s="369" t="s">
        <v>164</v>
      </c>
      <c r="N469" s="443" t="s">
        <v>273</v>
      </c>
      <c r="O469" s="620">
        <f ca="1">الجدول3[[#This Row],[المدفوع]]-الجدول3[[#This Row],[المبلغ المستحق]]</f>
        <v>0</v>
      </c>
      <c r="P469" s="443"/>
      <c r="Q469" s="733"/>
    </row>
    <row r="470" spans="2:17" hidden="1">
      <c r="B470" s="369">
        <v>432</v>
      </c>
      <c r="C470" s="902" t="s">
        <v>1042</v>
      </c>
      <c r="D470" s="4">
        <v>10813661005</v>
      </c>
      <c r="E470" s="369" t="s">
        <v>1024</v>
      </c>
      <c r="F470" s="370">
        <v>102</v>
      </c>
      <c r="G470" s="371">
        <v>46111</v>
      </c>
      <c r="H470" s="371" t="s">
        <v>272</v>
      </c>
      <c r="I470" s="375">
        <v>4000</v>
      </c>
      <c r="J470" s="687">
        <f ca="1">IF(B$1&gt;=الجدول3[[#This Row],[تاريخ الدفعة]],الجدول3[[#This Row],[مبلغ الدفعة]],0)</f>
        <v>4000</v>
      </c>
      <c r="K470" s="373">
        <v>4000</v>
      </c>
      <c r="L470" s="374">
        <v>46113</v>
      </c>
      <c r="M470" s="879" t="s">
        <v>164</v>
      </c>
      <c r="N470" s="443" t="s">
        <v>272</v>
      </c>
      <c r="O470" s="620">
        <f ca="1">الجدول3[[#This Row],[المدفوع]]-الجدول3[[#This Row],[المبلغ المستحق]]</f>
        <v>0</v>
      </c>
      <c r="P470" s="443"/>
      <c r="Q470" s="733"/>
    </row>
    <row r="471" spans="2:17" hidden="1">
      <c r="B471" s="370">
        <v>433</v>
      </c>
      <c r="C471" s="902" t="s">
        <v>1042</v>
      </c>
      <c r="D471" s="4">
        <v>10813661005</v>
      </c>
      <c r="E471" s="369" t="s">
        <v>1024</v>
      </c>
      <c r="F471" s="370">
        <v>102</v>
      </c>
      <c r="G471" s="617">
        <v>46142</v>
      </c>
      <c r="H471" s="617" t="s">
        <v>273</v>
      </c>
      <c r="I471" s="884">
        <v>4000</v>
      </c>
      <c r="J471" s="687">
        <f ca="1">IF(B$1&gt;=الجدول3[[#This Row],[تاريخ الدفعة]],الجدول3[[#This Row],[مبلغ الدفعة]],0)</f>
        <v>4000</v>
      </c>
      <c r="K471" s="373">
        <v>4000</v>
      </c>
      <c r="L471" s="619">
        <v>46142</v>
      </c>
      <c r="M471" s="369" t="s">
        <v>164</v>
      </c>
      <c r="N471" s="621" t="s">
        <v>273</v>
      </c>
      <c r="O471" s="620">
        <f ca="1">الجدول3[[#This Row],[المدفوع]]-الجدول3[[#This Row],[المبلغ المستحق]]</f>
        <v>0</v>
      </c>
      <c r="P471" s="621"/>
      <c r="Q471" s="733"/>
    </row>
    <row r="472" spans="2:17" hidden="1">
      <c r="B472" s="369">
        <v>434</v>
      </c>
      <c r="C472" s="893" t="s">
        <v>1039</v>
      </c>
      <c r="D472" s="370">
        <v>10746467420</v>
      </c>
      <c r="E472" s="369" t="s">
        <v>29</v>
      </c>
      <c r="F472" s="370">
        <v>102</v>
      </c>
      <c r="G472" s="371">
        <v>46100</v>
      </c>
      <c r="H472" s="371" t="s">
        <v>272</v>
      </c>
      <c r="I472" s="375">
        <v>3500</v>
      </c>
      <c r="J472" s="687">
        <f ca="1">IF(B$1&gt;=الجدول3[[#This Row],[تاريخ الدفعة]],الجدول3[[#This Row],[مبلغ الدفعة]],0)</f>
        <v>3500</v>
      </c>
      <c r="K472" s="373">
        <v>3500</v>
      </c>
      <c r="L472" s="374">
        <v>46104</v>
      </c>
      <c r="M472" s="370" t="s">
        <v>164</v>
      </c>
      <c r="N472" s="443" t="s">
        <v>272</v>
      </c>
      <c r="O472" s="620">
        <f ca="1">الجدول3[[#This Row],[المدفوع]]-الجدول3[[#This Row],[المبلغ المستحق]]</f>
        <v>0</v>
      </c>
      <c r="P472" s="443"/>
      <c r="Q472" s="733"/>
    </row>
    <row r="473" spans="2:17" hidden="1">
      <c r="B473" s="370">
        <v>435</v>
      </c>
      <c r="C473" s="654" t="s">
        <v>1041</v>
      </c>
      <c r="D473" s="370">
        <v>10332937482</v>
      </c>
      <c r="E473" s="369" t="s">
        <v>38</v>
      </c>
      <c r="F473" s="370">
        <v>102</v>
      </c>
      <c r="G473" s="371">
        <v>46096</v>
      </c>
      <c r="H473" s="371" t="s">
        <v>272</v>
      </c>
      <c r="I473" s="375">
        <v>4000</v>
      </c>
      <c r="J473" s="687">
        <f ca="1">IF(B$1&gt;=الجدول3[[#This Row],[تاريخ الدفعة]],الجدول3[[#This Row],[مبلغ الدفعة]],0)</f>
        <v>4000</v>
      </c>
      <c r="K473" s="373">
        <v>4000</v>
      </c>
      <c r="L473" s="374">
        <v>46162</v>
      </c>
      <c r="M473" s="879" t="s">
        <v>61</v>
      </c>
      <c r="N473" s="443" t="s">
        <v>274</v>
      </c>
      <c r="O473" s="620">
        <f ca="1">الجدول3[[#This Row],[المدفوع]]-الجدول3[[#This Row],[المبلغ المستحق]]</f>
        <v>0</v>
      </c>
      <c r="P473" s="443"/>
      <c r="Q473" s="733"/>
    </row>
    <row r="474" spans="2:17" hidden="1">
      <c r="B474" s="369">
        <v>436</v>
      </c>
      <c r="C474" s="895" t="s">
        <v>1043</v>
      </c>
      <c r="D474" s="896">
        <v>10097849921</v>
      </c>
      <c r="E474" s="369" t="s">
        <v>35</v>
      </c>
      <c r="F474" s="370">
        <v>102</v>
      </c>
      <c r="G474" s="371">
        <v>46115</v>
      </c>
      <c r="H474" s="371" t="s">
        <v>273</v>
      </c>
      <c r="I474" s="375">
        <v>3500</v>
      </c>
      <c r="J474" s="687">
        <f ca="1">IF(B$1&gt;=الجدول3[[#This Row],[تاريخ الدفعة]],الجدول3[[#This Row],[مبلغ الدفعة]],0)</f>
        <v>3500</v>
      </c>
      <c r="K474" s="373">
        <v>3500</v>
      </c>
      <c r="L474" s="374">
        <v>46119</v>
      </c>
      <c r="M474" s="879" t="s">
        <v>164</v>
      </c>
      <c r="N474" s="443" t="s">
        <v>273</v>
      </c>
      <c r="O474" s="620">
        <f ca="1">الجدول3[[#This Row],[المدفوع]]-الجدول3[[#This Row],[المبلغ المستحق]]</f>
        <v>0</v>
      </c>
      <c r="P474" s="443"/>
      <c r="Q474" s="733"/>
    </row>
    <row r="475" spans="2:17" hidden="1">
      <c r="B475" s="370">
        <v>437</v>
      </c>
      <c r="C475" s="897" t="s">
        <v>1043</v>
      </c>
      <c r="D475" s="904">
        <v>10097849921</v>
      </c>
      <c r="E475" s="369" t="s">
        <v>35</v>
      </c>
      <c r="F475" s="370">
        <v>102</v>
      </c>
      <c r="G475" s="617">
        <v>46145</v>
      </c>
      <c r="H475" s="371" t="s">
        <v>274</v>
      </c>
      <c r="I475" s="375">
        <v>3500</v>
      </c>
      <c r="J475" s="687">
        <f ca="1">IF(B$1&gt;=الجدول3[[#This Row],[تاريخ الدفعة]],الجدول3[[#This Row],[مبلغ الدفعة]],0)</f>
        <v>3500</v>
      </c>
      <c r="K475" s="373">
        <v>3500</v>
      </c>
      <c r="L475" s="374">
        <v>46145</v>
      </c>
      <c r="M475" s="879" t="s">
        <v>164</v>
      </c>
      <c r="N475" s="443" t="s">
        <v>274</v>
      </c>
      <c r="O475" s="620">
        <f ca="1">الجدول3[[#This Row],[المدفوع]]-الجدول3[[#This Row],[المبلغ المستحق]]</f>
        <v>0</v>
      </c>
      <c r="P475" s="621"/>
      <c r="Q475" s="733"/>
    </row>
    <row r="476" spans="2:17" hidden="1">
      <c r="B476" s="369">
        <v>438</v>
      </c>
      <c r="C476" s="897" t="s">
        <v>1043</v>
      </c>
      <c r="D476" s="904">
        <v>10097849921</v>
      </c>
      <c r="E476" s="369" t="s">
        <v>35</v>
      </c>
      <c r="F476" s="370">
        <v>102</v>
      </c>
      <c r="G476" s="371">
        <v>46176</v>
      </c>
      <c r="H476" s="371" t="s">
        <v>275</v>
      </c>
      <c r="I476" s="375">
        <v>3500</v>
      </c>
      <c r="J476" s="687">
        <f ca="1">IF(B$1&gt;=الجدول3[[#This Row],[تاريخ الدفعة]],الجدول3[[#This Row],[مبلغ الدفعة]],0)</f>
        <v>3500</v>
      </c>
      <c r="K476" s="373">
        <v>3500</v>
      </c>
      <c r="L476" s="374">
        <v>46176</v>
      </c>
      <c r="M476" s="879" t="s">
        <v>164</v>
      </c>
      <c r="N476" s="443" t="s">
        <v>275</v>
      </c>
      <c r="O476" s="620">
        <f ca="1">الجدول3[[#This Row],[المدفوع]]-الجدول3[[#This Row],[المبلغ المستحق]]</f>
        <v>0</v>
      </c>
      <c r="P476" s="621"/>
      <c r="Q476" s="733"/>
    </row>
    <row r="477" spans="2:17" hidden="1">
      <c r="B477" s="370">
        <v>439</v>
      </c>
      <c r="C477" s="897" t="s">
        <v>1043</v>
      </c>
      <c r="D477" s="904">
        <v>10097849921</v>
      </c>
      <c r="E477" s="369" t="s">
        <v>35</v>
      </c>
      <c r="F477" s="370">
        <v>102</v>
      </c>
      <c r="G477" s="617">
        <v>46206</v>
      </c>
      <c r="H477" s="371" t="s">
        <v>276</v>
      </c>
      <c r="I477" s="375">
        <v>3500</v>
      </c>
      <c r="J477" s="687">
        <f ca="1">IF(B$1&gt;=الجدول3[[#This Row],[تاريخ الدفعة]],الجدول3[[#This Row],[مبلغ الدفعة]],0)</f>
        <v>3500</v>
      </c>
      <c r="K477" s="373">
        <v>3500</v>
      </c>
      <c r="L477" s="374">
        <v>46206</v>
      </c>
      <c r="M477" s="879" t="s">
        <v>164</v>
      </c>
      <c r="N477" s="443" t="s">
        <v>276</v>
      </c>
      <c r="O477" s="620">
        <f ca="1">الجدول3[[#This Row],[المدفوع]]-الجدول3[[#This Row],[المبلغ المستحق]]</f>
        <v>0</v>
      </c>
      <c r="P477" s="621"/>
      <c r="Q477" s="733"/>
    </row>
    <row r="478" spans="2:17" hidden="1">
      <c r="B478" s="369">
        <v>440</v>
      </c>
      <c r="C478" s="897" t="s">
        <v>1043</v>
      </c>
      <c r="D478" s="904">
        <v>10097849921</v>
      </c>
      <c r="E478" s="369" t="s">
        <v>35</v>
      </c>
      <c r="F478" s="370">
        <v>102</v>
      </c>
      <c r="G478" s="371">
        <v>46237</v>
      </c>
      <c r="H478" s="371" t="s">
        <v>277</v>
      </c>
      <c r="I478" s="375">
        <v>3500</v>
      </c>
      <c r="J478" s="687">
        <f ca="1">IF(B$1&gt;=الجدول3[[#This Row],[تاريخ الدفعة]],الجدول3[[#This Row],[مبلغ الدفعة]],0)</f>
        <v>3500</v>
      </c>
      <c r="K478" s="373">
        <v>3500</v>
      </c>
      <c r="L478" s="374">
        <v>46237</v>
      </c>
      <c r="M478" s="879" t="s">
        <v>164</v>
      </c>
      <c r="N478" s="443" t="s">
        <v>277</v>
      </c>
      <c r="O478" s="620">
        <f ca="1">الجدول3[[#This Row],[المدفوع]]-الجدول3[[#This Row],[المبلغ المستحق]]</f>
        <v>0</v>
      </c>
      <c r="P478" s="621"/>
      <c r="Q478" s="733"/>
    </row>
    <row r="479" spans="2:17" hidden="1">
      <c r="B479" s="370">
        <v>441</v>
      </c>
      <c r="C479" s="881" t="s">
        <v>81</v>
      </c>
      <c r="D479" s="882">
        <v>10857273361</v>
      </c>
      <c r="E479" s="369" t="s">
        <v>28</v>
      </c>
      <c r="F479" s="369">
        <v>102</v>
      </c>
      <c r="G479" s="371">
        <v>46122</v>
      </c>
      <c r="H479" s="371" t="s">
        <v>273</v>
      </c>
      <c r="I479" s="375">
        <v>3500</v>
      </c>
      <c r="J479" s="687">
        <f ca="1">IF(B$1&gt;=الجدول3[[#This Row],[تاريخ الدفعة]],الجدول3[[#This Row],[مبلغ الدفعة]],0)</f>
        <v>3500</v>
      </c>
      <c r="K479" s="373">
        <v>3500</v>
      </c>
      <c r="L479" s="918">
        <v>46146</v>
      </c>
      <c r="M479" s="879" t="s">
        <v>164</v>
      </c>
      <c r="N479" s="443" t="s">
        <v>273</v>
      </c>
      <c r="O479" s="620">
        <f ca="1">الجدول3[[#This Row],[المدفوع]]-الجدول3[[#This Row],[المبلغ المستحق]]</f>
        <v>0</v>
      </c>
      <c r="P479" s="443"/>
      <c r="Q479" s="733"/>
    </row>
    <row r="480" spans="2:17" hidden="1">
      <c r="B480" s="369">
        <v>442</v>
      </c>
      <c r="C480" s="654" t="s">
        <v>1039</v>
      </c>
      <c r="D480" s="370">
        <v>10375415806</v>
      </c>
      <c r="E480" s="369" t="s">
        <v>29</v>
      </c>
      <c r="F480" s="369">
        <v>102</v>
      </c>
      <c r="G480" s="371">
        <v>46131</v>
      </c>
      <c r="H480" s="371" t="s">
        <v>273</v>
      </c>
      <c r="I480" s="375">
        <v>3500</v>
      </c>
      <c r="J480" s="687">
        <f ca="1">IF(B$1&gt;=الجدول3[[#This Row],[تاريخ الدفعة]],الجدول3[[#This Row],[مبلغ الدفعة]],0)</f>
        <v>3500</v>
      </c>
      <c r="K480" s="373">
        <v>3500</v>
      </c>
      <c r="L480" s="374">
        <v>46138</v>
      </c>
      <c r="M480" s="369" t="s">
        <v>164</v>
      </c>
      <c r="N480" s="443" t="s">
        <v>273</v>
      </c>
      <c r="O480" s="620">
        <f ca="1">الجدول3[[#This Row],[المدفوع]]-الجدول3[[#This Row],[المبلغ المستحق]]</f>
        <v>0</v>
      </c>
      <c r="P480" s="443"/>
      <c r="Q480" s="733"/>
    </row>
    <row r="481" spans="2:17" hidden="1">
      <c r="B481" s="370">
        <v>443</v>
      </c>
      <c r="C481" s="654" t="s">
        <v>625</v>
      </c>
      <c r="D481" s="370">
        <v>10392757392</v>
      </c>
      <c r="E481" s="369" t="s">
        <v>36</v>
      </c>
      <c r="F481" s="369">
        <v>102</v>
      </c>
      <c r="G481" s="371">
        <v>46142</v>
      </c>
      <c r="H481" s="371" t="s">
        <v>273</v>
      </c>
      <c r="I481" s="375">
        <v>1000</v>
      </c>
      <c r="J481" s="687">
        <f ca="1">IF(B$1&gt;=الجدول3[[#This Row],[تاريخ الدفعة]],الجدول3[[#This Row],[مبلغ الدفعة]],0)</f>
        <v>1000</v>
      </c>
      <c r="K481" s="373">
        <v>1000</v>
      </c>
      <c r="L481" s="373">
        <v>0</v>
      </c>
      <c r="M481" s="879" t="s">
        <v>164</v>
      </c>
      <c r="N481" s="443" t="s">
        <v>274</v>
      </c>
      <c r="O481" s="620">
        <f ca="1">الجدول3[[#This Row],[المدفوع]]-الجدول3[[#This Row],[المبلغ المستحق]]</f>
        <v>0</v>
      </c>
      <c r="P481" s="443"/>
      <c r="Q481" s="733"/>
    </row>
    <row r="482" spans="2:17" hidden="1">
      <c r="B482" s="369">
        <v>444</v>
      </c>
      <c r="C482" s="4" t="s">
        <v>1044</v>
      </c>
      <c r="D482" s="623">
        <v>10999720795</v>
      </c>
      <c r="E482" s="369" t="s">
        <v>33</v>
      </c>
      <c r="F482" s="369">
        <v>102</v>
      </c>
      <c r="G482" s="371">
        <v>46115</v>
      </c>
      <c r="H482" s="371" t="s">
        <v>273</v>
      </c>
      <c r="I482" s="375">
        <v>3500</v>
      </c>
      <c r="J482" s="687">
        <f ca="1">IF(B$1&gt;=الجدول3[[#This Row],[تاريخ الدفعة]],الجدول3[[#This Row],[مبلغ الدفعة]],0)</f>
        <v>3500</v>
      </c>
      <c r="K482" s="373">
        <v>3500</v>
      </c>
      <c r="L482" s="918">
        <v>46191</v>
      </c>
      <c r="M482" s="879" t="s">
        <v>164</v>
      </c>
      <c r="N482" s="443" t="s">
        <v>273</v>
      </c>
      <c r="O482" s="620">
        <f ca="1">الجدول3[[#This Row],[المدفوع]]-الجدول3[[#This Row],[المبلغ المستحق]]</f>
        <v>0</v>
      </c>
      <c r="P482" s="443" t="s">
        <v>1063</v>
      </c>
      <c r="Q482" s="733"/>
    </row>
    <row r="483" spans="2:17" hidden="1">
      <c r="B483" s="370">
        <v>445</v>
      </c>
      <c r="C483" s="4" t="s">
        <v>1044</v>
      </c>
      <c r="D483" s="623">
        <v>10999720795</v>
      </c>
      <c r="E483" s="369" t="s">
        <v>33</v>
      </c>
      <c r="F483" s="369">
        <v>102</v>
      </c>
      <c r="G483" s="371">
        <v>46145</v>
      </c>
      <c r="H483" s="371" t="s">
        <v>274</v>
      </c>
      <c r="I483" s="375">
        <v>3500</v>
      </c>
      <c r="J483" s="687">
        <f ca="1">IF(B$1&gt;=الجدول3[[#This Row],[تاريخ الدفعة]],الجدول3[[#This Row],[مبلغ الدفعة]],0)</f>
        <v>3500</v>
      </c>
      <c r="K483" s="373">
        <v>3500</v>
      </c>
      <c r="L483" s="918">
        <v>46184</v>
      </c>
      <c r="M483" s="879" t="s">
        <v>164</v>
      </c>
      <c r="N483" s="443" t="s">
        <v>274</v>
      </c>
      <c r="O483" s="620">
        <f ca="1">الجدول3[[#This Row],[المدفوع]]-الجدول3[[#This Row],[المبلغ المستحق]]</f>
        <v>0</v>
      </c>
      <c r="P483" s="443"/>
      <c r="Q483" s="733"/>
    </row>
    <row r="484" spans="2:17" hidden="1">
      <c r="B484" s="369">
        <v>446</v>
      </c>
      <c r="C484" s="4" t="s">
        <v>1044</v>
      </c>
      <c r="D484" s="623">
        <v>10999720795</v>
      </c>
      <c r="E484" s="369" t="s">
        <v>33</v>
      </c>
      <c r="F484" s="369">
        <v>102</v>
      </c>
      <c r="G484" s="371">
        <v>46176</v>
      </c>
      <c r="H484" s="371" t="s">
        <v>275</v>
      </c>
      <c r="I484" s="375">
        <v>3500</v>
      </c>
      <c r="J484" s="687">
        <f ca="1">IF(B$1&gt;=الجدول3[[#This Row],[تاريخ الدفعة]],الجدول3[[#This Row],[مبلغ الدفعة]],0)</f>
        <v>3500</v>
      </c>
      <c r="K484" s="373">
        <v>3500</v>
      </c>
      <c r="L484" s="918">
        <v>46184</v>
      </c>
      <c r="M484" s="879" t="s">
        <v>164</v>
      </c>
      <c r="N484" s="443" t="s">
        <v>275</v>
      </c>
      <c r="O484" s="620">
        <f ca="1">الجدول3[[#This Row],[المدفوع]]-الجدول3[[#This Row],[المبلغ المستحق]]</f>
        <v>0</v>
      </c>
      <c r="P484" s="443"/>
      <c r="Q484" s="733"/>
    </row>
    <row r="485" spans="2:17" hidden="1">
      <c r="B485" s="370">
        <v>447</v>
      </c>
      <c r="C485" s="4" t="s">
        <v>1044</v>
      </c>
      <c r="D485" s="623">
        <v>10999720795</v>
      </c>
      <c r="E485" s="369" t="s">
        <v>33</v>
      </c>
      <c r="F485" s="369">
        <v>102</v>
      </c>
      <c r="G485" s="371">
        <v>46206</v>
      </c>
      <c r="H485" s="371" t="s">
        <v>276</v>
      </c>
      <c r="I485" s="375">
        <v>3500</v>
      </c>
      <c r="J485" s="687">
        <f ca="1">IF(B$1&gt;=الجدول3[[#This Row],[تاريخ الدفعة]],الجدول3[[#This Row],[مبلغ الدفعة]],0)</f>
        <v>3500</v>
      </c>
      <c r="K485" s="373">
        <v>3500</v>
      </c>
      <c r="L485" s="918">
        <v>46209</v>
      </c>
      <c r="M485" s="879" t="s">
        <v>164</v>
      </c>
      <c r="N485" s="443" t="s">
        <v>276</v>
      </c>
      <c r="O485" s="620">
        <f ca="1">الجدول3[[#This Row],[المدفوع]]-الجدول3[[#This Row],[المبلغ المستحق]]</f>
        <v>0</v>
      </c>
      <c r="P485" s="443"/>
      <c r="Q485" s="733"/>
    </row>
    <row r="486" spans="2:17" hidden="1">
      <c r="B486" s="369">
        <v>448</v>
      </c>
      <c r="C486" s="4" t="s">
        <v>1044</v>
      </c>
      <c r="D486" s="623">
        <v>10999720795</v>
      </c>
      <c r="E486" s="369" t="s">
        <v>33</v>
      </c>
      <c r="F486" s="369">
        <v>102</v>
      </c>
      <c r="G486" s="371">
        <v>46268</v>
      </c>
      <c r="H486" s="371" t="s">
        <v>328</v>
      </c>
      <c r="I486" s="375">
        <v>3500</v>
      </c>
      <c r="J486" s="687">
        <f ca="1">IF(B$1&gt;=الجدول3[[#This Row],[تاريخ الدفعة]],الجدول3[[#This Row],[مبلغ الدفعة]],0)</f>
        <v>3500</v>
      </c>
      <c r="K486" s="373">
        <v>3500</v>
      </c>
      <c r="L486" s="918">
        <v>46275</v>
      </c>
      <c r="M486" s="689" t="s">
        <v>164</v>
      </c>
      <c r="N486" s="443" t="s">
        <v>328</v>
      </c>
      <c r="O486" s="620">
        <f ca="1">الجدول3[[#This Row],[المدفوع]]-الجدول3[[#This Row],[المبلغ المستحق]]</f>
        <v>0</v>
      </c>
      <c r="P486" s="443"/>
      <c r="Q486" s="733"/>
    </row>
    <row r="487" spans="2:17" hidden="1">
      <c r="B487" s="370">
        <v>449</v>
      </c>
      <c r="C487" s="881" t="s">
        <v>1017</v>
      </c>
      <c r="D487" s="4">
        <v>10243460515</v>
      </c>
      <c r="E487" s="369" t="s">
        <v>37</v>
      </c>
      <c r="F487" s="369">
        <v>102</v>
      </c>
      <c r="G487" s="371">
        <v>46123</v>
      </c>
      <c r="H487" s="371" t="s">
        <v>273</v>
      </c>
      <c r="I487" s="375">
        <v>4000</v>
      </c>
      <c r="J487" s="687">
        <f ca="1">IF(B$1&gt;=الجدول3[[#This Row],[تاريخ الدفعة]],الجدول3[[#This Row],[مبلغ الدفعة]],0)</f>
        <v>4000</v>
      </c>
      <c r="K487" s="373">
        <v>4000</v>
      </c>
      <c r="L487" s="918">
        <v>46141</v>
      </c>
      <c r="M487" s="879" t="s">
        <v>164</v>
      </c>
      <c r="N487" s="443" t="s">
        <v>273</v>
      </c>
      <c r="O487" s="620">
        <f ca="1">الجدول3[[#This Row],[المدفوع]]-الجدول3[[#This Row],[المبلغ المستحق]]</f>
        <v>0</v>
      </c>
      <c r="P487" s="443"/>
      <c r="Q487" s="733"/>
    </row>
    <row r="488" spans="2:17" hidden="1">
      <c r="B488" s="369">
        <v>450</v>
      </c>
      <c r="C488" s="881" t="s">
        <v>1017</v>
      </c>
      <c r="D488" s="4">
        <v>10243460515</v>
      </c>
      <c r="E488" s="369" t="s">
        <v>37</v>
      </c>
      <c r="F488" s="369">
        <v>102</v>
      </c>
      <c r="G488" s="371">
        <v>46123</v>
      </c>
      <c r="H488" s="371" t="s">
        <v>274</v>
      </c>
      <c r="I488" s="884">
        <v>4000</v>
      </c>
      <c r="J488" s="687">
        <f ca="1">IF(B$1&gt;=الجدول3[[#This Row],[تاريخ الدفعة]],الجدول3[[#This Row],[مبلغ الدفعة]],0)</f>
        <v>4000</v>
      </c>
      <c r="K488" s="373">
        <v>4000</v>
      </c>
      <c r="L488" s="918">
        <v>46141</v>
      </c>
      <c r="M488" s="879" t="s">
        <v>164</v>
      </c>
      <c r="N488" s="443" t="s">
        <v>274</v>
      </c>
      <c r="O488" s="620">
        <f ca="1">الجدول3[[#This Row],[المدفوع]]-الجدول3[[#This Row],[المبلغ المستحق]]</f>
        <v>0</v>
      </c>
      <c r="P488" s="621"/>
      <c r="Q488" s="733"/>
    </row>
    <row r="489" spans="2:17" hidden="1">
      <c r="B489" s="370">
        <v>451</v>
      </c>
      <c r="C489" s="881" t="s">
        <v>1017</v>
      </c>
      <c r="D489" s="4">
        <v>10243460515</v>
      </c>
      <c r="E489" s="369" t="s">
        <v>37</v>
      </c>
      <c r="F489" s="369">
        <v>102</v>
      </c>
      <c r="G489" s="371">
        <v>46123</v>
      </c>
      <c r="H489" s="371" t="s">
        <v>275</v>
      </c>
      <c r="I489" s="375">
        <v>4000</v>
      </c>
      <c r="J489" s="687">
        <f ca="1">IF(B$1&gt;=الجدول3[[#This Row],[تاريخ الدفعة]],الجدول3[[#This Row],[مبلغ الدفعة]],0)</f>
        <v>4000</v>
      </c>
      <c r="K489" s="373">
        <v>4000</v>
      </c>
      <c r="L489" s="918">
        <v>46141</v>
      </c>
      <c r="M489" s="879" t="s">
        <v>164</v>
      </c>
      <c r="N489" s="443" t="s">
        <v>275</v>
      </c>
      <c r="O489" s="620">
        <f ca="1">الجدول3[[#This Row],[المدفوع]]-الجدول3[[#This Row],[المبلغ المستحق]]</f>
        <v>0</v>
      </c>
      <c r="P489" s="621"/>
      <c r="Q489" s="733"/>
    </row>
    <row r="490" spans="2:17" hidden="1">
      <c r="B490" s="369">
        <v>452</v>
      </c>
      <c r="C490" s="881" t="s">
        <v>1017</v>
      </c>
      <c r="D490" s="4">
        <v>10243460515</v>
      </c>
      <c r="E490" s="369" t="s">
        <v>37</v>
      </c>
      <c r="F490" s="369">
        <v>102</v>
      </c>
      <c r="G490" s="371">
        <v>46123</v>
      </c>
      <c r="H490" s="371" t="s">
        <v>276</v>
      </c>
      <c r="I490" s="884">
        <v>4000</v>
      </c>
      <c r="J490" s="687">
        <f ca="1">IF(B$1&gt;=الجدول3[[#This Row],[تاريخ الدفعة]],الجدول3[[#This Row],[مبلغ الدفعة]],0)</f>
        <v>4000</v>
      </c>
      <c r="K490" s="373">
        <v>4000</v>
      </c>
      <c r="L490" s="918">
        <v>46141</v>
      </c>
      <c r="M490" s="879" t="s">
        <v>164</v>
      </c>
      <c r="N490" s="443" t="s">
        <v>276</v>
      </c>
      <c r="O490" s="620">
        <f ca="1">الجدول3[[#This Row],[المدفوع]]-الجدول3[[#This Row],[المبلغ المستحق]]</f>
        <v>0</v>
      </c>
      <c r="P490" s="621"/>
      <c r="Q490" s="733"/>
    </row>
    <row r="491" spans="2:17" hidden="1">
      <c r="B491" s="370">
        <v>453</v>
      </c>
      <c r="C491" s="881" t="s">
        <v>1017</v>
      </c>
      <c r="D491" s="4">
        <v>10243460515</v>
      </c>
      <c r="E491" s="369" t="s">
        <v>37</v>
      </c>
      <c r="F491" s="369">
        <v>102</v>
      </c>
      <c r="G491" s="371">
        <v>46123</v>
      </c>
      <c r="H491" s="371" t="s">
        <v>963</v>
      </c>
      <c r="I491" s="884">
        <v>4000</v>
      </c>
      <c r="J491" s="687">
        <f ca="1">IF(B$1&gt;=الجدول3[[#This Row],[تاريخ الدفعة]],الجدول3[[#This Row],[مبلغ الدفعة]],0)</f>
        <v>4000</v>
      </c>
      <c r="K491" s="373">
        <v>0</v>
      </c>
      <c r="L491" s="918"/>
      <c r="M491" s="879" t="s">
        <v>963</v>
      </c>
      <c r="N491" s="443"/>
      <c r="O491" s="620">
        <f ca="1">الجدول3[[#This Row],[المدفوع]]-الجدول3[[#This Row],[المبلغ المستحق]]</f>
        <v>-4000</v>
      </c>
      <c r="P491" s="621"/>
      <c r="Q491" s="733"/>
    </row>
    <row r="492" spans="2:17" hidden="1">
      <c r="B492" s="369">
        <v>454</v>
      </c>
      <c r="C492" s="881" t="s">
        <v>1017</v>
      </c>
      <c r="D492" s="4">
        <v>10243460515</v>
      </c>
      <c r="E492" s="369" t="s">
        <v>37</v>
      </c>
      <c r="F492" s="369">
        <v>102</v>
      </c>
      <c r="G492" s="617">
        <v>46306</v>
      </c>
      <c r="H492" s="371" t="s">
        <v>963</v>
      </c>
      <c r="I492" s="375">
        <v>4000</v>
      </c>
      <c r="J492" s="687">
        <f ca="1">IF(B$1&gt;=الجدول3[[#This Row],[تاريخ الدفعة]],الجدول3[[#This Row],[مبلغ الدفعة]],0)</f>
        <v>4000</v>
      </c>
      <c r="K492" s="373">
        <v>0</v>
      </c>
      <c r="L492" s="918"/>
      <c r="M492" s="879" t="s">
        <v>963</v>
      </c>
      <c r="N492" s="443"/>
      <c r="O492" s="620">
        <f ca="1">الجدول3[[#This Row],[المدفوع]]-الجدول3[[#This Row],[المبلغ المستحق]]</f>
        <v>-4000</v>
      </c>
      <c r="P492" s="621"/>
      <c r="Q492" s="733"/>
    </row>
    <row r="493" spans="2:17" hidden="1">
      <c r="B493" s="370">
        <v>455</v>
      </c>
      <c r="C493" s="881" t="s">
        <v>1017</v>
      </c>
      <c r="D493" s="4">
        <v>10243460515</v>
      </c>
      <c r="E493" s="369" t="s">
        <v>37</v>
      </c>
      <c r="F493" s="369">
        <v>102</v>
      </c>
      <c r="G493" s="617">
        <v>46306</v>
      </c>
      <c r="H493" s="371" t="s">
        <v>963</v>
      </c>
      <c r="I493" s="884">
        <v>4000</v>
      </c>
      <c r="J493" s="687">
        <f ca="1">IF(B$1&gt;=الجدول3[[#This Row],[تاريخ الدفعة]],الجدول3[[#This Row],[مبلغ الدفعة]],0)</f>
        <v>4000</v>
      </c>
      <c r="K493" s="373">
        <v>0</v>
      </c>
      <c r="L493" s="918"/>
      <c r="M493" s="879" t="s">
        <v>963</v>
      </c>
      <c r="N493" s="443"/>
      <c r="O493" s="620">
        <f ca="1">الجدول3[[#This Row],[المدفوع]]-الجدول3[[#This Row],[المبلغ المستحق]]</f>
        <v>-4000</v>
      </c>
      <c r="P493" s="621"/>
      <c r="Q493" s="733"/>
    </row>
    <row r="494" spans="2:17" hidden="1">
      <c r="B494" s="369">
        <v>456</v>
      </c>
      <c r="C494" s="881" t="s">
        <v>1017</v>
      </c>
      <c r="D494" s="4">
        <v>10243460515</v>
      </c>
      <c r="E494" s="369" t="s">
        <v>37</v>
      </c>
      <c r="F494" s="369">
        <v>102</v>
      </c>
      <c r="G494" s="617">
        <v>46306</v>
      </c>
      <c r="H494" s="371" t="s">
        <v>963</v>
      </c>
      <c r="I494" s="375">
        <v>4000</v>
      </c>
      <c r="J494" s="687">
        <f ca="1">IF(B$1&gt;=الجدول3[[#This Row],[تاريخ الدفعة]],الجدول3[[#This Row],[مبلغ الدفعة]],0)</f>
        <v>4000</v>
      </c>
      <c r="K494" s="373">
        <v>0</v>
      </c>
      <c r="L494" s="918"/>
      <c r="M494" s="879" t="s">
        <v>963</v>
      </c>
      <c r="N494" s="443"/>
      <c r="O494" s="620">
        <f ca="1">الجدول3[[#This Row],[المدفوع]]-الجدول3[[#This Row],[المبلغ المستحق]]</f>
        <v>-4000</v>
      </c>
      <c r="P494" s="621"/>
      <c r="Q494" s="733"/>
    </row>
    <row r="495" spans="2:17" hidden="1">
      <c r="B495" s="370">
        <v>457</v>
      </c>
      <c r="C495" s="881" t="s">
        <v>1017</v>
      </c>
      <c r="D495" s="4">
        <v>10243460515</v>
      </c>
      <c r="E495" s="369" t="s">
        <v>37</v>
      </c>
      <c r="F495" s="369">
        <v>102</v>
      </c>
      <c r="G495" s="617">
        <v>46306</v>
      </c>
      <c r="H495" s="371" t="s">
        <v>963</v>
      </c>
      <c r="I495" s="884">
        <v>4000</v>
      </c>
      <c r="J495" s="687">
        <f ca="1">IF(B$1&gt;=الجدول3[[#This Row],[تاريخ الدفعة]],الجدول3[[#This Row],[مبلغ الدفعة]],0)</f>
        <v>4000</v>
      </c>
      <c r="K495" s="373">
        <v>0</v>
      </c>
      <c r="L495" s="918"/>
      <c r="M495" s="879" t="s">
        <v>963</v>
      </c>
      <c r="N495" s="443"/>
      <c r="O495" s="620">
        <f ca="1">الجدول3[[#This Row],[المدفوع]]-الجدول3[[#This Row],[المبلغ المستحق]]</f>
        <v>-4000</v>
      </c>
      <c r="P495" s="621"/>
      <c r="Q495" s="733"/>
    </row>
    <row r="496" spans="2:17" hidden="1">
      <c r="B496" s="369">
        <v>458</v>
      </c>
      <c r="C496" s="881" t="s">
        <v>1017</v>
      </c>
      <c r="D496" s="4">
        <v>10243460515</v>
      </c>
      <c r="E496" s="369" t="s">
        <v>37</v>
      </c>
      <c r="F496" s="369">
        <v>102</v>
      </c>
      <c r="G496" s="617">
        <v>46306</v>
      </c>
      <c r="H496" s="371" t="s">
        <v>963</v>
      </c>
      <c r="I496" s="375">
        <v>4000</v>
      </c>
      <c r="J496" s="687">
        <f ca="1">IF(B$1&gt;=الجدول3[[#This Row],[تاريخ الدفعة]],الجدول3[[#This Row],[مبلغ الدفعة]],0)</f>
        <v>4000</v>
      </c>
      <c r="K496" s="373">
        <v>0</v>
      </c>
      <c r="L496" s="918"/>
      <c r="M496" s="879" t="s">
        <v>963</v>
      </c>
      <c r="N496" s="443"/>
      <c r="O496" s="620">
        <f ca="1">الجدول3[[#This Row],[المدفوع]]-الجدول3[[#This Row],[المبلغ المستحق]]</f>
        <v>-4000</v>
      </c>
      <c r="P496" s="621"/>
      <c r="Q496" s="733"/>
    </row>
    <row r="497" spans="2:17" hidden="1">
      <c r="B497" s="370">
        <v>459</v>
      </c>
      <c r="C497" s="881" t="s">
        <v>1017</v>
      </c>
      <c r="D497" s="4">
        <v>10243460515</v>
      </c>
      <c r="E497" s="369" t="s">
        <v>37</v>
      </c>
      <c r="F497" s="369">
        <v>102</v>
      </c>
      <c r="G497" s="617">
        <v>46306</v>
      </c>
      <c r="H497" s="371" t="s">
        <v>963</v>
      </c>
      <c r="I497" s="884">
        <v>4000</v>
      </c>
      <c r="J497" s="687">
        <f ca="1">IF(B$1&gt;=الجدول3[[#This Row],[تاريخ الدفعة]],الجدول3[[#This Row],[مبلغ الدفعة]],0)</f>
        <v>4000</v>
      </c>
      <c r="K497" s="373">
        <v>0</v>
      </c>
      <c r="L497" s="918"/>
      <c r="M497" s="879" t="s">
        <v>963</v>
      </c>
      <c r="N497" s="443"/>
      <c r="O497" s="620">
        <f ca="1">الجدول3[[#This Row],[المدفوع]]-الجدول3[[#This Row],[المبلغ المستحق]]</f>
        <v>-4000</v>
      </c>
      <c r="P497" s="621"/>
      <c r="Q497" s="733"/>
    </row>
    <row r="498" spans="2:17" hidden="1">
      <c r="B498" s="369">
        <v>460</v>
      </c>
      <c r="C498" s="905" t="s">
        <v>1017</v>
      </c>
      <c r="D498" s="622">
        <v>10910223387</v>
      </c>
      <c r="E498" s="369" t="s">
        <v>1027</v>
      </c>
      <c r="F498" s="369">
        <v>102</v>
      </c>
      <c r="G498" s="617">
        <v>46137</v>
      </c>
      <c r="H498" s="733" t="s">
        <v>963</v>
      </c>
      <c r="I498" s="884">
        <v>3800</v>
      </c>
      <c r="J498" s="687">
        <f ca="1">IF(B$1&gt;=الجدول3[[#This Row],[تاريخ الدفعة]],الجدول3[[#This Row],[مبلغ الدفعة]],0)</f>
        <v>3800</v>
      </c>
      <c r="K498" s="373">
        <v>0</v>
      </c>
      <c r="L498" s="373">
        <v>0</v>
      </c>
      <c r="M498" s="733" t="s">
        <v>963</v>
      </c>
      <c r="N498" s="443"/>
      <c r="O498" s="620">
        <f ca="1">الجدول3[[#This Row],[المدفوع]]-الجدول3[[#This Row],[المبلغ المستحق]]</f>
        <v>-3800</v>
      </c>
      <c r="P498" s="621"/>
      <c r="Q498" s="733"/>
    </row>
    <row r="499" spans="2:17" hidden="1">
      <c r="B499" s="370">
        <v>461</v>
      </c>
      <c r="C499" s="654" t="s">
        <v>1033</v>
      </c>
      <c r="D499" s="370">
        <v>10357210925</v>
      </c>
      <c r="E499" s="369" t="s">
        <v>32</v>
      </c>
      <c r="F499" s="370">
        <v>102</v>
      </c>
      <c r="G499" s="371">
        <v>46119</v>
      </c>
      <c r="H499" s="371" t="s">
        <v>273</v>
      </c>
      <c r="I499" s="375">
        <v>4000</v>
      </c>
      <c r="J499" s="687">
        <f ca="1">IF(B$1&gt;=الجدول3[[#This Row],[تاريخ الدفعة]],الجدول3[[#This Row],[مبلغ الدفعة]],0)</f>
        <v>4000</v>
      </c>
      <c r="K499" s="373">
        <v>4000</v>
      </c>
      <c r="L499" s="374">
        <v>46119</v>
      </c>
      <c r="M499" s="369" t="s">
        <v>164</v>
      </c>
      <c r="N499" s="443" t="s">
        <v>273</v>
      </c>
      <c r="O499" s="620">
        <f ca="1">الجدول3[[#This Row],[المدفوع]]-الجدول3[[#This Row],[المبلغ المستحق]]</f>
        <v>0</v>
      </c>
      <c r="P499" s="443"/>
      <c r="Q499" s="733"/>
    </row>
    <row r="500" spans="2:17" hidden="1">
      <c r="B500" s="369">
        <v>462</v>
      </c>
      <c r="C500" s="893" t="s">
        <v>1033</v>
      </c>
      <c r="D500" s="370">
        <v>10357210925</v>
      </c>
      <c r="E500" s="369" t="s">
        <v>32</v>
      </c>
      <c r="F500" s="370">
        <v>102</v>
      </c>
      <c r="G500" s="617">
        <v>46149</v>
      </c>
      <c r="H500" s="617" t="s">
        <v>274</v>
      </c>
      <c r="I500" s="884">
        <v>4000</v>
      </c>
      <c r="J500" s="687">
        <f ca="1">IF(B$1&gt;=الجدول3[[#This Row],[تاريخ الدفعة]],الجدول3[[#This Row],[مبلغ الدفعة]],0)</f>
        <v>4000</v>
      </c>
      <c r="K500" s="373">
        <v>4000</v>
      </c>
      <c r="L500" s="619">
        <v>46154</v>
      </c>
      <c r="M500" s="879" t="s">
        <v>164</v>
      </c>
      <c r="N500" s="443" t="s">
        <v>274</v>
      </c>
      <c r="O500" s="620">
        <f ca="1">الجدول3[[#This Row],[المدفوع]]-الجدول3[[#This Row],[المبلغ المستحق]]</f>
        <v>0</v>
      </c>
      <c r="P500" s="621"/>
      <c r="Q500" s="733"/>
    </row>
    <row r="501" spans="2:17" hidden="1">
      <c r="B501" s="370">
        <v>463</v>
      </c>
      <c r="C501" s="893" t="s">
        <v>1033</v>
      </c>
      <c r="D501" s="370">
        <v>10357210925</v>
      </c>
      <c r="E501" s="369" t="s">
        <v>32</v>
      </c>
      <c r="F501" s="370">
        <v>102</v>
      </c>
      <c r="G501" s="617">
        <v>46180</v>
      </c>
      <c r="H501" s="617" t="s">
        <v>275</v>
      </c>
      <c r="I501" s="884">
        <v>3999</v>
      </c>
      <c r="J501" s="687">
        <f ca="1">IF(B$1&gt;=الجدول3[[#This Row],[تاريخ الدفعة]],الجدول3[[#This Row],[مبلغ الدفعة]],0)</f>
        <v>3999</v>
      </c>
      <c r="K501" s="373">
        <v>3999</v>
      </c>
      <c r="L501" s="619">
        <v>46194</v>
      </c>
      <c r="M501" s="879" t="s">
        <v>164</v>
      </c>
      <c r="N501" s="443" t="s">
        <v>275</v>
      </c>
      <c r="O501" s="620">
        <f ca="1">الجدول3[[#This Row],[المدفوع]]-الجدول3[[#This Row],[المبلغ المستحق]]</f>
        <v>0</v>
      </c>
      <c r="P501" s="621"/>
      <c r="Q501" s="733"/>
    </row>
    <row r="502" spans="2:17" hidden="1">
      <c r="B502" s="369">
        <v>464</v>
      </c>
      <c r="C502" s="890" t="s">
        <v>1018</v>
      </c>
      <c r="D502" s="891">
        <v>10216949908</v>
      </c>
      <c r="E502" s="369" t="s">
        <v>31</v>
      </c>
      <c r="F502" s="370">
        <v>102</v>
      </c>
      <c r="G502" s="371">
        <v>46061</v>
      </c>
      <c r="H502" s="371" t="s">
        <v>271</v>
      </c>
      <c r="I502" s="375">
        <v>100</v>
      </c>
      <c r="J502" s="687">
        <f ca="1">IF(B$1&gt;=الجدول3[[#This Row],[تاريخ الدفعة]],الجدول3[[#This Row],[مبلغ الدفعة]],0)</f>
        <v>100</v>
      </c>
      <c r="K502" s="373">
        <v>100</v>
      </c>
      <c r="L502" s="619">
        <v>46296</v>
      </c>
      <c r="M502" s="879" t="s">
        <v>61</v>
      </c>
      <c r="N502" s="443" t="s">
        <v>328</v>
      </c>
      <c r="O502" s="620">
        <f ca="1">الجدول3[[#This Row],[المدفوع]]-الجدول3[[#This Row],[المبلغ المستحق]]</f>
        <v>0</v>
      </c>
      <c r="P502" s="443"/>
      <c r="Q502" s="733"/>
    </row>
    <row r="503" spans="2:17" hidden="1">
      <c r="B503" s="370">
        <v>465</v>
      </c>
      <c r="C503" s="881" t="s">
        <v>1017</v>
      </c>
      <c r="D503" s="4">
        <v>10243460515</v>
      </c>
      <c r="E503" s="369" t="s">
        <v>37</v>
      </c>
      <c r="F503" s="369">
        <v>102</v>
      </c>
      <c r="G503" s="371">
        <v>46123</v>
      </c>
      <c r="H503" s="371" t="s">
        <v>277</v>
      </c>
      <c r="I503" s="375">
        <v>1750</v>
      </c>
      <c r="J503" s="687">
        <f ca="1">IF(B$1&gt;=الجدول3[[#This Row],[تاريخ الدفعة]],الجدول3[[#This Row],[مبلغ الدفعة]],0)</f>
        <v>1750</v>
      </c>
      <c r="K503" s="373">
        <v>0</v>
      </c>
      <c r="L503" s="619"/>
      <c r="M503" s="879" t="str" cm="1">
        <f t="array" aca="1" ref="M50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متأخر</v>
      </c>
      <c r="N503" s="443"/>
      <c r="O503" s="620">
        <f ca="1">الجدول3[[#This Row],[المدفوع]]-الجدول3[[#This Row],[المبلغ المستحق]]</f>
        <v>-1750</v>
      </c>
      <c r="P503" s="443"/>
      <c r="Q503" s="733"/>
    </row>
    <row r="504" spans="2:17" hidden="1">
      <c r="B504" s="369">
        <v>466</v>
      </c>
      <c r="C504" s="890" t="s">
        <v>81</v>
      </c>
      <c r="D504" s="891">
        <v>10857273361</v>
      </c>
      <c r="E504" s="369" t="s">
        <v>28</v>
      </c>
      <c r="F504" s="369">
        <v>102</v>
      </c>
      <c r="G504" s="371">
        <v>46152</v>
      </c>
      <c r="H504" s="371" t="s">
        <v>274</v>
      </c>
      <c r="I504" s="375">
        <v>3500</v>
      </c>
      <c r="J504" s="687">
        <f ca="1">IF(B$1&gt;=الجدول3[[#This Row],[تاريخ الدفعة]],الجدول3[[#This Row],[مبلغ الدفعة]],0)</f>
        <v>3500</v>
      </c>
      <c r="K504" s="846">
        <v>3500</v>
      </c>
      <c r="L504" s="374">
        <v>46187</v>
      </c>
      <c r="M504" s="879" t="s">
        <v>164</v>
      </c>
      <c r="N504" s="443" t="s">
        <v>274</v>
      </c>
      <c r="O504" s="620">
        <f ca="1">الجدول3[[#This Row],[المدفوع]]-الجدول3[[#This Row],[المبلغ المستحق]]</f>
        <v>0</v>
      </c>
      <c r="P504" s="443"/>
      <c r="Q504" s="733"/>
    </row>
    <row r="505" spans="2:17" hidden="1">
      <c r="B505" s="370">
        <v>467</v>
      </c>
      <c r="C505" s="890" t="s">
        <v>81</v>
      </c>
      <c r="D505" s="891">
        <v>10857273361</v>
      </c>
      <c r="E505" s="369" t="s">
        <v>28</v>
      </c>
      <c r="F505" s="369">
        <v>102</v>
      </c>
      <c r="G505" s="371">
        <v>46183</v>
      </c>
      <c r="H505" s="371" t="s">
        <v>275</v>
      </c>
      <c r="I505" s="375">
        <v>3500</v>
      </c>
      <c r="J505" s="687">
        <f ca="1">IF(B$1&gt;=الجدول3[[#This Row],[تاريخ الدفعة]],الجدول3[[#This Row],[مبلغ الدفعة]],0)</f>
        <v>3500</v>
      </c>
      <c r="K505" s="846">
        <v>3500</v>
      </c>
      <c r="L505" s="374">
        <v>46187</v>
      </c>
      <c r="M505" s="879" t="s">
        <v>164</v>
      </c>
      <c r="N505" s="443" t="s">
        <v>275</v>
      </c>
      <c r="O505" s="620">
        <f ca="1">الجدول3[[#This Row],[المدفوع]]-الجدول3[[#This Row],[المبلغ المستحق]]</f>
        <v>0</v>
      </c>
      <c r="P505" s="443"/>
      <c r="Q505" s="733"/>
    </row>
    <row r="506" spans="2:17" hidden="1">
      <c r="B506" s="369">
        <v>468</v>
      </c>
      <c r="C506" s="893" t="s">
        <v>1040</v>
      </c>
      <c r="D506" s="369">
        <v>10776420553</v>
      </c>
      <c r="E506" s="369" t="s">
        <v>30</v>
      </c>
      <c r="F506" s="369">
        <v>102</v>
      </c>
      <c r="G506" s="617">
        <v>46198</v>
      </c>
      <c r="H506" s="617" t="s">
        <v>275</v>
      </c>
      <c r="I506" s="375">
        <v>3500</v>
      </c>
      <c r="J506" s="687">
        <f ca="1">IF(B$1&gt;=الجدول3[[#This Row],[تاريخ الدفعة]],الجدول3[[#This Row],[مبلغ الدفعة]],0)</f>
        <v>3500</v>
      </c>
      <c r="K506" s="846">
        <v>3500</v>
      </c>
      <c r="L506" s="619">
        <v>46287</v>
      </c>
      <c r="M506" s="689" t="s">
        <v>164</v>
      </c>
      <c r="N506" s="443" t="s">
        <v>328</v>
      </c>
      <c r="O506" s="620">
        <f ca="1">الجدول3[[#This Row],[المدفوع]]-الجدول3[[#This Row],[المبلغ المستحق]]</f>
        <v>0</v>
      </c>
      <c r="P506" s="621"/>
      <c r="Q506" s="733"/>
    </row>
    <row r="507" spans="2:17" hidden="1">
      <c r="B507" s="370">
        <v>469</v>
      </c>
      <c r="C507" s="893" t="s">
        <v>1040</v>
      </c>
      <c r="D507" s="369">
        <v>10776420553</v>
      </c>
      <c r="E507" s="369" t="s">
        <v>30</v>
      </c>
      <c r="F507" s="370">
        <v>102</v>
      </c>
      <c r="G507" s="617">
        <v>46228</v>
      </c>
      <c r="H507" s="617" t="s">
        <v>276</v>
      </c>
      <c r="I507" s="375">
        <v>3500</v>
      </c>
      <c r="J507" s="687">
        <f ca="1">IF(B$1&gt;=الجدول3[[#This Row],[تاريخ الدفعة]],الجدول3[[#This Row],[مبلغ الدفعة]],0)</f>
        <v>3500</v>
      </c>
      <c r="K507" s="846">
        <v>0</v>
      </c>
      <c r="L507" s="619"/>
      <c r="M507" s="879" t="str" cm="1">
        <f t="array" aca="1" ref="M50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متأخر</v>
      </c>
      <c r="N507" s="443"/>
      <c r="O507" s="620">
        <f ca="1">الجدول3[[#This Row],[المدفوع]]-الجدول3[[#This Row],[المبلغ المستحق]]</f>
        <v>-3500</v>
      </c>
      <c r="P507" s="621"/>
      <c r="Q507" s="733"/>
    </row>
    <row r="508" spans="2:17" hidden="1">
      <c r="B508" s="369">
        <v>470</v>
      </c>
      <c r="C508" s="654" t="s">
        <v>1039</v>
      </c>
      <c r="D508" s="370">
        <v>10192262306</v>
      </c>
      <c r="E508" s="369" t="s">
        <v>29</v>
      </c>
      <c r="F508" s="370">
        <v>102</v>
      </c>
      <c r="G508" s="371">
        <v>46161</v>
      </c>
      <c r="H508" s="371" t="s">
        <v>274</v>
      </c>
      <c r="I508" s="375">
        <v>3500</v>
      </c>
      <c r="J508" s="687">
        <f ca="1">IF(B$1&gt;=الجدول3[[#This Row],[تاريخ الدفعة]],الجدول3[[#This Row],[مبلغ الدفعة]],0)</f>
        <v>3500</v>
      </c>
      <c r="K508" s="846">
        <v>3500</v>
      </c>
      <c r="L508" s="374">
        <v>46187</v>
      </c>
      <c r="M508" s="879" t="s">
        <v>164</v>
      </c>
      <c r="N508" s="443" t="s">
        <v>274</v>
      </c>
      <c r="O508" s="620">
        <f ca="1">الجدول3[[#This Row],[المدفوع]]-الجدول3[[#This Row],[المبلغ المستحق]]</f>
        <v>0</v>
      </c>
      <c r="P508" s="443"/>
      <c r="Q508" s="733"/>
    </row>
    <row r="509" spans="2:17" hidden="1">
      <c r="B509" s="370">
        <v>471</v>
      </c>
      <c r="C509" s="893" t="s">
        <v>1039</v>
      </c>
      <c r="D509" s="370">
        <v>10192262306</v>
      </c>
      <c r="E509" s="369" t="s">
        <v>29</v>
      </c>
      <c r="F509" s="370">
        <v>102</v>
      </c>
      <c r="G509" s="617">
        <v>46192</v>
      </c>
      <c r="H509" s="617" t="s">
        <v>275</v>
      </c>
      <c r="I509" s="375">
        <v>3500</v>
      </c>
      <c r="J509" s="687">
        <f ca="1">IF(B$1&gt;=الجدول3[[#This Row],[تاريخ الدفعة]],الجدول3[[#This Row],[مبلغ الدفعة]],0)</f>
        <v>3500</v>
      </c>
      <c r="K509" s="846">
        <v>3500</v>
      </c>
      <c r="L509" s="619">
        <v>46199</v>
      </c>
      <c r="M509" s="879" t="s">
        <v>164</v>
      </c>
      <c r="N509" s="443" t="s">
        <v>275</v>
      </c>
      <c r="O509" s="620">
        <f ca="1">الجدول3[[#This Row],[المدفوع]]-الجدول3[[#This Row],[المبلغ المستحق]]</f>
        <v>0</v>
      </c>
      <c r="P509" s="621"/>
      <c r="Q509" s="733"/>
    </row>
    <row r="510" spans="2:17" hidden="1">
      <c r="B510" s="369">
        <v>472</v>
      </c>
      <c r="C510" s="893" t="s">
        <v>1039</v>
      </c>
      <c r="D510" s="370">
        <v>10192262306</v>
      </c>
      <c r="E510" s="369" t="s">
        <v>29</v>
      </c>
      <c r="F510" s="370">
        <v>102</v>
      </c>
      <c r="G510" s="617">
        <v>46222</v>
      </c>
      <c r="H510" s="617" t="s">
        <v>276</v>
      </c>
      <c r="I510" s="375">
        <v>3500</v>
      </c>
      <c r="J510" s="687">
        <f ca="1">IF(B$1&gt;=الجدول3[[#This Row],[تاريخ الدفعة]],الجدول3[[#This Row],[مبلغ الدفعة]],0)</f>
        <v>3500</v>
      </c>
      <c r="K510" s="846">
        <v>3500</v>
      </c>
      <c r="L510" s="619">
        <v>46230</v>
      </c>
      <c r="M510" s="879" t="s">
        <v>164</v>
      </c>
      <c r="N510" s="443" t="s">
        <v>276</v>
      </c>
      <c r="O510" s="620">
        <f ca="1">الجدول3[[#This Row],[المدفوع]]-الجدول3[[#This Row],[المبلغ المستحق]]</f>
        <v>0</v>
      </c>
      <c r="P510" s="621"/>
      <c r="Q510" s="733"/>
    </row>
    <row r="511" spans="2:17" hidden="1">
      <c r="B511" s="370">
        <v>473</v>
      </c>
      <c r="C511" s="654" t="s">
        <v>1018</v>
      </c>
      <c r="D511" s="882">
        <v>10216949908</v>
      </c>
      <c r="E511" s="369" t="s">
        <v>31</v>
      </c>
      <c r="F511" s="369">
        <v>102</v>
      </c>
      <c r="G511" s="617">
        <v>46150</v>
      </c>
      <c r="H511" s="374" t="s">
        <v>963</v>
      </c>
      <c r="I511" s="375">
        <v>3500</v>
      </c>
      <c r="J511" s="687">
        <f ca="1">IF(B$1&gt;=الجدول3[[#This Row],[تاريخ الدفعة]],الجدول3[[#This Row],[مبلغ الدفعة]],0)</f>
        <v>3500</v>
      </c>
      <c r="K511" s="846">
        <v>0</v>
      </c>
      <c r="L511" s="374"/>
      <c r="M511" s="374" t="s">
        <v>963</v>
      </c>
      <c r="N511" s="443"/>
      <c r="O511" s="620">
        <f ca="1">الجدول3[[#This Row],[المدفوع]]-الجدول3[[#This Row],[المبلغ المستحق]]</f>
        <v>-3500</v>
      </c>
      <c r="P511" s="443"/>
      <c r="Q511" s="733"/>
    </row>
    <row r="512" spans="2:17" hidden="1">
      <c r="B512" s="369">
        <v>474</v>
      </c>
      <c r="C512" s="893" t="s">
        <v>1018</v>
      </c>
      <c r="D512" s="891">
        <v>10216949908</v>
      </c>
      <c r="E512" s="369" t="s">
        <v>31</v>
      </c>
      <c r="F512" s="370">
        <v>102</v>
      </c>
      <c r="G512" s="617">
        <v>46181</v>
      </c>
      <c r="H512" s="374" t="s">
        <v>963</v>
      </c>
      <c r="I512" s="884">
        <v>3500</v>
      </c>
      <c r="J512" s="687">
        <f ca="1">IF(B$1&gt;=الجدول3[[#This Row],[تاريخ الدفعة]],الجدول3[[#This Row],[مبلغ الدفعة]],0)</f>
        <v>3500</v>
      </c>
      <c r="K512" s="846">
        <v>0</v>
      </c>
      <c r="L512" s="619"/>
      <c r="M512" s="374" t="s">
        <v>963</v>
      </c>
      <c r="N512" s="443"/>
      <c r="O512" s="620">
        <f ca="1">الجدول3[[#This Row],[المدفوع]]-الجدول3[[#This Row],[المبلغ المستحق]]</f>
        <v>-3500</v>
      </c>
      <c r="P512" s="621"/>
      <c r="Q512" s="733"/>
    </row>
    <row r="513" spans="2:17" hidden="1">
      <c r="B513" s="370">
        <v>475</v>
      </c>
      <c r="C513" s="654" t="s">
        <v>1018</v>
      </c>
      <c r="D513" s="882">
        <v>10216949908</v>
      </c>
      <c r="E513" s="369" t="s">
        <v>31</v>
      </c>
      <c r="F513" s="369">
        <v>102</v>
      </c>
      <c r="G513" s="617">
        <v>46211</v>
      </c>
      <c r="H513" s="374" t="s">
        <v>963</v>
      </c>
      <c r="I513" s="375">
        <v>3500</v>
      </c>
      <c r="J513" s="687">
        <f ca="1">IF(B$1&gt;=الجدول3[[#This Row],[تاريخ الدفعة]],الجدول3[[#This Row],[مبلغ الدفعة]],0)</f>
        <v>3500</v>
      </c>
      <c r="K513" s="846">
        <v>0</v>
      </c>
      <c r="L513" s="619"/>
      <c r="M513" s="374" t="s">
        <v>963</v>
      </c>
      <c r="N513" s="443"/>
      <c r="O513" s="620">
        <f ca="1">الجدول3[[#This Row],[المدفوع]]-الجدول3[[#This Row],[المبلغ المستحق]]</f>
        <v>-3500</v>
      </c>
      <c r="P513" s="621"/>
      <c r="Q513" s="733"/>
    </row>
    <row r="514" spans="2:17" hidden="1">
      <c r="B514" s="369">
        <v>476</v>
      </c>
      <c r="C514" s="893" t="s">
        <v>1018</v>
      </c>
      <c r="D514" s="891">
        <v>10216949908</v>
      </c>
      <c r="E514" s="369" t="s">
        <v>31</v>
      </c>
      <c r="F514" s="370">
        <v>102</v>
      </c>
      <c r="G514" s="617">
        <v>46242</v>
      </c>
      <c r="H514" s="374" t="s">
        <v>963</v>
      </c>
      <c r="I514" s="884">
        <v>3500</v>
      </c>
      <c r="J514" s="687">
        <f ca="1">IF(B$1&gt;=الجدول3[[#This Row],[تاريخ الدفعة]],الجدول3[[#This Row],[مبلغ الدفعة]],0)</f>
        <v>3500</v>
      </c>
      <c r="K514" s="846">
        <v>0</v>
      </c>
      <c r="L514" s="619"/>
      <c r="M514" s="374" t="s">
        <v>963</v>
      </c>
      <c r="N514" s="690"/>
      <c r="O514" s="620">
        <f ca="1">الجدول3[[#This Row],[المدفوع]]-الجدول3[[#This Row],[المبلغ المستحق]]</f>
        <v>-3500</v>
      </c>
      <c r="P514" s="621"/>
      <c r="Q514" s="733"/>
    </row>
    <row r="515" spans="2:17" hidden="1">
      <c r="B515" s="370">
        <v>477</v>
      </c>
      <c r="C515" s="654" t="s">
        <v>1018</v>
      </c>
      <c r="D515" s="882">
        <v>10216949908</v>
      </c>
      <c r="E515" s="369" t="s">
        <v>31</v>
      </c>
      <c r="F515" s="369">
        <v>102</v>
      </c>
      <c r="G515" s="617">
        <v>46273</v>
      </c>
      <c r="H515" s="374" t="s">
        <v>963</v>
      </c>
      <c r="I515" s="375">
        <v>3500</v>
      </c>
      <c r="J515" s="687">
        <f ca="1">IF(B$1&gt;=الجدول3[[#This Row],[تاريخ الدفعة]],الجدول3[[#This Row],[مبلغ الدفعة]],0)</f>
        <v>3500</v>
      </c>
      <c r="K515" s="846">
        <v>0</v>
      </c>
      <c r="L515" s="619"/>
      <c r="M515" s="374" t="s">
        <v>963</v>
      </c>
      <c r="N515" s="690"/>
      <c r="O515" s="620">
        <f ca="1">الجدول3[[#This Row],[المدفوع]]-الجدول3[[#This Row],[المبلغ المستحق]]</f>
        <v>-3500</v>
      </c>
      <c r="P515" s="621"/>
      <c r="Q515" s="733"/>
    </row>
    <row r="516" spans="2:17" hidden="1">
      <c r="B516" s="369">
        <v>478</v>
      </c>
      <c r="C516" s="893" t="s">
        <v>1018</v>
      </c>
      <c r="D516" s="891">
        <v>10216949908</v>
      </c>
      <c r="E516" s="369" t="s">
        <v>31</v>
      </c>
      <c r="F516" s="370">
        <v>102</v>
      </c>
      <c r="G516" s="617">
        <v>46303</v>
      </c>
      <c r="H516" s="374" t="s">
        <v>963</v>
      </c>
      <c r="I516" s="884">
        <v>3500</v>
      </c>
      <c r="J516" s="687">
        <f ca="1">IF(B$1&gt;=الجدول3[[#This Row],[تاريخ الدفعة]],الجدول3[[#This Row],[مبلغ الدفعة]],0)</f>
        <v>3500</v>
      </c>
      <c r="K516" s="846">
        <v>0</v>
      </c>
      <c r="L516" s="619"/>
      <c r="M516" s="879" t="s">
        <v>963</v>
      </c>
      <c r="N516" s="690"/>
      <c r="O516" s="620">
        <f ca="1">الجدول3[[#This Row],[المدفوع]]-الجدول3[[#This Row],[المبلغ المستحق]]</f>
        <v>-3500</v>
      </c>
      <c r="P516" s="621"/>
      <c r="Q516" s="733"/>
    </row>
    <row r="517" spans="2:17" hidden="1">
      <c r="B517" s="370">
        <v>479</v>
      </c>
      <c r="C517" s="654" t="s">
        <v>1018</v>
      </c>
      <c r="D517" s="882">
        <v>10216949908</v>
      </c>
      <c r="E517" s="369" t="s">
        <v>31</v>
      </c>
      <c r="F517" s="369">
        <v>102</v>
      </c>
      <c r="G517" s="617">
        <v>46334</v>
      </c>
      <c r="H517" s="374" t="s">
        <v>963</v>
      </c>
      <c r="I517" s="375">
        <v>3500</v>
      </c>
      <c r="J517" s="687">
        <f ca="1">IF(B$1&gt;=الجدول3[[#This Row],[تاريخ الدفعة]],الجدول3[[#This Row],[مبلغ الدفعة]],0)</f>
        <v>0</v>
      </c>
      <c r="K517" s="846">
        <v>0</v>
      </c>
      <c r="L517" s="619"/>
      <c r="M517" s="879" t="str" cm="1">
        <f t="array" aca="1" ref="M51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17" s="690"/>
      <c r="O517" s="620">
        <f ca="1">الجدول3[[#This Row],[المدفوع]]-الجدول3[[#This Row],[المبلغ المستحق]]</f>
        <v>0</v>
      </c>
      <c r="P517" s="621"/>
      <c r="Q517" s="733"/>
    </row>
    <row r="518" spans="2:17" hidden="1">
      <c r="B518" s="369">
        <v>480</v>
      </c>
      <c r="C518" s="893" t="s">
        <v>1018</v>
      </c>
      <c r="D518" s="891">
        <v>10216949908</v>
      </c>
      <c r="E518" s="369" t="s">
        <v>31</v>
      </c>
      <c r="F518" s="370">
        <v>102</v>
      </c>
      <c r="G518" s="617">
        <v>46364</v>
      </c>
      <c r="H518" s="374" t="s">
        <v>963</v>
      </c>
      <c r="I518" s="884">
        <v>3500</v>
      </c>
      <c r="J518" s="687">
        <f ca="1">IF(B$1&gt;=الجدول3[[#This Row],[تاريخ الدفعة]],الجدول3[[#This Row],[مبلغ الدفعة]],0)</f>
        <v>0</v>
      </c>
      <c r="K518" s="846">
        <v>0</v>
      </c>
      <c r="L518" s="619"/>
      <c r="M518" s="879" t="str" cm="1">
        <f t="array" aca="1" ref="M51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18" s="690"/>
      <c r="O518" s="620">
        <f ca="1">الجدول3[[#This Row],[المدفوع]]-الجدول3[[#This Row],[المبلغ المستحق]]</f>
        <v>0</v>
      </c>
      <c r="P518" s="621"/>
      <c r="Q518" s="733"/>
    </row>
    <row r="519" spans="2:17" hidden="1">
      <c r="B519" s="370">
        <v>481</v>
      </c>
      <c r="C519" s="654" t="s">
        <v>1018</v>
      </c>
      <c r="D519" s="882">
        <v>10216949908</v>
      </c>
      <c r="E519" s="369" t="s">
        <v>31</v>
      </c>
      <c r="F519" s="369">
        <v>102</v>
      </c>
      <c r="G519" s="617">
        <v>46395</v>
      </c>
      <c r="H519" s="374" t="s">
        <v>963</v>
      </c>
      <c r="I519" s="375">
        <v>3500</v>
      </c>
      <c r="J519" s="687">
        <f ca="1">IF(B$1&gt;=الجدول3[[#This Row],[تاريخ الدفعة]],الجدول3[[#This Row],[مبلغ الدفعة]],0)</f>
        <v>0</v>
      </c>
      <c r="K519" s="846">
        <v>0</v>
      </c>
      <c r="L519" s="619"/>
      <c r="M519" s="879" t="str" cm="1">
        <f t="array" aca="1" ref="M51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19" s="690"/>
      <c r="O519" s="620">
        <f ca="1">الجدول3[[#This Row],[المدفوع]]-الجدول3[[#This Row],[المبلغ المستحق]]</f>
        <v>0</v>
      </c>
      <c r="P519" s="621"/>
      <c r="Q519" s="733"/>
    </row>
    <row r="520" spans="2:17" hidden="1">
      <c r="B520" s="369">
        <v>482</v>
      </c>
      <c r="C520" s="893" t="s">
        <v>1018</v>
      </c>
      <c r="D520" s="891">
        <v>10216949908</v>
      </c>
      <c r="E520" s="369" t="s">
        <v>31</v>
      </c>
      <c r="F520" s="370">
        <v>102</v>
      </c>
      <c r="G520" s="617">
        <v>46426</v>
      </c>
      <c r="H520" s="374" t="s">
        <v>963</v>
      </c>
      <c r="I520" s="884">
        <v>3500</v>
      </c>
      <c r="J520" s="687">
        <f ca="1">IF(B$1&gt;=الجدول3[[#This Row],[تاريخ الدفعة]],الجدول3[[#This Row],[مبلغ الدفعة]],0)</f>
        <v>0</v>
      </c>
      <c r="K520" s="846">
        <v>0</v>
      </c>
      <c r="L520" s="619"/>
      <c r="M520" s="879" t="str" cm="1">
        <f t="array" aca="1" ref="M52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20" s="690"/>
      <c r="O520" s="620">
        <f ca="1">الجدول3[[#This Row],[المدفوع]]-الجدول3[[#This Row],[المبلغ المستحق]]</f>
        <v>0</v>
      </c>
      <c r="P520" s="621"/>
      <c r="Q520" s="733"/>
    </row>
    <row r="521" spans="2:17" hidden="1">
      <c r="B521" s="370">
        <v>483</v>
      </c>
      <c r="C521" s="654" t="s">
        <v>1018</v>
      </c>
      <c r="D521" s="882">
        <v>10216949908</v>
      </c>
      <c r="E521" s="369" t="s">
        <v>31</v>
      </c>
      <c r="F521" s="369">
        <v>102</v>
      </c>
      <c r="G521" s="617">
        <v>46454</v>
      </c>
      <c r="H521" s="374" t="s">
        <v>963</v>
      </c>
      <c r="I521" s="375">
        <v>3500</v>
      </c>
      <c r="J521" s="687">
        <f ca="1">IF(B$1&gt;=الجدول3[[#This Row],[تاريخ الدفعة]],الجدول3[[#This Row],[مبلغ الدفعة]],0)</f>
        <v>0</v>
      </c>
      <c r="K521" s="846">
        <v>0</v>
      </c>
      <c r="L521" s="619"/>
      <c r="M521" s="879" t="str" cm="1">
        <f t="array" aca="1" ref="M52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21" s="690"/>
      <c r="O521" s="620">
        <f ca="1">الجدول3[[#This Row],[المدفوع]]-الجدول3[[#This Row],[المبلغ المستحق]]</f>
        <v>0</v>
      </c>
      <c r="P521" s="621"/>
      <c r="Q521" s="733"/>
    </row>
    <row r="522" spans="2:17" hidden="1">
      <c r="B522" s="369">
        <v>484</v>
      </c>
      <c r="C522" s="654" t="s">
        <v>1018</v>
      </c>
      <c r="D522" s="891">
        <v>10216949908</v>
      </c>
      <c r="E522" s="369" t="s">
        <v>31</v>
      </c>
      <c r="F522" s="370">
        <v>102</v>
      </c>
      <c r="G522" s="617">
        <v>46485</v>
      </c>
      <c r="H522" s="374" t="s">
        <v>963</v>
      </c>
      <c r="I522" s="884">
        <v>3500</v>
      </c>
      <c r="J522" s="687">
        <f ca="1">IF(B$1&gt;=الجدول3[[#This Row],[تاريخ الدفعة]],الجدول3[[#This Row],[مبلغ الدفعة]],0)</f>
        <v>0</v>
      </c>
      <c r="K522" s="846">
        <v>0</v>
      </c>
      <c r="L522" s="619"/>
      <c r="M522" s="879" t="str" cm="1">
        <f t="array" aca="1" ref="M52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22" s="443"/>
      <c r="O522" s="620">
        <f ca="1">الجدول3[[#This Row],[المدفوع]]-الجدول3[[#This Row],[المبلغ المستحق]]</f>
        <v>0</v>
      </c>
      <c r="P522" s="621"/>
      <c r="Q522" s="733"/>
    </row>
    <row r="523" spans="2:17" hidden="1">
      <c r="B523" s="370">
        <v>485</v>
      </c>
      <c r="C523" s="654" t="s">
        <v>1045</v>
      </c>
      <c r="D523" s="370">
        <v>10987748633</v>
      </c>
      <c r="E523" s="369" t="s">
        <v>38</v>
      </c>
      <c r="F523" s="370">
        <v>102</v>
      </c>
      <c r="G523" s="371">
        <v>46143</v>
      </c>
      <c r="H523" s="371" t="s">
        <v>274</v>
      </c>
      <c r="I523" s="375">
        <v>4000</v>
      </c>
      <c r="J523" s="687">
        <f ca="1">IF(B$1&gt;=الجدول3[[#This Row],[تاريخ الدفعة]],الجدول3[[#This Row],[مبلغ الدفعة]],0)</f>
        <v>4000</v>
      </c>
      <c r="K523" s="846">
        <v>4000</v>
      </c>
      <c r="L523" s="374">
        <v>46166</v>
      </c>
      <c r="M523" s="879" t="s">
        <v>164</v>
      </c>
      <c r="N523" s="443" t="s">
        <v>274</v>
      </c>
      <c r="O523" s="620">
        <f ca="1">الجدول3[[#This Row],[المدفوع]]-الجدول3[[#This Row],[المبلغ المستحق]]</f>
        <v>0</v>
      </c>
      <c r="P523" s="443"/>
      <c r="Q523" s="733"/>
    </row>
    <row r="524" spans="2:17" hidden="1">
      <c r="B524" s="369">
        <v>486</v>
      </c>
      <c r="C524" s="654" t="s">
        <v>1045</v>
      </c>
      <c r="D524" s="369">
        <v>10987748633</v>
      </c>
      <c r="E524" s="369" t="s">
        <v>38</v>
      </c>
      <c r="F524" s="370">
        <v>102</v>
      </c>
      <c r="G524" s="617">
        <v>46174</v>
      </c>
      <c r="H524" s="617" t="s">
        <v>275</v>
      </c>
      <c r="I524" s="375">
        <v>4000</v>
      </c>
      <c r="J524" s="687">
        <f ca="1">IF(B$1&gt;=الجدول3[[#This Row],[تاريخ الدفعة]],الجدول3[[#This Row],[مبلغ الدفعة]],0)</f>
        <v>4000</v>
      </c>
      <c r="K524" s="846">
        <v>4000</v>
      </c>
      <c r="L524" s="619">
        <v>46201</v>
      </c>
      <c r="M524" s="879" t="s">
        <v>164</v>
      </c>
      <c r="N524" s="443" t="s">
        <v>275</v>
      </c>
      <c r="O524" s="620">
        <f ca="1">الجدول3[[#This Row],[المدفوع]]-الجدول3[[#This Row],[المبلغ المستحق]]</f>
        <v>0</v>
      </c>
      <c r="P524" s="621"/>
      <c r="Q524" s="733"/>
    </row>
    <row r="525" spans="2:17" hidden="1">
      <c r="B525" s="370">
        <v>487</v>
      </c>
      <c r="C525" s="654" t="s">
        <v>1045</v>
      </c>
      <c r="D525" s="370">
        <v>10987748633</v>
      </c>
      <c r="E525" s="369" t="s">
        <v>38</v>
      </c>
      <c r="F525" s="370">
        <v>102</v>
      </c>
      <c r="G525" s="371">
        <v>46204</v>
      </c>
      <c r="H525" s="371" t="s">
        <v>276</v>
      </c>
      <c r="I525" s="375">
        <v>4000</v>
      </c>
      <c r="J525" s="687">
        <f ca="1">IF(B$1&gt;=الجدول3[[#This Row],[تاريخ الدفعة]],الجدول3[[#This Row],[مبلغ الدفعة]],0)</f>
        <v>4000</v>
      </c>
      <c r="K525" s="846">
        <v>3500</v>
      </c>
      <c r="L525" s="374">
        <v>46230</v>
      </c>
      <c r="M525" s="879" t="s">
        <v>164</v>
      </c>
      <c r="N525" s="443" t="s">
        <v>276</v>
      </c>
      <c r="O525" s="620">
        <f ca="1">الجدول3[[#This Row],[المدفوع]]-الجدول3[[#This Row],[المبلغ المستحق]]</f>
        <v>-500</v>
      </c>
      <c r="P525" s="443"/>
      <c r="Q525" s="733"/>
    </row>
    <row r="526" spans="2:17" hidden="1">
      <c r="B526" s="369">
        <v>488</v>
      </c>
      <c r="C526" s="890" t="s">
        <v>81</v>
      </c>
      <c r="D526" s="882">
        <v>10857273361</v>
      </c>
      <c r="E526" s="369" t="s">
        <v>28</v>
      </c>
      <c r="F526" s="370">
        <v>102</v>
      </c>
      <c r="G526" s="617">
        <v>46244</v>
      </c>
      <c r="H526" s="371" t="s">
        <v>277</v>
      </c>
      <c r="I526" s="375">
        <v>3500</v>
      </c>
      <c r="J526" s="687">
        <f ca="1">IF(B$1&gt;=الجدول3[[#This Row],[تاريخ الدفعة]],الجدول3[[#This Row],[مبلغ الدفعة]],0)</f>
        <v>3500</v>
      </c>
      <c r="K526" s="846">
        <v>3500</v>
      </c>
      <c r="L526" s="374">
        <v>46275</v>
      </c>
      <c r="M526" s="369" t="s">
        <v>164</v>
      </c>
      <c r="N526" s="443" t="s">
        <v>277</v>
      </c>
      <c r="O526" s="620">
        <f ca="1">الجدول3[[#This Row],[المدفوع]]-الجدول3[[#This Row],[المبلغ المستحق]]</f>
        <v>0</v>
      </c>
      <c r="P526" s="443"/>
      <c r="Q526" s="733"/>
    </row>
    <row r="527" spans="2:17" hidden="1">
      <c r="B527" s="370">
        <v>489</v>
      </c>
      <c r="C527" s="654" t="s">
        <v>1045</v>
      </c>
      <c r="D527" s="370">
        <v>10987748633</v>
      </c>
      <c r="E527" s="369" t="s">
        <v>38</v>
      </c>
      <c r="F527" s="369">
        <v>102</v>
      </c>
      <c r="G527" s="371">
        <v>46266</v>
      </c>
      <c r="H527" s="371" t="s">
        <v>328</v>
      </c>
      <c r="I527" s="375">
        <v>1500</v>
      </c>
      <c r="J527" s="687">
        <f ca="1">IF(B$1&gt;=الجدول3[[#This Row],[تاريخ الدفعة]],الجدول3[[#This Row],[مبلغ الدفعة]],0)</f>
        <v>1500</v>
      </c>
      <c r="K527" s="846">
        <v>1500</v>
      </c>
      <c r="L527" s="374">
        <v>46292</v>
      </c>
      <c r="M527" s="689" t="s">
        <v>164</v>
      </c>
      <c r="N527" s="443" t="s">
        <v>328</v>
      </c>
      <c r="O527" s="620">
        <f ca="1">الجدول3[[#This Row],[المدفوع]]-الجدول3[[#This Row],[المبلغ المستحق]]</f>
        <v>0</v>
      </c>
      <c r="P527" s="443"/>
      <c r="Q527" s="733"/>
    </row>
    <row r="528" spans="2:17" hidden="1">
      <c r="B528" s="369">
        <v>490</v>
      </c>
      <c r="C528" s="654" t="s">
        <v>1045</v>
      </c>
      <c r="D528" s="369">
        <v>10987748633</v>
      </c>
      <c r="E528" s="369" t="s">
        <v>38</v>
      </c>
      <c r="F528" s="370">
        <v>102</v>
      </c>
      <c r="G528" s="617">
        <v>46296</v>
      </c>
      <c r="H528" s="371" t="s">
        <v>331</v>
      </c>
      <c r="I528" s="375">
        <v>4000</v>
      </c>
      <c r="J528" s="687">
        <f ca="1">IF(B$1&gt;=الجدول3[[#This Row],[تاريخ الدفعة]],الجدول3[[#This Row],[مبلغ الدفعة]],0)</f>
        <v>4000</v>
      </c>
      <c r="K528" s="846">
        <v>0</v>
      </c>
      <c r="L528" s="374"/>
      <c r="M528" s="879" t="str" cm="1">
        <f t="array" aca="1" ref="M52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متأخر</v>
      </c>
      <c r="N528" s="443"/>
      <c r="O528" s="620">
        <f ca="1">الجدول3[[#This Row],[المدفوع]]-الجدول3[[#This Row],[المبلغ المستحق]]</f>
        <v>-4000</v>
      </c>
      <c r="P528" s="443"/>
      <c r="Q528" s="733"/>
    </row>
    <row r="529" spans="2:17" hidden="1">
      <c r="B529" s="370">
        <v>491</v>
      </c>
      <c r="C529" s="654" t="s">
        <v>1045</v>
      </c>
      <c r="D529" s="370">
        <v>10987748633</v>
      </c>
      <c r="E529" s="369" t="s">
        <v>38</v>
      </c>
      <c r="F529" s="370">
        <v>102</v>
      </c>
      <c r="G529" s="371">
        <v>46327</v>
      </c>
      <c r="H529" s="371" t="s">
        <v>332</v>
      </c>
      <c r="I529" s="375">
        <v>4000</v>
      </c>
      <c r="J529" s="687">
        <f ca="1">IF(B$1&gt;=الجدول3[[#This Row],[تاريخ الدفعة]],الجدول3[[#This Row],[مبلغ الدفعة]],0)</f>
        <v>0</v>
      </c>
      <c r="K529" s="846">
        <v>0</v>
      </c>
      <c r="L529" s="374"/>
      <c r="M529" s="879" t="str" cm="1">
        <f t="array" aca="1" ref="M52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اقترب</v>
      </c>
      <c r="N529" s="443"/>
      <c r="O529" s="620">
        <f ca="1">الجدول3[[#This Row],[المدفوع]]-الجدول3[[#This Row],[المبلغ المستحق]]</f>
        <v>0</v>
      </c>
      <c r="P529" s="443"/>
      <c r="Q529" s="733"/>
    </row>
    <row r="530" spans="2:17" hidden="1">
      <c r="B530" s="369">
        <v>492</v>
      </c>
      <c r="C530" s="654" t="s">
        <v>1045</v>
      </c>
      <c r="D530" s="369">
        <v>10987748633</v>
      </c>
      <c r="E530" s="369" t="s">
        <v>38</v>
      </c>
      <c r="F530" s="370">
        <v>102</v>
      </c>
      <c r="G530" s="617">
        <v>46357</v>
      </c>
      <c r="H530" s="371" t="s">
        <v>333</v>
      </c>
      <c r="I530" s="375">
        <v>4000</v>
      </c>
      <c r="J530" s="687">
        <f ca="1">IF(B$1&gt;=الجدول3[[#This Row],[تاريخ الدفعة]],الجدول3[[#This Row],[مبلغ الدفعة]],0)</f>
        <v>0</v>
      </c>
      <c r="K530" s="846">
        <v>0</v>
      </c>
      <c r="L530" s="374"/>
      <c r="M530" s="879" t="str" cm="1">
        <f t="array" aca="1" ref="M53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30" s="443"/>
      <c r="O530" s="620">
        <f ca="1">الجدول3[[#This Row],[المدفوع]]-الجدول3[[#This Row],[المبلغ المستحق]]</f>
        <v>0</v>
      </c>
      <c r="P530" s="443"/>
      <c r="Q530" s="733"/>
    </row>
    <row r="531" spans="2:17" hidden="1">
      <c r="B531" s="370">
        <v>493</v>
      </c>
      <c r="C531" s="654" t="s">
        <v>1045</v>
      </c>
      <c r="D531" s="370">
        <v>10987748633</v>
      </c>
      <c r="E531" s="369" t="s">
        <v>38</v>
      </c>
      <c r="F531" s="370">
        <v>102</v>
      </c>
      <c r="G531" s="371">
        <v>46388</v>
      </c>
      <c r="H531" s="371" t="s">
        <v>637</v>
      </c>
      <c r="I531" s="375">
        <v>4000</v>
      </c>
      <c r="J531" s="687">
        <f ca="1">IF(B$1&gt;=الجدول3[[#This Row],[تاريخ الدفعة]],الجدول3[[#This Row],[مبلغ الدفعة]],0)</f>
        <v>0</v>
      </c>
      <c r="K531" s="846">
        <v>0</v>
      </c>
      <c r="L531" s="374"/>
      <c r="M531" s="879" t="str" cm="1">
        <f t="array" aca="1" ref="M53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31" s="443"/>
      <c r="O531" s="620">
        <f ca="1">الجدول3[[#This Row],[المدفوع]]-الجدول3[[#This Row],[المبلغ المستحق]]</f>
        <v>0</v>
      </c>
      <c r="P531" s="443"/>
      <c r="Q531" s="733"/>
    </row>
    <row r="532" spans="2:17" hidden="1">
      <c r="B532" s="369">
        <v>494</v>
      </c>
      <c r="C532" s="654" t="s">
        <v>1045</v>
      </c>
      <c r="D532" s="369">
        <v>10987748633</v>
      </c>
      <c r="E532" s="369" t="s">
        <v>38</v>
      </c>
      <c r="F532" s="370">
        <v>102</v>
      </c>
      <c r="G532" s="617">
        <v>46419</v>
      </c>
      <c r="H532" s="371" t="s">
        <v>334</v>
      </c>
      <c r="I532" s="375">
        <v>4000</v>
      </c>
      <c r="J532" s="687">
        <f ca="1">IF(B$1&gt;=الجدول3[[#This Row],[تاريخ الدفعة]],الجدول3[[#This Row],[مبلغ الدفعة]],0)</f>
        <v>0</v>
      </c>
      <c r="K532" s="846">
        <v>0</v>
      </c>
      <c r="L532" s="374"/>
      <c r="M532" s="879" t="str" cm="1">
        <f t="array" aca="1" ref="M53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32" s="443"/>
      <c r="O532" s="620">
        <f ca="1">الجدول3[[#This Row],[المدفوع]]-الجدول3[[#This Row],[المبلغ المستحق]]</f>
        <v>0</v>
      </c>
      <c r="P532" s="443"/>
      <c r="Q532" s="733"/>
    </row>
    <row r="533" spans="2:17" hidden="1">
      <c r="B533" s="370">
        <v>495</v>
      </c>
      <c r="C533" s="654" t="s">
        <v>1045</v>
      </c>
      <c r="D533" s="370">
        <v>10987748633</v>
      </c>
      <c r="E533" s="369" t="s">
        <v>38</v>
      </c>
      <c r="F533" s="370">
        <v>102</v>
      </c>
      <c r="G533" s="371">
        <v>46447</v>
      </c>
      <c r="H533" s="371" t="s">
        <v>335</v>
      </c>
      <c r="I533" s="375">
        <v>4000</v>
      </c>
      <c r="J533" s="687">
        <f ca="1">IF(B$1&gt;=الجدول3[[#This Row],[تاريخ الدفعة]],الجدول3[[#This Row],[مبلغ الدفعة]],0)</f>
        <v>0</v>
      </c>
      <c r="K533" s="846">
        <v>0</v>
      </c>
      <c r="L533" s="374"/>
      <c r="M533" s="879" t="str" cm="1">
        <f t="array" aca="1" ref="M53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33" s="443"/>
      <c r="O533" s="620">
        <f ca="1">الجدول3[[#This Row],[المدفوع]]-الجدول3[[#This Row],[المبلغ المستحق]]</f>
        <v>0</v>
      </c>
      <c r="P533" s="443"/>
      <c r="Q533" s="733"/>
    </row>
    <row r="534" spans="2:17" hidden="1">
      <c r="B534" s="369">
        <v>496</v>
      </c>
      <c r="C534" s="654" t="s">
        <v>1045</v>
      </c>
      <c r="D534" s="369">
        <v>10987748633</v>
      </c>
      <c r="E534" s="369" t="s">
        <v>38</v>
      </c>
      <c r="F534" s="370">
        <v>102</v>
      </c>
      <c r="G534" s="617">
        <v>46478</v>
      </c>
      <c r="H534" s="371" t="s">
        <v>336</v>
      </c>
      <c r="I534" s="375">
        <v>4000</v>
      </c>
      <c r="J534" s="687">
        <f ca="1">IF(B$1&gt;=الجدول3[[#This Row],[تاريخ الدفعة]],الجدول3[[#This Row],[مبلغ الدفعة]],0)</f>
        <v>0</v>
      </c>
      <c r="K534" s="846">
        <v>0</v>
      </c>
      <c r="L534" s="374"/>
      <c r="M534" s="879" t="str" cm="1">
        <f t="array" aca="1" ref="M53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34" s="443"/>
      <c r="O534" s="620">
        <f ca="1">الجدول3[[#This Row],[المدفوع]]-الجدول3[[#This Row],[المبلغ المستحق]]</f>
        <v>0</v>
      </c>
      <c r="P534" s="443"/>
      <c r="Q534" s="733"/>
    </row>
    <row r="535" spans="2:17" hidden="1">
      <c r="B535" s="370">
        <v>497</v>
      </c>
      <c r="C535" s="893" t="s">
        <v>1046</v>
      </c>
      <c r="D535" s="369">
        <v>10282412931</v>
      </c>
      <c r="E535" s="369" t="s">
        <v>39</v>
      </c>
      <c r="F535" s="370">
        <v>102</v>
      </c>
      <c r="G535" s="617">
        <v>46159</v>
      </c>
      <c r="H535" s="371" t="s">
        <v>274</v>
      </c>
      <c r="I535" s="375">
        <v>3200</v>
      </c>
      <c r="J535" s="687">
        <f ca="1">IF(B$1&gt;=الجدول3[[#This Row],[تاريخ الدفعة]],الجدول3[[#This Row],[مبلغ الدفعة]],0)</f>
        <v>3200</v>
      </c>
      <c r="K535" s="846">
        <v>3200</v>
      </c>
      <c r="L535" s="374">
        <v>46160</v>
      </c>
      <c r="M535" s="879" t="s">
        <v>164</v>
      </c>
      <c r="N535" s="443" t="s">
        <v>274</v>
      </c>
      <c r="O535" s="620">
        <f ca="1">الجدول3[[#This Row],[المدفوع]]-الجدول3[[#This Row],[المبلغ المستحق]]</f>
        <v>0</v>
      </c>
      <c r="P535" s="621"/>
      <c r="Q535" s="733"/>
    </row>
    <row r="536" spans="2:17" hidden="1">
      <c r="B536" s="369">
        <v>498</v>
      </c>
      <c r="C536" s="893" t="s">
        <v>1046</v>
      </c>
      <c r="D536" s="369">
        <v>10282412931</v>
      </c>
      <c r="E536" s="369" t="s">
        <v>39</v>
      </c>
      <c r="F536" s="370">
        <v>102</v>
      </c>
      <c r="G536" s="617">
        <v>46190</v>
      </c>
      <c r="H536" s="617" t="s">
        <v>275</v>
      </c>
      <c r="I536" s="375">
        <v>3200</v>
      </c>
      <c r="J536" s="687">
        <f ca="1">IF(B$1&gt;=الجدول3[[#This Row],[تاريخ الدفعة]],الجدول3[[#This Row],[مبلغ الدفعة]],0)</f>
        <v>3200</v>
      </c>
      <c r="K536" s="846">
        <v>3200</v>
      </c>
      <c r="L536" s="374">
        <v>46207</v>
      </c>
      <c r="M536" s="879" t="s">
        <v>164</v>
      </c>
      <c r="N536" s="443" t="s">
        <v>275</v>
      </c>
      <c r="O536" s="620">
        <f ca="1">الجدول3[[#This Row],[المدفوع]]-الجدول3[[#This Row],[المبلغ المستحق]]</f>
        <v>0</v>
      </c>
      <c r="P536" s="621"/>
      <c r="Q536" s="733"/>
    </row>
    <row r="537" spans="2:17" hidden="1">
      <c r="B537" s="370">
        <v>499</v>
      </c>
      <c r="C537" s="893" t="s">
        <v>1046</v>
      </c>
      <c r="D537" s="369">
        <v>10282412931</v>
      </c>
      <c r="E537" s="369" t="s">
        <v>39</v>
      </c>
      <c r="F537" s="370">
        <v>102</v>
      </c>
      <c r="G537" s="617">
        <v>46220</v>
      </c>
      <c r="H537" s="371" t="s">
        <v>276</v>
      </c>
      <c r="I537" s="375">
        <v>3200</v>
      </c>
      <c r="J537" s="687">
        <f ca="1">IF(B$1&gt;=الجدول3[[#This Row],[تاريخ الدفعة]],الجدول3[[#This Row],[مبلغ الدفعة]],0)</f>
        <v>3200</v>
      </c>
      <c r="K537" s="846">
        <v>3200</v>
      </c>
      <c r="L537" s="374">
        <v>46236</v>
      </c>
      <c r="M537" s="879" t="s">
        <v>164</v>
      </c>
      <c r="N537" s="443" t="s">
        <v>276</v>
      </c>
      <c r="O537" s="620">
        <f ca="1">الجدول3[[#This Row],[المدفوع]]-الجدول3[[#This Row],[المبلغ المستحق]]</f>
        <v>0</v>
      </c>
      <c r="P537" s="621"/>
      <c r="Q537" s="733"/>
    </row>
    <row r="538" spans="2:17" hidden="1">
      <c r="B538" s="369">
        <v>500</v>
      </c>
      <c r="C538" s="893" t="s">
        <v>1039</v>
      </c>
      <c r="D538" s="369">
        <v>10192262306</v>
      </c>
      <c r="E538" s="369" t="s">
        <v>29</v>
      </c>
      <c r="F538" s="370">
        <v>102</v>
      </c>
      <c r="G538" s="617">
        <v>46253</v>
      </c>
      <c r="H538" s="371" t="s">
        <v>277</v>
      </c>
      <c r="I538" s="375">
        <v>3500</v>
      </c>
      <c r="J538" s="687">
        <f ca="1">IF(B$1&gt;=الجدول3[[#This Row],[تاريخ الدفعة]],الجدول3[[#This Row],[مبلغ الدفعة]],0)</f>
        <v>3500</v>
      </c>
      <c r="K538" s="846">
        <v>3500</v>
      </c>
      <c r="L538" s="374">
        <v>46275</v>
      </c>
      <c r="M538" s="369" t="s">
        <v>164</v>
      </c>
      <c r="N538" s="443" t="s">
        <v>277</v>
      </c>
      <c r="O538" s="620">
        <f ca="1">الجدول3[[#This Row],[المدفوع]]-الجدول3[[#This Row],[المبلغ المستحق]]</f>
        <v>0</v>
      </c>
      <c r="P538" s="621"/>
      <c r="Q538" s="733"/>
    </row>
    <row r="539" spans="2:17" hidden="1">
      <c r="B539" s="370">
        <v>501</v>
      </c>
      <c r="C539" s="893" t="s">
        <v>1046</v>
      </c>
      <c r="D539" s="369">
        <v>10282412931</v>
      </c>
      <c r="E539" s="369" t="s">
        <v>39</v>
      </c>
      <c r="F539" s="369">
        <v>102</v>
      </c>
      <c r="G539" s="617">
        <v>46282</v>
      </c>
      <c r="H539" s="371" t="s">
        <v>328</v>
      </c>
      <c r="I539" s="375">
        <v>3200</v>
      </c>
      <c r="J539" s="687">
        <f ca="1">IF(B$1&gt;=الجدول3[[#This Row],[تاريخ الدفعة]],الجدول3[[#This Row],[مبلغ الدفعة]],0)</f>
        <v>3200</v>
      </c>
      <c r="K539" s="846">
        <v>3200</v>
      </c>
      <c r="L539" s="374">
        <v>46299</v>
      </c>
      <c r="M539" s="689" t="s">
        <v>164</v>
      </c>
      <c r="N539" s="443" t="s">
        <v>328</v>
      </c>
      <c r="O539" s="620">
        <f ca="1">الجدول3[[#This Row],[المدفوع]]-الجدول3[[#This Row],[المبلغ المستحق]]</f>
        <v>0</v>
      </c>
      <c r="P539" s="621"/>
      <c r="Q539" s="733"/>
    </row>
    <row r="540" spans="2:17" hidden="1">
      <c r="B540" s="369">
        <v>502</v>
      </c>
      <c r="C540" s="893" t="s">
        <v>1046</v>
      </c>
      <c r="D540" s="369">
        <v>10282412931</v>
      </c>
      <c r="E540" s="369" t="s">
        <v>39</v>
      </c>
      <c r="F540" s="370">
        <v>102</v>
      </c>
      <c r="G540" s="617">
        <v>46312</v>
      </c>
      <c r="H540" s="371" t="s">
        <v>331</v>
      </c>
      <c r="I540" s="375">
        <v>3200</v>
      </c>
      <c r="J540" s="687">
        <f ca="1">IF(B$1&gt;=الجدول3[[#This Row],[تاريخ الدفعة]],الجدول3[[#This Row],[مبلغ الدفعة]],0)</f>
        <v>3200</v>
      </c>
      <c r="K540" s="846">
        <v>0</v>
      </c>
      <c r="L540" s="374"/>
      <c r="M540" s="879" t="str" cm="1">
        <f t="array" aca="1" ref="M54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v>
      </c>
      <c r="N540" s="443"/>
      <c r="O540" s="620">
        <f ca="1">الجدول3[[#This Row],[المدفوع]]-الجدول3[[#This Row],[المبلغ المستحق]]</f>
        <v>-3200</v>
      </c>
      <c r="P540" s="621"/>
      <c r="Q540" s="733"/>
    </row>
    <row r="541" spans="2:17" hidden="1">
      <c r="B541" s="370">
        <v>503</v>
      </c>
      <c r="C541" s="893" t="s">
        <v>1046</v>
      </c>
      <c r="D541" s="369">
        <v>10282412931</v>
      </c>
      <c r="E541" s="369" t="s">
        <v>39</v>
      </c>
      <c r="F541" s="370">
        <v>102</v>
      </c>
      <c r="G541" s="617">
        <v>46343</v>
      </c>
      <c r="H541" s="371" t="s">
        <v>332</v>
      </c>
      <c r="I541" s="375">
        <v>3200</v>
      </c>
      <c r="J541" s="687">
        <f ca="1">IF(B$1&gt;=الجدول3[[#This Row],[تاريخ الدفعة]],الجدول3[[#This Row],[مبلغ الدفعة]],0)</f>
        <v>0</v>
      </c>
      <c r="K541" s="846">
        <v>0</v>
      </c>
      <c r="L541" s="374"/>
      <c r="M541" s="879" t="str" cm="1">
        <f t="array" aca="1" ref="M54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41" s="443"/>
      <c r="O541" s="620">
        <f ca="1">الجدول3[[#This Row],[المدفوع]]-الجدول3[[#This Row],[المبلغ المستحق]]</f>
        <v>0</v>
      </c>
      <c r="P541" s="621"/>
      <c r="Q541" s="733"/>
    </row>
    <row r="542" spans="2:17" hidden="1">
      <c r="B542" s="369">
        <v>504</v>
      </c>
      <c r="C542" s="893" t="s">
        <v>1046</v>
      </c>
      <c r="D542" s="369">
        <v>10282412931</v>
      </c>
      <c r="E542" s="369" t="s">
        <v>39</v>
      </c>
      <c r="F542" s="370">
        <v>102</v>
      </c>
      <c r="G542" s="617">
        <v>46373</v>
      </c>
      <c r="H542" s="371" t="s">
        <v>333</v>
      </c>
      <c r="I542" s="375">
        <v>3200</v>
      </c>
      <c r="J542" s="687">
        <f ca="1">IF(B$1&gt;=الجدول3[[#This Row],[تاريخ الدفعة]],الجدول3[[#This Row],[مبلغ الدفعة]],0)</f>
        <v>0</v>
      </c>
      <c r="K542" s="846">
        <v>0</v>
      </c>
      <c r="L542" s="374"/>
      <c r="M542" s="879" t="str" cm="1">
        <f t="array" aca="1" ref="M54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42" s="443"/>
      <c r="O542" s="620">
        <f ca="1">الجدول3[[#This Row],[المدفوع]]-الجدول3[[#This Row],[المبلغ المستحق]]</f>
        <v>0</v>
      </c>
      <c r="P542" s="621"/>
      <c r="Q542" s="733"/>
    </row>
    <row r="543" spans="2:17" hidden="1">
      <c r="B543" s="370">
        <v>505</v>
      </c>
      <c r="C543" s="893" t="s">
        <v>1046</v>
      </c>
      <c r="D543" s="369">
        <v>10282412931</v>
      </c>
      <c r="E543" s="369" t="s">
        <v>39</v>
      </c>
      <c r="F543" s="370">
        <v>102</v>
      </c>
      <c r="G543" s="617">
        <v>46404</v>
      </c>
      <c r="H543" s="371" t="s">
        <v>637</v>
      </c>
      <c r="I543" s="375">
        <v>3200</v>
      </c>
      <c r="J543" s="687">
        <f ca="1">IF(B$1&gt;=الجدول3[[#This Row],[تاريخ الدفعة]],الجدول3[[#This Row],[مبلغ الدفعة]],0)</f>
        <v>0</v>
      </c>
      <c r="K543" s="846">
        <v>0</v>
      </c>
      <c r="L543" s="374"/>
      <c r="M543" s="879" t="str" cm="1">
        <f t="array" aca="1" ref="M54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43" s="443"/>
      <c r="O543" s="620">
        <f ca="1">الجدول3[[#This Row],[المدفوع]]-الجدول3[[#This Row],[المبلغ المستحق]]</f>
        <v>0</v>
      </c>
      <c r="P543" s="621"/>
      <c r="Q543" s="733"/>
    </row>
    <row r="544" spans="2:17" hidden="1">
      <c r="B544" s="369">
        <v>506</v>
      </c>
      <c r="C544" s="893" t="s">
        <v>1046</v>
      </c>
      <c r="D544" s="369">
        <v>10282412931</v>
      </c>
      <c r="E544" s="369" t="s">
        <v>39</v>
      </c>
      <c r="F544" s="370">
        <v>102</v>
      </c>
      <c r="G544" s="617">
        <v>46435</v>
      </c>
      <c r="H544" s="371" t="s">
        <v>334</v>
      </c>
      <c r="I544" s="375">
        <v>3200</v>
      </c>
      <c r="J544" s="687">
        <f ca="1">IF(B$1&gt;=الجدول3[[#This Row],[تاريخ الدفعة]],الجدول3[[#This Row],[مبلغ الدفعة]],0)</f>
        <v>0</v>
      </c>
      <c r="K544" s="846">
        <v>0</v>
      </c>
      <c r="L544" s="374"/>
      <c r="M544" s="879" t="str" cm="1">
        <f t="array" aca="1" ref="M54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44" s="443"/>
      <c r="O544" s="620">
        <f ca="1">الجدول3[[#This Row],[المدفوع]]-الجدول3[[#This Row],[المبلغ المستحق]]</f>
        <v>0</v>
      </c>
      <c r="P544" s="621"/>
      <c r="Q544" s="733"/>
    </row>
    <row r="545" spans="2:17" hidden="1">
      <c r="B545" s="370">
        <v>507</v>
      </c>
      <c r="C545" s="893" t="s">
        <v>1046</v>
      </c>
      <c r="D545" s="369">
        <v>10282412931</v>
      </c>
      <c r="E545" s="369" t="s">
        <v>39</v>
      </c>
      <c r="F545" s="370">
        <v>102</v>
      </c>
      <c r="G545" s="617">
        <v>46463</v>
      </c>
      <c r="H545" s="371" t="s">
        <v>335</v>
      </c>
      <c r="I545" s="375">
        <v>3200</v>
      </c>
      <c r="J545" s="687">
        <f ca="1">IF(B$1&gt;=الجدول3[[#This Row],[تاريخ الدفعة]],الجدول3[[#This Row],[مبلغ الدفعة]],0)</f>
        <v>0</v>
      </c>
      <c r="K545" s="846">
        <v>0</v>
      </c>
      <c r="L545" s="374"/>
      <c r="M545" s="879" t="str" cm="1">
        <f t="array" aca="1" ref="M54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45" s="443"/>
      <c r="O545" s="620">
        <f ca="1">الجدول3[[#This Row],[المدفوع]]-الجدول3[[#This Row],[المبلغ المستحق]]</f>
        <v>0</v>
      </c>
      <c r="P545" s="621"/>
      <c r="Q545" s="733"/>
    </row>
    <row r="546" spans="2:17" hidden="1">
      <c r="B546" s="369">
        <v>508</v>
      </c>
      <c r="C546" s="893" t="s">
        <v>1046</v>
      </c>
      <c r="D546" s="369">
        <v>10282412931</v>
      </c>
      <c r="E546" s="369" t="s">
        <v>39</v>
      </c>
      <c r="F546" s="370">
        <v>102</v>
      </c>
      <c r="G546" s="617">
        <v>46494</v>
      </c>
      <c r="H546" s="371" t="s">
        <v>336</v>
      </c>
      <c r="I546" s="375">
        <v>3200</v>
      </c>
      <c r="J546" s="687">
        <f ca="1">IF(B$1&gt;=الجدول3[[#This Row],[تاريخ الدفعة]],الجدول3[[#This Row],[مبلغ الدفعة]],0)</f>
        <v>0</v>
      </c>
      <c r="K546" s="846">
        <v>0</v>
      </c>
      <c r="L546" s="374"/>
      <c r="M546" s="879" t="str" cm="1">
        <f t="array" aca="1" ref="M54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46" s="443"/>
      <c r="O546" s="620">
        <f ca="1">الجدول3[[#This Row],[المدفوع]]-الجدول3[[#This Row],[المبلغ المستحق]]</f>
        <v>0</v>
      </c>
      <c r="P546" s="621"/>
      <c r="Q546" s="733"/>
    </row>
    <row r="547" spans="2:17" hidden="1">
      <c r="B547" s="370">
        <v>509</v>
      </c>
      <c r="C547" s="893" t="s">
        <v>1047</v>
      </c>
      <c r="D547" s="369">
        <v>10843660475</v>
      </c>
      <c r="E547" s="369" t="s">
        <v>40</v>
      </c>
      <c r="F547" s="369">
        <v>102</v>
      </c>
      <c r="G547" s="617">
        <v>46145</v>
      </c>
      <c r="H547" s="617" t="s">
        <v>274</v>
      </c>
      <c r="I547" s="884">
        <v>600</v>
      </c>
      <c r="J547" s="687">
        <f ca="1">IF(B$1&gt;=الجدول3[[#This Row],[تاريخ الدفعة]],الجدول3[[#This Row],[مبلغ الدفعة]],0)</f>
        <v>600</v>
      </c>
      <c r="K547" s="846">
        <v>600</v>
      </c>
      <c r="L547" s="619">
        <v>46145</v>
      </c>
      <c r="M547" s="879" t="s">
        <v>164</v>
      </c>
      <c r="N547" s="443" t="s">
        <v>274</v>
      </c>
      <c r="O547" s="620">
        <f ca="1">الجدول3[[#This Row],[المدفوع]]-الجدول3[[#This Row],[المبلغ المستحق]]</f>
        <v>0</v>
      </c>
      <c r="P547" s="621"/>
      <c r="Q547" s="733"/>
    </row>
    <row r="548" spans="2:17" hidden="1">
      <c r="B548" s="369">
        <v>510</v>
      </c>
      <c r="C548" s="893" t="s">
        <v>1047</v>
      </c>
      <c r="D548" s="369">
        <v>10843660475</v>
      </c>
      <c r="E548" s="369" t="s">
        <v>40</v>
      </c>
      <c r="F548" s="369">
        <v>102</v>
      </c>
      <c r="G548" s="617">
        <v>46176</v>
      </c>
      <c r="H548" s="349" t="s">
        <v>963</v>
      </c>
      <c r="I548" s="884">
        <v>4000</v>
      </c>
      <c r="J548" s="687">
        <f ca="1">IF(B$1&gt;=الجدول3[[#This Row],[تاريخ الدفعة]],الجدول3[[#This Row],[مبلغ الدفعة]],0)</f>
        <v>4000</v>
      </c>
      <c r="K548" s="846">
        <v>0</v>
      </c>
      <c r="L548" s="619"/>
      <c r="M548" s="879" t="s">
        <v>963</v>
      </c>
      <c r="N548" s="443"/>
      <c r="O548" s="620">
        <f ca="1">الجدول3[[#This Row],[المدفوع]]-الجدول3[[#This Row],[المبلغ المستحق]]</f>
        <v>-4000</v>
      </c>
      <c r="P548" s="621"/>
      <c r="Q548" s="733"/>
    </row>
    <row r="549" spans="2:17" hidden="1">
      <c r="B549" s="370">
        <v>511</v>
      </c>
      <c r="C549" s="893" t="s">
        <v>1047</v>
      </c>
      <c r="D549" s="369">
        <v>10843660475</v>
      </c>
      <c r="E549" s="369" t="s">
        <v>40</v>
      </c>
      <c r="F549" s="369">
        <v>102</v>
      </c>
      <c r="G549" s="617">
        <v>46206</v>
      </c>
      <c r="H549" s="349" t="s">
        <v>963</v>
      </c>
      <c r="I549" s="884">
        <v>4000</v>
      </c>
      <c r="J549" s="687">
        <f ca="1">IF(B$1&gt;=الجدول3[[#This Row],[تاريخ الدفعة]],الجدول3[[#This Row],[مبلغ الدفعة]],0)</f>
        <v>4000</v>
      </c>
      <c r="K549" s="846">
        <v>0</v>
      </c>
      <c r="L549" s="619"/>
      <c r="M549" s="879" t="s">
        <v>963</v>
      </c>
      <c r="N549" s="443"/>
      <c r="O549" s="620">
        <f ca="1">الجدول3[[#This Row],[المدفوع]]-الجدول3[[#This Row],[المبلغ المستحق]]</f>
        <v>-4000</v>
      </c>
      <c r="P549" s="621"/>
      <c r="Q549" s="733"/>
    </row>
    <row r="550" spans="2:17" hidden="1">
      <c r="B550" s="369">
        <v>512</v>
      </c>
      <c r="C550" s="654" t="s">
        <v>1048</v>
      </c>
      <c r="D550" s="370">
        <v>10868706751</v>
      </c>
      <c r="E550" s="369" t="s">
        <v>31</v>
      </c>
      <c r="F550" s="369">
        <v>102</v>
      </c>
      <c r="G550" s="371">
        <v>46197</v>
      </c>
      <c r="H550" s="617" t="s">
        <v>275</v>
      </c>
      <c r="I550" s="375">
        <v>3500</v>
      </c>
      <c r="J550" s="687">
        <f ca="1">IF(B$1&gt;=الجدول3[[#This Row],[تاريخ الدفعة]],الجدول3[[#This Row],[مبلغ الدفعة]],0)</f>
        <v>3500</v>
      </c>
      <c r="K550" s="846">
        <v>3500</v>
      </c>
      <c r="L550" s="374">
        <v>46199</v>
      </c>
      <c r="M550" s="879" t="s">
        <v>164</v>
      </c>
      <c r="N550" s="443" t="s">
        <v>275</v>
      </c>
      <c r="O550" s="620">
        <f ca="1">الجدول3[[#This Row],[المدفوع]]-الجدول3[[#This Row],[المبلغ المستحق]]</f>
        <v>0</v>
      </c>
      <c r="P550" s="443"/>
      <c r="Q550" s="733"/>
    </row>
    <row r="551" spans="2:17" hidden="1">
      <c r="B551" s="370">
        <v>513</v>
      </c>
      <c r="C551" s="893" t="s">
        <v>1048</v>
      </c>
      <c r="D551" s="370">
        <v>10868706751</v>
      </c>
      <c r="E551" s="369" t="s">
        <v>31</v>
      </c>
      <c r="F551" s="369">
        <v>102</v>
      </c>
      <c r="G551" s="617">
        <v>46227</v>
      </c>
      <c r="H551" s="617" t="s">
        <v>276</v>
      </c>
      <c r="I551" s="375">
        <v>3500</v>
      </c>
      <c r="J551" s="687">
        <f ca="1">IF(B$1&gt;=الجدول3[[#This Row],[تاريخ الدفعة]],الجدول3[[#This Row],[مبلغ الدفعة]],0)</f>
        <v>3500</v>
      </c>
      <c r="K551" s="846">
        <v>3500</v>
      </c>
      <c r="L551" s="619">
        <v>46230</v>
      </c>
      <c r="M551" s="879" t="s">
        <v>164</v>
      </c>
      <c r="N551" s="443" t="s">
        <v>276</v>
      </c>
      <c r="O551" s="620">
        <f ca="1">الجدول3[[#This Row],[المدفوع]]-الجدول3[[#This Row],[المبلغ المستحق]]</f>
        <v>0</v>
      </c>
      <c r="P551" s="621"/>
      <c r="Q551" s="733"/>
    </row>
    <row r="552" spans="2:17" hidden="1">
      <c r="B552" s="369">
        <v>514</v>
      </c>
      <c r="C552" s="654" t="s">
        <v>1048</v>
      </c>
      <c r="D552" s="370">
        <v>10868706751</v>
      </c>
      <c r="E552" s="369" t="s">
        <v>31</v>
      </c>
      <c r="F552" s="369">
        <v>102</v>
      </c>
      <c r="G552" s="371">
        <v>46258</v>
      </c>
      <c r="H552" s="879" t="s">
        <v>963</v>
      </c>
      <c r="I552" s="375">
        <v>3500</v>
      </c>
      <c r="J552" s="687">
        <f ca="1">IF(B$1&gt;=الجدول3[[#This Row],[تاريخ الدفعة]],الجدول3[[#This Row],[مبلغ الدفعة]],0)</f>
        <v>3500</v>
      </c>
      <c r="K552" s="846">
        <v>0</v>
      </c>
      <c r="L552" s="374"/>
      <c r="M552" s="879" t="s">
        <v>963</v>
      </c>
      <c r="N552" s="443"/>
      <c r="O552" s="620">
        <f ca="1">الجدول3[[#This Row],[المدفوع]]-الجدول3[[#This Row],[المبلغ المستحق]]</f>
        <v>-3500</v>
      </c>
      <c r="P552" s="621"/>
      <c r="Q552" s="733"/>
    </row>
    <row r="553" spans="2:17" hidden="1">
      <c r="B553" s="370">
        <v>515</v>
      </c>
      <c r="C553" s="893" t="s">
        <v>1048</v>
      </c>
      <c r="D553" s="370">
        <v>10868706751</v>
      </c>
      <c r="E553" s="369" t="s">
        <v>31</v>
      </c>
      <c r="F553" s="369">
        <v>102</v>
      </c>
      <c r="G553" s="617">
        <v>46289</v>
      </c>
      <c r="H553" s="879" t="s">
        <v>963</v>
      </c>
      <c r="I553" s="375">
        <v>3500</v>
      </c>
      <c r="J553" s="687">
        <f ca="1">IF(B$1&gt;=الجدول3[[#This Row],[تاريخ الدفعة]],الجدول3[[#This Row],[مبلغ الدفعة]],0)</f>
        <v>3500</v>
      </c>
      <c r="K553" s="846">
        <v>0</v>
      </c>
      <c r="L553" s="619"/>
      <c r="M553" s="879" t="s">
        <v>963</v>
      </c>
      <c r="N553" s="443"/>
      <c r="O553" s="620">
        <f ca="1">الجدول3[[#This Row],[المدفوع]]-الجدول3[[#This Row],[المبلغ المستحق]]</f>
        <v>-3500</v>
      </c>
      <c r="P553" s="621"/>
      <c r="Q553" s="733"/>
    </row>
    <row r="554" spans="2:17" hidden="1">
      <c r="B554" s="369">
        <v>516</v>
      </c>
      <c r="C554" s="654" t="s">
        <v>1048</v>
      </c>
      <c r="D554" s="370">
        <v>10868706751</v>
      </c>
      <c r="E554" s="369" t="s">
        <v>31</v>
      </c>
      <c r="F554" s="369">
        <v>102</v>
      </c>
      <c r="G554" s="371">
        <v>46319</v>
      </c>
      <c r="H554" s="879" t="s">
        <v>963</v>
      </c>
      <c r="I554" s="375">
        <v>3500</v>
      </c>
      <c r="J554" s="687">
        <f ca="1">IF(B$1&gt;=الجدول3[[#This Row],[تاريخ الدفعة]],الجدول3[[#This Row],[مبلغ الدفعة]],0)</f>
        <v>3500</v>
      </c>
      <c r="K554" s="846">
        <v>0</v>
      </c>
      <c r="L554" s="374"/>
      <c r="M554" s="879" t="s">
        <v>963</v>
      </c>
      <c r="N554" s="443"/>
      <c r="O554" s="620">
        <f ca="1">الجدول3[[#This Row],[المدفوع]]-الجدول3[[#This Row],[المبلغ المستحق]]</f>
        <v>-3500</v>
      </c>
      <c r="P554" s="621"/>
      <c r="Q554" s="733"/>
    </row>
    <row r="555" spans="2:17" hidden="1">
      <c r="B555" s="370">
        <v>517</v>
      </c>
      <c r="C555" s="893" t="s">
        <v>1048</v>
      </c>
      <c r="D555" s="370">
        <v>10868706751</v>
      </c>
      <c r="E555" s="369" t="s">
        <v>31</v>
      </c>
      <c r="F555" s="369">
        <v>102</v>
      </c>
      <c r="G555" s="617">
        <v>46350</v>
      </c>
      <c r="H555" s="879" t="s">
        <v>963</v>
      </c>
      <c r="I555" s="375">
        <v>3500</v>
      </c>
      <c r="J555" s="687">
        <f ca="1">IF(B$1&gt;=الجدول3[[#This Row],[تاريخ الدفعة]],الجدول3[[#This Row],[مبلغ الدفعة]],0)</f>
        <v>0</v>
      </c>
      <c r="K555" s="846">
        <v>0</v>
      </c>
      <c r="L555" s="619"/>
      <c r="M555" s="879" t="s">
        <v>963</v>
      </c>
      <c r="N555" s="443"/>
      <c r="O555" s="620">
        <f ca="1">الجدول3[[#This Row],[المدفوع]]-الجدول3[[#This Row],[المبلغ المستحق]]</f>
        <v>0</v>
      </c>
      <c r="P555" s="621"/>
      <c r="Q555" s="733"/>
    </row>
    <row r="556" spans="2:17" hidden="1">
      <c r="B556" s="369">
        <v>518</v>
      </c>
      <c r="C556" s="654" t="s">
        <v>1048</v>
      </c>
      <c r="D556" s="370">
        <v>10868706751</v>
      </c>
      <c r="E556" s="369" t="s">
        <v>31</v>
      </c>
      <c r="F556" s="369">
        <v>102</v>
      </c>
      <c r="G556" s="371">
        <v>46380</v>
      </c>
      <c r="H556" s="879" t="s">
        <v>963</v>
      </c>
      <c r="I556" s="375">
        <v>3500</v>
      </c>
      <c r="J556" s="687">
        <f ca="1">IF(B$1&gt;=الجدول3[[#This Row],[تاريخ الدفعة]],الجدول3[[#This Row],[مبلغ الدفعة]],0)</f>
        <v>0</v>
      </c>
      <c r="K556" s="846">
        <v>0</v>
      </c>
      <c r="L556" s="374"/>
      <c r="M556" s="879" t="s">
        <v>963</v>
      </c>
      <c r="N556" s="443"/>
      <c r="O556" s="620">
        <f ca="1">الجدول3[[#This Row],[المدفوع]]-الجدول3[[#This Row],[المبلغ المستحق]]</f>
        <v>0</v>
      </c>
      <c r="P556" s="621"/>
      <c r="Q556" s="733"/>
    </row>
    <row r="557" spans="2:17" hidden="1">
      <c r="B557" s="370">
        <v>519</v>
      </c>
      <c r="C557" s="893" t="s">
        <v>1048</v>
      </c>
      <c r="D557" s="370">
        <v>10868706751</v>
      </c>
      <c r="E557" s="369" t="s">
        <v>31</v>
      </c>
      <c r="F557" s="369">
        <v>102</v>
      </c>
      <c r="G557" s="617">
        <v>46411</v>
      </c>
      <c r="H557" s="879" t="s">
        <v>963</v>
      </c>
      <c r="I557" s="375">
        <v>3500</v>
      </c>
      <c r="J557" s="687">
        <f ca="1">IF(B$1&gt;=الجدول3[[#This Row],[تاريخ الدفعة]],الجدول3[[#This Row],[مبلغ الدفعة]],0)</f>
        <v>0</v>
      </c>
      <c r="K557" s="846">
        <v>0</v>
      </c>
      <c r="L557" s="619"/>
      <c r="M557" s="879" t="s">
        <v>963</v>
      </c>
      <c r="N557" s="443"/>
      <c r="O557" s="620">
        <f ca="1">الجدول3[[#This Row],[المدفوع]]-الجدول3[[#This Row],[المبلغ المستحق]]</f>
        <v>0</v>
      </c>
      <c r="P557" s="621"/>
      <c r="Q557" s="733"/>
    </row>
    <row r="558" spans="2:17" hidden="1">
      <c r="B558" s="369">
        <v>520</v>
      </c>
      <c r="C558" s="654" t="s">
        <v>1048</v>
      </c>
      <c r="D558" s="370">
        <v>10868706751</v>
      </c>
      <c r="E558" s="369" t="s">
        <v>31</v>
      </c>
      <c r="F558" s="369">
        <v>102</v>
      </c>
      <c r="G558" s="371">
        <v>46442</v>
      </c>
      <c r="H558" s="879" t="s">
        <v>963</v>
      </c>
      <c r="I558" s="375">
        <v>3500</v>
      </c>
      <c r="J558" s="687">
        <f ca="1">IF(B$1&gt;=الجدول3[[#This Row],[تاريخ الدفعة]],الجدول3[[#This Row],[مبلغ الدفعة]],0)</f>
        <v>0</v>
      </c>
      <c r="K558" s="846">
        <v>0</v>
      </c>
      <c r="L558" s="374"/>
      <c r="M558" s="879" t="s">
        <v>963</v>
      </c>
      <c r="N558" s="443"/>
      <c r="O558" s="620">
        <f ca="1">الجدول3[[#This Row],[المدفوع]]-الجدول3[[#This Row],[المبلغ المستحق]]</f>
        <v>0</v>
      </c>
      <c r="P558" s="621"/>
      <c r="Q558" s="733"/>
    </row>
    <row r="559" spans="2:17" hidden="1">
      <c r="B559" s="370">
        <v>521</v>
      </c>
      <c r="C559" s="893" t="s">
        <v>1048</v>
      </c>
      <c r="D559" s="370">
        <v>10868706751</v>
      </c>
      <c r="E559" s="369" t="s">
        <v>31</v>
      </c>
      <c r="F559" s="369">
        <v>102</v>
      </c>
      <c r="G559" s="617">
        <v>46470</v>
      </c>
      <c r="H559" s="879" t="s">
        <v>963</v>
      </c>
      <c r="I559" s="375">
        <v>3500</v>
      </c>
      <c r="J559" s="687">
        <f ca="1">IF(B$1&gt;=الجدول3[[#This Row],[تاريخ الدفعة]],الجدول3[[#This Row],[مبلغ الدفعة]],0)</f>
        <v>0</v>
      </c>
      <c r="K559" s="846">
        <v>0</v>
      </c>
      <c r="L559" s="619"/>
      <c r="M559" s="879" t="s">
        <v>963</v>
      </c>
      <c r="N559" s="443"/>
      <c r="O559" s="620">
        <f ca="1">الجدول3[[#This Row],[المدفوع]]-الجدول3[[#This Row],[المبلغ المستحق]]</f>
        <v>0</v>
      </c>
      <c r="P559" s="621"/>
      <c r="Q559" s="733"/>
    </row>
    <row r="560" spans="2:17" hidden="1">
      <c r="B560" s="369">
        <v>522</v>
      </c>
      <c r="C560" s="654" t="s">
        <v>1048</v>
      </c>
      <c r="D560" s="370">
        <v>10868706751</v>
      </c>
      <c r="E560" s="369" t="s">
        <v>31</v>
      </c>
      <c r="F560" s="369">
        <v>102</v>
      </c>
      <c r="G560" s="371">
        <v>46501</v>
      </c>
      <c r="H560" s="879" t="s">
        <v>963</v>
      </c>
      <c r="I560" s="375">
        <v>3500</v>
      </c>
      <c r="J560" s="687">
        <f ca="1">IF(B$1&gt;=الجدول3[[#This Row],[تاريخ الدفعة]],الجدول3[[#This Row],[مبلغ الدفعة]],0)</f>
        <v>0</v>
      </c>
      <c r="K560" s="846">
        <v>0</v>
      </c>
      <c r="L560" s="374"/>
      <c r="M560" s="879" t="s">
        <v>963</v>
      </c>
      <c r="N560" s="443"/>
      <c r="O560" s="620">
        <f ca="1">الجدول3[[#This Row],[المدفوع]]-الجدول3[[#This Row],[المبلغ المستحق]]</f>
        <v>0</v>
      </c>
      <c r="P560" s="621"/>
      <c r="Q560" s="733"/>
    </row>
    <row r="561" spans="2:17" hidden="1">
      <c r="B561" s="370">
        <v>523</v>
      </c>
      <c r="C561" s="893" t="s">
        <v>1048</v>
      </c>
      <c r="D561" s="370">
        <v>10868706751</v>
      </c>
      <c r="E561" s="369" t="s">
        <v>31</v>
      </c>
      <c r="F561" s="369">
        <v>102</v>
      </c>
      <c r="G561" s="617">
        <v>46531</v>
      </c>
      <c r="H561" s="879" t="s">
        <v>963</v>
      </c>
      <c r="I561" s="375">
        <v>3500</v>
      </c>
      <c r="J561" s="687">
        <f ca="1">IF(B$1&gt;=الجدول3[[#This Row],[تاريخ الدفعة]],الجدول3[[#This Row],[مبلغ الدفعة]],0)</f>
        <v>0</v>
      </c>
      <c r="K561" s="846">
        <v>0</v>
      </c>
      <c r="L561" s="619"/>
      <c r="M561" s="879" t="s">
        <v>963</v>
      </c>
      <c r="N561" s="443"/>
      <c r="O561" s="620">
        <f ca="1">الجدول3[[#This Row],[المدفوع]]-الجدول3[[#This Row],[المبلغ المستحق]]</f>
        <v>0</v>
      </c>
      <c r="P561" s="443"/>
      <c r="Q561" s="733"/>
    </row>
    <row r="562" spans="2:17" hidden="1">
      <c r="B562" s="369">
        <v>524</v>
      </c>
      <c r="C562" s="654" t="s">
        <v>1049</v>
      </c>
      <c r="D562" s="370">
        <v>10936935607</v>
      </c>
      <c r="E562" s="369" t="s">
        <v>40</v>
      </c>
      <c r="F562" s="369">
        <v>102</v>
      </c>
      <c r="G562" s="617">
        <v>46198</v>
      </c>
      <c r="H562" s="371" t="s">
        <v>275</v>
      </c>
      <c r="I562" s="375">
        <v>4000</v>
      </c>
      <c r="J562" s="687">
        <f ca="1">IF(B$1&gt;=الجدول3[[#This Row],[تاريخ الدفعة]],الجدول3[[#This Row],[مبلغ الدفعة]],0)</f>
        <v>4000</v>
      </c>
      <c r="K562" s="846">
        <v>4000</v>
      </c>
      <c r="L562" s="374">
        <v>46222</v>
      </c>
      <c r="M562" s="879" t="s">
        <v>164</v>
      </c>
      <c r="N562" s="443" t="s">
        <v>276</v>
      </c>
      <c r="O562" s="620">
        <f ca="1">الجدول3[[#This Row],[المدفوع]]-الجدول3[[#This Row],[المبلغ المستحق]]</f>
        <v>0</v>
      </c>
      <c r="P562" s="443"/>
      <c r="Q562" s="733"/>
    </row>
    <row r="563" spans="2:17" hidden="1">
      <c r="B563" s="370">
        <v>525</v>
      </c>
      <c r="C563" s="654" t="s">
        <v>1050</v>
      </c>
      <c r="D563" s="370">
        <v>10462173690</v>
      </c>
      <c r="E563" s="369" t="s">
        <v>34</v>
      </c>
      <c r="F563" s="369">
        <v>102</v>
      </c>
      <c r="G563" s="371">
        <v>46198</v>
      </c>
      <c r="H563" s="617" t="s">
        <v>275</v>
      </c>
      <c r="I563" s="375">
        <v>3800</v>
      </c>
      <c r="J563" s="687">
        <f ca="1">IF(B$1&gt;=الجدول3[[#This Row],[تاريخ الدفعة]],الجدول3[[#This Row],[مبلغ الدفعة]],0)</f>
        <v>3800</v>
      </c>
      <c r="K563" s="846">
        <v>3800</v>
      </c>
      <c r="L563" s="374">
        <v>46201</v>
      </c>
      <c r="M563" s="879" t="s">
        <v>164</v>
      </c>
      <c r="N563" s="443" t="s">
        <v>275</v>
      </c>
      <c r="O563" s="620">
        <f ca="1">الجدول3[[#This Row],[المدفوع]]-الجدول3[[#This Row],[المبلغ المستحق]]</f>
        <v>0</v>
      </c>
      <c r="P563" s="443"/>
      <c r="Q563" s="733"/>
    </row>
    <row r="564" spans="2:17" hidden="1">
      <c r="B564" s="369">
        <v>526</v>
      </c>
      <c r="C564" s="893" t="s">
        <v>1050</v>
      </c>
      <c r="D564" s="370">
        <v>10462173690</v>
      </c>
      <c r="E564" s="369" t="s">
        <v>34</v>
      </c>
      <c r="F564" s="369">
        <v>102</v>
      </c>
      <c r="G564" s="617">
        <v>46228</v>
      </c>
      <c r="H564" s="617" t="s">
        <v>276</v>
      </c>
      <c r="I564" s="375">
        <v>3800</v>
      </c>
      <c r="J564" s="687">
        <f ca="1">IF(B$1&gt;=الجدول3[[#This Row],[تاريخ الدفعة]],الجدول3[[#This Row],[مبلغ الدفعة]],0)</f>
        <v>3800</v>
      </c>
      <c r="K564" s="846">
        <v>3800</v>
      </c>
      <c r="L564" s="619">
        <v>46230</v>
      </c>
      <c r="M564" s="879" t="s">
        <v>164</v>
      </c>
      <c r="N564" s="443" t="s">
        <v>276</v>
      </c>
      <c r="O564" s="620">
        <f ca="1">الجدول3[[#This Row],[المدفوع]]-الجدول3[[#This Row],[المبلغ المستحق]]</f>
        <v>0</v>
      </c>
      <c r="P564" s="621"/>
      <c r="Q564" s="733"/>
    </row>
    <row r="565" spans="2:17" hidden="1">
      <c r="B565" s="370">
        <v>527</v>
      </c>
      <c r="C565" s="654" t="s">
        <v>1050</v>
      </c>
      <c r="D565" s="370">
        <v>10462173690</v>
      </c>
      <c r="E565" s="369" t="s">
        <v>34</v>
      </c>
      <c r="F565" s="369">
        <v>102</v>
      </c>
      <c r="G565" s="371">
        <v>46259</v>
      </c>
      <c r="H565" s="373" t="s">
        <v>963</v>
      </c>
      <c r="I565" s="375">
        <v>3800</v>
      </c>
      <c r="J565" s="373" t="s">
        <v>963</v>
      </c>
      <c r="K565" s="846">
        <v>0</v>
      </c>
      <c r="L565" s="374"/>
      <c r="M565" s="879" t="s">
        <v>963</v>
      </c>
      <c r="N565" s="443"/>
      <c r="O565" s="620" t="e">
        <f>الجدول3[[#This Row],[المدفوع]]-الجدول3[[#This Row],[المبلغ المستحق]]</f>
        <v>#VALUE!</v>
      </c>
      <c r="P565" s="621"/>
      <c r="Q565" s="733"/>
    </row>
    <row r="566" spans="2:17" hidden="1">
      <c r="B566" s="369">
        <v>528</v>
      </c>
      <c r="C566" s="893" t="s">
        <v>1050</v>
      </c>
      <c r="D566" s="370">
        <v>10462173690</v>
      </c>
      <c r="E566" s="369" t="s">
        <v>34</v>
      </c>
      <c r="F566" s="369">
        <v>102</v>
      </c>
      <c r="G566" s="617">
        <v>46290</v>
      </c>
      <c r="H566" s="373" t="s">
        <v>963</v>
      </c>
      <c r="I566" s="375">
        <v>3800</v>
      </c>
      <c r="J566" s="373" t="s">
        <v>963</v>
      </c>
      <c r="K566" s="846">
        <v>0</v>
      </c>
      <c r="L566" s="619"/>
      <c r="M566" s="879" t="s">
        <v>963</v>
      </c>
      <c r="N566" s="443"/>
      <c r="O566" s="620" t="e">
        <f>الجدول3[[#This Row],[المدفوع]]-الجدول3[[#This Row],[المبلغ المستحق]]</f>
        <v>#VALUE!</v>
      </c>
      <c r="P566" s="621"/>
      <c r="Q566" s="733"/>
    </row>
    <row r="567" spans="2:17" hidden="1">
      <c r="B567" s="370">
        <v>529</v>
      </c>
      <c r="C567" s="654" t="s">
        <v>1050</v>
      </c>
      <c r="D567" s="370">
        <v>10462173690</v>
      </c>
      <c r="E567" s="369" t="s">
        <v>34</v>
      </c>
      <c r="F567" s="369">
        <v>102</v>
      </c>
      <c r="G567" s="371">
        <v>46320</v>
      </c>
      <c r="H567" s="373" t="s">
        <v>963</v>
      </c>
      <c r="I567" s="375">
        <v>3800</v>
      </c>
      <c r="J567" s="373" t="s">
        <v>963</v>
      </c>
      <c r="K567" s="846">
        <v>0</v>
      </c>
      <c r="L567" s="374"/>
      <c r="M567" s="879" t="s">
        <v>963</v>
      </c>
      <c r="N567" s="443"/>
      <c r="O567" s="620" t="e">
        <f>الجدول3[[#This Row],[المدفوع]]-الجدول3[[#This Row],[المبلغ المستحق]]</f>
        <v>#VALUE!</v>
      </c>
      <c r="P567" s="621"/>
      <c r="Q567" s="733"/>
    </row>
    <row r="568" spans="2:17" hidden="1">
      <c r="B568" s="369">
        <v>530</v>
      </c>
      <c r="C568" s="893" t="s">
        <v>1050</v>
      </c>
      <c r="D568" s="370">
        <v>10462173690</v>
      </c>
      <c r="E568" s="369" t="s">
        <v>34</v>
      </c>
      <c r="F568" s="369">
        <v>102</v>
      </c>
      <c r="G568" s="617">
        <v>46351</v>
      </c>
      <c r="H568" s="373" t="s">
        <v>963</v>
      </c>
      <c r="I568" s="375">
        <v>3800</v>
      </c>
      <c r="J568" s="373" t="s">
        <v>963</v>
      </c>
      <c r="K568" s="846">
        <v>0</v>
      </c>
      <c r="L568" s="619"/>
      <c r="M568" s="879" t="s">
        <v>963</v>
      </c>
      <c r="N568" s="443"/>
      <c r="O568" s="620" t="e">
        <f>الجدول3[[#This Row],[المدفوع]]-الجدول3[[#This Row],[المبلغ المستحق]]</f>
        <v>#VALUE!</v>
      </c>
      <c r="P568" s="621"/>
      <c r="Q568" s="733"/>
    </row>
    <row r="569" spans="2:17" hidden="1">
      <c r="B569" s="370">
        <v>531</v>
      </c>
      <c r="C569" s="893" t="s">
        <v>1051</v>
      </c>
      <c r="D569" s="370">
        <v>10079670370</v>
      </c>
      <c r="E569" s="369" t="s">
        <v>1024</v>
      </c>
      <c r="F569" s="369">
        <v>102</v>
      </c>
      <c r="G569" s="371">
        <v>46205</v>
      </c>
      <c r="H569" s="371" t="s">
        <v>276</v>
      </c>
      <c r="I569" s="375">
        <v>4000</v>
      </c>
      <c r="J569" s="687">
        <f ca="1">IF(B$1&gt;=الجدول3[[#This Row],[تاريخ الدفعة]],الجدول3[[#This Row],[مبلغ الدفعة]],0)</f>
        <v>4000</v>
      </c>
      <c r="K569" s="846">
        <v>0</v>
      </c>
      <c r="L569" s="374"/>
      <c r="M569" s="879" t="str" cm="1">
        <f t="array" aca="1" ref="M56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متأخر</v>
      </c>
      <c r="N569" s="443"/>
      <c r="O569" s="620">
        <f ca="1">الجدول3[[#This Row],[المدفوع]]-الجدول3[[#This Row],[المبلغ المستحق]]</f>
        <v>-4000</v>
      </c>
      <c r="P569" s="443"/>
      <c r="Q569" s="733"/>
    </row>
    <row r="570" spans="2:17" hidden="1">
      <c r="B570" s="369">
        <v>532</v>
      </c>
      <c r="C570" s="654" t="s">
        <v>1052</v>
      </c>
      <c r="D570" s="370">
        <v>10582830436</v>
      </c>
      <c r="E570" s="369" t="s">
        <v>1027</v>
      </c>
      <c r="F570" s="369">
        <v>102</v>
      </c>
      <c r="G570" s="371">
        <v>46212</v>
      </c>
      <c r="H570" s="371" t="s">
        <v>276</v>
      </c>
      <c r="I570" s="375">
        <v>4000</v>
      </c>
      <c r="J570" s="687">
        <f ca="1">IF(B$1&gt;=الجدول3[[#This Row],[تاريخ الدفعة]],الجدول3[[#This Row],[مبلغ الدفعة]],0)</f>
        <v>4000</v>
      </c>
      <c r="K570" s="846">
        <v>4000</v>
      </c>
      <c r="L570" s="374">
        <v>46214</v>
      </c>
      <c r="M570" s="879" t="s">
        <v>164</v>
      </c>
      <c r="N570" s="443" t="s">
        <v>276</v>
      </c>
      <c r="O570" s="620">
        <f ca="1">الجدول3[[#This Row],[المدفوع]]-الجدول3[[#This Row],[المبلغ المستحق]]</f>
        <v>0</v>
      </c>
      <c r="P570" s="443"/>
      <c r="Q570" s="733"/>
    </row>
    <row r="571" spans="2:17" hidden="1">
      <c r="B571" s="370">
        <v>533</v>
      </c>
      <c r="C571" s="654" t="s">
        <v>1053</v>
      </c>
      <c r="D571" s="370">
        <v>10914820590</v>
      </c>
      <c r="E571" s="369" t="s">
        <v>1015</v>
      </c>
      <c r="F571" s="369">
        <v>102</v>
      </c>
      <c r="G571" s="371">
        <v>46207</v>
      </c>
      <c r="H571" s="371" t="s">
        <v>276</v>
      </c>
      <c r="I571" s="375">
        <v>4000</v>
      </c>
      <c r="J571" s="687">
        <f ca="1">IF(B$1&gt;=الجدول3[[#This Row],[تاريخ الدفعة]],الجدول3[[#This Row],[مبلغ الدفعة]],0)</f>
        <v>4000</v>
      </c>
      <c r="K571" s="846">
        <v>4000</v>
      </c>
      <c r="L571" s="374">
        <v>46206</v>
      </c>
      <c r="M571" s="879" t="s">
        <v>164</v>
      </c>
      <c r="N571" s="443" t="s">
        <v>276</v>
      </c>
      <c r="O571" s="620">
        <f ca="1">الجدول3[[#This Row],[المدفوع]]-الجدول3[[#This Row],[المبلغ المستحق]]</f>
        <v>0</v>
      </c>
      <c r="P571" s="443"/>
      <c r="Q571" s="733"/>
    </row>
    <row r="572" spans="2:17" hidden="1">
      <c r="B572" s="369">
        <v>534</v>
      </c>
      <c r="C572" s="890" t="s">
        <v>81</v>
      </c>
      <c r="D572" s="891">
        <v>10857273361</v>
      </c>
      <c r="E572" s="369" t="s">
        <v>28</v>
      </c>
      <c r="F572" s="370">
        <v>102</v>
      </c>
      <c r="G572" s="371">
        <v>46213</v>
      </c>
      <c r="H572" s="371" t="s">
        <v>276</v>
      </c>
      <c r="I572" s="375">
        <v>3500</v>
      </c>
      <c r="J572" s="687">
        <f ca="1">IF(B$1&gt;=الجدول3[[#This Row],[تاريخ الدفعة]],الجدول3[[#This Row],[مبلغ الدفعة]],0)</f>
        <v>3500</v>
      </c>
      <c r="K572" s="373">
        <v>3500</v>
      </c>
      <c r="L572" s="374">
        <v>46205</v>
      </c>
      <c r="M572" s="370" t="s">
        <v>164</v>
      </c>
      <c r="N572" s="443" t="s">
        <v>276</v>
      </c>
      <c r="O572" s="620">
        <f ca="1">الجدول3[[#This Row],[المدفوع]]-الجدول3[[#This Row],[المبلغ المستحق]]</f>
        <v>0</v>
      </c>
      <c r="P572" s="443"/>
      <c r="Q572" s="733"/>
    </row>
    <row r="573" spans="2:17" hidden="1">
      <c r="B573" s="370">
        <v>535</v>
      </c>
      <c r="C573" s="902" t="s">
        <v>1054</v>
      </c>
      <c r="D573" s="4">
        <v>10433912663</v>
      </c>
      <c r="E573" s="369" t="s">
        <v>36</v>
      </c>
      <c r="F573" s="370">
        <v>102</v>
      </c>
      <c r="G573" s="371">
        <v>46224</v>
      </c>
      <c r="H573" s="371" t="s">
        <v>276</v>
      </c>
      <c r="I573" s="375">
        <v>4000</v>
      </c>
      <c r="J573" s="687">
        <f ca="1">IF(B$1&gt;=الجدول3[[#This Row],[تاريخ الدفعة]],الجدول3[[#This Row],[مبلغ الدفعة]],0)</f>
        <v>4000</v>
      </c>
      <c r="K573" s="373">
        <v>4000</v>
      </c>
      <c r="L573" s="374">
        <v>46224</v>
      </c>
      <c r="M573" s="879" t="s">
        <v>164</v>
      </c>
      <c r="N573" s="443" t="s">
        <v>276</v>
      </c>
      <c r="O573" s="620">
        <f ca="1">الجدول3[[#This Row],[المدفوع]]-الجدول3[[#This Row],[المبلغ المستحق]]</f>
        <v>0</v>
      </c>
      <c r="P573" s="443"/>
      <c r="Q573" s="733"/>
    </row>
    <row r="574" spans="2:17" hidden="1">
      <c r="B574" s="369">
        <v>536</v>
      </c>
      <c r="C574" s="654" t="s">
        <v>1040</v>
      </c>
      <c r="D574" s="370">
        <v>10776420553</v>
      </c>
      <c r="E574" s="369" t="s">
        <v>30</v>
      </c>
      <c r="F574" s="370">
        <v>102</v>
      </c>
      <c r="G574" s="371">
        <v>46167</v>
      </c>
      <c r="H574" s="617" t="s">
        <v>274</v>
      </c>
      <c r="I574" s="375">
        <v>3500</v>
      </c>
      <c r="J574" s="687">
        <f ca="1">IF(B$1&gt;=الجدول3[[#This Row],[تاريخ الدفعة]],الجدول3[[#This Row],[مبلغ الدفعة]],0)</f>
        <v>3500</v>
      </c>
      <c r="K574" s="373">
        <v>3500</v>
      </c>
      <c r="L574" s="374">
        <v>46248</v>
      </c>
      <c r="M574" s="369" t="s">
        <v>164</v>
      </c>
      <c r="N574" s="443" t="s">
        <v>277</v>
      </c>
      <c r="O574" s="620">
        <f ca="1">الجدول3[[#This Row],[المدفوع]]-الجدول3[[#This Row],[المبلغ المستحق]]</f>
        <v>0</v>
      </c>
      <c r="P574" s="443"/>
      <c r="Q574" s="733"/>
    </row>
    <row r="575" spans="2:17" hidden="1">
      <c r="B575" s="370">
        <v>537</v>
      </c>
      <c r="C575" s="654" t="s">
        <v>1033</v>
      </c>
      <c r="D575" s="370">
        <v>10357210925</v>
      </c>
      <c r="E575" s="369" t="s">
        <v>32</v>
      </c>
      <c r="F575" s="370">
        <v>102</v>
      </c>
      <c r="G575" s="371">
        <v>46241</v>
      </c>
      <c r="H575" s="617" t="s">
        <v>277</v>
      </c>
      <c r="I575" s="375">
        <v>3800</v>
      </c>
      <c r="J575" s="687">
        <f ca="1">IF(B$1&gt;=الجدول3[[#This Row],[تاريخ الدفعة]],الجدول3[[#This Row],[مبلغ الدفعة]],0)</f>
        <v>3800</v>
      </c>
      <c r="K575" s="373">
        <v>3800</v>
      </c>
      <c r="L575" s="374">
        <v>46257</v>
      </c>
      <c r="M575" s="369" t="s">
        <v>164</v>
      </c>
      <c r="N575" s="443" t="s">
        <v>277</v>
      </c>
      <c r="O575" s="620">
        <f ca="1">الجدول3[[#This Row],[المدفوع]]-الجدول3[[#This Row],[المبلغ المستحق]]</f>
        <v>0</v>
      </c>
      <c r="P575" s="443"/>
      <c r="Q575" s="733"/>
    </row>
    <row r="576" spans="2:17" hidden="1">
      <c r="B576" s="369">
        <v>538</v>
      </c>
      <c r="C576" s="881" t="s">
        <v>81</v>
      </c>
      <c r="D576" s="891">
        <v>10857273361</v>
      </c>
      <c r="E576" s="369" t="s">
        <v>28</v>
      </c>
      <c r="F576" s="370">
        <v>102</v>
      </c>
      <c r="G576" s="617">
        <v>46275</v>
      </c>
      <c r="H576" s="617" t="s">
        <v>328</v>
      </c>
      <c r="I576" s="375">
        <v>3500</v>
      </c>
      <c r="J576" s="687">
        <f ca="1">IF(B$1&gt;=الجدول3[[#This Row],[تاريخ الدفعة]],الجدول3[[#This Row],[مبلغ الدفعة]],0)</f>
        <v>3500</v>
      </c>
      <c r="K576" s="373">
        <v>3500</v>
      </c>
      <c r="L576" s="619">
        <v>46310</v>
      </c>
      <c r="M576" s="879" t="s">
        <v>41</v>
      </c>
      <c r="N576" s="443" t="s">
        <v>331</v>
      </c>
      <c r="O576" s="620">
        <f ca="1">الجدول3[[#This Row],[المدفوع]]-الجدول3[[#This Row],[المبلغ المستحق]]</f>
        <v>0</v>
      </c>
      <c r="P576" s="621"/>
      <c r="Q576" s="733"/>
    </row>
    <row r="577" spans="2:17" hidden="1">
      <c r="B577" s="370">
        <v>539</v>
      </c>
      <c r="C577" s="881" t="s">
        <v>81</v>
      </c>
      <c r="D577" s="891">
        <v>10857273361</v>
      </c>
      <c r="E577" s="369" t="s">
        <v>28</v>
      </c>
      <c r="F577" s="370">
        <v>102</v>
      </c>
      <c r="G577" s="371">
        <v>46305</v>
      </c>
      <c r="H577" s="617" t="s">
        <v>331</v>
      </c>
      <c r="I577" s="375">
        <v>3500</v>
      </c>
      <c r="J577" s="687">
        <f ca="1">IF(B$1&gt;=الجدول3[[#This Row],[تاريخ الدفعة]],الجدول3[[#This Row],[مبلغ الدفعة]],0)</f>
        <v>3500</v>
      </c>
      <c r="K577" s="373">
        <v>0</v>
      </c>
      <c r="L577" s="619"/>
      <c r="M577" s="879" t="str" cm="1">
        <f t="array" aca="1" ref="M57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متأخر</v>
      </c>
      <c r="N577" s="443"/>
      <c r="O577" s="620">
        <f ca="1">الجدول3[[#This Row],[المدفوع]]-الجدول3[[#This Row],[المبلغ المستحق]]</f>
        <v>-3500</v>
      </c>
      <c r="P577" s="621"/>
      <c r="Q577" s="733"/>
    </row>
    <row r="578" spans="2:17" hidden="1">
      <c r="B578" s="369">
        <v>540</v>
      </c>
      <c r="C578" s="881" t="s">
        <v>81</v>
      </c>
      <c r="D578" s="891">
        <v>10857273361</v>
      </c>
      <c r="E578" s="369" t="s">
        <v>28</v>
      </c>
      <c r="F578" s="370">
        <v>102</v>
      </c>
      <c r="G578" s="617">
        <v>46336</v>
      </c>
      <c r="H578" s="617" t="s">
        <v>332</v>
      </c>
      <c r="I578" s="375">
        <v>3500</v>
      </c>
      <c r="J578" s="687">
        <f ca="1">IF(B$1&gt;=الجدول3[[#This Row],[تاريخ الدفعة]],الجدول3[[#This Row],[مبلغ الدفعة]],0)</f>
        <v>0</v>
      </c>
      <c r="K578" s="373">
        <v>0</v>
      </c>
      <c r="L578" s="619"/>
      <c r="M578" s="879" t="str" cm="1">
        <f t="array" aca="1" ref="M57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78" s="443"/>
      <c r="O578" s="620">
        <f ca="1">الجدول3[[#This Row],[المدفوع]]-الجدول3[[#This Row],[المبلغ المستحق]]</f>
        <v>0</v>
      </c>
      <c r="P578" s="621"/>
      <c r="Q578" s="733"/>
    </row>
    <row r="579" spans="2:17" hidden="1">
      <c r="B579" s="370">
        <v>541</v>
      </c>
      <c r="C579" s="881" t="s">
        <v>81</v>
      </c>
      <c r="D579" s="891">
        <v>10857273361</v>
      </c>
      <c r="E579" s="369" t="s">
        <v>28</v>
      </c>
      <c r="F579" s="370">
        <v>102</v>
      </c>
      <c r="G579" s="371">
        <v>46366</v>
      </c>
      <c r="H579" s="617" t="s">
        <v>333</v>
      </c>
      <c r="I579" s="375">
        <v>3500</v>
      </c>
      <c r="J579" s="687">
        <f ca="1">IF(B$1&gt;=الجدول3[[#This Row],[تاريخ الدفعة]],الجدول3[[#This Row],[مبلغ الدفعة]],0)</f>
        <v>0</v>
      </c>
      <c r="K579" s="373">
        <v>0</v>
      </c>
      <c r="L579" s="619"/>
      <c r="M579" s="879" t="str" cm="1">
        <f t="array" aca="1" ref="M57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79" s="443"/>
      <c r="O579" s="620">
        <f ca="1">الجدول3[[#This Row],[المدفوع]]-الجدول3[[#This Row],[المبلغ المستحق]]</f>
        <v>0</v>
      </c>
      <c r="P579" s="621"/>
      <c r="Q579" s="733"/>
    </row>
    <row r="580" spans="2:17" hidden="1">
      <c r="B580" s="369">
        <v>542</v>
      </c>
      <c r="C580" s="881" t="s">
        <v>81</v>
      </c>
      <c r="D580" s="891">
        <v>10857273361</v>
      </c>
      <c r="E580" s="369" t="s">
        <v>28</v>
      </c>
      <c r="F580" s="370">
        <v>102</v>
      </c>
      <c r="G580" s="617">
        <v>46397</v>
      </c>
      <c r="H580" s="617" t="s">
        <v>637</v>
      </c>
      <c r="I580" s="375">
        <v>3500</v>
      </c>
      <c r="J580" s="687">
        <f ca="1">IF(B$1&gt;=الجدول3[[#This Row],[تاريخ الدفعة]],الجدول3[[#This Row],[مبلغ الدفعة]],0)</f>
        <v>0</v>
      </c>
      <c r="K580" s="373">
        <v>0</v>
      </c>
      <c r="L580" s="619"/>
      <c r="M580" s="879" t="str" cm="1">
        <f t="array" aca="1" ref="M58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80" s="443"/>
      <c r="O580" s="620">
        <f ca="1">الجدول3[[#This Row],[المدفوع]]-الجدول3[[#This Row],[المبلغ المستحق]]</f>
        <v>0</v>
      </c>
      <c r="P580" s="621"/>
      <c r="Q580" s="733"/>
    </row>
    <row r="581" spans="2:17" hidden="1">
      <c r="B581" s="370">
        <v>543</v>
      </c>
      <c r="C581" s="881" t="s">
        <v>81</v>
      </c>
      <c r="D581" s="891">
        <v>10857273361</v>
      </c>
      <c r="E581" s="369" t="s">
        <v>28</v>
      </c>
      <c r="F581" s="370">
        <v>102</v>
      </c>
      <c r="G581" s="371">
        <v>46428</v>
      </c>
      <c r="H581" s="617" t="s">
        <v>334</v>
      </c>
      <c r="I581" s="375">
        <v>3500</v>
      </c>
      <c r="J581" s="687">
        <f ca="1">IF(B$1&gt;=الجدول3[[#This Row],[تاريخ الدفعة]],الجدول3[[#This Row],[مبلغ الدفعة]],0)</f>
        <v>0</v>
      </c>
      <c r="K581" s="373">
        <v>0</v>
      </c>
      <c r="L581" s="619"/>
      <c r="M581" s="879" t="str" cm="1">
        <f t="array" aca="1" ref="M58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81" s="443"/>
      <c r="O581" s="620">
        <f ca="1">الجدول3[[#This Row],[المدفوع]]-الجدول3[[#This Row],[المبلغ المستحق]]</f>
        <v>0</v>
      </c>
      <c r="P581" s="621"/>
      <c r="Q581" s="733"/>
    </row>
    <row r="582" spans="2:17" hidden="1">
      <c r="B582" s="369">
        <v>544</v>
      </c>
      <c r="C582" s="881" t="s">
        <v>81</v>
      </c>
      <c r="D582" s="891">
        <v>10857273361</v>
      </c>
      <c r="E582" s="369" t="s">
        <v>28</v>
      </c>
      <c r="F582" s="370">
        <v>102</v>
      </c>
      <c r="G582" s="617">
        <v>46456</v>
      </c>
      <c r="H582" s="617" t="s">
        <v>335</v>
      </c>
      <c r="I582" s="375">
        <v>3500</v>
      </c>
      <c r="J582" s="687">
        <f ca="1">IF(B$1&gt;=الجدول3[[#This Row],[تاريخ الدفعة]],الجدول3[[#This Row],[مبلغ الدفعة]],0)</f>
        <v>0</v>
      </c>
      <c r="K582" s="373">
        <v>0</v>
      </c>
      <c r="L582" s="619"/>
      <c r="M582" s="879" t="str" cm="1">
        <f t="array" aca="1" ref="M58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582" s="443"/>
      <c r="O582" s="620"/>
      <c r="P582" s="621"/>
      <c r="Q582" s="733"/>
    </row>
    <row r="583" spans="2:17" hidden="1">
      <c r="B583" s="370">
        <v>545</v>
      </c>
      <c r="C583" s="893" t="s">
        <v>1033</v>
      </c>
      <c r="D583" s="369">
        <v>10357210925</v>
      </c>
      <c r="E583" s="369" t="s">
        <v>32</v>
      </c>
      <c r="F583" s="369">
        <v>102</v>
      </c>
      <c r="G583" s="617">
        <v>46210</v>
      </c>
      <c r="H583" s="617" t="s">
        <v>276</v>
      </c>
      <c r="I583" s="884">
        <v>4000</v>
      </c>
      <c r="J583" s="687">
        <f ca="1">IF(B$1&gt;=الجدول3[[#This Row],[تاريخ الدفعة]],الجدول3[[#This Row],[مبلغ الدفعة]],0)</f>
        <v>4000</v>
      </c>
      <c r="K583" s="373">
        <v>4000</v>
      </c>
      <c r="L583" s="619">
        <v>46221</v>
      </c>
      <c r="M583" s="879" t="s">
        <v>164</v>
      </c>
      <c r="N583" s="443" t="s">
        <v>276</v>
      </c>
      <c r="O583" s="620">
        <v>0</v>
      </c>
      <c r="P583" s="621"/>
      <c r="Q583" s="733"/>
    </row>
    <row r="584" spans="2:17" hidden="1">
      <c r="B584" s="369">
        <v>546</v>
      </c>
      <c r="C584" s="893" t="s">
        <v>1033</v>
      </c>
      <c r="D584" s="369">
        <v>10357210925</v>
      </c>
      <c r="E584" s="369" t="s">
        <v>32</v>
      </c>
      <c r="F584" s="369">
        <v>102</v>
      </c>
      <c r="G584" s="617">
        <v>46272</v>
      </c>
      <c r="H584" s="617" t="s">
        <v>328</v>
      </c>
      <c r="I584" s="884">
        <v>3800</v>
      </c>
      <c r="J584" s="687">
        <f ca="1">IF(B$1&gt;=الجدول3[[#This Row],[تاريخ الدفعة]],الجدول3[[#This Row],[مبلغ الدفعة]],0)</f>
        <v>3800</v>
      </c>
      <c r="K584" s="373">
        <v>3800</v>
      </c>
      <c r="L584" s="619">
        <v>46271</v>
      </c>
      <c r="M584" s="689" t="s">
        <v>164</v>
      </c>
      <c r="N584" s="443" t="s">
        <v>328</v>
      </c>
      <c r="O584" s="620">
        <v>0</v>
      </c>
      <c r="P584" s="621"/>
      <c r="Q584" s="733"/>
    </row>
    <row r="585" spans="2:17" hidden="1">
      <c r="B585" s="370">
        <v>547</v>
      </c>
      <c r="C585" s="906" t="s">
        <v>1044</v>
      </c>
      <c r="D585" s="623">
        <v>10999720795</v>
      </c>
      <c r="E585" s="369" t="s">
        <v>33</v>
      </c>
      <c r="F585" s="370">
        <v>102</v>
      </c>
      <c r="G585" s="371">
        <v>46237</v>
      </c>
      <c r="H585" s="371" t="s">
        <v>277</v>
      </c>
      <c r="I585" s="375">
        <v>3500</v>
      </c>
      <c r="J585" s="687">
        <f ca="1">IF(B$1&gt;=الجدول3[[#This Row],[تاريخ الدفعة]],الجدول3[[#This Row],[مبلغ الدفعة]],0)</f>
        <v>3500</v>
      </c>
      <c r="K585" s="373">
        <v>3500</v>
      </c>
      <c r="L585" s="918">
        <v>46244</v>
      </c>
      <c r="M585" s="369" t="s">
        <v>164</v>
      </c>
      <c r="N585" s="443" t="s">
        <v>277</v>
      </c>
      <c r="O585" s="372">
        <v>0</v>
      </c>
      <c r="P585" s="443"/>
      <c r="Q585" s="733"/>
    </row>
    <row r="586" spans="2:17" hidden="1">
      <c r="B586" s="369">
        <v>548</v>
      </c>
      <c r="C586" s="902" t="s">
        <v>1055</v>
      </c>
      <c r="D586" s="652">
        <v>10886502059</v>
      </c>
      <c r="E586" s="369" t="s">
        <v>34</v>
      </c>
      <c r="F586" s="370">
        <v>102</v>
      </c>
      <c r="G586" s="371">
        <v>46259</v>
      </c>
      <c r="H586" s="371" t="s">
        <v>277</v>
      </c>
      <c r="I586" s="375">
        <v>4000</v>
      </c>
      <c r="J586" s="687">
        <f ca="1">IF(B$1&gt;=الجدول3[[#This Row],[تاريخ الدفعة]],الجدول3[[#This Row],[مبلغ الدفعة]],0)</f>
        <v>4000</v>
      </c>
      <c r="K586" s="373">
        <v>4000</v>
      </c>
      <c r="L586" s="374">
        <v>46258</v>
      </c>
      <c r="M586" s="369" t="s">
        <v>164</v>
      </c>
      <c r="N586" s="443" t="s">
        <v>277</v>
      </c>
      <c r="O586" s="372">
        <v>0</v>
      </c>
      <c r="P586" s="443"/>
      <c r="Q586" s="733"/>
    </row>
    <row r="587" spans="2:17" hidden="1">
      <c r="B587" s="370">
        <v>549</v>
      </c>
      <c r="C587" s="654" t="s">
        <v>1045</v>
      </c>
      <c r="D587" s="370">
        <v>10987748633</v>
      </c>
      <c r="E587" s="370" t="s">
        <v>38</v>
      </c>
      <c r="F587" s="369">
        <v>102</v>
      </c>
      <c r="G587" s="371">
        <v>46204</v>
      </c>
      <c r="H587" s="371" t="s">
        <v>276</v>
      </c>
      <c r="I587" s="375">
        <v>500</v>
      </c>
      <c r="J587" s="687">
        <f ca="1">IF(B$1&gt;=الجدول3[[#This Row],[تاريخ الدفعة]],الجدول3[[#This Row],[مبلغ الدفعة]],0)</f>
        <v>500</v>
      </c>
      <c r="K587" s="373">
        <v>500</v>
      </c>
      <c r="L587" s="374">
        <v>46292</v>
      </c>
      <c r="M587" s="689" t="s">
        <v>164</v>
      </c>
      <c r="N587" s="443" t="s">
        <v>328</v>
      </c>
      <c r="O587" s="372">
        <v>0</v>
      </c>
      <c r="P587" s="443"/>
      <c r="Q587" s="733"/>
    </row>
    <row r="588" spans="2:17" hidden="1">
      <c r="B588" s="369">
        <v>550</v>
      </c>
      <c r="C588" s="654" t="s">
        <v>1040</v>
      </c>
      <c r="D588" s="370">
        <v>10776420553</v>
      </c>
      <c r="E588" s="370" t="s">
        <v>30</v>
      </c>
      <c r="F588" s="370">
        <v>102</v>
      </c>
      <c r="G588" s="371">
        <v>46259</v>
      </c>
      <c r="H588" s="371" t="s">
        <v>277</v>
      </c>
      <c r="I588" s="375">
        <v>3500</v>
      </c>
      <c r="J588" s="687">
        <f ca="1">IF(B$1&gt;=الجدول3[[#This Row],[تاريخ الدفعة]],الجدول3[[#This Row],[مبلغ الدفعة]],0)</f>
        <v>3500</v>
      </c>
      <c r="K588" s="373">
        <v>0</v>
      </c>
      <c r="L588" s="374"/>
      <c r="M588" s="879" t="str" cm="1">
        <f t="array" aca="1" ref="M58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متأخر</v>
      </c>
      <c r="N588" s="443"/>
      <c r="O588" s="372">
        <v>-3500</v>
      </c>
      <c r="P588" s="443"/>
      <c r="Q588" s="733"/>
    </row>
    <row r="589" spans="2:17" hidden="1">
      <c r="B589" s="370">
        <v>551</v>
      </c>
      <c r="C589" s="654" t="s">
        <v>1040</v>
      </c>
      <c r="D589" s="370">
        <v>10776420553</v>
      </c>
      <c r="E589" s="370" t="s">
        <v>30</v>
      </c>
      <c r="F589" s="370">
        <v>102</v>
      </c>
      <c r="G589" s="371">
        <v>46290</v>
      </c>
      <c r="H589" s="371" t="s">
        <v>328</v>
      </c>
      <c r="I589" s="375">
        <v>3500</v>
      </c>
      <c r="J589" s="687">
        <f ca="1">IF(B$1&gt;=الجدول3[[#This Row],[تاريخ الدفعة]],الجدول3[[#This Row],[مبلغ الدفعة]],0)</f>
        <v>3500</v>
      </c>
      <c r="K589" s="373">
        <v>0</v>
      </c>
      <c r="L589" s="374"/>
      <c r="M589" s="879" t="str" cm="1">
        <f t="array" aca="1" ref="M58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متأخر</v>
      </c>
      <c r="N589" s="443"/>
      <c r="O589" s="372">
        <v>-3500</v>
      </c>
      <c r="P589" s="443"/>
      <c r="Q589" s="733"/>
    </row>
    <row r="590" spans="2:17" hidden="1">
      <c r="B590" s="369">
        <v>552</v>
      </c>
      <c r="C590" s="654" t="s">
        <v>1040</v>
      </c>
      <c r="D590" s="370">
        <v>10776420553</v>
      </c>
      <c r="E590" s="370" t="s">
        <v>30</v>
      </c>
      <c r="F590" s="370">
        <v>102</v>
      </c>
      <c r="G590" s="371">
        <v>46320</v>
      </c>
      <c r="H590" s="371" t="s">
        <v>331</v>
      </c>
      <c r="I590" s="375">
        <v>3500</v>
      </c>
      <c r="J590" s="687">
        <f ca="1">IF(B$1&gt;=الجدول3[[#This Row],[تاريخ الدفعة]],الجدول3[[#This Row],[مبلغ الدفعة]],0)</f>
        <v>3500</v>
      </c>
      <c r="K590" s="373">
        <v>0</v>
      </c>
      <c r="L590" s="374"/>
      <c r="M590" s="879" t="str" cm="1">
        <f t="array" aca="1" ref="M59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v>
      </c>
      <c r="N590" s="443"/>
      <c r="O590" s="372">
        <v>-3500</v>
      </c>
      <c r="P590" s="443"/>
      <c r="Q590" s="733"/>
    </row>
    <row r="591" spans="2:17" hidden="1">
      <c r="B591" s="370">
        <v>553</v>
      </c>
      <c r="C591" s="895" t="s">
        <v>1043</v>
      </c>
      <c r="D591" s="896">
        <v>10097849921</v>
      </c>
      <c r="E591" s="370" t="s">
        <v>35</v>
      </c>
      <c r="F591" s="369">
        <v>102</v>
      </c>
      <c r="G591" s="371">
        <v>46268</v>
      </c>
      <c r="H591" s="371" t="s">
        <v>328</v>
      </c>
      <c r="I591" s="375">
        <v>3500</v>
      </c>
      <c r="J591" s="687">
        <f ca="1">IF(B$1&gt;=الجدول3[[#This Row],[تاريخ الدفعة]],الجدول3[[#This Row],[مبلغ الدفعة]],0)</f>
        <v>3500</v>
      </c>
      <c r="K591" s="373">
        <v>3500</v>
      </c>
      <c r="L591" s="374">
        <v>46268</v>
      </c>
      <c r="M591" s="689" t="s">
        <v>164</v>
      </c>
      <c r="N591" s="443" t="s">
        <v>328</v>
      </c>
      <c r="O591" s="372">
        <v>0</v>
      </c>
      <c r="P591" s="443"/>
      <c r="Q591" s="733"/>
    </row>
    <row r="592" spans="2:17" hidden="1">
      <c r="B592" s="369">
        <v>554</v>
      </c>
      <c r="C592" s="654" t="s">
        <v>1039</v>
      </c>
      <c r="D592" s="370">
        <v>10192262306</v>
      </c>
      <c r="E592" s="370" t="s">
        <v>29</v>
      </c>
      <c r="F592" s="369">
        <v>102</v>
      </c>
      <c r="G592" s="371">
        <v>46284</v>
      </c>
      <c r="H592" s="371" t="s">
        <v>328</v>
      </c>
      <c r="I592" s="375">
        <v>3500</v>
      </c>
      <c r="J592" s="687">
        <f ca="1">IF(B$1&gt;=الجدول3[[#This Row],[تاريخ الدفعة]],الجدول3[[#This Row],[مبلغ الدفعة]],0)</f>
        <v>3500</v>
      </c>
      <c r="K592" s="373">
        <v>3500</v>
      </c>
      <c r="L592" s="374">
        <v>46293</v>
      </c>
      <c r="M592" s="689" t="s">
        <v>164</v>
      </c>
      <c r="N592" s="443" t="s">
        <v>328</v>
      </c>
      <c r="O592" s="372">
        <v>0</v>
      </c>
      <c r="P592" s="443"/>
      <c r="Q592" s="733"/>
    </row>
    <row r="593" spans="2:17" hidden="1">
      <c r="B593" s="370">
        <v>555</v>
      </c>
      <c r="C593" s="654" t="s">
        <v>1039</v>
      </c>
      <c r="D593" s="370">
        <v>10192262306</v>
      </c>
      <c r="E593" s="370" t="s">
        <v>29</v>
      </c>
      <c r="F593" s="370">
        <v>102</v>
      </c>
      <c r="G593" s="371">
        <v>46314</v>
      </c>
      <c r="H593" s="371" t="s">
        <v>331</v>
      </c>
      <c r="I593" s="375">
        <v>3500</v>
      </c>
      <c r="J593" s="687">
        <f ca="1">IF(B$1&gt;=الجدول3[[#This Row],[تاريخ الدفعة]],الجدول3[[#This Row],[مبلغ الدفعة]],0)</f>
        <v>3500</v>
      </c>
      <c r="K593" s="373">
        <v>0</v>
      </c>
      <c r="L593" s="374"/>
      <c r="M593" s="879" t="str" cm="1">
        <f t="array" aca="1" ref="M59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v>
      </c>
      <c r="N593" s="443"/>
      <c r="O593" s="372">
        <v>-3500</v>
      </c>
      <c r="P593" s="443"/>
      <c r="Q593" s="733"/>
    </row>
    <row r="594" spans="2:17">
      <c r="B594" s="369">
        <v>556</v>
      </c>
      <c r="C594" s="902" t="s">
        <v>1056</v>
      </c>
      <c r="D594" s="370">
        <v>10383332923</v>
      </c>
      <c r="E594" s="370" t="s">
        <v>1015</v>
      </c>
      <c r="F594" s="370">
        <v>102</v>
      </c>
      <c r="G594" s="371">
        <v>46274</v>
      </c>
      <c r="H594" s="371" t="s">
        <v>963</v>
      </c>
      <c r="I594" s="375">
        <v>4000</v>
      </c>
      <c r="J594" s="687">
        <v>0</v>
      </c>
      <c r="K594" s="373">
        <v>0</v>
      </c>
      <c r="L594" s="374"/>
      <c r="M594" s="370" t="s">
        <v>963</v>
      </c>
      <c r="N594" s="443"/>
      <c r="O594" s="372">
        <v>0</v>
      </c>
      <c r="P594" s="443"/>
      <c r="Q594" s="733"/>
    </row>
    <row r="595" spans="2:17">
      <c r="B595" s="370">
        <v>557</v>
      </c>
      <c r="C595" s="902" t="s">
        <v>1056</v>
      </c>
      <c r="D595" s="370">
        <v>10383332923</v>
      </c>
      <c r="E595" s="370" t="s">
        <v>1015</v>
      </c>
      <c r="F595" s="370">
        <v>102</v>
      </c>
      <c r="G595" s="371">
        <v>46304</v>
      </c>
      <c r="H595" s="371" t="s">
        <v>963</v>
      </c>
      <c r="I595" s="375">
        <v>4000</v>
      </c>
      <c r="J595" s="687">
        <v>0</v>
      </c>
      <c r="K595" s="373">
        <v>0</v>
      </c>
      <c r="L595" s="374"/>
      <c r="M595" s="370" t="s">
        <v>963</v>
      </c>
      <c r="N595" s="443"/>
      <c r="O595" s="372">
        <v>0</v>
      </c>
      <c r="P595" s="443"/>
      <c r="Q595" s="733"/>
    </row>
    <row r="596" spans="2:17">
      <c r="B596" s="369">
        <v>558</v>
      </c>
      <c r="C596" s="902" t="s">
        <v>1056</v>
      </c>
      <c r="D596" s="370">
        <v>10383332923</v>
      </c>
      <c r="E596" s="370" t="s">
        <v>1015</v>
      </c>
      <c r="F596" s="370">
        <v>102</v>
      </c>
      <c r="G596" s="371">
        <v>46335</v>
      </c>
      <c r="H596" s="371"/>
      <c r="I596" s="375">
        <v>4000</v>
      </c>
      <c r="J596" s="687">
        <v>0</v>
      </c>
      <c r="K596" s="373">
        <v>0</v>
      </c>
      <c r="L596" s="374"/>
      <c r="M596" s="879" t="s">
        <v>963</v>
      </c>
      <c r="N596" s="443"/>
      <c r="O596" s="372">
        <v>0</v>
      </c>
      <c r="P596" s="443"/>
      <c r="Q596" s="733"/>
    </row>
    <row r="597" spans="2:17">
      <c r="B597" s="370">
        <v>559</v>
      </c>
      <c r="C597" s="902" t="s">
        <v>1056</v>
      </c>
      <c r="D597" s="370">
        <v>10383332923</v>
      </c>
      <c r="E597" s="370" t="s">
        <v>1015</v>
      </c>
      <c r="F597" s="370">
        <v>102</v>
      </c>
      <c r="G597" s="371">
        <v>46365</v>
      </c>
      <c r="H597" s="371"/>
      <c r="I597" s="375">
        <v>4000</v>
      </c>
      <c r="J597" s="687">
        <v>0</v>
      </c>
      <c r="K597" s="373">
        <v>0</v>
      </c>
      <c r="L597" s="374"/>
      <c r="M597" s="879" t="s">
        <v>963</v>
      </c>
      <c r="N597" s="443"/>
      <c r="O597" s="372">
        <v>0</v>
      </c>
      <c r="P597" s="443"/>
      <c r="Q597" s="733"/>
    </row>
    <row r="598" spans="2:17">
      <c r="B598" s="369">
        <v>560</v>
      </c>
      <c r="C598" s="902" t="s">
        <v>1056</v>
      </c>
      <c r="D598" s="370">
        <v>10383332923</v>
      </c>
      <c r="E598" s="370" t="s">
        <v>1015</v>
      </c>
      <c r="F598" s="370">
        <v>102</v>
      </c>
      <c r="G598" s="371">
        <v>46396</v>
      </c>
      <c r="H598" s="371"/>
      <c r="I598" s="375">
        <v>4000</v>
      </c>
      <c r="J598" s="687">
        <v>0</v>
      </c>
      <c r="K598" s="373">
        <v>0</v>
      </c>
      <c r="L598" s="374"/>
      <c r="M598" s="879" t="s">
        <v>963</v>
      </c>
      <c r="N598" s="443"/>
      <c r="O598" s="372">
        <v>0</v>
      </c>
      <c r="P598" s="443"/>
      <c r="Q598" s="733"/>
    </row>
    <row r="599" spans="2:17" hidden="1">
      <c r="B599" s="370">
        <v>561</v>
      </c>
      <c r="C599" s="902" t="s">
        <v>1056</v>
      </c>
      <c r="D599" s="370">
        <v>10727058896</v>
      </c>
      <c r="E599" s="370" t="s">
        <v>31</v>
      </c>
      <c r="F599" s="369">
        <v>102</v>
      </c>
      <c r="G599" s="371">
        <v>46274</v>
      </c>
      <c r="H599" s="371" t="s">
        <v>328</v>
      </c>
      <c r="I599" s="375">
        <v>3500</v>
      </c>
      <c r="J599" s="687">
        <f ca="1">IF(B$1&gt;=الجدول3[[#This Row],[تاريخ الدفعة]],الجدول3[[#This Row],[مبلغ الدفعة]],0)</f>
        <v>3500</v>
      </c>
      <c r="K599" s="373">
        <v>3500</v>
      </c>
      <c r="L599" s="374">
        <v>46275</v>
      </c>
      <c r="M599" s="689" t="s">
        <v>164</v>
      </c>
      <c r="N599" s="443" t="s">
        <v>328</v>
      </c>
      <c r="O599" s="372">
        <v>0</v>
      </c>
      <c r="P599" s="443"/>
      <c r="Q599" s="733"/>
    </row>
    <row r="600" spans="2:17" hidden="1">
      <c r="B600" s="369">
        <v>562</v>
      </c>
      <c r="C600" s="902" t="s">
        <v>1056</v>
      </c>
      <c r="D600" s="370">
        <v>10727058896</v>
      </c>
      <c r="E600" s="369" t="s">
        <v>31</v>
      </c>
      <c r="F600" s="370">
        <v>102</v>
      </c>
      <c r="G600" s="371">
        <v>46304</v>
      </c>
      <c r="H600" s="371" t="s">
        <v>331</v>
      </c>
      <c r="I600" s="375">
        <v>3500</v>
      </c>
      <c r="J600" s="687">
        <f ca="1">IF(B$1&gt;=الجدول3[[#This Row],[تاريخ الدفعة]],الجدول3[[#This Row],[مبلغ الدفعة]],0)</f>
        <v>3500</v>
      </c>
      <c r="K600" s="373">
        <v>3500</v>
      </c>
      <c r="L600" s="619">
        <v>46305</v>
      </c>
      <c r="M600" s="370" t="s">
        <v>41</v>
      </c>
      <c r="N600" s="443" t="s">
        <v>331</v>
      </c>
      <c r="O600" s="620">
        <v>0</v>
      </c>
      <c r="P600" s="621"/>
      <c r="Q600" s="733"/>
    </row>
    <row r="601" spans="2:17" hidden="1">
      <c r="B601" s="370">
        <v>563</v>
      </c>
      <c r="C601" s="902" t="s">
        <v>1056</v>
      </c>
      <c r="D601" s="370">
        <v>10727058896</v>
      </c>
      <c r="E601" s="369" t="s">
        <v>31</v>
      </c>
      <c r="F601" s="370">
        <v>102</v>
      </c>
      <c r="G601" s="371">
        <v>46335</v>
      </c>
      <c r="H601" s="371" t="s">
        <v>332</v>
      </c>
      <c r="I601" s="375">
        <v>3500</v>
      </c>
      <c r="J601" s="687">
        <f ca="1">IF(B$1&gt;=الجدول3[[#This Row],[تاريخ الدفعة]],الجدول3[[#This Row],[مبلغ الدفعة]],0)</f>
        <v>0</v>
      </c>
      <c r="K601" s="373">
        <v>0</v>
      </c>
      <c r="L601" s="619"/>
      <c r="M601" s="879" t="str" cm="1">
        <f t="array" aca="1" ref="M60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01" s="443"/>
      <c r="O601" s="620">
        <v>0</v>
      </c>
      <c r="P601" s="621"/>
      <c r="Q601" s="733"/>
    </row>
    <row r="602" spans="2:17" hidden="1">
      <c r="B602" s="369">
        <v>564</v>
      </c>
      <c r="C602" s="890" t="s">
        <v>1017</v>
      </c>
      <c r="D602" s="4">
        <v>10243460515</v>
      </c>
      <c r="E602" s="370" t="s">
        <v>37</v>
      </c>
      <c r="F602" s="370">
        <v>102</v>
      </c>
      <c r="G602" s="371">
        <v>46123</v>
      </c>
      <c r="H602" s="371" t="s">
        <v>277</v>
      </c>
      <c r="I602" s="375">
        <v>2250</v>
      </c>
      <c r="J602" s="687">
        <f ca="1">IF(B$1&gt;=الجدول3[[#This Row],[تاريخ الدفعة]],الجدول3[[#This Row],[مبلغ الدفعة]],0)</f>
        <v>2250</v>
      </c>
      <c r="K602" s="373">
        <v>2250</v>
      </c>
      <c r="L602" s="918">
        <v>46141</v>
      </c>
      <c r="M602" s="369" t="s">
        <v>164</v>
      </c>
      <c r="N602" s="443" t="s">
        <v>277</v>
      </c>
      <c r="O602" s="372">
        <v>0</v>
      </c>
      <c r="P602" s="443"/>
      <c r="Q602" s="733"/>
    </row>
    <row r="603" spans="2:17" hidden="1">
      <c r="B603" s="370">
        <v>565</v>
      </c>
      <c r="C603" s="654" t="s">
        <v>1045</v>
      </c>
      <c r="D603" s="733">
        <v>10987748633</v>
      </c>
      <c r="E603" s="370" t="s">
        <v>38</v>
      </c>
      <c r="F603" s="370">
        <v>102</v>
      </c>
      <c r="G603" s="371">
        <v>46235</v>
      </c>
      <c r="H603" s="371" t="s">
        <v>277</v>
      </c>
      <c r="I603" s="375">
        <v>4000</v>
      </c>
      <c r="J603" s="687">
        <f ca="1">IF(B$1&gt;=الجدول3[[#This Row],[تاريخ الدفعة]],الجدول3[[#This Row],[مبلغ الدفعة]],0)</f>
        <v>4000</v>
      </c>
      <c r="K603" s="373">
        <v>4000</v>
      </c>
      <c r="L603" s="374">
        <v>46261</v>
      </c>
      <c r="M603" s="369" t="s">
        <v>164</v>
      </c>
      <c r="N603" s="443" t="s">
        <v>277</v>
      </c>
      <c r="O603" s="372">
        <v>0</v>
      </c>
      <c r="P603" s="443"/>
      <c r="Q603" s="733"/>
    </row>
    <row r="604" spans="2:17" hidden="1">
      <c r="B604" s="369">
        <v>566</v>
      </c>
      <c r="C604" s="902" t="s">
        <v>1055</v>
      </c>
      <c r="D604" s="4">
        <v>10886502059</v>
      </c>
      <c r="E604" s="370" t="s">
        <v>34</v>
      </c>
      <c r="F604" s="369">
        <v>102</v>
      </c>
      <c r="G604" s="371">
        <v>46290</v>
      </c>
      <c r="H604" s="371" t="s">
        <v>328</v>
      </c>
      <c r="I604" s="375">
        <v>4000</v>
      </c>
      <c r="J604" s="687">
        <f ca="1">IF(B$1&gt;=الجدول3[[#This Row],[تاريخ الدفعة]],الجدول3[[#This Row],[مبلغ الدفعة]],0)</f>
        <v>4000</v>
      </c>
      <c r="K604" s="373">
        <v>4000</v>
      </c>
      <c r="L604" s="374">
        <v>46290</v>
      </c>
      <c r="M604" s="689" t="s">
        <v>164</v>
      </c>
      <c r="N604" s="443" t="s">
        <v>328</v>
      </c>
      <c r="O604" s="372">
        <v>0</v>
      </c>
      <c r="P604" s="443"/>
      <c r="Q604" s="733"/>
    </row>
    <row r="605" spans="2:17" hidden="1">
      <c r="B605" s="370">
        <v>567</v>
      </c>
      <c r="C605" s="902" t="s">
        <v>1055</v>
      </c>
      <c r="D605" s="4">
        <v>10886502059</v>
      </c>
      <c r="E605" s="370" t="s">
        <v>34</v>
      </c>
      <c r="F605" s="370">
        <v>102</v>
      </c>
      <c r="G605" s="371">
        <v>46320</v>
      </c>
      <c r="H605" s="371" t="s">
        <v>331</v>
      </c>
      <c r="I605" s="375">
        <v>4000</v>
      </c>
      <c r="J605" s="687">
        <f ca="1">IF(B$1&gt;=الجدول3[[#This Row],[تاريخ الدفعة]],الجدول3[[#This Row],[مبلغ الدفعة]],0)</f>
        <v>4000</v>
      </c>
      <c r="K605" s="373">
        <v>4000</v>
      </c>
      <c r="L605" s="374">
        <v>46318</v>
      </c>
      <c r="M605" s="879" t="s">
        <v>41</v>
      </c>
      <c r="N605" s="443" t="s">
        <v>331</v>
      </c>
      <c r="O605" s="372">
        <v>-4000</v>
      </c>
      <c r="P605" s="443"/>
      <c r="Q605" s="733"/>
    </row>
    <row r="606" spans="2:17" hidden="1">
      <c r="B606" s="369">
        <v>568</v>
      </c>
      <c r="C606" s="654" t="s">
        <v>1046</v>
      </c>
      <c r="D606" s="370">
        <v>10282412931</v>
      </c>
      <c r="E606" s="370" t="s">
        <v>39</v>
      </c>
      <c r="F606" s="370">
        <v>102</v>
      </c>
      <c r="G606" s="371">
        <v>46251</v>
      </c>
      <c r="H606" s="371" t="s">
        <v>277</v>
      </c>
      <c r="I606" s="375">
        <v>3200</v>
      </c>
      <c r="J606" s="687">
        <f ca="1">IF(B$1&gt;=الجدول3[[#This Row],[تاريخ الدفعة]],الجدول3[[#This Row],[مبلغ الدفعة]],0)</f>
        <v>3200</v>
      </c>
      <c r="K606" s="373">
        <v>3200</v>
      </c>
      <c r="L606" s="374">
        <v>46264</v>
      </c>
      <c r="M606" s="369" t="s">
        <v>164</v>
      </c>
      <c r="N606" s="443" t="s">
        <v>277</v>
      </c>
      <c r="O606" s="372">
        <v>0</v>
      </c>
      <c r="P606" s="443"/>
      <c r="Q606" s="733"/>
    </row>
    <row r="607" spans="2:17" hidden="1">
      <c r="B607" s="370">
        <v>569</v>
      </c>
      <c r="C607" s="654" t="s">
        <v>1057</v>
      </c>
      <c r="D607" s="370">
        <v>10517454392</v>
      </c>
      <c r="E607" s="370" t="s">
        <v>40</v>
      </c>
      <c r="F607" s="370">
        <v>102</v>
      </c>
      <c r="G607" s="371">
        <v>46230</v>
      </c>
      <c r="H607" s="371" t="s">
        <v>276</v>
      </c>
      <c r="I607" s="375">
        <v>4000</v>
      </c>
      <c r="J607" s="687">
        <f ca="1">IF(B$1&gt;=الجدول3[[#This Row],[تاريخ الدفعة]],الجدول3[[#This Row],[مبلغ الدفعة]],0)</f>
        <v>4000</v>
      </c>
      <c r="K607" s="373">
        <v>4000</v>
      </c>
      <c r="L607" s="374">
        <v>46246</v>
      </c>
      <c r="M607" s="369" t="s">
        <v>164</v>
      </c>
      <c r="N607" s="443" t="s">
        <v>277</v>
      </c>
      <c r="O607" s="620">
        <v>0</v>
      </c>
      <c r="P607" s="621"/>
      <c r="Q607" s="733"/>
    </row>
    <row r="608" spans="2:17" hidden="1">
      <c r="B608" s="369">
        <v>570</v>
      </c>
      <c r="C608" s="733" t="s">
        <v>994</v>
      </c>
      <c r="D608" s="370">
        <v>10769104004</v>
      </c>
      <c r="E608" s="370" t="s">
        <v>1027</v>
      </c>
      <c r="F608" s="370">
        <v>102</v>
      </c>
      <c r="G608" s="371">
        <v>46261</v>
      </c>
      <c r="H608" s="371" t="s">
        <v>277</v>
      </c>
      <c r="I608" s="375">
        <v>4000</v>
      </c>
      <c r="J608" s="687">
        <f ca="1">IF(B$1&gt;=الجدول3[[#This Row],[تاريخ الدفعة]],الجدول3[[#This Row],[مبلغ الدفعة]],0)</f>
        <v>4000</v>
      </c>
      <c r="K608" s="373">
        <v>4000</v>
      </c>
      <c r="L608" s="374">
        <v>46261</v>
      </c>
      <c r="M608" s="369" t="s">
        <v>164</v>
      </c>
      <c r="N608" s="443" t="s">
        <v>277</v>
      </c>
      <c r="O608" s="372">
        <v>0</v>
      </c>
      <c r="P608" s="443"/>
      <c r="Q608" s="733"/>
    </row>
    <row r="609" spans="2:17">
      <c r="B609" s="370">
        <v>571</v>
      </c>
      <c r="C609" s="902" t="s">
        <v>1056</v>
      </c>
      <c r="D609" s="370">
        <v>10383332923</v>
      </c>
      <c r="E609" s="370" t="s">
        <v>1015</v>
      </c>
      <c r="F609" s="370">
        <v>102</v>
      </c>
      <c r="G609" s="371">
        <v>46243</v>
      </c>
      <c r="H609" s="371" t="s">
        <v>277</v>
      </c>
      <c r="I609" s="375">
        <v>4000</v>
      </c>
      <c r="J609" s="687">
        <f ca="1">IF(B$1&gt;=الجدول3[[#This Row],[تاريخ الدفعة]],الجدول3[[#This Row],[مبلغ الدفعة]],0)</f>
        <v>4000</v>
      </c>
      <c r="K609" s="373">
        <v>4000</v>
      </c>
      <c r="L609" s="374">
        <v>46243</v>
      </c>
      <c r="M609" s="369" t="s">
        <v>164</v>
      </c>
      <c r="N609" s="443" t="s">
        <v>277</v>
      </c>
      <c r="O609" s="372">
        <v>0</v>
      </c>
      <c r="P609" s="443"/>
      <c r="Q609" s="733"/>
    </row>
    <row r="610" spans="2:17" hidden="1">
      <c r="B610" s="369">
        <v>572</v>
      </c>
      <c r="C610" s="654" t="s">
        <v>994</v>
      </c>
      <c r="D610" s="370">
        <v>10769104004</v>
      </c>
      <c r="E610" s="370" t="s">
        <v>1027</v>
      </c>
      <c r="F610" s="369">
        <v>102</v>
      </c>
      <c r="G610" s="371">
        <v>46292</v>
      </c>
      <c r="H610" s="371" t="s">
        <v>328</v>
      </c>
      <c r="I610" s="375">
        <v>4000</v>
      </c>
      <c r="J610" s="687">
        <f ca="1">IF(B$1&gt;=الجدول3[[#This Row],[تاريخ الدفعة]],الجدول3[[#This Row],[مبلغ الدفعة]],0)</f>
        <v>4000</v>
      </c>
      <c r="K610" s="373">
        <v>4000</v>
      </c>
      <c r="L610" s="619">
        <v>46293</v>
      </c>
      <c r="M610" s="689" t="s">
        <v>164</v>
      </c>
      <c r="N610" s="443" t="s">
        <v>328</v>
      </c>
      <c r="O610" s="620">
        <v>0</v>
      </c>
      <c r="P610" s="621"/>
      <c r="Q610" s="733"/>
    </row>
    <row r="611" spans="2:17" hidden="1">
      <c r="B611" s="370">
        <v>573</v>
      </c>
      <c r="C611" s="654" t="s">
        <v>994</v>
      </c>
      <c r="D611" s="370">
        <v>10769104004</v>
      </c>
      <c r="E611" s="370" t="s">
        <v>1027</v>
      </c>
      <c r="F611" s="370">
        <v>102</v>
      </c>
      <c r="G611" s="371">
        <v>46322</v>
      </c>
      <c r="H611" s="371" t="s">
        <v>963</v>
      </c>
      <c r="I611" s="375">
        <v>4000</v>
      </c>
      <c r="J611" s="687">
        <v>0</v>
      </c>
      <c r="K611" s="373">
        <v>0</v>
      </c>
      <c r="L611" s="619"/>
      <c r="M611" s="879" t="str" cm="1">
        <f t="array" aca="1" ref="M61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مستحقة</v>
      </c>
      <c r="N611" s="443"/>
      <c r="O611" s="620">
        <v>0</v>
      </c>
      <c r="P611" s="621"/>
      <c r="Q611" s="733"/>
    </row>
    <row r="612" spans="2:17" hidden="1">
      <c r="B612" s="369">
        <v>574</v>
      </c>
      <c r="C612" s="654" t="s">
        <v>994</v>
      </c>
      <c r="D612" s="370">
        <v>10769104004</v>
      </c>
      <c r="E612" s="370" t="s">
        <v>1027</v>
      </c>
      <c r="F612" s="370">
        <v>102</v>
      </c>
      <c r="G612" s="371">
        <v>46353</v>
      </c>
      <c r="H612" s="371" t="s">
        <v>963</v>
      </c>
      <c r="I612" s="375">
        <v>4000</v>
      </c>
      <c r="J612" s="687">
        <v>0</v>
      </c>
      <c r="K612" s="373">
        <v>0</v>
      </c>
      <c r="L612" s="619"/>
      <c r="M612" s="879" t="str" cm="1">
        <f t="array" aca="1" ref="M61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12" s="443"/>
      <c r="O612" s="620">
        <v>0</v>
      </c>
      <c r="P612" s="621"/>
      <c r="Q612" s="733"/>
    </row>
    <row r="613" spans="2:17" hidden="1">
      <c r="B613" s="370">
        <v>575</v>
      </c>
      <c r="C613" s="654" t="s">
        <v>994</v>
      </c>
      <c r="D613" s="370">
        <v>10769104004</v>
      </c>
      <c r="E613" s="370" t="s">
        <v>1027</v>
      </c>
      <c r="F613" s="370">
        <v>102</v>
      </c>
      <c r="G613" s="371">
        <v>46383</v>
      </c>
      <c r="H613" s="371" t="s">
        <v>963</v>
      </c>
      <c r="I613" s="375">
        <v>4000</v>
      </c>
      <c r="J613" s="687">
        <v>0</v>
      </c>
      <c r="K613" s="373">
        <v>0</v>
      </c>
      <c r="L613" s="619"/>
      <c r="M613" s="879" t="str" cm="1">
        <f t="array" aca="1" ref="M61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13" s="443"/>
      <c r="O613" s="620">
        <v>0</v>
      </c>
      <c r="P613" s="621"/>
      <c r="Q613" s="733"/>
    </row>
    <row r="614" spans="2:17" hidden="1">
      <c r="B614" s="369">
        <v>576</v>
      </c>
      <c r="C614" s="654" t="s">
        <v>994</v>
      </c>
      <c r="D614" s="370">
        <v>10769104004</v>
      </c>
      <c r="E614" s="370" t="s">
        <v>1027</v>
      </c>
      <c r="F614" s="370">
        <v>102</v>
      </c>
      <c r="G614" s="371">
        <v>46414</v>
      </c>
      <c r="H614" s="371" t="s">
        <v>963</v>
      </c>
      <c r="I614" s="375">
        <v>4000</v>
      </c>
      <c r="J614" s="687">
        <v>0</v>
      </c>
      <c r="K614" s="373">
        <v>0</v>
      </c>
      <c r="L614" s="619"/>
      <c r="M614" s="879" t="str" cm="1">
        <f t="array" aca="1" ref="M61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14" s="443"/>
      <c r="O614" s="620">
        <v>0</v>
      </c>
      <c r="P614" s="621"/>
      <c r="Q614" s="733"/>
    </row>
    <row r="615" spans="2:17" hidden="1">
      <c r="B615" s="370">
        <v>577</v>
      </c>
      <c r="C615" s="654" t="s">
        <v>994</v>
      </c>
      <c r="D615" s="370">
        <v>10769104004</v>
      </c>
      <c r="E615" s="370" t="s">
        <v>1027</v>
      </c>
      <c r="F615" s="370">
        <v>102</v>
      </c>
      <c r="G615" s="371">
        <v>46445</v>
      </c>
      <c r="H615" s="371" t="s">
        <v>963</v>
      </c>
      <c r="I615" s="375">
        <v>4000</v>
      </c>
      <c r="J615" s="687">
        <v>0</v>
      </c>
      <c r="K615" s="373">
        <v>0</v>
      </c>
      <c r="L615" s="619"/>
      <c r="M615" s="879" t="str" cm="1">
        <f t="array" aca="1" ref="M61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15" s="443"/>
      <c r="O615" s="620">
        <v>0</v>
      </c>
      <c r="P615" s="621"/>
      <c r="Q615" s="733"/>
    </row>
    <row r="616" spans="2:17" hidden="1">
      <c r="B616" s="369">
        <v>578</v>
      </c>
      <c r="C616" s="654" t="s">
        <v>994</v>
      </c>
      <c r="D616" s="370">
        <v>10769104004</v>
      </c>
      <c r="E616" s="370" t="s">
        <v>1027</v>
      </c>
      <c r="F616" s="370">
        <v>102</v>
      </c>
      <c r="G616" s="371">
        <v>46473</v>
      </c>
      <c r="H616" s="371" t="s">
        <v>963</v>
      </c>
      <c r="I616" s="375">
        <v>4000</v>
      </c>
      <c r="J616" s="687">
        <v>0</v>
      </c>
      <c r="K616" s="373">
        <v>0</v>
      </c>
      <c r="L616" s="619"/>
      <c r="M616" s="879" t="str" cm="1">
        <f t="array" aca="1" ref="M61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16" s="443"/>
      <c r="O616" s="620">
        <v>0</v>
      </c>
      <c r="P616" s="621"/>
      <c r="Q616" s="733"/>
    </row>
    <row r="617" spans="2:17" hidden="1">
      <c r="B617" s="370">
        <v>579</v>
      </c>
      <c r="C617" s="654" t="s">
        <v>994</v>
      </c>
      <c r="D617" s="370">
        <v>10769104004</v>
      </c>
      <c r="E617" s="370" t="s">
        <v>1027</v>
      </c>
      <c r="F617" s="370">
        <v>102</v>
      </c>
      <c r="G617" s="371">
        <v>46504</v>
      </c>
      <c r="H617" s="371" t="s">
        <v>963</v>
      </c>
      <c r="I617" s="375">
        <v>4000</v>
      </c>
      <c r="J617" s="687">
        <v>0</v>
      </c>
      <c r="K617" s="373">
        <v>0</v>
      </c>
      <c r="L617" s="619"/>
      <c r="M617" s="879" t="str" cm="1">
        <f t="array" aca="1" ref="M61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17" s="443"/>
      <c r="O617" s="620">
        <v>0</v>
      </c>
      <c r="P617" s="621"/>
      <c r="Q617" s="733"/>
    </row>
    <row r="618" spans="2:17" hidden="1">
      <c r="B618" s="369">
        <v>580</v>
      </c>
      <c r="C618" s="654" t="s">
        <v>994</v>
      </c>
      <c r="D618" s="370">
        <v>10769104004</v>
      </c>
      <c r="E618" s="370" t="s">
        <v>1027</v>
      </c>
      <c r="F618" s="370">
        <v>102</v>
      </c>
      <c r="G618" s="371">
        <v>46534</v>
      </c>
      <c r="H618" s="371" t="s">
        <v>963</v>
      </c>
      <c r="I618" s="375">
        <v>4000</v>
      </c>
      <c r="J618" s="687">
        <v>0</v>
      </c>
      <c r="K618" s="373">
        <v>0</v>
      </c>
      <c r="L618" s="619"/>
      <c r="M618" s="879" t="str" cm="1">
        <f t="array" aca="1" ref="M61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18" s="443"/>
      <c r="O618" s="620">
        <v>0</v>
      </c>
      <c r="P618" s="621"/>
      <c r="Q618" s="733"/>
    </row>
    <row r="619" spans="2:17" hidden="1">
      <c r="B619" s="370">
        <v>581</v>
      </c>
      <c r="C619" s="654" t="s">
        <v>994</v>
      </c>
      <c r="D619" s="370">
        <v>10769104004</v>
      </c>
      <c r="E619" s="370" t="s">
        <v>1027</v>
      </c>
      <c r="F619" s="370">
        <v>102</v>
      </c>
      <c r="G619" s="371">
        <v>46565</v>
      </c>
      <c r="H619" s="371" t="s">
        <v>963</v>
      </c>
      <c r="I619" s="375">
        <v>4000</v>
      </c>
      <c r="J619" s="687">
        <v>0</v>
      </c>
      <c r="K619" s="373">
        <v>0</v>
      </c>
      <c r="L619" s="619"/>
      <c r="M619" s="879" t="str" cm="1">
        <f t="array" aca="1" ref="M61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19" s="443"/>
      <c r="O619" s="620">
        <v>0</v>
      </c>
      <c r="P619" s="621"/>
      <c r="Q619" s="733"/>
    </row>
    <row r="620" spans="2:17" hidden="1">
      <c r="B620" s="369">
        <v>582</v>
      </c>
      <c r="C620" s="654" t="s">
        <v>994</v>
      </c>
      <c r="D620" s="370">
        <v>10769104004</v>
      </c>
      <c r="E620" s="370" t="s">
        <v>1027</v>
      </c>
      <c r="F620" s="370">
        <v>102</v>
      </c>
      <c r="G620" s="371">
        <v>46595</v>
      </c>
      <c r="H620" s="371" t="s">
        <v>963</v>
      </c>
      <c r="I620" s="375">
        <v>4000</v>
      </c>
      <c r="J620" s="687">
        <v>0</v>
      </c>
      <c r="K620" s="373">
        <v>0</v>
      </c>
      <c r="L620" s="619"/>
      <c r="M620" s="879" t="str" cm="1">
        <f t="array" aca="1" ref="M62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20" s="443"/>
      <c r="O620" s="620">
        <v>0</v>
      </c>
      <c r="P620" s="621"/>
      <c r="Q620" s="733"/>
    </row>
    <row r="621" spans="2:17" hidden="1">
      <c r="B621" s="370">
        <v>583</v>
      </c>
      <c r="C621" s="4" t="s">
        <v>1058</v>
      </c>
      <c r="D621" s="370">
        <v>10247853018</v>
      </c>
      <c r="E621" s="370" t="s">
        <v>40</v>
      </c>
      <c r="F621" s="369">
        <v>102</v>
      </c>
      <c r="G621" s="371">
        <v>46263</v>
      </c>
      <c r="H621" s="371" t="s">
        <v>277</v>
      </c>
      <c r="I621" s="375">
        <v>4000</v>
      </c>
      <c r="J621" s="687">
        <f ca="1">IF(B$1&gt;=الجدول3[[#This Row],[تاريخ الدفعة]],الجدول3[[#This Row],[مبلغ الدفعة]],0)</f>
        <v>4000</v>
      </c>
      <c r="K621" s="373">
        <v>4000</v>
      </c>
      <c r="L621" s="374">
        <v>46245</v>
      </c>
      <c r="M621" s="689" t="s">
        <v>164</v>
      </c>
      <c r="N621" s="443" t="s">
        <v>328</v>
      </c>
      <c r="O621" s="372">
        <v>0</v>
      </c>
      <c r="P621" s="443"/>
      <c r="Q621" s="733"/>
    </row>
    <row r="622" spans="2:17" hidden="1">
      <c r="B622" s="369">
        <v>584</v>
      </c>
      <c r="C622" s="4" t="s">
        <v>1058</v>
      </c>
      <c r="D622" s="370">
        <v>10247853018</v>
      </c>
      <c r="E622" s="370" t="s">
        <v>40</v>
      </c>
      <c r="F622" s="369">
        <v>102</v>
      </c>
      <c r="G622" s="371">
        <v>46294</v>
      </c>
      <c r="H622" s="371" t="s">
        <v>328</v>
      </c>
      <c r="I622" s="375">
        <v>4000</v>
      </c>
      <c r="J622" s="687">
        <f ca="1">IF(B$1&gt;=الجدول3[[#This Row],[تاريخ الدفعة]],الجدول3[[#This Row],[مبلغ الدفعة]],0)</f>
        <v>4000</v>
      </c>
      <c r="K622" s="373">
        <v>4000</v>
      </c>
      <c r="L622" s="374">
        <v>46294</v>
      </c>
      <c r="M622" s="689" t="s">
        <v>164</v>
      </c>
      <c r="N622" s="443" t="s">
        <v>328</v>
      </c>
      <c r="O622" s="372">
        <v>0</v>
      </c>
      <c r="P622" s="443"/>
      <c r="Q622" s="733"/>
    </row>
    <row r="623" spans="2:17" hidden="1">
      <c r="B623" s="370">
        <v>585</v>
      </c>
      <c r="C623" s="4" t="s">
        <v>1058</v>
      </c>
      <c r="D623" s="370">
        <v>10247853018</v>
      </c>
      <c r="E623" s="370" t="s">
        <v>40</v>
      </c>
      <c r="F623" s="370">
        <v>102</v>
      </c>
      <c r="G623" s="371">
        <v>46324</v>
      </c>
      <c r="H623" s="371" t="s">
        <v>331</v>
      </c>
      <c r="I623" s="375">
        <v>4000</v>
      </c>
      <c r="J623" s="687">
        <f ca="1">IF(B$1&gt;=الجدول3[[#This Row],[تاريخ الدفعة]],الجدول3[[#This Row],[مبلغ الدفعة]],0)</f>
        <v>0</v>
      </c>
      <c r="K623" s="373">
        <v>0</v>
      </c>
      <c r="L623" s="374"/>
      <c r="M623" s="879" t="str" cm="1">
        <f t="array" aca="1" ref="M62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اقترب</v>
      </c>
      <c r="N623" s="443"/>
      <c r="O623" s="372">
        <v>0</v>
      </c>
      <c r="P623" s="443"/>
      <c r="Q623" s="733"/>
    </row>
    <row r="624" spans="2:17" hidden="1">
      <c r="B624" s="369">
        <v>586</v>
      </c>
      <c r="C624" s="654" t="s">
        <v>1059</v>
      </c>
      <c r="D624" s="370">
        <v>10727058896</v>
      </c>
      <c r="E624" s="370" t="s">
        <v>31</v>
      </c>
      <c r="F624" s="370">
        <v>102</v>
      </c>
      <c r="G624" s="371">
        <v>46365</v>
      </c>
      <c r="H624" s="371" t="s">
        <v>333</v>
      </c>
      <c r="I624" s="375">
        <v>3500</v>
      </c>
      <c r="J624" s="687">
        <f ca="1">IF(B$1&gt;=الجدول3[[#This Row],[تاريخ الدفعة]],الجدول3[[#This Row],[مبلغ الدفعة]],0)</f>
        <v>0</v>
      </c>
      <c r="K624" s="373">
        <v>0</v>
      </c>
      <c r="L624" s="374"/>
      <c r="M624" s="879" t="str" cm="1">
        <f t="array" aca="1" ref="M62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24" s="443"/>
      <c r="O624" s="372">
        <v>0</v>
      </c>
      <c r="P624" s="443"/>
      <c r="Q624" s="733"/>
    </row>
    <row r="625" spans="2:17" hidden="1">
      <c r="B625" s="370">
        <v>587</v>
      </c>
      <c r="C625" s="654" t="s">
        <v>1059</v>
      </c>
      <c r="D625" s="370">
        <v>10727058896</v>
      </c>
      <c r="E625" s="369" t="s">
        <v>31</v>
      </c>
      <c r="F625" s="370">
        <v>102</v>
      </c>
      <c r="G625" s="371">
        <v>46396</v>
      </c>
      <c r="H625" s="371" t="s">
        <v>637</v>
      </c>
      <c r="I625" s="375">
        <v>3500</v>
      </c>
      <c r="J625" s="687">
        <f ca="1">IF(B$1&gt;=الجدول3[[#This Row],[تاريخ الدفعة]],الجدول3[[#This Row],[مبلغ الدفعة]],0)</f>
        <v>0</v>
      </c>
      <c r="K625" s="373">
        <v>0</v>
      </c>
      <c r="L625" s="374"/>
      <c r="M625" s="879" t="str" cm="1">
        <f t="array" aca="1" ref="M62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25" s="443"/>
      <c r="O625" s="372">
        <v>0</v>
      </c>
      <c r="P625" s="443"/>
      <c r="Q625" s="733"/>
    </row>
    <row r="626" spans="2:17" hidden="1">
      <c r="B626" s="369">
        <v>588</v>
      </c>
      <c r="C626" s="654" t="s">
        <v>1059</v>
      </c>
      <c r="D626" s="370">
        <v>10727058896</v>
      </c>
      <c r="E626" s="369" t="s">
        <v>31</v>
      </c>
      <c r="F626" s="370">
        <v>102</v>
      </c>
      <c r="G626" s="371">
        <v>46427</v>
      </c>
      <c r="H626" s="617" t="s">
        <v>334</v>
      </c>
      <c r="I626" s="375">
        <v>3500</v>
      </c>
      <c r="J626" s="687">
        <f ca="1">IF(B$1&gt;=الجدول3[[#This Row],[تاريخ الدفعة]],الجدول3[[#This Row],[مبلغ الدفعة]],0)</f>
        <v>0</v>
      </c>
      <c r="K626" s="373">
        <v>0</v>
      </c>
      <c r="L626" s="374"/>
      <c r="M626" s="879" t="str" cm="1">
        <f t="array" aca="1" ref="M62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26" s="443"/>
      <c r="O626" s="372">
        <v>0</v>
      </c>
      <c r="P626" s="443"/>
      <c r="Q626" s="733"/>
    </row>
    <row r="627" spans="2:17" hidden="1">
      <c r="B627" s="370">
        <v>589</v>
      </c>
      <c r="C627" s="906" t="s">
        <v>1044</v>
      </c>
      <c r="D627" s="623">
        <v>10999720795</v>
      </c>
      <c r="E627" s="369" t="s">
        <v>33</v>
      </c>
      <c r="F627" s="369">
        <v>102</v>
      </c>
      <c r="G627" s="371">
        <v>46298</v>
      </c>
      <c r="H627" s="371" t="s">
        <v>331</v>
      </c>
      <c r="I627" s="375">
        <v>3500</v>
      </c>
      <c r="J627" s="687">
        <f ca="1">IF(B$1&gt;=الجدول3[[#This Row],[تاريخ الدفعة]],الجدول3[[#This Row],[مبلغ الدفعة]],0)</f>
        <v>3500</v>
      </c>
      <c r="K627" s="373">
        <v>3500</v>
      </c>
      <c r="L627" s="374">
        <v>46302</v>
      </c>
      <c r="M627" s="370" t="s">
        <v>41</v>
      </c>
      <c r="N627" s="443" t="s">
        <v>331</v>
      </c>
      <c r="O627" s="372">
        <v>0</v>
      </c>
      <c r="P627" s="443"/>
      <c r="Q627" s="733"/>
    </row>
    <row r="628" spans="2:17" hidden="1">
      <c r="B628" s="369">
        <v>590</v>
      </c>
      <c r="C628" s="906" t="s">
        <v>1044</v>
      </c>
      <c r="D628" s="623">
        <v>10999720795</v>
      </c>
      <c r="E628" s="369" t="s">
        <v>33</v>
      </c>
      <c r="F628" s="369">
        <v>102</v>
      </c>
      <c r="G628" s="371">
        <v>46329</v>
      </c>
      <c r="H628" s="371" t="s">
        <v>332</v>
      </c>
      <c r="I628" s="375">
        <v>3500</v>
      </c>
      <c r="J628" s="687">
        <f ca="1">IF(B$1&gt;=الجدول3[[#This Row],[تاريخ الدفعة]],الجدول3[[#This Row],[مبلغ الدفعة]],0)</f>
        <v>0</v>
      </c>
      <c r="K628" s="373">
        <v>0</v>
      </c>
      <c r="L628" s="374"/>
      <c r="M628" s="879" t="str" cm="1">
        <f t="array" aca="1" ref="M62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اقترب</v>
      </c>
      <c r="N628" s="443"/>
      <c r="O628" s="372">
        <v>0</v>
      </c>
      <c r="P628" s="443"/>
      <c r="Q628" s="733"/>
    </row>
    <row r="629" spans="2:17" hidden="1">
      <c r="B629" s="370">
        <v>591</v>
      </c>
      <c r="C629" s="906" t="s">
        <v>1044</v>
      </c>
      <c r="D629" s="623">
        <v>10999720795</v>
      </c>
      <c r="E629" s="369" t="s">
        <v>33</v>
      </c>
      <c r="F629" s="369">
        <v>102</v>
      </c>
      <c r="G629" s="371">
        <v>46359</v>
      </c>
      <c r="H629" s="617" t="s">
        <v>333</v>
      </c>
      <c r="I629" s="375">
        <v>3500</v>
      </c>
      <c r="J629" s="687">
        <f ca="1">IF(B$1&gt;=الجدول3[[#This Row],[تاريخ الدفعة]],الجدول3[[#This Row],[مبلغ الدفعة]],0)</f>
        <v>0</v>
      </c>
      <c r="K629" s="373">
        <v>0</v>
      </c>
      <c r="L629" s="374"/>
      <c r="M629" s="879" t="str" cm="1">
        <f t="array" aca="1" ref="M62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29" s="443"/>
      <c r="O629" s="372">
        <v>0</v>
      </c>
      <c r="P629" s="443"/>
      <c r="Q629" s="733"/>
    </row>
    <row r="630" spans="2:17" hidden="1">
      <c r="B630" s="369">
        <v>592</v>
      </c>
      <c r="C630" s="906" t="s">
        <v>1044</v>
      </c>
      <c r="D630" s="623">
        <v>10999720795</v>
      </c>
      <c r="E630" s="369" t="s">
        <v>33</v>
      </c>
      <c r="F630" s="369">
        <v>102</v>
      </c>
      <c r="G630" s="371">
        <v>46390</v>
      </c>
      <c r="H630" s="617" t="s">
        <v>637</v>
      </c>
      <c r="I630" s="375">
        <v>3500</v>
      </c>
      <c r="J630" s="687">
        <f ca="1">IF(B$1&gt;=الجدول3[[#This Row],[تاريخ الدفعة]],الجدول3[[#This Row],[مبلغ الدفعة]],0)</f>
        <v>0</v>
      </c>
      <c r="K630" s="373">
        <v>0</v>
      </c>
      <c r="L630" s="374"/>
      <c r="M630" s="879" t="str" cm="1">
        <f t="array" aca="1" ref="M630"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30" s="443"/>
      <c r="O630" s="372">
        <v>0</v>
      </c>
      <c r="P630" s="443"/>
      <c r="Q630" s="733"/>
    </row>
    <row r="631" spans="2:17" hidden="1">
      <c r="B631" s="370">
        <v>593</v>
      </c>
      <c r="C631" s="906" t="s">
        <v>1044</v>
      </c>
      <c r="D631" s="623">
        <v>10999720795</v>
      </c>
      <c r="E631" s="369" t="s">
        <v>33</v>
      </c>
      <c r="F631" s="369">
        <v>102</v>
      </c>
      <c r="G631" s="371">
        <v>46421</v>
      </c>
      <c r="H631" s="617" t="s">
        <v>334</v>
      </c>
      <c r="I631" s="375">
        <v>3500</v>
      </c>
      <c r="J631" s="687">
        <f ca="1">IF(B$1&gt;=الجدول3[[#This Row],[تاريخ الدفعة]],الجدول3[[#This Row],[مبلغ الدفعة]],0)</f>
        <v>0</v>
      </c>
      <c r="K631" s="373">
        <v>0</v>
      </c>
      <c r="L631" s="374"/>
      <c r="M631" s="879" t="str" cm="1">
        <f t="array" aca="1" ref="M63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31" s="443"/>
      <c r="O631" s="372">
        <v>0</v>
      </c>
      <c r="P631" s="443"/>
      <c r="Q631" s="733"/>
    </row>
    <row r="632" spans="2:17" hidden="1">
      <c r="B632" s="369">
        <v>594</v>
      </c>
      <c r="C632" s="906" t="s">
        <v>1044</v>
      </c>
      <c r="D632" s="623">
        <v>10999720795</v>
      </c>
      <c r="E632" s="369" t="s">
        <v>33</v>
      </c>
      <c r="F632" s="370">
        <v>102</v>
      </c>
      <c r="G632" s="371">
        <v>46449</v>
      </c>
      <c r="H632" s="617" t="s">
        <v>335</v>
      </c>
      <c r="I632" s="375">
        <v>3500</v>
      </c>
      <c r="J632" s="687">
        <f ca="1">IF(B$1&gt;=الجدول3[[#This Row],[تاريخ الدفعة]],الجدول3[[#This Row],[مبلغ الدفعة]],0)</f>
        <v>0</v>
      </c>
      <c r="K632" s="373">
        <v>0</v>
      </c>
      <c r="L632" s="374"/>
      <c r="M632" s="879" t="str" cm="1">
        <f t="array" aca="1" ref="M63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32" s="443"/>
      <c r="O632" s="372">
        <v>0</v>
      </c>
      <c r="P632" s="443"/>
      <c r="Q632" s="733"/>
    </row>
    <row r="633" spans="2:17" hidden="1">
      <c r="B633" s="370">
        <v>595</v>
      </c>
      <c r="C633" s="895" t="s">
        <v>1043</v>
      </c>
      <c r="D633" s="623">
        <v>10097849921</v>
      </c>
      <c r="E633" s="370" t="s">
        <v>35</v>
      </c>
      <c r="F633" s="370">
        <v>102</v>
      </c>
      <c r="G633" s="371">
        <v>46298</v>
      </c>
      <c r="H633" s="371" t="s">
        <v>331</v>
      </c>
      <c r="I633" s="375">
        <v>3500</v>
      </c>
      <c r="J633" s="687">
        <f ca="1">IF(B$1&gt;=الجدول3[[#This Row],[تاريخ الدفعة]],الجدول3[[#This Row],[مبلغ الدفعة]],0)</f>
        <v>3500</v>
      </c>
      <c r="K633" s="373">
        <v>3500</v>
      </c>
      <c r="L633" s="374">
        <v>46298</v>
      </c>
      <c r="M633" s="370" t="s">
        <v>41</v>
      </c>
      <c r="N633" s="443" t="s">
        <v>331</v>
      </c>
      <c r="O633" s="372">
        <v>0</v>
      </c>
      <c r="P633" s="443"/>
      <c r="Q633" s="733"/>
    </row>
    <row r="634" spans="2:17" hidden="1">
      <c r="B634" s="369">
        <v>596</v>
      </c>
      <c r="C634" s="895" t="s">
        <v>1043</v>
      </c>
      <c r="D634" s="623">
        <v>10097849921</v>
      </c>
      <c r="E634" s="370" t="s">
        <v>35</v>
      </c>
      <c r="F634" s="370">
        <v>102</v>
      </c>
      <c r="G634" s="371">
        <v>46329</v>
      </c>
      <c r="H634" s="617" t="s">
        <v>332</v>
      </c>
      <c r="I634" s="375">
        <v>3500</v>
      </c>
      <c r="J634" s="687">
        <f ca="1">IF(B$1&gt;=الجدول3[[#This Row],[تاريخ الدفعة]],الجدول3[[#This Row],[مبلغ الدفعة]],0)</f>
        <v>0</v>
      </c>
      <c r="K634" s="373">
        <v>0</v>
      </c>
      <c r="L634" s="374"/>
      <c r="M634" s="879" t="str" cm="1">
        <f t="array" aca="1" ref="M63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اقترب</v>
      </c>
      <c r="N634" s="443"/>
      <c r="O634" s="372">
        <v>0</v>
      </c>
      <c r="P634" s="443"/>
      <c r="Q634" s="733"/>
    </row>
    <row r="635" spans="2:17" hidden="1">
      <c r="B635" s="370">
        <v>597</v>
      </c>
      <c r="C635" s="895" t="s">
        <v>1043</v>
      </c>
      <c r="D635" s="623">
        <v>10097849921</v>
      </c>
      <c r="E635" s="370" t="s">
        <v>35</v>
      </c>
      <c r="F635" s="370">
        <v>102</v>
      </c>
      <c r="G635" s="371">
        <v>46359</v>
      </c>
      <c r="H635" s="617" t="s">
        <v>333</v>
      </c>
      <c r="I635" s="375">
        <v>3500</v>
      </c>
      <c r="J635" s="687">
        <f ca="1">IF(B$1&gt;=الجدول3[[#This Row],[تاريخ الدفعة]],الجدول3[[#This Row],[مبلغ الدفعة]],0)</f>
        <v>0</v>
      </c>
      <c r="K635" s="373">
        <v>0</v>
      </c>
      <c r="L635" s="374"/>
      <c r="M635" s="879" t="str" cm="1">
        <f t="array" aca="1" ref="M635"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35" s="443"/>
      <c r="O635" s="372">
        <v>0</v>
      </c>
      <c r="P635" s="443"/>
      <c r="Q635" s="733"/>
    </row>
    <row r="636" spans="2:17" hidden="1">
      <c r="B636" s="369">
        <v>598</v>
      </c>
      <c r="C636" s="895" t="s">
        <v>1043</v>
      </c>
      <c r="D636" s="623">
        <v>10097849921</v>
      </c>
      <c r="E636" s="370" t="s">
        <v>35</v>
      </c>
      <c r="F636" s="370">
        <v>102</v>
      </c>
      <c r="G636" s="371">
        <v>46390</v>
      </c>
      <c r="H636" s="617" t="s">
        <v>637</v>
      </c>
      <c r="I636" s="375">
        <v>3500</v>
      </c>
      <c r="J636" s="687">
        <f ca="1">IF(B$1&gt;=الجدول3[[#This Row],[تاريخ الدفعة]],الجدول3[[#This Row],[مبلغ الدفعة]],0)</f>
        <v>0</v>
      </c>
      <c r="K636" s="373">
        <v>0</v>
      </c>
      <c r="L636" s="374"/>
      <c r="M636" s="879" t="str" cm="1">
        <f t="array" aca="1" ref="M636"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36" s="443"/>
      <c r="O636" s="372">
        <v>0</v>
      </c>
      <c r="P636" s="443"/>
      <c r="Q636" s="733"/>
    </row>
    <row r="637" spans="2:17" hidden="1">
      <c r="B637" s="370">
        <v>599</v>
      </c>
      <c r="C637" s="895" t="s">
        <v>1043</v>
      </c>
      <c r="D637" s="623">
        <v>10097849921</v>
      </c>
      <c r="E637" s="370" t="s">
        <v>35</v>
      </c>
      <c r="F637" s="370">
        <v>102</v>
      </c>
      <c r="G637" s="371">
        <v>46421</v>
      </c>
      <c r="H637" s="617" t="s">
        <v>334</v>
      </c>
      <c r="I637" s="375">
        <v>3500</v>
      </c>
      <c r="J637" s="687">
        <f ca="1">IF(B$1&gt;=الجدول3[[#This Row],[تاريخ الدفعة]],الجدول3[[#This Row],[مبلغ الدفعة]],0)</f>
        <v>0</v>
      </c>
      <c r="K637" s="373">
        <v>0</v>
      </c>
      <c r="L637" s="374"/>
      <c r="M637" s="879" t="str" cm="1">
        <f t="array" aca="1" ref="M637"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37" s="443"/>
      <c r="O637" s="372">
        <v>0</v>
      </c>
      <c r="P637" s="443"/>
      <c r="Q637" s="733"/>
    </row>
    <row r="638" spans="2:17" hidden="1">
      <c r="B638" s="369">
        <v>600</v>
      </c>
      <c r="C638" s="895" t="s">
        <v>1043</v>
      </c>
      <c r="D638" s="623">
        <v>10097849921</v>
      </c>
      <c r="E638" s="370" t="s">
        <v>35</v>
      </c>
      <c r="F638" s="370">
        <v>102</v>
      </c>
      <c r="G638" s="371">
        <v>46449</v>
      </c>
      <c r="H638" s="617" t="s">
        <v>335</v>
      </c>
      <c r="I638" s="375">
        <v>3500</v>
      </c>
      <c r="J638" s="687">
        <f ca="1">IF(B$1&gt;=الجدول3[[#This Row],[تاريخ الدفعة]],الجدول3[[#This Row],[مبلغ الدفعة]],0)</f>
        <v>0</v>
      </c>
      <c r="K638" s="373">
        <v>0</v>
      </c>
      <c r="L638" s="374"/>
      <c r="M638" s="879" t="str" cm="1">
        <f t="array" aca="1" ref="M638"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باقي</v>
      </c>
      <c r="N638" s="443"/>
      <c r="O638" s="372">
        <v>0</v>
      </c>
      <c r="P638" s="443"/>
      <c r="Q638" s="733"/>
    </row>
    <row r="639" spans="2:17" hidden="1">
      <c r="B639" s="370">
        <v>601</v>
      </c>
      <c r="C639" s="654" t="s">
        <v>1045</v>
      </c>
      <c r="D639" s="733">
        <v>10987748633</v>
      </c>
      <c r="E639" s="369" t="s">
        <v>38</v>
      </c>
      <c r="F639" s="370">
        <v>102</v>
      </c>
      <c r="G639" s="371">
        <v>46266</v>
      </c>
      <c r="H639" s="371" t="s">
        <v>328</v>
      </c>
      <c r="I639" s="375">
        <v>2500</v>
      </c>
      <c r="J639" s="687">
        <f ca="1">IF(B$1&gt;=الجدول3[[#This Row],[تاريخ الدفعة]],الجدول3[[#This Row],[مبلغ الدفعة]],0)</f>
        <v>2500</v>
      </c>
      <c r="K639" s="373">
        <v>0</v>
      </c>
      <c r="L639" s="919"/>
      <c r="M639" s="879" t="str" cm="1">
        <f t="array" aca="1" ref="M639"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متأخر</v>
      </c>
      <c r="N639" s="443"/>
      <c r="O639" s="372">
        <v>-2500</v>
      </c>
      <c r="P639" s="443"/>
      <c r="Q639" s="733"/>
    </row>
    <row r="640" spans="2:17" hidden="1">
      <c r="B640" s="369">
        <v>602</v>
      </c>
      <c r="C640" s="4" t="s">
        <v>1033</v>
      </c>
      <c r="D640" s="624">
        <v>10778617693</v>
      </c>
      <c r="E640" s="369" t="s">
        <v>32</v>
      </c>
      <c r="F640" s="850">
        <v>102</v>
      </c>
      <c r="G640" s="851">
        <v>46302</v>
      </c>
      <c r="H640" s="617" t="s">
        <v>331</v>
      </c>
      <c r="I640" s="375">
        <v>3800</v>
      </c>
      <c r="J640" s="687">
        <f ca="1">IF(B$1&gt;=الجدول3[[#This Row],[تاريخ الدفعة]],الجدول3[[#This Row],[مبلغ الدفعة]],0)</f>
        <v>3800</v>
      </c>
      <c r="K640" s="373">
        <v>3800</v>
      </c>
      <c r="L640" s="847">
        <v>46307</v>
      </c>
      <c r="M640" s="844" t="s">
        <v>41</v>
      </c>
      <c r="N640" s="848" t="s">
        <v>331</v>
      </c>
      <c r="O640" s="620" t="e">
        <f>[1]!Table3[[#This Row],[المدفوع]]-[1]!Table3[[#This Row],[المبلغ المستحق]]</f>
        <v>#REF!</v>
      </c>
      <c r="P640" s="849"/>
      <c r="Q640" s="886"/>
    </row>
    <row r="641" spans="2:17" hidden="1">
      <c r="B641" s="370">
        <v>603</v>
      </c>
      <c r="C641" s="4" t="s">
        <v>1033</v>
      </c>
      <c r="D641" s="624">
        <v>10778617693</v>
      </c>
      <c r="E641" s="369" t="s">
        <v>32</v>
      </c>
      <c r="F641" s="850">
        <v>102</v>
      </c>
      <c r="G641" s="920">
        <v>46333</v>
      </c>
      <c r="H641" s="617" t="s">
        <v>332</v>
      </c>
      <c r="I641" s="375">
        <v>3800</v>
      </c>
      <c r="J641" s="687">
        <f ca="1">IF(B$1&gt;=الجدول3[[#This Row],[تاريخ الدفعة]],الجدول3[[#This Row],[مبلغ الدفعة]],0)</f>
        <v>0</v>
      </c>
      <c r="K641" s="373">
        <v>0</v>
      </c>
      <c r="L641" s="847"/>
      <c r="M641" s="844" t="e" cm="1">
        <f t="array" aca="1" ref="M641"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#REF!</v>
      </c>
      <c r="N641" s="885"/>
      <c r="O641" s="620" t="e">
        <f>[1]!Table3[[#This Row],[المدفوع]]-[1]!Table3[[#This Row],[المبلغ المستحق]]</f>
        <v>#REF!</v>
      </c>
      <c r="P641" s="849"/>
      <c r="Q641" s="886"/>
    </row>
    <row r="642" spans="2:17" hidden="1">
      <c r="B642" s="369">
        <v>604</v>
      </c>
      <c r="C642" s="4" t="s">
        <v>1033</v>
      </c>
      <c r="D642" s="624">
        <v>10778617693</v>
      </c>
      <c r="E642" s="369" t="s">
        <v>32</v>
      </c>
      <c r="F642" s="850">
        <v>102</v>
      </c>
      <c r="G642" s="920">
        <v>46363</v>
      </c>
      <c r="H642" s="617" t="s">
        <v>333</v>
      </c>
      <c r="I642" s="375">
        <v>3800</v>
      </c>
      <c r="J642" s="687">
        <f ca="1">IF(B$1&gt;=الجدول3[[#This Row],[تاريخ الدفعة]],الجدول3[[#This Row],[مبلغ الدفعة]],0)</f>
        <v>0</v>
      </c>
      <c r="K642" s="373">
        <v>0</v>
      </c>
      <c r="L642" s="847"/>
      <c r="M642" s="844" t="e" cm="1">
        <f t="array" aca="1" ref="M642"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#REF!</v>
      </c>
      <c r="N642" s="885"/>
      <c r="O642" s="620" t="e">
        <f>[1]!Table3[[#This Row],[المدفوع]]-[1]!Table3[[#This Row],[المبلغ المستحق]]</f>
        <v>#REF!</v>
      </c>
      <c r="P642" s="849"/>
      <c r="Q642" s="886"/>
    </row>
    <row r="643" spans="2:17" hidden="1">
      <c r="B643" s="370">
        <v>605</v>
      </c>
      <c r="C643" s="857" t="s">
        <v>1065</v>
      </c>
      <c r="D643" s="624">
        <v>10683282170</v>
      </c>
      <c r="E643" s="850" t="s">
        <v>979</v>
      </c>
      <c r="F643" s="370" t="s">
        <v>897</v>
      </c>
      <c r="G643" s="851">
        <v>46327</v>
      </c>
      <c r="H643" s="371" t="s">
        <v>332</v>
      </c>
      <c r="I643" s="375">
        <v>2500</v>
      </c>
      <c r="J643" s="687">
        <f ca="1">IF(B$1&gt;=الجدول3[[#This Row],[تاريخ الدفعة]],الجدول3[[#This Row],[مبلغ الدفعة]],0)</f>
        <v>0</v>
      </c>
      <c r="K643" s="373">
        <v>0</v>
      </c>
      <c r="L643" s="852"/>
      <c r="M643" s="844" t="e" cm="1">
        <f t="array" aca="1" ref="M643"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#REF!</v>
      </c>
      <c r="N643" s="848"/>
      <c r="O643" s="372" t="e">
        <f>[1]!Table3[[#This Row],[المدفوع]]-[1]!Table3[[#This Row],[المبلغ المستحق]]</f>
        <v>#REF!</v>
      </c>
      <c r="P643" s="848"/>
      <c r="Q643" s="853"/>
    </row>
    <row r="644" spans="2:17" hidden="1">
      <c r="B644" s="370">
        <v>606</v>
      </c>
      <c r="C644" s="857" t="s">
        <v>1065</v>
      </c>
      <c r="D644" s="624">
        <v>10683282170</v>
      </c>
      <c r="E644" s="850" t="s">
        <v>979</v>
      </c>
      <c r="F644" s="370" t="s">
        <v>897</v>
      </c>
      <c r="G644" s="851">
        <v>46357</v>
      </c>
      <c r="H644" s="617" t="s">
        <v>333</v>
      </c>
      <c r="I644" s="375">
        <v>2500</v>
      </c>
      <c r="J644" s="687">
        <f ca="1">IF(B$1&gt;=الجدول3[[#This Row],[تاريخ الدفعة]],الجدول3[[#This Row],[مبلغ الدفعة]],0)</f>
        <v>0</v>
      </c>
      <c r="K644" s="373">
        <v>0</v>
      </c>
      <c r="L644" s="847"/>
      <c r="M644" s="844" t="e" cm="1">
        <f t="array" aca="1" ref="M644" ca="1">_xlfn.IFS(
    الجدول3[[#This Row],[المدفوع]]-الجدول3[[#This Row],[مبلغ الدفعة]]&gt;0, "مدفوع جزئي",
    الجدول3[[#This Row],[المدفوع]]-الجدول3[[#This Row],[مبلغ الدفعة]]=0, "مدفوع",
    (الجدول3[[#This Row],[المدفوع]]-الجدول3[[#This Row],[مبلغ الدفعة]]&lt;0) * ($B$1=الجدول3[[#This Row],[تاريخ الدفعة]]), "مستحقة اليوم",
    (الجدول3[[#This Row],[المدفوع]]-الجدول3[[#This Row],[مبلغ الدفعة]]&lt;0) * ((الجدول3[[#This Row],[تاريخ الدفعة]]-$B$1)&gt;=-15) * ((الجدول3[[#This Row],[تاريخ الدفعة]]-$B$1)&lt;=0), "مستحقة",
    (الجدول3[[#This Row],[المدفوع]]-الجدول3[[#This Row],[مبلغ الدفعة]]&lt;0) * ((الجدول3[[#This Row],[تاريخ الدفعة]]-$B$1)&lt;-15), "متأخر",
    ((الجدول3[[#This Row],[تاريخ الدفعة]]-$B$1)&gt;0) * ((الجدول3[[#This Row],[تاريخ الدفعة]]-$B$1)&lt;=7) * (الجدول3[[#This Row],[الرصيد]]=0), "اقترب",
    (الجدول3[[#This Row],[الرصيد]]=0) * ((الجدول3[[#This Row],[تاريخ الدفعة]]-$B$1)&gt;7), "باقي"
)</f>
        <v>#REF!</v>
      </c>
      <c r="N644" s="848"/>
      <c r="O644" s="620" t="e">
        <f>[1]!Table3[[#This Row],[المدفوع]]-[1]!Table3[[#This Row],[المبلغ المستحق]]</f>
        <v>#REF!</v>
      </c>
      <c r="P644" s="849"/>
      <c r="Q644" s="886"/>
    </row>
    <row r="645" spans="2:17">
      <c r="M645" s="844"/>
    </row>
  </sheetData>
  <dataValidations count="1">
    <dataValidation type="custom" allowBlank="1" showDropDown="1" sqref="G426:G431" xr:uid="{DCB47188-DCD9-4B89-8A65-7890DFD17DFA}">
      <formula1>OR(NOT(ISERROR(DATEVALUE(G426))), AND(ISNUMBER(G426), LEFT(CELL("format", G426))="D"))</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18C19756-51A8-4A97-893C-CDD70BA13AF4}">
          <x14:formula1>
            <xm:f>Menus!$C$4:$C$88</xm:f>
          </x14:formula1>
          <xm:sqref>N39:N644 H39:H644</xm:sqref>
        </x14:dataValidation>
        <x14:dataValidation type="list" allowBlank="1" showInputMessage="1" showErrorMessage="1" xr:uid="{1CF6F076-3B9E-4AF8-8B01-A4D677E6CA22}">
          <x14:formula1>
            <xm:f>'Units Data'!$C$7:$C$100</xm:f>
          </x14:formula1>
          <xm:sqref>F39:F644</xm:sqref>
        </x14:dataValidation>
        <x14:dataValidation type="list" allowBlank="1" showInputMessage="1" showErrorMessage="1" xr:uid="{7773E700-F846-4D96-92C5-10058A608982}">
          <x14:formula1>
            <xm:f>Menus!$J$4:$J$88</xm:f>
          </x14:formula1>
          <xm:sqref>E1:E1048576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ورقة18"/>
  <dimension ref="A1:W78"/>
  <sheetViews>
    <sheetView rightToLeft="1" topLeftCell="A32" workbookViewId="0">
      <selection activeCell="J53" sqref="J53"/>
    </sheetView>
  </sheetViews>
  <sheetFormatPr defaultRowHeight="15.5"/>
  <cols>
    <col min="1" max="1" width="6" style="737" bestFit="1" customWidth="1"/>
    <col min="2" max="2" width="29.3046875" style="737" bestFit="1" customWidth="1"/>
    <col min="3" max="3" width="16.3046875" style="737" bestFit="1" customWidth="1"/>
    <col min="4" max="4" width="9.921875" style="737" bestFit="1" customWidth="1"/>
    <col min="5" max="5" width="9.53515625" style="737" bestFit="1" customWidth="1"/>
    <col min="6" max="6" width="13.69140625" style="737" bestFit="1" customWidth="1"/>
    <col min="7" max="7" width="22.15234375" style="737" bestFit="1" customWidth="1"/>
    <col min="8" max="8" width="7.84375" style="737" bestFit="1" customWidth="1"/>
    <col min="9" max="9" width="14.07421875" style="737" bestFit="1" customWidth="1"/>
    <col min="10" max="10" width="8.07421875" style="737" bestFit="1" customWidth="1"/>
    <col min="11" max="11" width="10.4609375" style="737" bestFit="1" customWidth="1"/>
    <col min="12" max="12" width="12.4609375" style="737" bestFit="1" customWidth="1"/>
    <col min="13" max="13" width="14.4609375" style="737" bestFit="1" customWidth="1"/>
    <col min="14" max="14" width="5.53515625" style="737" bestFit="1" customWidth="1"/>
    <col min="15" max="15" width="9.921875" style="737" bestFit="1" customWidth="1"/>
    <col min="16" max="16" width="11.3046875" style="737" bestFit="1" customWidth="1"/>
    <col min="17" max="17" width="14.23046875" style="737" bestFit="1" customWidth="1"/>
    <col min="18" max="18" width="7.69140625" style="737" bestFit="1" customWidth="1"/>
    <col min="19" max="19" width="10.765625" style="737" bestFit="1" customWidth="1"/>
    <col min="20" max="21" width="9.23046875" style="737"/>
    <col min="22" max="22" width="12.765625" style="737" bestFit="1" customWidth="1"/>
    <col min="23" max="23" width="10" style="737" bestFit="1" customWidth="1"/>
    <col min="24" max="16384" width="9.23046875" style="737"/>
  </cols>
  <sheetData>
    <row r="1" spans="1:23" ht="17.5">
      <c r="B1" s="737" t="s">
        <v>153</v>
      </c>
      <c r="F1" s="737" t="s">
        <v>155</v>
      </c>
      <c r="G1" s="737" t="s">
        <v>55</v>
      </c>
      <c r="H1" s="737" t="s">
        <v>27</v>
      </c>
      <c r="J1" s="737" t="s">
        <v>4</v>
      </c>
      <c r="O1" s="419" t="s">
        <v>595</v>
      </c>
    </row>
    <row r="2" spans="1:23">
      <c r="B2" s="737" t="s">
        <v>925</v>
      </c>
      <c r="G2" s="737" t="s">
        <v>931</v>
      </c>
      <c r="H2" s="737" t="s">
        <v>897</v>
      </c>
      <c r="J2" s="737" t="s">
        <v>328</v>
      </c>
      <c r="S2" s="293" t="s">
        <v>647</v>
      </c>
    </row>
    <row r="3" spans="1:23">
      <c r="B3" s="737" t="e">
        <f>SUMIF(#REF!,B2,#REF!)</f>
        <v>#REF!</v>
      </c>
      <c r="F3" s="737" t="e">
        <f>SUMIF(#REF!,F2,#REF!)</f>
        <v>#REF!</v>
      </c>
      <c r="G3" s="737" t="e">
        <f>SUMIF(#REF!,G2,#REF!)</f>
        <v>#REF!</v>
      </c>
      <c r="H3" s="737" t="e">
        <f>SUMIF(#REF!,H2,#REF!)</f>
        <v>#REF!</v>
      </c>
      <c r="J3" s="737" t="e">
        <f>SUMIF(#REF!,J2,#REF!)</f>
        <v>#REF!</v>
      </c>
      <c r="O3" s="737" t="e">
        <f>SUMIF(#REF!,O1,#REF!)</f>
        <v>#REF!</v>
      </c>
      <c r="S3" s="737" t="s">
        <v>648</v>
      </c>
    </row>
    <row r="4" spans="1:23">
      <c r="B4" s="737" t="s">
        <v>897</v>
      </c>
      <c r="F4" s="737">
        <v>103</v>
      </c>
      <c r="G4" s="737" t="s">
        <v>897</v>
      </c>
    </row>
    <row r="5" spans="1:23">
      <c r="B5" s="737" t="e">
        <f>"مصروفات المبني = "&amp;TEXT(SUMIF(#REF!,B4,#REF!),"0,0.00")&amp;" ريال "</f>
        <v>#REF!</v>
      </c>
      <c r="V5" s="293" t="s">
        <v>57</v>
      </c>
      <c r="W5" s="737" t="s">
        <v>651</v>
      </c>
    </row>
    <row r="6" spans="1:23">
      <c r="G6" s="737" t="e">
        <f>TEXT(SUMIF(#REF!,G4,#REF!),"0,0.00")</f>
        <v>#REF!</v>
      </c>
      <c r="V6" s="293" t="s">
        <v>27</v>
      </c>
      <c r="W6" s="737" t="s">
        <v>651</v>
      </c>
    </row>
    <row r="7" spans="1:23">
      <c r="F7" s="737" t="e">
        <f>" النسبة من المصروفات = "&amp;TEXT((F3/SUMIF(#REF!,F4,#REF!)),"0.00%")</f>
        <v>#REF!</v>
      </c>
    </row>
    <row r="8" spans="1:23" ht="17.5">
      <c r="A8" s="683" t="s">
        <v>5</v>
      </c>
      <c r="B8" s="683" t="s">
        <v>51</v>
      </c>
      <c r="C8" s="27" t="s">
        <v>52</v>
      </c>
      <c r="D8" s="27" t="s">
        <v>53</v>
      </c>
      <c r="E8" s="683" t="s">
        <v>167</v>
      </c>
      <c r="F8" s="27" t="s">
        <v>154</v>
      </c>
      <c r="G8" s="683" t="s">
        <v>55</v>
      </c>
      <c r="H8" s="683" t="s">
        <v>27</v>
      </c>
      <c r="I8" s="683" t="s">
        <v>56</v>
      </c>
      <c r="J8" s="683" t="s">
        <v>57</v>
      </c>
      <c r="K8" s="683" t="s">
        <v>58</v>
      </c>
      <c r="L8" s="683" t="s">
        <v>618</v>
      </c>
      <c r="M8" s="683" t="s">
        <v>619</v>
      </c>
      <c r="N8" s="683" t="s">
        <v>168</v>
      </c>
      <c r="O8" s="683" t="s">
        <v>778</v>
      </c>
      <c r="P8" s="683" t="s">
        <v>779</v>
      </c>
      <c r="Q8" s="683" t="s">
        <v>885</v>
      </c>
      <c r="R8" s="683" t="s">
        <v>607</v>
      </c>
      <c r="V8" s="293" t="s">
        <v>777</v>
      </c>
      <c r="W8" s="293" t="s">
        <v>649</v>
      </c>
    </row>
    <row r="9" spans="1:23" ht="17.5">
      <c r="A9" s="737">
        <v>4</v>
      </c>
      <c r="B9" s="728" t="s">
        <v>927</v>
      </c>
      <c r="C9" s="730"/>
      <c r="D9" s="241"/>
      <c r="E9" s="32">
        <f>21/2</f>
        <v>10.5</v>
      </c>
      <c r="F9" s="625"/>
      <c r="G9" s="28" t="s">
        <v>150</v>
      </c>
      <c r="H9" s="737" t="s">
        <v>896</v>
      </c>
      <c r="I9" s="30">
        <v>46255</v>
      </c>
      <c r="J9" s="33" t="s">
        <v>328</v>
      </c>
      <c r="K9" s="28"/>
      <c r="L9" s="28"/>
      <c r="M9" s="28"/>
      <c r="N9" s="28"/>
      <c r="O9" s="28"/>
      <c r="P9" s="28"/>
      <c r="Q9" s="28"/>
      <c r="R9" s="28"/>
      <c r="V9" s="293" t="s">
        <v>647</v>
      </c>
      <c r="W9" s="737" t="s">
        <v>648</v>
      </c>
    </row>
    <row r="10" spans="1:23" ht="17.5">
      <c r="A10" s="737">
        <v>3</v>
      </c>
      <c r="B10" s="28" t="s">
        <v>926</v>
      </c>
      <c r="E10" s="32">
        <f>112/2</f>
        <v>56</v>
      </c>
      <c r="F10" s="32"/>
      <c r="G10" s="28" t="s">
        <v>150</v>
      </c>
      <c r="H10" s="737" t="s">
        <v>896</v>
      </c>
      <c r="I10" s="30">
        <v>46255</v>
      </c>
      <c r="J10" s="33" t="s">
        <v>328</v>
      </c>
      <c r="K10" s="28"/>
      <c r="L10" s="28"/>
      <c r="M10" s="28"/>
      <c r="N10" s="28"/>
      <c r="O10" s="28"/>
      <c r="P10" s="28"/>
      <c r="Q10" s="28"/>
      <c r="R10" s="28"/>
      <c r="V10" s="737" t="s">
        <v>648</v>
      </c>
    </row>
    <row r="11" spans="1:23" ht="17.5">
      <c r="A11" s="737">
        <v>2</v>
      </c>
      <c r="B11" s="727" t="s">
        <v>925</v>
      </c>
      <c r="C11" s="730"/>
      <c r="E11" s="32">
        <f>200/2</f>
        <v>100</v>
      </c>
      <c r="F11" s="625"/>
      <c r="G11" s="28" t="s">
        <v>150</v>
      </c>
      <c r="H11" s="737" t="s">
        <v>896</v>
      </c>
      <c r="I11" s="30">
        <v>46254</v>
      </c>
      <c r="J11" s="33" t="s">
        <v>328</v>
      </c>
      <c r="K11" s="28"/>
      <c r="L11" s="28"/>
      <c r="M11" s="28"/>
      <c r="N11" s="28"/>
      <c r="O11" s="28"/>
      <c r="P11" s="28"/>
      <c r="Q11" s="28"/>
      <c r="R11" s="28"/>
    </row>
    <row r="12" spans="1:23" ht="17.5">
      <c r="A12" s="737">
        <v>9</v>
      </c>
      <c r="B12" s="28" t="s">
        <v>933</v>
      </c>
      <c r="E12" s="32">
        <v>100</v>
      </c>
      <c r="F12" s="625"/>
      <c r="G12" s="28" t="s">
        <v>150</v>
      </c>
      <c r="H12" s="737" t="s">
        <v>896</v>
      </c>
      <c r="I12" s="30">
        <v>46258</v>
      </c>
      <c r="J12" s="33" t="s">
        <v>328</v>
      </c>
      <c r="K12" s="28"/>
      <c r="L12" s="28"/>
      <c r="M12" s="28"/>
      <c r="N12" s="28"/>
      <c r="O12" s="28"/>
      <c r="P12" s="28"/>
      <c r="Q12" s="28"/>
      <c r="R12" s="28"/>
    </row>
    <row r="13" spans="1:23" ht="17.5">
      <c r="A13" s="737">
        <v>1</v>
      </c>
      <c r="B13" s="727" t="s">
        <v>925</v>
      </c>
      <c r="C13" s="729"/>
      <c r="E13" s="32">
        <f>210/2</f>
        <v>105</v>
      </c>
      <c r="F13" s="32"/>
      <c r="G13" s="28" t="s">
        <v>150</v>
      </c>
      <c r="H13" s="737" t="s">
        <v>896</v>
      </c>
      <c r="I13" s="30">
        <v>46254</v>
      </c>
      <c r="J13" s="33" t="s">
        <v>328</v>
      </c>
      <c r="K13" s="28"/>
      <c r="L13" s="28"/>
      <c r="M13" s="28"/>
      <c r="N13" s="28"/>
      <c r="O13" s="28"/>
      <c r="P13" s="28"/>
      <c r="Q13" s="28"/>
      <c r="R13" s="28"/>
    </row>
    <row r="14" spans="1:23" ht="17.5">
      <c r="A14" s="737">
        <v>8</v>
      </c>
      <c r="B14" s="28" t="s">
        <v>974</v>
      </c>
      <c r="E14" s="32">
        <v>112</v>
      </c>
      <c r="F14" s="625"/>
      <c r="G14" s="28" t="s">
        <v>150</v>
      </c>
      <c r="H14" s="737" t="s">
        <v>896</v>
      </c>
      <c r="I14" s="30">
        <v>46258</v>
      </c>
      <c r="J14" s="33" t="s">
        <v>328</v>
      </c>
      <c r="K14" s="28"/>
      <c r="L14" s="28"/>
      <c r="M14" s="28"/>
      <c r="N14" s="28"/>
      <c r="O14" s="28"/>
      <c r="P14" s="28"/>
      <c r="Q14" s="28"/>
      <c r="R14" s="28"/>
    </row>
    <row r="15" spans="1:23" ht="17.5">
      <c r="A15" s="737">
        <v>16</v>
      </c>
      <c r="B15" s="28" t="s">
        <v>948</v>
      </c>
      <c r="E15" s="29">
        <v>160</v>
      </c>
      <c r="F15" s="625"/>
      <c r="G15" s="28" t="s">
        <v>150</v>
      </c>
      <c r="H15" s="737" t="s">
        <v>896</v>
      </c>
      <c r="I15" s="30">
        <v>46264</v>
      </c>
      <c r="J15" s="33" t="s">
        <v>328</v>
      </c>
      <c r="K15" s="28"/>
      <c r="L15" s="28"/>
      <c r="M15" s="32"/>
      <c r="N15" s="28"/>
      <c r="O15" s="28"/>
      <c r="P15" s="28"/>
      <c r="Q15" s="28"/>
      <c r="R15" s="28"/>
    </row>
    <row r="16" spans="1:23" ht="17.5">
      <c r="A16" s="737">
        <v>6</v>
      </c>
      <c r="B16" s="28" t="s">
        <v>926</v>
      </c>
      <c r="E16" s="32">
        <f>182</f>
        <v>182</v>
      </c>
      <c r="F16" s="625"/>
      <c r="G16" s="28" t="s">
        <v>150</v>
      </c>
      <c r="H16" s="737" t="s">
        <v>896</v>
      </c>
      <c r="I16" s="30">
        <v>46256</v>
      </c>
      <c r="J16" s="33" t="s">
        <v>328</v>
      </c>
      <c r="K16" s="28"/>
      <c r="L16" s="28"/>
      <c r="M16" s="28"/>
      <c r="N16" s="28"/>
      <c r="O16" s="28"/>
      <c r="P16" s="28"/>
      <c r="Q16" s="28"/>
      <c r="R16" s="28"/>
    </row>
    <row r="17" spans="1:18" ht="17.5">
      <c r="A17" s="737">
        <v>19</v>
      </c>
      <c r="B17" s="737" t="s">
        <v>137</v>
      </c>
      <c r="E17" s="737">
        <f>125*3</f>
        <v>375</v>
      </c>
      <c r="G17" s="737" t="s">
        <v>137</v>
      </c>
      <c r="H17" s="737" t="s">
        <v>897</v>
      </c>
      <c r="I17" s="2">
        <v>46295</v>
      </c>
      <c r="J17" s="33" t="s">
        <v>328</v>
      </c>
      <c r="K17" s="28"/>
      <c r="L17" s="28"/>
      <c r="M17" s="32"/>
      <c r="N17" s="28"/>
      <c r="O17" s="28"/>
      <c r="P17" s="28"/>
      <c r="Q17" s="28"/>
      <c r="R17" s="28"/>
    </row>
    <row r="18" spans="1:18" ht="17.5">
      <c r="A18" s="737">
        <v>5</v>
      </c>
      <c r="B18" s="28" t="s">
        <v>928</v>
      </c>
      <c r="C18" s="730"/>
      <c r="E18" s="32">
        <f>770/2</f>
        <v>385</v>
      </c>
      <c r="F18" s="625"/>
      <c r="G18" s="28" t="s">
        <v>150</v>
      </c>
      <c r="H18" s="737" t="s">
        <v>896</v>
      </c>
      <c r="I18" s="30">
        <v>46256</v>
      </c>
      <c r="J18" s="33" t="s">
        <v>328</v>
      </c>
      <c r="K18" s="28"/>
      <c r="L18" s="28"/>
      <c r="M18" s="28"/>
      <c r="N18" s="28"/>
      <c r="O18" s="28"/>
      <c r="P18" s="28"/>
      <c r="Q18" s="28"/>
      <c r="R18" s="28"/>
    </row>
    <row r="19" spans="1:18" ht="17.5">
      <c r="A19" s="737">
        <v>12</v>
      </c>
      <c r="B19" s="28" t="s">
        <v>936</v>
      </c>
      <c r="E19" s="32">
        <v>518.28</v>
      </c>
      <c r="F19" s="625"/>
      <c r="G19" s="737" t="s">
        <v>981</v>
      </c>
      <c r="H19" s="737" t="s">
        <v>896</v>
      </c>
      <c r="I19" s="30">
        <v>46263</v>
      </c>
      <c r="J19" s="33" t="s">
        <v>328</v>
      </c>
      <c r="K19" s="28"/>
      <c r="L19" s="28"/>
      <c r="M19" s="28"/>
      <c r="N19" s="28"/>
      <c r="O19" s="28"/>
      <c r="P19" s="28"/>
      <c r="Q19" s="28"/>
      <c r="R19" s="28"/>
    </row>
    <row r="20" spans="1:18" ht="17.5">
      <c r="A20" s="737">
        <v>10</v>
      </c>
      <c r="B20" s="28" t="s">
        <v>934</v>
      </c>
      <c r="E20" s="32">
        <f>1050/2</f>
        <v>525</v>
      </c>
      <c r="F20" s="625"/>
      <c r="G20" s="28" t="s">
        <v>138</v>
      </c>
      <c r="H20" s="737" t="s">
        <v>896</v>
      </c>
      <c r="I20" s="30">
        <v>46263</v>
      </c>
      <c r="J20" s="33" t="s">
        <v>328</v>
      </c>
      <c r="K20" s="28"/>
      <c r="L20" s="28"/>
      <c r="M20" s="28"/>
      <c r="N20" s="28"/>
      <c r="O20" s="28"/>
      <c r="P20" s="28"/>
      <c r="Q20" s="28"/>
      <c r="R20" s="28"/>
    </row>
    <row r="21" spans="1:18" ht="17.5">
      <c r="A21" s="737">
        <v>13</v>
      </c>
      <c r="B21" s="28" t="s">
        <v>937</v>
      </c>
      <c r="E21" s="32">
        <v>555</v>
      </c>
      <c r="F21" s="625"/>
      <c r="G21" s="737" t="s">
        <v>981</v>
      </c>
      <c r="H21" s="737" t="s">
        <v>896</v>
      </c>
      <c r="I21" s="30">
        <v>46263</v>
      </c>
      <c r="J21" s="33" t="s">
        <v>328</v>
      </c>
      <c r="K21" s="28"/>
      <c r="L21" s="28"/>
      <c r="M21" s="28"/>
      <c r="N21" s="28"/>
      <c r="O21" s="28"/>
      <c r="P21" s="28"/>
      <c r="Q21" s="28"/>
      <c r="R21" s="28"/>
    </row>
    <row r="22" spans="1:18" ht="17.5">
      <c r="A22" s="737">
        <v>17</v>
      </c>
      <c r="B22" s="28" t="s">
        <v>940</v>
      </c>
      <c r="E22" s="32">
        <f>1481/2</f>
        <v>740.5</v>
      </c>
      <c r="F22" s="625"/>
      <c r="G22" s="28" t="s">
        <v>150</v>
      </c>
      <c r="H22" s="737" t="s">
        <v>896</v>
      </c>
      <c r="I22" s="30">
        <v>46266</v>
      </c>
      <c r="J22" s="33" t="s">
        <v>328</v>
      </c>
      <c r="K22" s="28"/>
      <c r="L22" s="28"/>
      <c r="M22" s="28"/>
      <c r="N22" s="28"/>
      <c r="O22" s="28"/>
      <c r="P22" s="28"/>
      <c r="Q22" s="28"/>
      <c r="R22" s="28"/>
    </row>
    <row r="23" spans="1:18" ht="17.5">
      <c r="A23" s="737">
        <v>15</v>
      </c>
      <c r="B23" s="737" t="s">
        <v>939</v>
      </c>
      <c r="D23" s="737">
        <v>1</v>
      </c>
      <c r="E23" s="737">
        <v>800</v>
      </c>
      <c r="G23" s="28" t="s">
        <v>150</v>
      </c>
      <c r="H23" s="737" t="s">
        <v>896</v>
      </c>
      <c r="I23" s="30">
        <v>46264</v>
      </c>
      <c r="J23" s="33" t="s">
        <v>328</v>
      </c>
      <c r="K23" s="28"/>
      <c r="L23" s="28"/>
      <c r="M23" s="32"/>
      <c r="N23" s="28"/>
      <c r="O23" s="28"/>
      <c r="P23" s="28"/>
      <c r="Q23" s="28"/>
      <c r="R23" s="28"/>
    </row>
    <row r="24" spans="1:18" ht="17.5">
      <c r="A24" s="737">
        <v>14</v>
      </c>
      <c r="B24" s="28" t="s">
        <v>938</v>
      </c>
      <c r="E24" s="32">
        <v>850.73</v>
      </c>
      <c r="F24" s="625"/>
      <c r="G24" s="737" t="s">
        <v>981</v>
      </c>
      <c r="H24" s="737" t="s">
        <v>896</v>
      </c>
      <c r="I24" s="30">
        <v>46263</v>
      </c>
      <c r="J24" s="33" t="s">
        <v>328</v>
      </c>
      <c r="K24" s="28"/>
      <c r="L24" s="28"/>
      <c r="M24" s="28"/>
      <c r="N24" s="28"/>
      <c r="O24" s="28"/>
      <c r="P24" s="28"/>
      <c r="Q24" s="28"/>
      <c r="R24" s="28"/>
    </row>
    <row r="25" spans="1:18" ht="17.5">
      <c r="A25" s="737">
        <v>11</v>
      </c>
      <c r="B25" s="737" t="s">
        <v>935</v>
      </c>
      <c r="D25" s="737">
        <v>1</v>
      </c>
      <c r="E25" s="737">
        <v>1001.4</v>
      </c>
      <c r="G25" s="737" t="s">
        <v>981</v>
      </c>
      <c r="H25" s="737" t="s">
        <v>896</v>
      </c>
      <c r="I25" s="30">
        <v>46263</v>
      </c>
      <c r="J25" s="33" t="s">
        <v>328</v>
      </c>
      <c r="K25" s="28"/>
      <c r="L25" s="28"/>
      <c r="M25" s="28"/>
      <c r="N25" s="28"/>
      <c r="O25" s="28"/>
      <c r="P25" s="28"/>
      <c r="Q25" s="28"/>
      <c r="R25" s="28"/>
    </row>
    <row r="26" spans="1:18" ht="17.5">
      <c r="A26" s="737">
        <v>18</v>
      </c>
      <c r="B26" s="28" t="s">
        <v>973</v>
      </c>
      <c r="E26" s="32">
        <v>1260</v>
      </c>
      <c r="F26" s="625"/>
      <c r="G26" s="28" t="s">
        <v>150</v>
      </c>
      <c r="H26" s="737" t="s">
        <v>896</v>
      </c>
      <c r="I26" s="30">
        <v>46283</v>
      </c>
      <c r="J26" s="33" t="s">
        <v>328</v>
      </c>
      <c r="K26" s="28"/>
      <c r="L26" s="28"/>
      <c r="M26" s="28"/>
      <c r="N26" s="28"/>
      <c r="O26" s="28"/>
      <c r="P26" s="28"/>
      <c r="Q26" s="28"/>
      <c r="R26" s="28"/>
    </row>
    <row r="27" spans="1:18" ht="17.5">
      <c r="A27" s="737">
        <v>20</v>
      </c>
      <c r="B27" s="737" t="s">
        <v>137</v>
      </c>
      <c r="E27" s="737">
        <f>125*14</f>
        <v>1750</v>
      </c>
      <c r="G27" s="737" t="s">
        <v>137</v>
      </c>
      <c r="H27" s="737" t="s">
        <v>896</v>
      </c>
      <c r="I27" s="2">
        <v>46295</v>
      </c>
      <c r="J27" s="33" t="s">
        <v>328</v>
      </c>
      <c r="K27" s="28"/>
      <c r="L27" s="28"/>
      <c r="M27" s="28"/>
      <c r="N27" s="28"/>
      <c r="O27" s="28"/>
      <c r="P27" s="28"/>
      <c r="Q27" s="28"/>
      <c r="R27" s="28"/>
    </row>
    <row r="28" spans="1:18" ht="17.5">
      <c r="A28" s="737">
        <v>7</v>
      </c>
      <c r="B28" s="28" t="s">
        <v>930</v>
      </c>
      <c r="E28" s="32">
        <v>3300</v>
      </c>
      <c r="F28" s="625"/>
      <c r="G28" s="28" t="s">
        <v>150</v>
      </c>
      <c r="H28" s="737" t="s">
        <v>896</v>
      </c>
      <c r="I28" s="30">
        <v>46258</v>
      </c>
      <c r="J28" s="33" t="s">
        <v>328</v>
      </c>
      <c r="K28" s="28"/>
      <c r="L28" s="28"/>
      <c r="M28" s="28"/>
      <c r="N28" s="28"/>
      <c r="O28" s="28"/>
      <c r="P28" s="28"/>
      <c r="Q28" s="28"/>
      <c r="R28" s="28"/>
    </row>
    <row r="29" spans="1:18" ht="17.5">
      <c r="A29" s="737">
        <v>21</v>
      </c>
      <c r="B29" s="737" t="s">
        <v>140</v>
      </c>
      <c r="E29" s="737">
        <v>1696.21</v>
      </c>
      <c r="G29" s="28" t="s">
        <v>140</v>
      </c>
      <c r="H29" s="737" t="s">
        <v>896</v>
      </c>
      <c r="I29" s="2">
        <v>46295</v>
      </c>
      <c r="J29" s="33" t="s">
        <v>328</v>
      </c>
      <c r="K29" s="28"/>
      <c r="L29" s="28"/>
      <c r="M29" s="28"/>
      <c r="N29" s="28"/>
      <c r="O29" s="28"/>
      <c r="P29" s="28"/>
      <c r="Q29" s="28"/>
      <c r="R29" s="28"/>
    </row>
    <row r="30" spans="1:18" ht="17.5">
      <c r="A30" s="737">
        <v>22</v>
      </c>
      <c r="B30" s="737" t="s">
        <v>997</v>
      </c>
      <c r="E30" s="737">
        <f>118/2</f>
        <v>59</v>
      </c>
      <c r="G30" s="737" t="s">
        <v>974</v>
      </c>
      <c r="H30" s="737" t="s">
        <v>896</v>
      </c>
      <c r="I30" s="2">
        <v>46305</v>
      </c>
      <c r="J30" s="33" t="s">
        <v>331</v>
      </c>
      <c r="K30" s="28"/>
      <c r="L30" s="28"/>
      <c r="M30" s="32"/>
      <c r="N30" s="28"/>
      <c r="O30" s="28"/>
      <c r="P30" s="28"/>
      <c r="Q30" s="28"/>
      <c r="R30" s="28"/>
    </row>
    <row r="31" spans="1:18" ht="17.5">
      <c r="A31" s="737">
        <v>23</v>
      </c>
      <c r="B31" s="737" t="s">
        <v>997</v>
      </c>
      <c r="C31" s="241"/>
      <c r="D31" s="241"/>
      <c r="E31" s="737">
        <f>118/2</f>
        <v>59</v>
      </c>
      <c r="F31" s="241"/>
      <c r="G31" s="737" t="s">
        <v>974</v>
      </c>
      <c r="H31" s="737" t="s">
        <v>897</v>
      </c>
      <c r="I31" s="2">
        <v>46305</v>
      </c>
      <c r="J31" s="33" t="s">
        <v>331</v>
      </c>
      <c r="K31" s="28"/>
      <c r="L31" s="28"/>
      <c r="M31" s="32"/>
      <c r="N31" s="28"/>
      <c r="O31" s="28"/>
      <c r="P31" s="28"/>
      <c r="Q31" s="28"/>
      <c r="R31" s="28"/>
    </row>
    <row r="32" spans="1:18" ht="17.5">
      <c r="A32" s="737">
        <v>24</v>
      </c>
      <c r="B32" s="241" t="s">
        <v>998</v>
      </c>
      <c r="C32" s="241"/>
      <c r="D32" s="241"/>
      <c r="E32" s="241">
        <v>94.3</v>
      </c>
      <c r="F32" s="241"/>
      <c r="G32" s="737" t="s">
        <v>150</v>
      </c>
      <c r="H32" s="737" t="s">
        <v>896</v>
      </c>
      <c r="I32" s="240">
        <v>46306</v>
      </c>
      <c r="J32" s="33" t="s">
        <v>331</v>
      </c>
      <c r="K32" s="28"/>
      <c r="L32" s="28"/>
      <c r="M32" s="32"/>
      <c r="N32" s="28"/>
      <c r="O32" s="28"/>
      <c r="P32" s="28"/>
      <c r="Q32" s="28"/>
      <c r="R32" s="28"/>
    </row>
    <row r="33" spans="1:18" ht="17.5">
      <c r="A33" s="737">
        <v>25</v>
      </c>
      <c r="B33" s="241" t="s">
        <v>999</v>
      </c>
      <c r="C33" s="241"/>
      <c r="D33" s="241"/>
      <c r="E33" s="241">
        <v>30</v>
      </c>
      <c r="F33" s="241"/>
      <c r="G33" s="737" t="s">
        <v>150</v>
      </c>
      <c r="H33" s="737" t="s">
        <v>896</v>
      </c>
      <c r="I33" s="240">
        <v>46308</v>
      </c>
      <c r="J33" s="33" t="s">
        <v>331</v>
      </c>
      <c r="K33" s="28"/>
      <c r="L33" s="28"/>
      <c r="M33" s="32"/>
      <c r="N33" s="28"/>
      <c r="O33" s="28"/>
      <c r="P33" s="28"/>
      <c r="Q33" s="28"/>
      <c r="R33" s="28"/>
    </row>
    <row r="34" spans="1:18" ht="17.5">
      <c r="A34" s="737">
        <v>26</v>
      </c>
      <c r="B34" s="241" t="s">
        <v>1001</v>
      </c>
      <c r="C34" s="241"/>
      <c r="D34" s="241"/>
      <c r="E34" s="241">
        <v>438.8</v>
      </c>
      <c r="F34" s="241"/>
      <c r="G34" s="737" t="s">
        <v>150</v>
      </c>
      <c r="H34" s="737" t="s">
        <v>896</v>
      </c>
      <c r="I34" s="240">
        <v>46309</v>
      </c>
      <c r="J34" s="33" t="s">
        <v>331</v>
      </c>
      <c r="K34" s="28"/>
      <c r="L34" s="28"/>
      <c r="M34" s="32"/>
      <c r="N34" s="28"/>
      <c r="O34" s="28"/>
      <c r="P34" s="28"/>
      <c r="Q34" s="28"/>
      <c r="R34" s="28"/>
    </row>
    <row r="35" spans="1:18" ht="17.5">
      <c r="A35" s="737">
        <v>27</v>
      </c>
      <c r="B35" s="241" t="s">
        <v>1000</v>
      </c>
      <c r="C35" s="241"/>
      <c r="D35" s="241"/>
      <c r="E35" s="241">
        <v>80</v>
      </c>
      <c r="F35" s="241"/>
      <c r="G35" s="737" t="s">
        <v>150</v>
      </c>
      <c r="H35" s="737" t="s">
        <v>896</v>
      </c>
      <c r="I35" s="240">
        <v>46310</v>
      </c>
      <c r="J35" s="33" t="s">
        <v>331</v>
      </c>
      <c r="K35" s="28"/>
      <c r="L35" s="28"/>
      <c r="M35" s="32"/>
      <c r="N35" s="28"/>
      <c r="O35" s="28"/>
      <c r="P35" s="28"/>
      <c r="Q35" s="28"/>
      <c r="R35" s="28"/>
    </row>
    <row r="36" spans="1:18" ht="17.5">
      <c r="A36" s="737">
        <v>28</v>
      </c>
      <c r="B36" s="737" t="s">
        <v>1002</v>
      </c>
      <c r="E36" s="737">
        <v>90</v>
      </c>
      <c r="G36" s="737" t="s">
        <v>139</v>
      </c>
      <c r="H36" s="737" t="s">
        <v>897</v>
      </c>
      <c r="I36" s="2">
        <v>46299</v>
      </c>
      <c r="J36" s="33" t="s">
        <v>331</v>
      </c>
      <c r="K36" s="28"/>
      <c r="L36" s="28"/>
      <c r="M36" s="32"/>
      <c r="N36" s="28"/>
      <c r="O36" s="28"/>
      <c r="P36" s="28"/>
      <c r="Q36" s="28"/>
      <c r="R36" s="28"/>
    </row>
    <row r="37" spans="1:18" ht="17.5">
      <c r="A37" s="737">
        <v>29</v>
      </c>
      <c r="B37" s="241" t="s">
        <v>1003</v>
      </c>
      <c r="C37" s="241"/>
      <c r="D37" s="241"/>
      <c r="E37" s="241">
        <v>20</v>
      </c>
      <c r="F37" s="241"/>
      <c r="G37" s="737" t="s">
        <v>139</v>
      </c>
      <c r="H37" s="737" t="s">
        <v>897</v>
      </c>
      <c r="I37" s="2">
        <v>46299</v>
      </c>
      <c r="J37" s="33" t="s">
        <v>331</v>
      </c>
      <c r="K37" s="28"/>
      <c r="L37" s="28"/>
      <c r="M37" s="28"/>
      <c r="N37" s="28"/>
      <c r="O37" s="28"/>
      <c r="P37" s="28"/>
      <c r="Q37" s="28"/>
      <c r="R37" s="28"/>
    </row>
    <row r="38" spans="1:18" ht="17.5">
      <c r="A38" s="737">
        <v>30</v>
      </c>
      <c r="B38" s="737" t="s">
        <v>1004</v>
      </c>
      <c r="E38" s="737">
        <v>2175</v>
      </c>
      <c r="G38" s="737" t="s">
        <v>150</v>
      </c>
      <c r="H38" s="737" t="s">
        <v>897</v>
      </c>
      <c r="I38" s="2">
        <v>46299</v>
      </c>
      <c r="J38" s="33" t="s">
        <v>331</v>
      </c>
      <c r="K38" s="28"/>
      <c r="L38" s="28"/>
      <c r="M38" s="28"/>
      <c r="N38" s="28"/>
      <c r="O38" s="28"/>
      <c r="P38" s="28"/>
      <c r="Q38" s="28"/>
      <c r="R38" s="28"/>
    </row>
    <row r="39" spans="1:18" ht="17.5">
      <c r="A39" s="737">
        <v>31</v>
      </c>
      <c r="B39" s="737" t="s">
        <v>933</v>
      </c>
      <c r="E39" s="737">
        <v>150</v>
      </c>
      <c r="G39" s="737" t="s">
        <v>150</v>
      </c>
      <c r="H39" s="737" t="s">
        <v>897</v>
      </c>
      <c r="I39" s="2">
        <v>46300</v>
      </c>
      <c r="J39" s="33" t="s">
        <v>331</v>
      </c>
      <c r="K39" s="28"/>
      <c r="L39" s="28"/>
      <c r="M39" s="28"/>
      <c r="N39" s="28"/>
      <c r="O39" s="28"/>
      <c r="P39" s="28"/>
      <c r="Q39" s="28"/>
      <c r="R39" s="28"/>
    </row>
    <row r="40" spans="1:18" ht="17.5">
      <c r="A40" s="737">
        <v>32</v>
      </c>
      <c r="B40" s="241" t="s">
        <v>1007</v>
      </c>
      <c r="C40" s="241"/>
      <c r="D40" s="241"/>
      <c r="E40" s="241">
        <v>115</v>
      </c>
      <c r="F40" s="241"/>
      <c r="G40" s="241" t="s">
        <v>139</v>
      </c>
      <c r="H40" s="737" t="s">
        <v>897</v>
      </c>
      <c r="I40" s="240">
        <v>46305</v>
      </c>
      <c r="J40" s="33" t="s">
        <v>331</v>
      </c>
      <c r="K40" s="28"/>
      <c r="L40" s="28"/>
      <c r="M40" s="28"/>
      <c r="N40" s="28"/>
      <c r="O40" s="28"/>
      <c r="P40" s="28"/>
      <c r="Q40" s="28"/>
      <c r="R40" s="28"/>
    </row>
    <row r="41" spans="1:18" ht="17.5">
      <c r="A41" s="737">
        <v>33</v>
      </c>
      <c r="B41" s="241" t="s">
        <v>1005</v>
      </c>
      <c r="E41" s="737">
        <v>280</v>
      </c>
      <c r="G41" s="737" t="s">
        <v>139</v>
      </c>
      <c r="H41" s="737" t="s">
        <v>897</v>
      </c>
      <c r="I41" s="240">
        <v>46305</v>
      </c>
      <c r="J41" s="33" t="s">
        <v>331</v>
      </c>
      <c r="K41" s="28"/>
      <c r="L41" s="28"/>
      <c r="M41" s="28"/>
      <c r="N41" s="28"/>
      <c r="O41" s="28"/>
      <c r="P41" s="28"/>
      <c r="Q41" s="28"/>
      <c r="R41" s="28"/>
    </row>
    <row r="42" spans="1:18" ht="17.5">
      <c r="A42" s="737">
        <v>34</v>
      </c>
      <c r="B42" s="241" t="s">
        <v>1006</v>
      </c>
      <c r="C42" s="241"/>
      <c r="D42" s="241"/>
      <c r="E42" s="241">
        <v>8</v>
      </c>
      <c r="F42" s="241"/>
      <c r="G42" s="737" t="s">
        <v>139</v>
      </c>
      <c r="H42" s="737" t="s">
        <v>897</v>
      </c>
      <c r="I42" s="240">
        <v>46305</v>
      </c>
      <c r="J42" s="33" t="s">
        <v>331</v>
      </c>
      <c r="K42" s="28"/>
      <c r="L42" s="28"/>
      <c r="M42" s="28"/>
      <c r="N42" s="28"/>
      <c r="O42" s="28"/>
      <c r="P42" s="28"/>
      <c r="Q42" s="28"/>
      <c r="R42" s="28"/>
    </row>
    <row r="43" spans="1:18" ht="17.5">
      <c r="A43" s="737">
        <v>35</v>
      </c>
      <c r="B43" s="737" t="s">
        <v>1008</v>
      </c>
      <c r="C43" s="241"/>
      <c r="D43" s="241"/>
      <c r="E43" s="241">
        <v>70</v>
      </c>
      <c r="F43" s="241"/>
      <c r="G43" s="737" t="s">
        <v>139</v>
      </c>
      <c r="H43" s="737" t="s">
        <v>897</v>
      </c>
      <c r="I43" s="240">
        <v>46308</v>
      </c>
      <c r="J43" s="33" t="s">
        <v>331</v>
      </c>
      <c r="K43" s="28"/>
      <c r="L43" s="28"/>
      <c r="M43" s="28"/>
      <c r="N43" s="28"/>
      <c r="O43" s="28"/>
      <c r="P43" s="28"/>
      <c r="Q43" s="28"/>
      <c r="R43" s="28"/>
    </row>
    <row r="44" spans="1:18" ht="17.5">
      <c r="A44" s="737">
        <v>36</v>
      </c>
      <c r="B44" s="241" t="s">
        <v>1009</v>
      </c>
      <c r="C44" s="241"/>
      <c r="D44" s="241"/>
      <c r="E44" s="241">
        <v>38</v>
      </c>
      <c r="F44" s="241"/>
      <c r="G44" s="737" t="s">
        <v>141</v>
      </c>
      <c r="H44" s="737" t="s">
        <v>897</v>
      </c>
      <c r="I44" s="240">
        <v>46309</v>
      </c>
      <c r="J44" s="33" t="s">
        <v>331</v>
      </c>
      <c r="K44" s="28"/>
      <c r="L44" s="28"/>
      <c r="M44" s="28"/>
      <c r="N44" s="28"/>
      <c r="O44" s="28"/>
      <c r="P44" s="28"/>
      <c r="Q44" s="28"/>
      <c r="R44" s="28"/>
    </row>
    <row r="45" spans="1:18" ht="17.5">
      <c r="A45" s="737">
        <v>37</v>
      </c>
      <c r="B45" s="241" t="s">
        <v>1010</v>
      </c>
      <c r="C45" s="241"/>
      <c r="D45" s="241"/>
      <c r="E45" s="241">
        <v>109.2</v>
      </c>
      <c r="F45" s="241"/>
      <c r="G45" s="241" t="s">
        <v>150</v>
      </c>
      <c r="H45" s="737" t="s">
        <v>897</v>
      </c>
      <c r="I45" s="240">
        <v>46309</v>
      </c>
      <c r="J45" s="33" t="s">
        <v>331</v>
      </c>
      <c r="K45" s="28"/>
      <c r="L45" s="28"/>
      <c r="M45" s="28"/>
      <c r="N45" s="28"/>
      <c r="O45" s="28"/>
      <c r="P45" s="28"/>
      <c r="Q45" s="28"/>
      <c r="R45" s="28"/>
    </row>
    <row r="46" spans="1:18" ht="17.5">
      <c r="A46" s="737">
        <v>38</v>
      </c>
      <c r="B46" s="241" t="s">
        <v>1011</v>
      </c>
      <c r="C46" s="241"/>
      <c r="D46" s="241"/>
      <c r="E46" s="241">
        <v>60</v>
      </c>
      <c r="F46" s="241"/>
      <c r="G46" s="241" t="s">
        <v>150</v>
      </c>
      <c r="H46" s="737" t="s">
        <v>897</v>
      </c>
      <c r="I46" s="240">
        <v>46310</v>
      </c>
      <c r="J46" s="33" t="s">
        <v>331</v>
      </c>
      <c r="K46" s="28"/>
      <c r="L46" s="28"/>
      <c r="M46" s="28"/>
      <c r="N46" s="28"/>
      <c r="O46" s="28"/>
      <c r="P46" s="28"/>
      <c r="Q46" s="28"/>
      <c r="R46" s="28"/>
    </row>
    <row r="47" spans="1:18" ht="17.5">
      <c r="A47" s="737">
        <v>39</v>
      </c>
      <c r="B47" s="241" t="s">
        <v>1012</v>
      </c>
      <c r="C47" s="241"/>
      <c r="D47" s="241"/>
      <c r="E47" s="241">
        <v>1450</v>
      </c>
      <c r="F47" s="241"/>
      <c r="G47" s="241" t="s">
        <v>150</v>
      </c>
      <c r="H47" s="737" t="s">
        <v>897</v>
      </c>
      <c r="I47" s="240">
        <v>46320</v>
      </c>
      <c r="J47" s="33" t="s">
        <v>331</v>
      </c>
      <c r="K47" s="28"/>
      <c r="L47" s="28"/>
      <c r="M47" s="28"/>
      <c r="N47" s="28"/>
      <c r="O47" s="28"/>
      <c r="P47" s="28"/>
      <c r="Q47" s="28"/>
      <c r="R47" s="28"/>
    </row>
    <row r="48" spans="1:18" ht="17.5">
      <c r="A48" s="737">
        <v>40</v>
      </c>
      <c r="B48" s="241" t="s">
        <v>1013</v>
      </c>
      <c r="C48" s="241"/>
      <c r="D48" s="241"/>
      <c r="E48" s="241">
        <v>2646</v>
      </c>
      <c r="F48" s="241"/>
      <c r="G48" s="737" t="s">
        <v>140</v>
      </c>
      <c r="H48" s="737" t="s">
        <v>896</v>
      </c>
      <c r="I48" s="240">
        <v>46320</v>
      </c>
      <c r="J48" s="33" t="s">
        <v>331</v>
      </c>
      <c r="K48" s="28"/>
      <c r="L48" s="28"/>
      <c r="M48" s="28"/>
      <c r="N48" s="28"/>
      <c r="O48" s="28"/>
      <c r="P48" s="28"/>
      <c r="Q48" s="28"/>
      <c r="R48" s="28"/>
    </row>
    <row r="49" spans="1:18" ht="17.5">
      <c r="A49" s="737">
        <v>41</v>
      </c>
      <c r="B49" s="419" t="s">
        <v>137</v>
      </c>
      <c r="C49" s="241"/>
      <c r="D49" s="241"/>
      <c r="E49" s="612">
        <f>125*1</f>
        <v>125</v>
      </c>
      <c r="F49" s="614"/>
      <c r="G49" s="419" t="s">
        <v>137</v>
      </c>
      <c r="H49" s="241">
        <v>102</v>
      </c>
      <c r="I49" s="613">
        <v>46296</v>
      </c>
      <c r="J49" s="33" t="s">
        <v>331</v>
      </c>
      <c r="K49" s="28"/>
      <c r="L49" s="28"/>
      <c r="M49" s="28"/>
      <c r="N49" s="28"/>
      <c r="O49" s="28"/>
      <c r="P49" s="28"/>
      <c r="Q49" s="28"/>
      <c r="R49" s="28"/>
    </row>
    <row r="50" spans="1:18" ht="17.5">
      <c r="A50" s="737">
        <v>42</v>
      </c>
      <c r="B50" s="419" t="s">
        <v>137</v>
      </c>
      <c r="C50" s="241"/>
      <c r="D50" s="241"/>
      <c r="E50" s="612">
        <f>125*7</f>
        <v>875</v>
      </c>
      <c r="F50" s="614"/>
      <c r="G50" s="419" t="s">
        <v>137</v>
      </c>
      <c r="H50" s="241" t="s">
        <v>897</v>
      </c>
      <c r="I50" s="613">
        <v>46296</v>
      </c>
      <c r="J50" s="33" t="s">
        <v>331</v>
      </c>
      <c r="K50" s="28"/>
      <c r="L50" s="28"/>
      <c r="M50" s="28"/>
      <c r="N50" s="28"/>
      <c r="O50" s="28"/>
      <c r="P50" s="28"/>
      <c r="Q50" s="28"/>
      <c r="R50" s="28"/>
    </row>
    <row r="51" spans="1:18" ht="17.5">
      <c r="A51" s="737">
        <v>43</v>
      </c>
      <c r="B51" s="419" t="s">
        <v>137</v>
      </c>
      <c r="C51" s="241"/>
      <c r="D51" s="241"/>
      <c r="E51" s="612">
        <f>125*1</f>
        <v>125</v>
      </c>
      <c r="F51" s="241"/>
      <c r="G51" s="419" t="s">
        <v>137</v>
      </c>
      <c r="H51" s="737" t="s">
        <v>896</v>
      </c>
      <c r="I51" s="613">
        <v>46296</v>
      </c>
      <c r="J51" s="33" t="s">
        <v>331</v>
      </c>
      <c r="K51" s="28"/>
      <c r="L51" s="28"/>
      <c r="M51" s="28"/>
      <c r="N51" s="28"/>
      <c r="O51" s="28"/>
      <c r="P51" s="28"/>
      <c r="Q51" s="28"/>
      <c r="R51" s="28"/>
    </row>
    <row r="52" spans="1:18" ht="17.5">
      <c r="A52" s="737">
        <v>44</v>
      </c>
      <c r="B52" s="610" t="s">
        <v>1739</v>
      </c>
      <c r="C52" s="241"/>
      <c r="D52" s="241"/>
      <c r="E52" s="612">
        <f>125*1</f>
        <v>125</v>
      </c>
      <c r="F52" s="614"/>
      <c r="G52" s="419" t="s">
        <v>137</v>
      </c>
      <c r="H52" s="737" t="s">
        <v>896</v>
      </c>
      <c r="I52" s="613">
        <v>46296</v>
      </c>
      <c r="J52" s="33" t="s">
        <v>331</v>
      </c>
      <c r="K52" s="28"/>
      <c r="L52" s="28"/>
      <c r="M52" s="28"/>
      <c r="N52" s="28"/>
      <c r="O52" s="28"/>
      <c r="P52" s="28"/>
      <c r="Q52" s="28"/>
      <c r="R52" s="28"/>
    </row>
    <row r="53" spans="1:18" ht="17.5">
      <c r="A53" s="737">
        <v>45</v>
      </c>
      <c r="B53" s="610" t="s">
        <v>1739</v>
      </c>
      <c r="C53" s="615"/>
      <c r="D53" s="241"/>
      <c r="E53" s="612">
        <f>125*3</f>
        <v>375</v>
      </c>
      <c r="F53" s="614"/>
      <c r="G53" s="419" t="s">
        <v>137</v>
      </c>
      <c r="H53" s="241">
        <v>102</v>
      </c>
      <c r="I53" s="613">
        <v>46296</v>
      </c>
      <c r="J53" s="33" t="s">
        <v>331</v>
      </c>
      <c r="K53" s="28"/>
      <c r="L53" s="28"/>
      <c r="M53" s="28"/>
      <c r="N53" s="28"/>
      <c r="O53" s="28"/>
      <c r="P53" s="28"/>
      <c r="Q53" s="28"/>
      <c r="R53" s="28"/>
    </row>
    <row r="54" spans="1:18" ht="17.5">
      <c r="A54" s="737">
        <v>46</v>
      </c>
      <c r="B54" s="419"/>
      <c r="C54" s="615"/>
      <c r="D54" s="241"/>
      <c r="E54" s="612"/>
      <c r="F54" s="614"/>
      <c r="G54" s="419"/>
      <c r="H54" s="241"/>
      <c r="I54" s="613"/>
      <c r="J54" s="662"/>
      <c r="K54" s="28"/>
      <c r="L54" s="28"/>
      <c r="M54" s="28"/>
      <c r="N54" s="28"/>
      <c r="O54" s="28"/>
      <c r="P54" s="28"/>
      <c r="Q54" s="28"/>
      <c r="R54" s="28"/>
    </row>
    <row r="55" spans="1:18" ht="17.5">
      <c r="A55" s="737">
        <v>47</v>
      </c>
      <c r="B55" s="419"/>
      <c r="C55" s="615"/>
      <c r="D55" s="241"/>
      <c r="E55" s="612"/>
      <c r="F55" s="614"/>
      <c r="G55" s="419"/>
      <c r="H55" s="241"/>
      <c r="I55" s="613"/>
      <c r="J55" s="662"/>
      <c r="K55" s="28"/>
      <c r="L55" s="28"/>
      <c r="M55" s="28"/>
      <c r="N55" s="28"/>
      <c r="O55" s="28"/>
      <c r="P55" s="28"/>
      <c r="Q55" s="28"/>
      <c r="R55" s="28"/>
    </row>
    <row r="56" spans="1:18" ht="17.5">
      <c r="A56" s="737">
        <v>48</v>
      </c>
      <c r="B56" s="419"/>
      <c r="C56" s="615"/>
      <c r="D56" s="241"/>
      <c r="E56" s="612"/>
      <c r="F56" s="614"/>
      <c r="G56" s="419"/>
      <c r="H56" s="241"/>
      <c r="I56" s="613"/>
      <c r="J56" s="33"/>
      <c r="K56" s="28"/>
      <c r="L56" s="28"/>
      <c r="M56" s="28"/>
      <c r="N56" s="28"/>
      <c r="O56" s="28"/>
      <c r="P56" s="28"/>
      <c r="Q56" s="28"/>
      <c r="R56" s="28"/>
    </row>
    <row r="57" spans="1:18" ht="18">
      <c r="A57" s="737">
        <v>49</v>
      </c>
      <c r="B57" s="419"/>
      <c r="C57" s="241"/>
      <c r="D57" s="241"/>
      <c r="E57" s="612"/>
      <c r="F57" s="614"/>
      <c r="G57" s="419"/>
      <c r="H57" s="241"/>
      <c r="I57" s="613"/>
      <c r="J57" s="33"/>
      <c r="K57" s="28"/>
      <c r="L57" s="28"/>
      <c r="M57" s="28"/>
      <c r="N57" s="28"/>
      <c r="O57" s="28"/>
      <c r="P57" s="28"/>
      <c r="Q57" s="28"/>
      <c r="R57" s="28"/>
    </row>
    <row r="58" spans="1:18" ht="18">
      <c r="A58" s="737">
        <v>50</v>
      </c>
      <c r="B58" s="419"/>
      <c r="C58" s="241"/>
      <c r="D58" s="241"/>
      <c r="E58" s="612"/>
      <c r="F58" s="614"/>
      <c r="G58" s="419"/>
      <c r="H58" s="241"/>
      <c r="I58" s="613"/>
      <c r="J58" s="33"/>
      <c r="K58" s="28"/>
      <c r="L58" s="28"/>
      <c r="M58" s="28"/>
      <c r="N58" s="28"/>
      <c r="O58" s="28"/>
      <c r="P58" s="28"/>
      <c r="Q58" s="28"/>
      <c r="R58" s="28"/>
    </row>
    <row r="59" spans="1:18" ht="18">
      <c r="A59" s="737">
        <v>51</v>
      </c>
      <c r="B59" s="419"/>
      <c r="C59" s="241"/>
      <c r="D59" s="241"/>
      <c r="E59" s="612"/>
      <c r="F59" s="614"/>
      <c r="G59" s="419"/>
      <c r="H59" s="241"/>
      <c r="I59" s="613"/>
      <c r="J59" s="33"/>
      <c r="K59" s="28"/>
      <c r="L59" s="28"/>
      <c r="M59" s="28"/>
      <c r="N59" s="28"/>
      <c r="O59" s="28"/>
      <c r="P59" s="28"/>
      <c r="Q59" s="28"/>
      <c r="R59" s="28"/>
    </row>
    <row r="60" spans="1:18" ht="18">
      <c r="A60" s="737">
        <v>52</v>
      </c>
      <c r="B60" s="241"/>
      <c r="C60" s="241"/>
      <c r="D60" s="241"/>
      <c r="E60" s="241"/>
      <c r="F60" s="241"/>
      <c r="G60" s="241"/>
      <c r="H60" s="241"/>
      <c r="I60" s="240"/>
      <c r="J60" s="662"/>
      <c r="K60" s="28"/>
      <c r="L60" s="28"/>
      <c r="M60" s="28"/>
      <c r="N60" s="28"/>
      <c r="O60" s="28"/>
      <c r="P60" s="28"/>
      <c r="Q60" s="28"/>
      <c r="R60" s="28"/>
    </row>
    <row r="61" spans="1:18" ht="18">
      <c r="A61" s="737">
        <v>53</v>
      </c>
      <c r="B61" s="241"/>
      <c r="C61" s="241"/>
      <c r="D61" s="241"/>
      <c r="E61" s="241"/>
      <c r="F61" s="241"/>
      <c r="G61" s="241"/>
      <c r="H61" s="241"/>
      <c r="I61" s="240"/>
      <c r="J61" s="662"/>
      <c r="K61" s="28"/>
      <c r="L61" s="28"/>
      <c r="M61" s="28"/>
      <c r="N61" s="28"/>
      <c r="O61" s="28"/>
      <c r="P61" s="28"/>
      <c r="Q61" s="28"/>
      <c r="R61" s="28"/>
    </row>
    <row r="62" spans="1:18" ht="18">
      <c r="A62" s="737">
        <v>54</v>
      </c>
      <c r="B62" s="610"/>
      <c r="C62" s="611"/>
      <c r="D62" s="241"/>
      <c r="E62" s="612"/>
      <c r="F62" s="612"/>
      <c r="G62" s="241"/>
      <c r="H62" s="241"/>
      <c r="I62" s="240"/>
      <c r="J62" s="662"/>
      <c r="K62" s="28"/>
      <c r="L62" s="28"/>
      <c r="M62" s="28"/>
      <c r="N62" s="28"/>
      <c r="O62" s="28"/>
      <c r="P62" s="28"/>
      <c r="Q62" s="28"/>
      <c r="R62" s="28"/>
    </row>
    <row r="63" spans="1:18" ht="18">
      <c r="A63" s="737">
        <v>55</v>
      </c>
      <c r="B63" s="610"/>
      <c r="C63" s="241"/>
      <c r="D63" s="241"/>
      <c r="E63" s="612"/>
      <c r="F63" s="614"/>
      <c r="G63" s="241"/>
      <c r="H63" s="241"/>
      <c r="I63" s="240"/>
      <c r="J63" s="662"/>
      <c r="K63" s="28"/>
      <c r="L63" s="28"/>
      <c r="M63" s="28"/>
      <c r="N63" s="28"/>
      <c r="O63" s="28"/>
      <c r="P63" s="28"/>
      <c r="Q63" s="28"/>
      <c r="R63" s="28"/>
    </row>
    <row r="64" spans="1:18" ht="18">
      <c r="A64" s="737">
        <v>56</v>
      </c>
      <c r="B64" s="663"/>
      <c r="C64" s="664"/>
      <c r="D64" s="242"/>
      <c r="E64" s="665"/>
      <c r="F64" s="666"/>
      <c r="G64" s="242"/>
      <c r="H64" s="242"/>
      <c r="I64" s="667"/>
      <c r="J64" s="668"/>
      <c r="K64" s="28"/>
      <c r="L64" s="28"/>
      <c r="M64" s="28"/>
      <c r="N64" s="28"/>
      <c r="O64" s="28"/>
      <c r="P64" s="28"/>
      <c r="Q64" s="28"/>
      <c r="R64" s="28"/>
    </row>
    <row r="65" spans="4:9">
      <c r="D65" s="241"/>
      <c r="I65" s="2"/>
    </row>
    <row r="66" spans="4:9">
      <c r="D66" s="459"/>
      <c r="I66" s="2"/>
    </row>
    <row r="67" spans="4:9">
      <c r="D67" s="241"/>
      <c r="I67" s="2"/>
    </row>
    <row r="68" spans="4:9">
      <c r="D68" s="241"/>
      <c r="I68" s="2"/>
    </row>
    <row r="69" spans="4:9">
      <c r="D69" s="241"/>
      <c r="I69" s="2"/>
    </row>
    <row r="70" spans="4:9">
      <c r="D70" s="459"/>
      <c r="I70" s="2"/>
    </row>
    <row r="71" spans="4:9">
      <c r="D71" s="241"/>
      <c r="I71" s="2"/>
    </row>
    <row r="72" spans="4:9">
      <c r="D72" s="241"/>
      <c r="I72" s="2"/>
    </row>
    <row r="73" spans="4:9">
      <c r="D73" s="241"/>
    </row>
    <row r="74" spans="4:9">
      <c r="D74" s="241"/>
    </row>
    <row r="75" spans="4:9">
      <c r="D75" s="241"/>
    </row>
    <row r="76" spans="4:9">
      <c r="D76" s="241"/>
    </row>
    <row r="77" spans="4:9">
      <c r="D77" s="241"/>
    </row>
    <row r="78" spans="4:9">
      <c r="D78" s="241"/>
    </row>
  </sheetData>
  <pageMargins left="0.7" right="0.7" top="0.75" bottom="0.75" header="0.3" footer="0.3"/>
  <ignoredErrors>
    <ignoredError sqref="E50" formula="1"/>
  </ignoredErrors>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7FF969EF-73D0-4548-89C3-218973ED9010}">
          <x14:formula1>
            <xm:f>Menus!$C$4:$C$88</xm:f>
          </x14:formula1>
          <xm:sqref>J9:J72</xm:sqref>
        </x14:dataValidation>
        <x14:dataValidation type="list" allowBlank="1" showInputMessage="1" showErrorMessage="1" xr:uid="{700B2AAC-3CB4-4826-AD17-DA5DC331D978}">
          <x14:formula1>
            <xm:f>Menus!$B$4:$B$88</xm:f>
          </x14:formula1>
          <xm:sqref>H9:H72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ورقة19"/>
  <dimension ref="B1:BA101"/>
  <sheetViews>
    <sheetView showGridLines="0" rightToLeft="1" topLeftCell="B1" zoomScale="66" workbookViewId="0">
      <selection activeCell="H56" sqref="H56"/>
    </sheetView>
  </sheetViews>
  <sheetFormatPr defaultRowHeight="15.5"/>
  <cols>
    <col min="2" max="2" width="38.15234375" bestFit="1" customWidth="1"/>
    <col min="3" max="3" width="11.23046875" bestFit="1" customWidth="1"/>
    <col min="4" max="4" width="40.61328125" bestFit="1" customWidth="1"/>
    <col min="5" max="5" width="16.3046875" customWidth="1"/>
    <col min="6" max="6" width="48.61328125" customWidth="1"/>
    <col min="7" max="7" width="8.15234375" customWidth="1"/>
    <col min="8" max="8" width="10.69140625" bestFit="1" customWidth="1"/>
    <col min="9" max="9" width="24.4609375" bestFit="1" customWidth="1"/>
    <col min="10" max="10" width="32.84375" bestFit="1" customWidth="1"/>
    <col min="11" max="11" width="11.23046875" bestFit="1" customWidth="1"/>
    <col min="12" max="12" width="36" bestFit="1" customWidth="1"/>
    <col min="13" max="13" width="10.69140625" bestFit="1" customWidth="1"/>
    <col min="14" max="14" width="8.15234375" bestFit="1" customWidth="1"/>
    <col min="15" max="15" width="8.23046875" bestFit="1" customWidth="1"/>
    <col min="16" max="16" width="8.15234375" bestFit="1" customWidth="1"/>
    <col min="17" max="17" width="10" bestFit="1" customWidth="1"/>
    <col min="18" max="18" width="8.15234375" bestFit="1" customWidth="1"/>
    <col min="19" max="19" width="3.765625" bestFit="1" customWidth="1"/>
    <col min="20" max="20" width="10" bestFit="1" customWidth="1"/>
    <col min="21" max="21" width="8.15234375" bestFit="1" customWidth="1"/>
    <col min="22" max="22" width="3.765625" bestFit="1" customWidth="1"/>
    <col min="23" max="23" width="10" bestFit="1" customWidth="1"/>
    <col min="24" max="24" width="8.15234375" bestFit="1" customWidth="1"/>
    <col min="25" max="25" width="3.765625" bestFit="1" customWidth="1"/>
    <col min="26" max="26" width="11.23046875" bestFit="1" customWidth="1"/>
    <col min="27" max="27" width="8.15234375" bestFit="1" customWidth="1"/>
    <col min="32" max="32" width="32.921875" bestFit="1" customWidth="1"/>
    <col min="33" max="33" width="11.23046875" bestFit="1" customWidth="1"/>
    <col min="34" max="34" width="8.15234375" bestFit="1" customWidth="1"/>
    <col min="35" max="35" width="10.69140625" bestFit="1" customWidth="1"/>
    <col min="36" max="36" width="5.921875" bestFit="1" customWidth="1"/>
    <col min="42" max="42" width="3.765625" bestFit="1" customWidth="1"/>
    <col min="43" max="43" width="9.69140625" bestFit="1" customWidth="1"/>
    <col min="44" max="44" width="8.15234375" bestFit="1" customWidth="1"/>
    <col min="45" max="45" width="3.765625" bestFit="1" customWidth="1"/>
    <col min="46" max="46" width="10" bestFit="1" customWidth="1"/>
    <col min="47" max="47" width="8.15234375" bestFit="1" customWidth="1"/>
    <col min="48" max="48" width="3.765625" bestFit="1" customWidth="1"/>
    <col min="49" max="49" width="10" bestFit="1" customWidth="1"/>
    <col min="50" max="50" width="8.15234375" bestFit="1" customWidth="1"/>
    <col min="51" max="51" width="3.765625" bestFit="1" customWidth="1"/>
    <col min="52" max="52" width="11.23046875" bestFit="1" customWidth="1"/>
    <col min="53" max="53" width="8.15234375" bestFit="1" customWidth="1"/>
  </cols>
  <sheetData>
    <row r="1" spans="3:41" ht="20">
      <c r="K1" s="26" t="e">
        <f>IF(F3="من منصة ايجار الي البنك",(SUMIFS(#REF!,#REF!,'Monthly Report'!D8,#REF!,'Monthly Report'!F8,#REF!,'Monthly Report'!F3)),IF(F3="منصة ايجار",(SUMIFS(#REF!,#REF!,'Monthly Report'!D8,#REF!,'Monthly Report'!F3)),IF(F3="",(SUMIFS(#REF!,#REF!,'Monthly Report'!D8,#REF!,"من منصة ايجار الي البنك")),"0")))</f>
        <v>#REF!</v>
      </c>
    </row>
    <row r="2" spans="3:41" ht="20">
      <c r="C2" s="670"/>
      <c r="D2" s="671"/>
      <c r="E2" s="671"/>
      <c r="F2" s="671"/>
      <c r="G2" s="672"/>
      <c r="I2" s="26" t="s">
        <v>157</v>
      </c>
    </row>
    <row r="3" spans="3:41" ht="20">
      <c r="C3" s="673"/>
      <c r="D3" s="749" t="s">
        <v>43</v>
      </c>
      <c r="E3" s="749"/>
      <c r="F3" s="682" t="s">
        <v>41</v>
      </c>
      <c r="G3" s="674"/>
    </row>
    <row r="4" spans="3:41" ht="20">
      <c r="C4" s="673"/>
      <c r="D4" s="47"/>
      <c r="E4" s="47"/>
      <c r="F4" s="47"/>
      <c r="G4" s="674"/>
      <c r="J4" s="137" t="s">
        <v>166</v>
      </c>
      <c r="K4" s="143" t="s">
        <v>140</v>
      </c>
      <c r="L4" s="138">
        <f>SUMIFS(الجدول5[الإجمالي],الجدول5[المبني],'Monthly Report'!D8,الجدول5[شهر],'Monthly Report'!F8,الجدول5[الصنف],K4)</f>
        <v>0</v>
      </c>
    </row>
    <row r="5" spans="3:41" ht="20">
      <c r="C5" s="673"/>
      <c r="D5" s="749" t="str">
        <f>"تقرير شهر  "&amp;F8&amp;" المبني "&amp;D8</f>
        <v>تقرير شهر  أكتوبر 26 المبني B</v>
      </c>
      <c r="E5" s="749"/>
      <c r="F5" s="749"/>
      <c r="G5" s="674"/>
      <c r="J5" s="144" t="s">
        <v>159</v>
      </c>
      <c r="K5" s="145">
        <f>L4*20%</f>
        <v>0</v>
      </c>
      <c r="L5" s="146" t="s">
        <v>162</v>
      </c>
    </row>
    <row r="6" spans="3:41" ht="20">
      <c r="C6" s="673"/>
      <c r="D6" s="47"/>
      <c r="E6" s="47"/>
      <c r="F6" s="47"/>
      <c r="G6" s="674"/>
    </row>
    <row r="7" spans="3:41" ht="20">
      <c r="C7" s="673"/>
      <c r="D7" s="681" t="s">
        <v>27</v>
      </c>
      <c r="E7" s="46"/>
      <c r="F7" s="681" t="s">
        <v>4</v>
      </c>
      <c r="G7" s="674"/>
      <c r="J7" s="750" t="s">
        <v>160</v>
      </c>
      <c r="K7" s="751"/>
      <c r="L7" s="168" t="s">
        <v>315</v>
      </c>
      <c r="M7" s="169"/>
    </row>
    <row r="8" spans="3:41" ht="20">
      <c r="C8" s="673"/>
      <c r="D8" s="681" t="s">
        <v>897</v>
      </c>
      <c r="E8" s="46"/>
      <c r="F8" s="681" t="s">
        <v>331</v>
      </c>
      <c r="G8" s="674"/>
      <c r="J8" s="137" t="s">
        <v>167</v>
      </c>
      <c r="K8" s="138">
        <f>K9+K10+K13+M8</f>
        <v>3944.2</v>
      </c>
      <c r="L8" s="26" t="s">
        <v>167</v>
      </c>
      <c r="M8" s="26">
        <f>M9</f>
        <v>0</v>
      </c>
    </row>
    <row r="9" spans="3:41" ht="21" thickTop="1" thickBot="1">
      <c r="C9" s="673"/>
      <c r="G9" s="674"/>
      <c r="J9" s="139" t="s">
        <v>138</v>
      </c>
      <c r="K9" s="140">
        <f>SUMIFS(الجدول5[الإجمالي], الجدول5[المبني], 'Monthly Report'!D$8, الجدول5[شهر], 'Monthly Report'!F$8, الجدول5[الصنف], J9)</f>
        <v>0</v>
      </c>
      <c r="L9" s="26" t="s">
        <v>61</v>
      </c>
      <c r="M9" s="167">
        <f>SUMIFS(الجدول5[الإجمالي],الجدول5[المبني],'Monthly Report'!D8,الجدول5[شهر],'Monthly Report'!F8,الجدول5[الصنف],L7)</f>
        <v>0</v>
      </c>
    </row>
    <row r="10" spans="3:41" ht="21" thickTop="1" thickBot="1">
      <c r="C10" s="673"/>
      <c r="D10" s="669" t="str">
        <f>IF(F3="منصة ايجار","الرصيد الموجود في منصة ايجار","مجموع الإيجارات المحصلة لهذا الشهر")</f>
        <v>الرصيد الموجود في منصة ايجار</v>
      </c>
      <c r="E10" s="48">
        <f>IF(
    F8&lt;&gt;"",
    IF(
        OR(F3="مستحقة", F3="متاخر", F3="اقترب"),
        -SUMIFS(الجدول3[الرصيد], الجدول3[المبني], D8, الجدول3[حساب الدفع], F3),
        IF(
            OR(F3="من منصة ايجار الي البنك", F3="تحملتها الحاضنة"),
            SUMIFS(الجدول3[المدفوع], الجدول3[المبني], D8, الجدول3[شهر التقرير], F8, الجدول3[حساب الدفع], "من منصة ايجار الي البنك")
            +
            SUMIFS(الجدول3[المدفوع], الجدول3[المبني], D8, الجدول3[شهر التقرير], F8, الجدول3[حساب الدفع], "تحملتها الحاضنة"),
            IF(
                F3="منصة ايجار",
                SUMIFS(الجدول3[المدفوع], الجدول3[المبني], D8, الجدول3[شهر التقرير], F8, الجدول3[حساب الدفع], F3),
                IF(
                    F3="",
                    SUMIFS(الجدول3[المدفوع], الجدول3[المبني], D8, الجدول3[شهر التقرير], F8)
                    +
                    SUMIFS(الجدول3[المدفوع], الجدول3[المبني], D8, الجدول3[حساب الدفع], "ناجز"),
                    0
                )
            )
        )
    ),
    SUMIFS(الجدول3[المدفوع], الجدول3[المبني], D8)
)</f>
        <v>7500</v>
      </c>
      <c r="F10" s="31" t="str">
        <f>IF(F3="منصة ايجار","الرصيد الموجود في منصة ايجار","Total Monthly Income")</f>
        <v>الرصيد الموجود في منصة ايجار</v>
      </c>
      <c r="G10" s="674"/>
      <c r="J10" s="139" t="s">
        <v>150</v>
      </c>
      <c r="K10" s="140">
        <f>SUMIFS(الجدول5[الإجمالي], الجدول5[المبني], 'Monthly Report'!D$8, الجدول5[شهر], 'Monthly Report'!F$8, الجدول5[الصنف], J10)</f>
        <v>3944.2</v>
      </c>
    </row>
    <row r="11" spans="3:41" ht="21" thickTop="1" thickBot="1">
      <c r="C11" s="673"/>
      <c r="D11" s="669"/>
      <c r="E11" s="48"/>
      <c r="F11" s="31"/>
      <c r="G11" s="674"/>
      <c r="J11" s="175"/>
      <c r="K11" s="140">
        <f>SUMIFS(الجدول5[الإجمالي], الجدول5[المبني], 'Monthly Report'!D$8, الجدول5[شهر], 'Monthly Report'!F$8, الجدول5[الصنف], J11)</f>
        <v>0</v>
      </c>
    </row>
    <row r="12" spans="3:41" ht="21" thickTop="1" thickBot="1">
      <c r="C12" s="673"/>
      <c r="D12" s="45" t="s">
        <v>61</v>
      </c>
      <c r="E12" s="48">
        <f ca="1">IF(F8&lt;&gt;"", SUMIFS(الجدول3[المدفوع], الجدول3[المبني], D8, الجدول3[حساب الدفع], D12, الجدول3[شهر التقرير], F8), SUMIFS(الجدول3[المدفوع], الجدول3[المبني], D8, الجدول3[حساب الدفع], D12))</f>
        <v>0</v>
      </c>
      <c r="F12" s="31"/>
      <c r="G12" s="674"/>
      <c r="J12" s="175"/>
      <c r="K12" s="140">
        <f>SUMIFS(الجدول5[الإجمالي], الجدول5[المبني], 'Monthly Report'!D$8, الجدول5[شهر], 'Monthly Report'!F$8, الجدول5[الصنف], J12)</f>
        <v>0</v>
      </c>
    </row>
    <row r="13" spans="3:41" ht="21" thickTop="1" thickBot="1">
      <c r="C13" s="673"/>
      <c r="E13" s="49"/>
      <c r="G13" s="674"/>
      <c r="J13" s="141" t="s">
        <v>149</v>
      </c>
      <c r="K13" s="140">
        <f>SUMIFS(الجدول5[الإجمالي], الجدول5[المبني], 'Monthly Report'!D$8, الجدول5[شهر], 'Monthly Report'!F$8, الجدول5[الصنف], J13)</f>
        <v>0</v>
      </c>
    </row>
    <row r="14" spans="3:41" ht="21" thickTop="1" thickBot="1">
      <c r="C14" s="673"/>
      <c r="D14" s="31" t="str">
        <f>IF(D8=102,"اجمالي المصروفات بدون الكهرباء","المصروفات")</f>
        <v>المصروفات</v>
      </c>
      <c r="E14" s="49">
        <f>IF(OR(D8=102, D8="A"),
    IF(AND(F3&lt;&gt;"اقترب", F3&lt;&gt;"متاخر", F3&lt;&gt;"مستحقة"),
        SUMIFS(الجدول5[الإجمالي], الجدول5[المبني], 'Monthly Report'!D8, الجدول5[شهر], 'Monthly Report'!F8) - L4 - K8,
        0
    ),
    IF(D8="B",
        IF(AND(F3&lt;&gt;"اقترب", F3&lt;&gt;"متاخر", F3&lt;&gt;"مستحقة"),
            SUMIFS(الجدول5[الإجمالي], الجدول5[المبني], 'Monthly Report'!D8, الجدول5[شهر], 'Monthly Report'!F8) - K8,
            0
        ),
        IF(AND(F3&lt;&gt;"اقترب", F3&lt;&gt;"متاخر", F3&lt;&gt;"مستحقة"),
            SUMIFS(الجدول5[الإجمالي], الجدول5[المبني], 'Monthly Report'!D8, الجدول5[شهر], 'Monthly Report'!F8),
            0
        )
    )
) - E26</f>
        <v>1555</v>
      </c>
      <c r="F14" s="31" t="str">
        <f>IF(D8=102,"Total Expenses without Electricity","Expenses")</f>
        <v>Expenses</v>
      </c>
      <c r="G14" s="674"/>
      <c r="J14" s="26" t="s">
        <v>966</v>
      </c>
      <c r="K14" s="140">
        <f>SUMIFS(الجدول5[الإجمالي], الجدول5[المبني], 'Monthly Report'!D$8, الجدول5[شهر], 'Monthly Report'!F$8, الجدول5[الصنف], J14)</f>
        <v>0</v>
      </c>
    </row>
    <row r="15" spans="3:41" ht="21" thickTop="1" thickBot="1">
      <c r="C15" s="673"/>
      <c r="E15" s="49"/>
      <c r="G15" s="674"/>
      <c r="J15" s="26" t="s">
        <v>968</v>
      </c>
      <c r="K15" s="140">
        <f>SUMIFS(الجدول5[الإجمالي], الجدول5[المبني], 'Monthly Report'!D$8, الجدول5[شهر], 'Monthly Report'!F$8, الجدول5[الصنف], J15)</f>
        <v>0</v>
      </c>
      <c r="T15" s="112"/>
    </row>
    <row r="16" spans="3:41" ht="21" thickTop="1" thickBot="1">
      <c r="C16" s="673"/>
      <c r="D16" s="45" t="s">
        <v>156</v>
      </c>
      <c r="E16" s="48">
        <f ca="1">E10+E12-E14</f>
        <v>5945</v>
      </c>
      <c r="F16" s="44" t="s">
        <v>158</v>
      </c>
      <c r="G16" s="674"/>
      <c r="J16" s="34"/>
      <c r="K16" s="35"/>
      <c r="L16" s="35"/>
      <c r="M16" s="35"/>
      <c r="N16" s="36"/>
      <c r="P16" s="99">
        <v>1</v>
      </c>
      <c r="Q16" s="100">
        <f>M18</f>
        <v>45942</v>
      </c>
      <c r="R16" s="101" t="e">
        <f>SUMIFS(#REF!,#REF!,M22,#REF!,Q16)</f>
        <v>#REF!</v>
      </c>
      <c r="S16" s="101">
        <f>P30+1</f>
        <v>14</v>
      </c>
      <c r="T16" s="100">
        <f>Q30+-1</f>
        <v>45929</v>
      </c>
      <c r="U16" s="101" t="e">
        <f>SUMIFS(#REF!,#REF!,M22,#REF!,T16)</f>
        <v>#REF!</v>
      </c>
      <c r="V16" s="101">
        <f>S30+1</f>
        <v>27</v>
      </c>
      <c r="W16" s="100">
        <f>T30+-1</f>
        <v>45916</v>
      </c>
      <c r="X16" s="101" t="e">
        <f>SUMIFS(#REF!,#REF!,M22,#REF!,W16)</f>
        <v>#REF!</v>
      </c>
      <c r="Y16" s="101">
        <f>V30+1</f>
        <v>40</v>
      </c>
      <c r="Z16" s="100">
        <f>W30+-1</f>
        <v>45903</v>
      </c>
      <c r="AA16" s="102" t="e">
        <f>SUMIFS(#REF!,#REF!,M22,#REF!,Z16)</f>
        <v>#REF!</v>
      </c>
      <c r="AJ16" s="112"/>
      <c r="AO16" s="112"/>
    </row>
    <row r="17" spans="3:53" ht="20">
      <c r="C17" s="673"/>
      <c r="E17" s="49"/>
      <c r="G17" s="674"/>
      <c r="J17" s="37"/>
      <c r="N17" s="38"/>
      <c r="P17" s="103">
        <v>2</v>
      </c>
      <c r="Q17" s="104">
        <f>Q16-1</f>
        <v>45941</v>
      </c>
      <c r="R17" s="105" t="e">
        <f>SUMIFS(#REF!,#REF!,M22,#REF!,Q17)</f>
        <v>#REF!</v>
      </c>
      <c r="S17" s="105">
        <f>S16+1</f>
        <v>15</v>
      </c>
      <c r="T17" s="104">
        <f t="shared" ref="T17:T30" si="0">T16-1</f>
        <v>45928</v>
      </c>
      <c r="U17" s="105" t="e">
        <f>SUMIFS(#REF!,#REF!,M22,#REF!,T17)</f>
        <v>#REF!</v>
      </c>
      <c r="V17" s="105">
        <f>V16+1</f>
        <v>28</v>
      </c>
      <c r="W17" s="104">
        <f>W16-1</f>
        <v>45915</v>
      </c>
      <c r="X17" s="105" t="e">
        <f>SUMIFS(#REF!,#REF!,M22,#REF!,W17)</f>
        <v>#REF!</v>
      </c>
      <c r="Y17" s="105">
        <f>Y16+1</f>
        <v>41</v>
      </c>
      <c r="Z17" s="104">
        <f>Z16-1</f>
        <v>45902</v>
      </c>
      <c r="AA17" s="106" t="e">
        <f>SUMIFS(#REF!,#REF!,M22,#REF!,Z17)</f>
        <v>#REF!</v>
      </c>
      <c r="AK17" s="112"/>
      <c r="AP17" s="112"/>
    </row>
    <row r="18" spans="3:53" ht="20">
      <c r="C18" s="673"/>
      <c r="D18" s="31" t="str">
        <f>IF(D8=102,"حصة المالك 80٪","حصة المالك")</f>
        <v>حصة المالك</v>
      </c>
      <c r="E18" s="49">
        <f ca="1">IF(OR(D8=102, D8="A", D8="B"), E16*80%, (E10*70%)-(E14)+(E12*70%))</f>
        <v>4756</v>
      </c>
      <c r="F18" s="31" t="str">
        <f>IF(D8=102,"Owner share 80%","Owner share")</f>
        <v>Owner share</v>
      </c>
      <c r="G18" s="674"/>
      <c r="I18" s="445"/>
      <c r="J18" s="37"/>
      <c r="K18" s="748" t="s">
        <v>50</v>
      </c>
      <c r="L18" s="748"/>
      <c r="M18" s="70">
        <v>45942</v>
      </c>
      <c r="N18" s="38"/>
      <c r="P18" s="103">
        <v>3</v>
      </c>
      <c r="Q18" s="104">
        <f t="shared" ref="Q18:Q30" si="1">Q17-1</f>
        <v>45940</v>
      </c>
      <c r="R18" s="105" t="e">
        <f>SUMIFS(#REF!,#REF!,M22,#REF!,Q18)</f>
        <v>#REF!</v>
      </c>
      <c r="S18" s="105">
        <f t="shared" ref="S18:S30" si="2">S17+1</f>
        <v>16</v>
      </c>
      <c r="T18" s="104">
        <f t="shared" si="0"/>
        <v>45927</v>
      </c>
      <c r="U18" s="105" t="e">
        <f>SUMIFS(#REF!,#REF!,M22,#REF!,T18)</f>
        <v>#REF!</v>
      </c>
      <c r="V18" s="105">
        <f t="shared" ref="V18:V30" si="3">V17+1</f>
        <v>29</v>
      </c>
      <c r="W18" s="104">
        <f t="shared" ref="W18:W19" si="4">W17-1</f>
        <v>45914</v>
      </c>
      <c r="X18" s="105" t="e">
        <f>SUMIFS(#REF!,#REF!,M22,#REF!,W18)</f>
        <v>#REF!</v>
      </c>
      <c r="Y18" s="105">
        <f t="shared" ref="Y18:Y30" si="5">Y17+1</f>
        <v>42</v>
      </c>
      <c r="Z18" s="104">
        <f t="shared" ref="Z18:Z19" si="6">Z17-1</f>
        <v>45901</v>
      </c>
      <c r="AA18" s="106" t="e">
        <f>SUMIFS(#REF!,#REF!,M22,#REF!,Z18)</f>
        <v>#REF!</v>
      </c>
      <c r="AP18" s="112"/>
    </row>
    <row r="19" spans="3:53" ht="20">
      <c r="C19" s="673"/>
      <c r="D19" s="31"/>
      <c r="E19" s="49"/>
      <c r="G19" s="674"/>
      <c r="J19" s="37"/>
      <c r="K19" s="47"/>
      <c r="L19" s="47"/>
      <c r="M19" s="47"/>
      <c r="N19" s="38"/>
      <c r="P19" s="103">
        <v>4</v>
      </c>
      <c r="Q19" s="104">
        <f t="shared" si="1"/>
        <v>45939</v>
      </c>
      <c r="R19" s="105" t="e">
        <f>SUMIFS(#REF!,#REF!,M22,#REF!,Q19)</f>
        <v>#REF!</v>
      </c>
      <c r="S19" s="105">
        <f t="shared" si="2"/>
        <v>17</v>
      </c>
      <c r="T19" s="104">
        <f t="shared" si="0"/>
        <v>45926</v>
      </c>
      <c r="U19" s="105" t="e">
        <f>SUMIFS(#REF!,#REF!,M22,#REF!,T19)</f>
        <v>#REF!</v>
      </c>
      <c r="V19" s="105">
        <f t="shared" si="3"/>
        <v>30</v>
      </c>
      <c r="W19" s="104">
        <f t="shared" si="4"/>
        <v>45913</v>
      </c>
      <c r="X19" s="105" t="e">
        <f>SUMIFS(#REF!,#REF!,M22,#REF!,W19)</f>
        <v>#REF!</v>
      </c>
      <c r="Y19" s="105">
        <f t="shared" si="5"/>
        <v>43</v>
      </c>
      <c r="Z19" s="104">
        <f t="shared" si="6"/>
        <v>45900</v>
      </c>
      <c r="AA19" s="106" t="e">
        <f>SUMIFS(#REF!,#REF!,M22,#REF!,Z19)</f>
        <v>#REF!</v>
      </c>
      <c r="AF19" s="34"/>
      <c r="AG19" s="35"/>
      <c r="AH19" s="35"/>
      <c r="AI19" s="35"/>
      <c r="AJ19" s="36"/>
      <c r="AP19" s="99">
        <v>1</v>
      </c>
      <c r="AQ19" s="100">
        <f ca="1">AI21</f>
        <v>46323</v>
      </c>
      <c r="AR19" s="101" t="e">
        <f ca="1">SUMIFS(#REF!,#REF!,AJ25,#REF!,AQ19)</f>
        <v>#REF!</v>
      </c>
      <c r="AS19" s="101">
        <f>AP33+1</f>
        <v>14</v>
      </c>
      <c r="AT19" s="100">
        <f ca="1">AQ33+-1</f>
        <v>46310</v>
      </c>
      <c r="AU19" s="101" t="e">
        <f ca="1">SUMIFS(#REF!,#REF!,AJ25,#REF!,AT19)</f>
        <v>#REF!</v>
      </c>
      <c r="AV19" s="101">
        <f>AS33+1</f>
        <v>27</v>
      </c>
      <c r="AW19" s="100">
        <f ca="1">AT33+-1</f>
        <v>46297</v>
      </c>
      <c r="AX19" s="101" t="e">
        <f ca="1">SUMIFS(#REF!,#REF!,AJ25,#REF!,AW19)</f>
        <v>#REF!</v>
      </c>
      <c r="AY19" s="101">
        <f>AV33+1</f>
        <v>40</v>
      </c>
      <c r="AZ19" s="100">
        <f ca="1">AW33+-1</f>
        <v>46284</v>
      </c>
      <c r="BA19" s="102" t="e">
        <f ca="1">SUMIFS(#REF!,#REF!,AJ25,#REF!,AZ19)</f>
        <v>#REF!</v>
      </c>
    </row>
    <row r="20" spans="3:53" ht="20">
      <c r="C20" s="673"/>
      <c r="D20" s="31" t="s">
        <v>964</v>
      </c>
      <c r="E20" s="49">
        <f ca="1">IF(OR(D8=102, D8="A"), E16*20%-E22, IF(D8="B", E16*20%, IF(D8=103, (E10*30%)+(E12*30%), "")))</f>
        <v>1189</v>
      </c>
      <c r="F20" s="31" t="s">
        <v>965</v>
      </c>
      <c r="G20" s="674"/>
      <c r="I20" s="321"/>
      <c r="J20" s="37"/>
      <c r="K20" s="47"/>
      <c r="L20" s="47"/>
      <c r="M20" s="47"/>
      <c r="N20" s="38"/>
      <c r="P20" s="103">
        <v>5</v>
      </c>
      <c r="Q20" s="104">
        <f t="shared" si="1"/>
        <v>45938</v>
      </c>
      <c r="R20" s="105" t="e">
        <f>SUMIFS(#REF!,#REF!,M22,#REF!,Q20)</f>
        <v>#REF!</v>
      </c>
      <c r="S20" s="105">
        <f t="shared" si="2"/>
        <v>18</v>
      </c>
      <c r="T20" s="104">
        <f t="shared" si="0"/>
        <v>45925</v>
      </c>
      <c r="U20" s="105" t="e">
        <f>SUMIFS(#REF!,#REF!,M22,#REF!,T20)</f>
        <v>#REF!</v>
      </c>
      <c r="V20" s="105">
        <f t="shared" si="3"/>
        <v>31</v>
      </c>
      <c r="W20" s="104">
        <f>W19-1</f>
        <v>45912</v>
      </c>
      <c r="X20" s="105" t="e">
        <f>SUMIFS(#REF!,#REF!,M22,#REF!,W20)</f>
        <v>#REF!</v>
      </c>
      <c r="Y20" s="105">
        <f t="shared" si="5"/>
        <v>44</v>
      </c>
      <c r="Z20" s="104">
        <f>Z19-1</f>
        <v>45899</v>
      </c>
      <c r="AA20" s="106" t="e">
        <f>SUMIFS(#REF!,#REF!,M22,#REF!,Z20)</f>
        <v>#REF!</v>
      </c>
      <c r="AF20" s="37"/>
      <c r="AJ20" s="38"/>
      <c r="AP20" s="103">
        <v>2</v>
      </c>
      <c r="AQ20" s="104">
        <f ca="1">AQ19-1</f>
        <v>46322</v>
      </c>
      <c r="AR20" s="105" t="e">
        <f ca="1">SUMIFS(#REF!,#REF!,AJ25,#REF!,AQ20)</f>
        <v>#REF!</v>
      </c>
      <c r="AS20" s="105">
        <f>AS19+1</f>
        <v>15</v>
      </c>
      <c r="AT20" s="104">
        <f t="shared" ref="AT20:AT33" ca="1" si="7">AT19-1</f>
        <v>46309</v>
      </c>
      <c r="AU20" s="105" t="e">
        <f ca="1">SUMIFS(#REF!,#REF!,AJ25,#REF!,AT20)</f>
        <v>#REF!</v>
      </c>
      <c r="AV20" s="105">
        <f>AV19+1</f>
        <v>28</v>
      </c>
      <c r="AW20" s="104">
        <f ca="1">AW19-1</f>
        <v>46296</v>
      </c>
      <c r="AX20" s="105" t="e">
        <f ca="1">SUMIFS(#REF!,#REF!,AJ25,#REF!,AW20)</f>
        <v>#REF!</v>
      </c>
      <c r="AY20" s="105">
        <f>AY19+1</f>
        <v>41</v>
      </c>
      <c r="AZ20" s="104">
        <f ca="1">AZ19-1</f>
        <v>46283</v>
      </c>
      <c r="BA20" s="106" t="e">
        <f ca="1">SUMIFS(#REF!,#REF!,AJ25,#REF!,AZ20)</f>
        <v>#REF!</v>
      </c>
    </row>
    <row r="21" spans="3:53" ht="20">
      <c r="C21" s="673"/>
      <c r="D21" s="31"/>
      <c r="E21" s="49"/>
      <c r="F21" s="31"/>
      <c r="G21" s="674"/>
      <c r="J21" s="37"/>
      <c r="M21" s="46" t="s">
        <v>27</v>
      </c>
      <c r="N21" s="38"/>
      <c r="P21" s="103">
        <v>6</v>
      </c>
      <c r="Q21" s="104">
        <f t="shared" si="1"/>
        <v>45937</v>
      </c>
      <c r="R21" s="105" t="e">
        <f>SUMIFS(#REF!,#REF!,M22,#REF!,Q21)</f>
        <v>#REF!</v>
      </c>
      <c r="S21" s="105">
        <f t="shared" si="2"/>
        <v>19</v>
      </c>
      <c r="T21" s="104">
        <f t="shared" si="0"/>
        <v>45924</v>
      </c>
      <c r="U21" s="105" t="e">
        <f>SUMIFS(#REF!,#REF!,M22,#REF!,T21)</f>
        <v>#REF!</v>
      </c>
      <c r="V21" s="105">
        <f t="shared" si="3"/>
        <v>32</v>
      </c>
      <c r="W21" s="104">
        <f t="shared" ref="W21:W30" si="8">W20-1</f>
        <v>45911</v>
      </c>
      <c r="X21" s="105" t="e">
        <f>SUMIFS(#REF!,#REF!,M22,#REF!,W21)</f>
        <v>#REF!</v>
      </c>
      <c r="Y21" s="105">
        <f t="shared" si="5"/>
        <v>45</v>
      </c>
      <c r="Z21" s="104">
        <f t="shared" ref="Z21:Z30" si="9">Z20-1</f>
        <v>45898</v>
      </c>
      <c r="AA21" s="106" t="e">
        <f>SUMIFS(#REF!,#REF!,M22,#REF!,Z21)</f>
        <v>#REF!</v>
      </c>
      <c r="AF21" s="37"/>
      <c r="AG21" s="748" t="s">
        <v>50</v>
      </c>
      <c r="AH21" s="748"/>
      <c r="AI21" s="70">
        <f ca="1">TODAY()</f>
        <v>46323</v>
      </c>
      <c r="AJ21" s="38"/>
      <c r="AP21" s="103">
        <v>3</v>
      </c>
      <c r="AQ21" s="104">
        <f t="shared" ref="AQ21:AQ33" ca="1" si="10">AQ20-1</f>
        <v>46321</v>
      </c>
      <c r="AR21" s="105" t="e">
        <f ca="1">SUMIFS(#REF!,#REF!,AJ25,#REF!,AQ21)</f>
        <v>#REF!</v>
      </c>
      <c r="AS21" s="105">
        <f t="shared" ref="AS21:AS33" si="11">AS20+1</f>
        <v>16</v>
      </c>
      <c r="AT21" s="104">
        <f t="shared" ca="1" si="7"/>
        <v>46308</v>
      </c>
      <c r="AU21" s="105" t="e">
        <f ca="1">SUMIFS(#REF!,#REF!,AJ25,#REF!,AT21)</f>
        <v>#REF!</v>
      </c>
      <c r="AV21" s="105">
        <f t="shared" ref="AV21:AV33" si="12">AV20+1</f>
        <v>29</v>
      </c>
      <c r="AW21" s="104">
        <f t="shared" ref="AW21:AW22" ca="1" si="13">AW20-1</f>
        <v>46295</v>
      </c>
      <c r="AX21" s="105" t="e">
        <f ca="1">SUMIFS(#REF!,#REF!,AJ25,#REF!,AW21)</f>
        <v>#REF!</v>
      </c>
      <c r="AY21" s="105">
        <f t="shared" ref="AY21:AY33" si="14">AY20+1</f>
        <v>42</v>
      </c>
      <c r="AZ21" s="104">
        <f t="shared" ref="AZ21:AZ22" ca="1" si="15">AZ20-1</f>
        <v>46282</v>
      </c>
      <c r="BA21" s="106" t="e">
        <f ca="1">SUMIFS(#REF!,#REF!,AJ25,#REF!,AZ21)</f>
        <v>#REF!</v>
      </c>
    </row>
    <row r="22" spans="3:53" ht="20">
      <c r="C22" s="673"/>
      <c r="D22" s="31" t="str">
        <f>IF(D8="A", "تكلفة الكهرباء علي  روك كي بنسبة 20٪", "")</f>
        <v/>
      </c>
      <c r="E22" s="49" t="str">
        <f>IF(F3&lt;&gt;"مستحقة", IF(OR(D8=102, D8="A"), K5, ""), 0)</f>
        <v/>
      </c>
      <c r="F22" s="31" t="str">
        <f>IF(D8="A", "ROCK KEY share 20% Electricity", "")</f>
        <v/>
      </c>
      <c r="G22" s="674"/>
      <c r="I22" s="321"/>
      <c r="J22" s="752" t="str">
        <f>"تقرير الصيانة  "&amp;" المبني "&amp;M22</f>
        <v>تقرير الصيانة   المبني 102</v>
      </c>
      <c r="K22" s="748"/>
      <c r="L22" s="748"/>
      <c r="M22" s="46">
        <v>102</v>
      </c>
      <c r="N22" s="38"/>
      <c r="P22" s="103">
        <v>7</v>
      </c>
      <c r="Q22" s="104">
        <f t="shared" si="1"/>
        <v>45936</v>
      </c>
      <c r="R22" s="105" t="e">
        <f>SUMIFS(#REF!,#REF!,M22,#REF!,Q22)</f>
        <v>#REF!</v>
      </c>
      <c r="S22" s="105">
        <f t="shared" si="2"/>
        <v>20</v>
      </c>
      <c r="T22" s="104">
        <f t="shared" si="0"/>
        <v>45923</v>
      </c>
      <c r="U22" s="105" t="e">
        <f>SUMIFS(#REF!,#REF!,M22,#REF!,T22)</f>
        <v>#REF!</v>
      </c>
      <c r="V22" s="105">
        <f t="shared" si="3"/>
        <v>33</v>
      </c>
      <c r="W22" s="104">
        <f t="shared" si="8"/>
        <v>45910</v>
      </c>
      <c r="X22" s="105" t="e">
        <f>SUMIFS(#REF!,#REF!,M22,#REF!,W22)</f>
        <v>#REF!</v>
      </c>
      <c r="Y22" s="105">
        <f t="shared" si="5"/>
        <v>46</v>
      </c>
      <c r="Z22" s="104">
        <f t="shared" si="9"/>
        <v>45897</v>
      </c>
      <c r="AA22" s="106" t="e">
        <f>SUMIFS(#REF!,#REF!,M22,#REF!,Z22)</f>
        <v>#REF!</v>
      </c>
      <c r="AF22" s="37"/>
      <c r="AG22" s="47"/>
      <c r="AH22" s="47"/>
      <c r="AI22" s="47"/>
      <c r="AJ22" s="38"/>
      <c r="AP22" s="103">
        <v>4</v>
      </c>
      <c r="AQ22" s="104">
        <f t="shared" ca="1" si="10"/>
        <v>46320</v>
      </c>
      <c r="AR22" s="105" t="e">
        <f ca="1">SUMIFS(#REF!,#REF!,AJ25,#REF!,AQ22)</f>
        <v>#REF!</v>
      </c>
      <c r="AS22" s="105">
        <f t="shared" si="11"/>
        <v>17</v>
      </c>
      <c r="AT22" s="104">
        <f t="shared" ca="1" si="7"/>
        <v>46307</v>
      </c>
      <c r="AU22" s="105" t="e">
        <f ca="1">SUMIFS(#REF!,#REF!,AJ25,#REF!,AT22)</f>
        <v>#REF!</v>
      </c>
      <c r="AV22" s="105">
        <f t="shared" si="12"/>
        <v>30</v>
      </c>
      <c r="AW22" s="104">
        <f t="shared" ca="1" si="13"/>
        <v>46294</v>
      </c>
      <c r="AX22" s="105" t="e">
        <f ca="1">SUMIFS(#REF!,#REF!,AJ25,#REF!,AW22)</f>
        <v>#REF!</v>
      </c>
      <c r="AY22" s="105">
        <f t="shared" si="14"/>
        <v>43</v>
      </c>
      <c r="AZ22" s="104">
        <f t="shared" ca="1" si="15"/>
        <v>46281</v>
      </c>
      <c r="BA22" s="106" t="e">
        <f ca="1">SUMIFS(#REF!,#REF!,AJ25,#REF!,AZ22)</f>
        <v>#REF!</v>
      </c>
    </row>
    <row r="23" spans="3:53" ht="20">
      <c r="C23" s="673"/>
      <c r="D23" s="31"/>
      <c r="E23" s="49"/>
      <c r="G23" s="674"/>
      <c r="I23" s="321"/>
      <c r="J23" s="37"/>
      <c r="L23" s="46"/>
      <c r="N23" s="38"/>
      <c r="P23" s="103">
        <v>8</v>
      </c>
      <c r="Q23" s="104">
        <f t="shared" si="1"/>
        <v>45935</v>
      </c>
      <c r="R23" s="105" t="e">
        <f>SUMIFS(#REF!,#REF!,M31,#REF!,Q23)</f>
        <v>#REF!</v>
      </c>
      <c r="S23" s="105">
        <f t="shared" si="2"/>
        <v>21</v>
      </c>
      <c r="T23" s="104">
        <f t="shared" si="0"/>
        <v>45922</v>
      </c>
      <c r="U23" s="105" t="e">
        <f>SUMIFS(#REF!,#REF!,M22,#REF!,T23)</f>
        <v>#REF!</v>
      </c>
      <c r="V23" s="105">
        <f t="shared" si="3"/>
        <v>34</v>
      </c>
      <c r="W23" s="104">
        <f t="shared" si="8"/>
        <v>45909</v>
      </c>
      <c r="X23" s="105" t="e">
        <f>SUMIFS(#REF!,#REF!,M22,#REF!,W23)</f>
        <v>#REF!</v>
      </c>
      <c r="Y23" s="105">
        <f t="shared" si="5"/>
        <v>47</v>
      </c>
      <c r="Z23" s="104">
        <f t="shared" si="9"/>
        <v>45896</v>
      </c>
      <c r="AA23" s="106" t="e">
        <f>SUMIFS(#REF!,#REF!,M22,#REF!,Z23)</f>
        <v>#REF!</v>
      </c>
      <c r="AF23" s="37"/>
      <c r="AG23" s="47"/>
      <c r="AH23" s="47"/>
      <c r="AI23" s="47"/>
      <c r="AJ23" s="38"/>
      <c r="AP23" s="103">
        <v>5</v>
      </c>
      <c r="AQ23" s="104">
        <f t="shared" ca="1" si="10"/>
        <v>46319</v>
      </c>
      <c r="AR23" s="105" t="e">
        <f ca="1">SUMIFS(#REF!,#REF!,AJ25,#REF!,AQ23)</f>
        <v>#REF!</v>
      </c>
      <c r="AS23" s="105">
        <f t="shared" si="11"/>
        <v>18</v>
      </c>
      <c r="AT23" s="104">
        <f t="shared" ca="1" si="7"/>
        <v>46306</v>
      </c>
      <c r="AU23" s="105" t="e">
        <f ca="1">SUMIFS(#REF!,#REF!,AJ25,#REF!,AT23)</f>
        <v>#REF!</v>
      </c>
      <c r="AV23" s="105">
        <f t="shared" si="12"/>
        <v>31</v>
      </c>
      <c r="AW23" s="104">
        <f ca="1">AW22-1</f>
        <v>46293</v>
      </c>
      <c r="AX23" s="105" t="e">
        <f ca="1">SUMIFS(#REF!,#REF!,AJ25,#REF!,AW23)</f>
        <v>#REF!</v>
      </c>
      <c r="AY23" s="105">
        <f t="shared" si="14"/>
        <v>44</v>
      </c>
      <c r="AZ23" s="104">
        <f ca="1">AZ22-1</f>
        <v>46280</v>
      </c>
      <c r="BA23" s="106" t="e">
        <f ca="1">SUMIFS(#REF!,#REF!,AJ25,#REF!,AZ23)</f>
        <v>#REF!</v>
      </c>
    </row>
    <row r="24" spans="3:53" ht="20">
      <c r="C24" s="673"/>
      <c r="D24" s="31" t="str">
        <f>IF(OR(D8=102, D8="A", D8="B"), J7, "")</f>
        <v>مصروفات يتحملها المالك بنسبة 100٪</v>
      </c>
      <c r="E24" s="49">
        <f>IF(F3&lt;&gt;"مستحقة", IF(OR(D8=102, D8="A", D8="B"), K8, ""), 0)</f>
        <v>3944.2</v>
      </c>
      <c r="F24" s="31" t="str">
        <f>IF(OR(D8=102, D8="A", D8="B"), "Total expenses borne by the owner at 100%", "")</f>
        <v>Total expenses borne by the owner at 100%</v>
      </c>
      <c r="G24" s="674"/>
      <c r="J24" s="37"/>
      <c r="L24" s="46"/>
      <c r="N24" s="38"/>
      <c r="P24" s="103">
        <v>9</v>
      </c>
      <c r="Q24" s="104">
        <f t="shared" si="1"/>
        <v>45934</v>
      </c>
      <c r="R24" s="105" t="e">
        <f>SUMIFS(#REF!,#REF!,M31,#REF!,Q24)</f>
        <v>#REF!</v>
      </c>
      <c r="S24" s="105">
        <f t="shared" si="2"/>
        <v>22</v>
      </c>
      <c r="T24" s="104">
        <f t="shared" si="0"/>
        <v>45921</v>
      </c>
      <c r="U24" s="105" t="e">
        <f>SUMIFS(#REF!,#REF!,M22,#REF!,T24)</f>
        <v>#REF!</v>
      </c>
      <c r="V24" s="105">
        <f t="shared" si="3"/>
        <v>35</v>
      </c>
      <c r="W24" s="104">
        <f t="shared" si="8"/>
        <v>45908</v>
      </c>
      <c r="X24" s="105" t="e">
        <f>SUMIFS(#REF!,#REF!,M22,#REF!,W24)</f>
        <v>#REF!</v>
      </c>
      <c r="Y24" s="105">
        <f t="shared" si="5"/>
        <v>48</v>
      </c>
      <c r="Z24" s="104">
        <f t="shared" si="9"/>
        <v>45895</v>
      </c>
      <c r="AA24" s="106" t="e">
        <f>SUMIFS(#REF!,#REF!,M22,#REF!,Z24)</f>
        <v>#REF!</v>
      </c>
      <c r="AF24" s="37"/>
      <c r="AJ24" s="150" t="s">
        <v>27</v>
      </c>
      <c r="AP24" s="103">
        <v>6</v>
      </c>
      <c r="AQ24" s="104">
        <f t="shared" ca="1" si="10"/>
        <v>46318</v>
      </c>
      <c r="AR24" s="105" t="e">
        <f ca="1">SUMIFS(#REF!,#REF!,AJ25,#REF!,AQ24)</f>
        <v>#REF!</v>
      </c>
      <c r="AS24" s="105">
        <f t="shared" si="11"/>
        <v>19</v>
      </c>
      <c r="AT24" s="104">
        <f t="shared" ca="1" si="7"/>
        <v>46305</v>
      </c>
      <c r="AU24" s="105" t="e">
        <f ca="1">SUMIFS(#REF!,#REF!,AJ25,#REF!,AT24)</f>
        <v>#REF!</v>
      </c>
      <c r="AV24" s="105">
        <f t="shared" si="12"/>
        <v>32</v>
      </c>
      <c r="AW24" s="104">
        <f t="shared" ref="AW24:AW33" ca="1" si="16">AW23-1</f>
        <v>46292</v>
      </c>
      <c r="AX24" s="105" t="e">
        <f ca="1">SUMIFS(#REF!,#REF!,AJ25,#REF!,AW24)</f>
        <v>#REF!</v>
      </c>
      <c r="AY24" s="105">
        <f t="shared" si="14"/>
        <v>45</v>
      </c>
      <c r="AZ24" s="104">
        <f t="shared" ref="AZ24:AZ33" ca="1" si="17">AZ23-1</f>
        <v>46279</v>
      </c>
      <c r="BA24" s="106" t="e">
        <f ca="1">SUMIFS(#REF!,#REF!,AJ25,#REF!,AZ24)</f>
        <v>#REF!</v>
      </c>
    </row>
    <row r="25" spans="3:53" ht="23">
      <c r="C25" s="673"/>
      <c r="D25" s="31"/>
      <c r="E25" s="49"/>
      <c r="F25" s="31"/>
      <c r="G25" s="674"/>
      <c r="J25" s="37"/>
      <c r="K25" s="746" t="s">
        <v>172</v>
      </c>
      <c r="L25" s="747"/>
      <c r="M25" s="71" t="e">
        <f>" ريال "&amp;TEXT(SUM(R16:R22),"0,00.00")&amp;" "</f>
        <v>#REF!</v>
      </c>
      <c r="N25" s="38"/>
      <c r="P25" s="103">
        <v>10</v>
      </c>
      <c r="Q25" s="104">
        <f>Q24-1</f>
        <v>45933</v>
      </c>
      <c r="R25" s="105" t="e">
        <f>SUMIFS(#REF!,#REF!,M31,#REF!,Q25)</f>
        <v>#REF!</v>
      </c>
      <c r="S25" s="105">
        <f>S24+1</f>
        <v>23</v>
      </c>
      <c r="T25" s="104">
        <f>T24-1</f>
        <v>45920</v>
      </c>
      <c r="U25" s="105" t="e">
        <f>SUMIFS(#REF!,#REF!,M22,#REF!,T25)</f>
        <v>#REF!</v>
      </c>
      <c r="V25" s="105">
        <f>V24+1</f>
        <v>36</v>
      </c>
      <c r="W25" s="104">
        <f>W24-1</f>
        <v>45907</v>
      </c>
      <c r="X25" s="105" t="e">
        <f>SUMIFS(#REF!,#REF!,M22,#REF!,W25)</f>
        <v>#REF!</v>
      </c>
      <c r="Y25" s="105">
        <f>Y24+1</f>
        <v>49</v>
      </c>
      <c r="Z25" s="104">
        <f>Z24-1</f>
        <v>45894</v>
      </c>
      <c r="AA25" s="106" t="e">
        <f>SUMIFS(#REF!,#REF!,M22,#REF!,Z25)</f>
        <v>#REF!</v>
      </c>
      <c r="AF25" s="752" t="str">
        <f>IF(AJ25&lt;&gt;1,"تقرير المصروفات  "&amp;" المبني "&amp;AJ25,"تقرير مصروفات المكتب")</f>
        <v>تقرير المصروفات   المبني 101</v>
      </c>
      <c r="AG25" s="748"/>
      <c r="AH25" s="748"/>
      <c r="AI25" s="748"/>
      <c r="AJ25" s="150">
        <v>101</v>
      </c>
      <c r="AP25" s="103">
        <v>7</v>
      </c>
      <c r="AQ25" s="104">
        <f t="shared" ca="1" si="10"/>
        <v>46317</v>
      </c>
      <c r="AR25" s="105" t="e">
        <f ca="1">SUMIFS(#REF!,#REF!,AJ25,#REF!,AQ25)</f>
        <v>#REF!</v>
      </c>
      <c r="AS25" s="105">
        <f t="shared" si="11"/>
        <v>20</v>
      </c>
      <c r="AT25" s="104">
        <f t="shared" ca="1" si="7"/>
        <v>46304</v>
      </c>
      <c r="AU25" s="105" t="e">
        <f ca="1">SUMIFS(#REF!,#REF!,AJ25,#REF!,AT25)</f>
        <v>#REF!</v>
      </c>
      <c r="AV25" s="105">
        <f t="shared" si="12"/>
        <v>33</v>
      </c>
      <c r="AW25" s="104">
        <f t="shared" ca="1" si="16"/>
        <v>46291</v>
      </c>
      <c r="AX25" s="105" t="e">
        <f ca="1">SUMIFS(#REF!,#REF!,AJ25,#REF!,AW25)</f>
        <v>#REF!</v>
      </c>
      <c r="AY25" s="105">
        <f t="shared" si="14"/>
        <v>46</v>
      </c>
      <c r="AZ25" s="104">
        <f t="shared" ca="1" si="17"/>
        <v>46278</v>
      </c>
      <c r="BA25" s="106" t="e">
        <f ca="1">SUMIFS(#REF!,#REF!,AJ25,#REF!,AZ25)</f>
        <v>#REF!</v>
      </c>
    </row>
    <row r="26" spans="3:53" ht="23">
      <c r="C26" s="673"/>
      <c r="D26" s="31" t="s">
        <v>966</v>
      </c>
      <c r="E26" s="49">
        <f>K14</f>
        <v>0</v>
      </c>
      <c r="F26" s="31" t="s">
        <v>967</v>
      </c>
      <c r="G26" s="674"/>
      <c r="J26" s="37"/>
      <c r="K26" s="660"/>
      <c r="L26" s="660"/>
      <c r="M26" s="661"/>
      <c r="N26" s="38"/>
      <c r="P26" s="103"/>
      <c r="Q26" s="104"/>
      <c r="R26" s="105"/>
      <c r="S26" s="105"/>
      <c r="T26" s="104"/>
      <c r="U26" s="105"/>
      <c r="V26" s="105"/>
      <c r="W26" s="104"/>
      <c r="X26" s="105"/>
      <c r="Y26" s="105"/>
      <c r="Z26" s="104"/>
      <c r="AA26" s="106"/>
      <c r="AF26" s="659"/>
      <c r="AG26" s="46"/>
      <c r="AH26" s="46"/>
      <c r="AI26" s="46"/>
      <c r="AJ26" s="150"/>
      <c r="AP26" s="103"/>
      <c r="AQ26" s="104"/>
      <c r="AR26" s="105"/>
      <c r="AS26" s="105"/>
      <c r="AT26" s="104"/>
      <c r="AU26" s="105"/>
      <c r="AV26" s="105"/>
      <c r="AW26" s="104"/>
      <c r="AX26" s="105"/>
      <c r="AY26" s="105"/>
      <c r="AZ26" s="104"/>
      <c r="BA26" s="106"/>
    </row>
    <row r="27" spans="3:53" ht="23">
      <c r="C27" s="673"/>
      <c r="D27" s="31"/>
      <c r="E27" s="49"/>
      <c r="F27" s="31"/>
      <c r="G27" s="674"/>
      <c r="J27" s="37"/>
      <c r="K27" s="660"/>
      <c r="L27" s="660"/>
      <c r="M27" s="661"/>
      <c r="N27" s="38"/>
      <c r="P27" s="103"/>
      <c r="Q27" s="104"/>
      <c r="R27" s="105"/>
      <c r="S27" s="105"/>
      <c r="T27" s="104"/>
      <c r="U27" s="105"/>
      <c r="V27" s="105"/>
      <c r="W27" s="104"/>
      <c r="X27" s="105"/>
      <c r="Y27" s="105"/>
      <c r="Z27" s="104"/>
      <c r="AA27" s="106"/>
      <c r="AF27" s="659"/>
      <c r="AG27" s="46"/>
      <c r="AH27" s="46"/>
      <c r="AI27" s="46"/>
      <c r="AJ27" s="150"/>
      <c r="AP27" s="103"/>
      <c r="AQ27" s="104"/>
      <c r="AR27" s="105"/>
      <c r="AS27" s="105"/>
      <c r="AT27" s="104"/>
      <c r="AU27" s="105"/>
      <c r="AV27" s="105"/>
      <c r="AW27" s="104"/>
      <c r="AX27" s="105"/>
      <c r="AY27" s="105"/>
      <c r="AZ27" s="104"/>
      <c r="BA27" s="106"/>
    </row>
    <row r="28" spans="3:53" ht="23">
      <c r="C28" s="673"/>
      <c r="D28" s="678" t="s">
        <v>161</v>
      </c>
      <c r="E28" s="679">
        <f ca="1">IF(OR(D8=102, D8="A"), E18+E22-E24-E12+E26*20%, IF(D8="B", E18-E24-E12+E26*20%, E18))</f>
        <v>811.80000000000018</v>
      </c>
      <c r="F28" s="680" t="s">
        <v>163</v>
      </c>
      <c r="G28" s="674"/>
      <c r="J28" s="37"/>
      <c r="N28" s="38"/>
      <c r="P28" s="103">
        <v>11</v>
      </c>
      <c r="Q28" s="104">
        <f>Q25-1</f>
        <v>45932</v>
      </c>
      <c r="R28" s="105" t="e">
        <f>SUMIFS(#REF!,#REF!,M31,#REF!,Q28)</f>
        <v>#REF!</v>
      </c>
      <c r="S28" s="105">
        <f>S25+1</f>
        <v>24</v>
      </c>
      <c r="T28" s="104">
        <f>T25-1</f>
        <v>45919</v>
      </c>
      <c r="U28" s="105" t="e">
        <f>SUMIFS(#REF!,#REF!,M22,#REF!,T28)</f>
        <v>#REF!</v>
      </c>
      <c r="V28" s="105">
        <f>V25+1</f>
        <v>37</v>
      </c>
      <c r="W28" s="104">
        <f>W25-1</f>
        <v>45906</v>
      </c>
      <c r="X28" s="105" t="e">
        <f>SUMIFS(#REF!,#REF!,M22,#REF!,W28)</f>
        <v>#REF!</v>
      </c>
      <c r="Y28" s="105">
        <f>Y25+1</f>
        <v>50</v>
      </c>
      <c r="Z28" s="104">
        <f>Z25-1</f>
        <v>45893</v>
      </c>
      <c r="AA28" s="106" t="e">
        <f>SUMIFS(#REF!,#REF!,M22,#REF!,Z28)</f>
        <v>#REF!</v>
      </c>
      <c r="AF28" s="37"/>
      <c r="AH28" s="46"/>
      <c r="AJ28" s="38"/>
      <c r="AP28" s="103">
        <v>8</v>
      </c>
      <c r="AQ28" s="104">
        <f ca="1">AQ25-1</f>
        <v>46316</v>
      </c>
      <c r="AR28" s="105" t="e">
        <f ca="1">SUMIFS(#REF!,#REF!,AI34,#REF!,AQ28)</f>
        <v>#REF!</v>
      </c>
      <c r="AS28" s="105">
        <f>AS25+1</f>
        <v>21</v>
      </c>
      <c r="AT28" s="104">
        <f ca="1">AT25-1</f>
        <v>46303</v>
      </c>
      <c r="AU28" s="105" t="e">
        <f ca="1">SUMIFS(#REF!,#REF!,AJ25,#REF!,AT28)</f>
        <v>#REF!</v>
      </c>
      <c r="AV28" s="105">
        <f>AV25+1</f>
        <v>34</v>
      </c>
      <c r="AW28" s="104">
        <f ca="1">AW25-1</f>
        <v>46290</v>
      </c>
      <c r="AX28" s="105" t="e">
        <f ca="1">SUMIFS(#REF!,#REF!,AJ25,#REF!,AW28)</f>
        <v>#REF!</v>
      </c>
      <c r="AY28" s="105">
        <f>AY25+1</f>
        <v>47</v>
      </c>
      <c r="AZ28" s="104">
        <f ca="1">AZ25-1</f>
        <v>46277</v>
      </c>
      <c r="BA28" s="106" t="e">
        <f ca="1">SUMIFS(#REF!,#REF!,AJ25,#REF!,AZ28)</f>
        <v>#REF!</v>
      </c>
    </row>
    <row r="29" spans="3:53" ht="20">
      <c r="C29" s="675"/>
      <c r="D29" s="676"/>
      <c r="E29" s="676"/>
      <c r="F29" s="676"/>
      <c r="G29" s="677"/>
      <c r="J29" s="37"/>
      <c r="N29" s="38"/>
      <c r="P29" s="103">
        <v>12</v>
      </c>
      <c r="Q29" s="104">
        <f t="shared" si="1"/>
        <v>45931</v>
      </c>
      <c r="R29" s="105" t="e">
        <f>SUMIFS(#REF!,#REF!,M31,#REF!,Q29)</f>
        <v>#REF!</v>
      </c>
      <c r="S29" s="105">
        <f t="shared" si="2"/>
        <v>25</v>
      </c>
      <c r="T29" s="104">
        <f t="shared" si="0"/>
        <v>45918</v>
      </c>
      <c r="U29" s="105" t="e">
        <f>SUMIFS(#REF!,#REF!,M22,#REF!,T29)</f>
        <v>#REF!</v>
      </c>
      <c r="V29" s="105">
        <f t="shared" si="3"/>
        <v>38</v>
      </c>
      <c r="W29" s="104">
        <f t="shared" si="8"/>
        <v>45905</v>
      </c>
      <c r="X29" s="105" t="e">
        <f>SUMIFS(#REF!,#REF!,M22,#REF!,W29)</f>
        <v>#REF!</v>
      </c>
      <c r="Y29" s="105">
        <f t="shared" si="5"/>
        <v>51</v>
      </c>
      <c r="Z29" s="104">
        <f t="shared" si="9"/>
        <v>45892</v>
      </c>
      <c r="AA29" s="106" t="e">
        <f>SUMIFS(#REF!,#REF!,M22,#REF!,Z29)</f>
        <v>#REF!</v>
      </c>
      <c r="AF29" s="37"/>
      <c r="AH29" s="46"/>
      <c r="AJ29" s="38"/>
      <c r="AP29" s="103">
        <v>9</v>
      </c>
      <c r="AQ29" s="104">
        <f t="shared" ca="1" si="10"/>
        <v>46315</v>
      </c>
      <c r="AR29" s="105" t="e">
        <f ca="1">SUMIFS(#REF!,#REF!,AI34,#REF!,AQ29)</f>
        <v>#REF!</v>
      </c>
      <c r="AS29" s="105">
        <f t="shared" si="11"/>
        <v>22</v>
      </c>
      <c r="AT29" s="104">
        <f t="shared" ca="1" si="7"/>
        <v>46302</v>
      </c>
      <c r="AU29" s="105" t="e">
        <f ca="1">SUMIFS(#REF!,#REF!,AJ25,#REF!,AT29)</f>
        <v>#REF!</v>
      </c>
      <c r="AV29" s="105">
        <f t="shared" si="12"/>
        <v>35</v>
      </c>
      <c r="AW29" s="104">
        <f t="shared" ca="1" si="16"/>
        <v>46289</v>
      </c>
      <c r="AX29" s="105" t="e">
        <f ca="1">SUMIFS(#REF!,#REF!,AJ25,#REF!,AW29)</f>
        <v>#REF!</v>
      </c>
      <c r="AY29" s="105">
        <f t="shared" si="14"/>
        <v>48</v>
      </c>
      <c r="AZ29" s="104">
        <f t="shared" ca="1" si="17"/>
        <v>46276</v>
      </c>
      <c r="BA29" s="106" t="e">
        <f ca="1">SUMIFS(#REF!,#REF!,AJ25,#REF!,AZ29)</f>
        <v>#REF!</v>
      </c>
    </row>
    <row r="30" spans="3:53" ht="23">
      <c r="J30" s="39"/>
      <c r="K30" s="40"/>
      <c r="L30" s="40"/>
      <c r="M30" s="40"/>
      <c r="N30" s="41"/>
      <c r="P30" s="107">
        <v>13</v>
      </c>
      <c r="Q30" s="108">
        <f t="shared" si="1"/>
        <v>45930</v>
      </c>
      <c r="R30" s="109" t="e">
        <f>SUMIFS(#REF!,#REF!,M31,#REF!,Q30)</f>
        <v>#REF!</v>
      </c>
      <c r="S30" s="109">
        <f t="shared" si="2"/>
        <v>26</v>
      </c>
      <c r="T30" s="108">
        <f t="shared" si="0"/>
        <v>45917</v>
      </c>
      <c r="U30" s="109" t="e">
        <f>SUMIFS(#REF!,#REF!,M22,#REF!,T30)</f>
        <v>#REF!</v>
      </c>
      <c r="V30" s="109">
        <f t="shared" si="3"/>
        <v>39</v>
      </c>
      <c r="W30" s="108">
        <f t="shared" si="8"/>
        <v>45904</v>
      </c>
      <c r="X30" s="109" t="e">
        <f>SUMIFS(#REF!,#REF!,M22,#REF!,W30)</f>
        <v>#REF!</v>
      </c>
      <c r="Y30" s="109">
        <f t="shared" si="5"/>
        <v>52</v>
      </c>
      <c r="Z30" s="108">
        <f t="shared" si="9"/>
        <v>45891</v>
      </c>
      <c r="AA30" s="110" t="e">
        <f>SUMIFS(#REF!,#REF!,M22,#REF!,Z30)</f>
        <v>#REF!</v>
      </c>
      <c r="AF30" s="37"/>
      <c r="AG30" s="746" t="s">
        <v>172</v>
      </c>
      <c r="AH30" s="747"/>
      <c r="AI30" s="71" t="e">
        <f ca="1">" ريال "&amp;TEXT(SUM(AR19:AR25),"0,00.00")&amp;" "</f>
        <v>#REF!</v>
      </c>
      <c r="AJ30" s="38"/>
      <c r="AP30" s="103">
        <v>10</v>
      </c>
      <c r="AQ30" s="104">
        <f t="shared" ca="1" si="10"/>
        <v>46314</v>
      </c>
      <c r="AR30" s="105" t="e">
        <f ca="1">SUMIFS(#REF!,#REF!,AI34,#REF!,AQ30)</f>
        <v>#REF!</v>
      </c>
      <c r="AS30" s="105">
        <f t="shared" si="11"/>
        <v>23</v>
      </c>
      <c r="AT30" s="104">
        <f t="shared" ca="1" si="7"/>
        <v>46301</v>
      </c>
      <c r="AU30" s="105" t="e">
        <f ca="1">SUMIFS(#REF!,#REF!,AJ25,#REF!,AT30)</f>
        <v>#REF!</v>
      </c>
      <c r="AV30" s="105">
        <f t="shared" si="12"/>
        <v>36</v>
      </c>
      <c r="AW30" s="104">
        <f t="shared" ca="1" si="16"/>
        <v>46288</v>
      </c>
      <c r="AX30" s="105" t="e">
        <f ca="1">SUMIFS(#REF!,#REF!,AJ25,#REF!,AW30)</f>
        <v>#REF!</v>
      </c>
      <c r="AY30" s="105">
        <f t="shared" si="14"/>
        <v>49</v>
      </c>
      <c r="AZ30" s="104">
        <f t="shared" ca="1" si="17"/>
        <v>46275</v>
      </c>
      <c r="BA30" s="106" t="e">
        <f ca="1">SUMIFS(#REF!,#REF!,AJ25,#REF!,AZ30)</f>
        <v>#REF!</v>
      </c>
    </row>
    <row r="31" spans="3:53" ht="20">
      <c r="AF31" s="37"/>
      <c r="AJ31" s="38"/>
      <c r="AP31" s="103">
        <v>11</v>
      </c>
      <c r="AQ31" s="104">
        <f t="shared" ca="1" si="10"/>
        <v>46313</v>
      </c>
      <c r="AR31" s="105" t="e">
        <f ca="1">SUMIFS(#REF!,#REF!,AI34,#REF!,AQ31)</f>
        <v>#REF!</v>
      </c>
      <c r="AS31" s="105">
        <f t="shared" si="11"/>
        <v>24</v>
      </c>
      <c r="AT31" s="104">
        <f t="shared" ca="1" si="7"/>
        <v>46300</v>
      </c>
      <c r="AU31" s="105" t="e">
        <f ca="1">SUMIFS(#REF!,#REF!,AJ25,#REF!,AT31)</f>
        <v>#REF!</v>
      </c>
      <c r="AV31" s="105">
        <f t="shared" si="12"/>
        <v>37</v>
      </c>
      <c r="AW31" s="104">
        <f t="shared" ca="1" si="16"/>
        <v>46287</v>
      </c>
      <c r="AX31" s="105" t="e">
        <f ca="1">SUMIFS(#REF!,#REF!,AJ25,#REF!,AW31)</f>
        <v>#REF!</v>
      </c>
      <c r="AY31" s="105">
        <f t="shared" si="14"/>
        <v>50</v>
      </c>
      <c r="AZ31" s="104">
        <f t="shared" ca="1" si="17"/>
        <v>46274</v>
      </c>
      <c r="BA31" s="106" t="e">
        <f ca="1">SUMIFS(#REF!,#REF!,AJ25,#REF!,AZ31)</f>
        <v>#REF!</v>
      </c>
    </row>
    <row r="32" spans="3:53" ht="20">
      <c r="AF32" s="37"/>
      <c r="AJ32" s="38"/>
      <c r="AP32" s="103">
        <v>12</v>
      </c>
      <c r="AQ32" s="104">
        <f t="shared" ca="1" si="10"/>
        <v>46312</v>
      </c>
      <c r="AR32" s="105" t="e">
        <f ca="1">SUMIFS(#REF!,#REF!,AI34,#REF!,AQ32)</f>
        <v>#REF!</v>
      </c>
      <c r="AS32" s="105">
        <f t="shared" si="11"/>
        <v>25</v>
      </c>
      <c r="AT32" s="104">
        <f t="shared" ca="1" si="7"/>
        <v>46299</v>
      </c>
      <c r="AU32" s="105" t="e">
        <f ca="1">SUMIFS(#REF!,#REF!,AJ25,#REF!,AT32)</f>
        <v>#REF!</v>
      </c>
      <c r="AV32" s="105">
        <f t="shared" si="12"/>
        <v>38</v>
      </c>
      <c r="AW32" s="104">
        <f t="shared" ca="1" si="16"/>
        <v>46286</v>
      </c>
      <c r="AX32" s="105" t="e">
        <f ca="1">SUMIFS(#REF!,#REF!,AJ25,#REF!,AW32)</f>
        <v>#REF!</v>
      </c>
      <c r="AY32" s="105">
        <f t="shared" si="14"/>
        <v>51</v>
      </c>
      <c r="AZ32" s="104">
        <f t="shared" ca="1" si="17"/>
        <v>46273</v>
      </c>
      <c r="BA32" s="106" t="e">
        <f ca="1">SUMIFS(#REF!,#REF!,AJ25,#REF!,AZ32)</f>
        <v>#REF!</v>
      </c>
    </row>
    <row r="33" spans="2:53" ht="20">
      <c r="B33" s="757" t="str">
        <f>"المؤجرات والشواغر مبني "&amp;D8&amp;" شهر "&amp;F8</f>
        <v>المؤجرات والشواغر مبني B شهر أكتوبر 26</v>
      </c>
      <c r="C33" s="757"/>
      <c r="D33" s="757"/>
      <c r="E33" s="757"/>
      <c r="F33" s="757"/>
      <c r="G33" s="757"/>
      <c r="H33" s="757"/>
      <c r="I33" s="757"/>
      <c r="J33" s="180"/>
      <c r="K33" s="180"/>
      <c r="L33" s="180"/>
      <c r="M33" s="180"/>
      <c r="N33" s="180"/>
      <c r="O33" s="180"/>
      <c r="P33" s="180"/>
      <c r="AF33" s="39"/>
      <c r="AG33" s="40"/>
      <c r="AH33" s="40"/>
      <c r="AI33" s="40"/>
      <c r="AJ33" s="41"/>
      <c r="AP33" s="107">
        <v>13</v>
      </c>
      <c r="AQ33" s="108">
        <f t="shared" ca="1" si="10"/>
        <v>46311</v>
      </c>
      <c r="AR33" s="109" t="e">
        <f ca="1">SUMIFS(#REF!,#REF!,AI34,#REF!,AQ33)</f>
        <v>#REF!</v>
      </c>
      <c r="AS33" s="109">
        <f t="shared" si="11"/>
        <v>26</v>
      </c>
      <c r="AT33" s="108">
        <f t="shared" ca="1" si="7"/>
        <v>46298</v>
      </c>
      <c r="AU33" s="109" t="e">
        <f ca="1">SUMIFS(#REF!,#REF!,AJ25,#REF!,AT33)</f>
        <v>#REF!</v>
      </c>
      <c r="AV33" s="109">
        <f t="shared" si="12"/>
        <v>39</v>
      </c>
      <c r="AW33" s="108">
        <f t="shared" ca="1" si="16"/>
        <v>46285</v>
      </c>
      <c r="AX33" s="109" t="e">
        <f ca="1">SUMIFS(#REF!,#REF!,AJ25,#REF!,AW33)</f>
        <v>#REF!</v>
      </c>
      <c r="AY33" s="109">
        <f t="shared" si="14"/>
        <v>52</v>
      </c>
      <c r="AZ33" s="108">
        <f t="shared" ca="1" si="17"/>
        <v>46272</v>
      </c>
      <c r="BA33" s="110" t="e">
        <f ca="1">SUMIFS(#REF!,#REF!,AJ25,#REF!,AZ33)</f>
        <v>#REF!</v>
      </c>
    </row>
    <row r="35" spans="2:53">
      <c r="B35" s="135" t="s">
        <v>1</v>
      </c>
      <c r="C35" s="135" t="s">
        <v>264</v>
      </c>
      <c r="D35" s="135" t="s">
        <v>8</v>
      </c>
      <c r="E35" s="135" t="s">
        <v>12</v>
      </c>
      <c r="F35" s="135" t="s">
        <v>1</v>
      </c>
      <c r="G35" s="135" t="s">
        <v>27</v>
      </c>
      <c r="H35" s="135" t="s">
        <v>68</v>
      </c>
      <c r="I35" s="135" t="s">
        <v>72</v>
      </c>
      <c r="J35" s="135" t="s">
        <v>69</v>
      </c>
      <c r="K35" s="135" t="s">
        <v>26</v>
      </c>
      <c r="L35" s="135" t="s">
        <v>67</v>
      </c>
      <c r="M35" s="135" t="s">
        <v>70</v>
      </c>
      <c r="N35" s="135" t="s">
        <v>43</v>
      </c>
      <c r="O35" s="135" t="s">
        <v>73</v>
      </c>
      <c r="P35" s="135" t="s">
        <v>71</v>
      </c>
    </row>
    <row r="36" spans="2:53" ht="20">
      <c r="B36" s="26" t="str">
        <f>IF(D$8="B",Menus!J6,Menus!J21)</f>
        <v>A1</v>
      </c>
      <c r="C36" s="26" cm="1">
        <f t="array" aca="1" ref="C36:R36" ca="1">IF('Monthly Report'!B36="","",_xlfn._xlws.FILTER(الجدول3[],(الجدول3[الوحدة]='Monthly Report'!B36)*('Monthly Report'!F$8=الجدول3[شهر الدفعة])*(الجدول3[المبني]='Monthly Report'!D$8),"شاغرة"))</f>
        <v>188</v>
      </c>
      <c r="D36" t="str">
        <f ca="1"/>
        <v xml:space="preserve"> معاذ ابراهيم محمد الراشد</v>
      </c>
      <c r="E36">
        <f ca="1"/>
        <v>10645869084</v>
      </c>
      <c r="F36" t="str">
        <f ca="1"/>
        <v>A1</v>
      </c>
      <c r="G36" t="str">
        <f ca="1"/>
        <v>B</v>
      </c>
      <c r="H36" s="112">
        <f ca="1"/>
        <v>46311</v>
      </c>
      <c r="I36" t="str">
        <f ca="1"/>
        <v>أكتوبر 26</v>
      </c>
      <c r="J36">
        <f ca="1"/>
        <v>2000</v>
      </c>
      <c r="K36">
        <f ca="1"/>
        <v>2000</v>
      </c>
      <c r="L36">
        <f ca="1"/>
        <v>2000</v>
      </c>
      <c r="M36" s="112">
        <f ca="1"/>
        <v>46311</v>
      </c>
      <c r="N36" t="str">
        <f ca="1"/>
        <v>منصة ايجار</v>
      </c>
      <c r="O36" t="str">
        <f ca="1"/>
        <v>أكتوبر 26</v>
      </c>
      <c r="P36">
        <f ca="1"/>
        <v>0</v>
      </c>
      <c r="Q36">
        <f ca="1"/>
        <v>0</v>
      </c>
      <c r="R36">
        <f ca="1"/>
        <v>0</v>
      </c>
      <c r="AF36" s="158"/>
      <c r="AG36" s="159"/>
      <c r="AH36" s="159"/>
      <c r="AI36" s="160"/>
    </row>
    <row r="37" spans="2:53" ht="20">
      <c r="B37" s="744" t="str">
        <f>IF(D$8="B",Menus!J7,Menus!J22)</f>
        <v>A2</v>
      </c>
      <c r="C37" s="744" t="str" cm="1">
        <f t="array" ref="C37">IF('Monthly Report'!B37="","",_xlfn._xlws.FILTER(الجدول3[],(الجدول3[الوحدة]='Monthly Report'!B37)*('Monthly Report'!F$8=الجدول3[شهر الدفعة])*(الجدول3[المبني]='Monthly Report'!D$8),"شاغرة"))</f>
        <v>شاغرة</v>
      </c>
      <c r="D37" s="26"/>
      <c r="E37" s="26"/>
      <c r="F37" s="26"/>
      <c r="G37" s="26"/>
      <c r="H37" s="112"/>
      <c r="I37" s="26"/>
      <c r="J37" s="26"/>
      <c r="K37" s="26"/>
      <c r="L37" s="26"/>
      <c r="M37" s="112"/>
      <c r="N37" s="26"/>
      <c r="O37" s="26"/>
      <c r="P37" s="26"/>
      <c r="Q37" s="26"/>
      <c r="R37" s="26"/>
      <c r="AF37" s="743" t="str">
        <f>"نسبة الدفع للمبني " &amp;AJ25 &amp; " شهر " &amp;F8</f>
        <v>نسبة الدفع للمبني 101 شهر أكتوبر 26</v>
      </c>
      <c r="AG37" s="744"/>
      <c r="AH37" s="744"/>
      <c r="AI37" s="745"/>
    </row>
    <row r="38" spans="2:53" ht="20">
      <c r="B38" s="744" t="str">
        <f>IF(D$8="B",Menus!J8,Menus!J23)</f>
        <v>A3</v>
      </c>
      <c r="C38" s="744" cm="1">
        <f t="array" aca="1" ref="C38:R38" ca="1">IF('Monthly Report'!B38="","",_xlfn._xlws.FILTER(الجدول3[],(الجدول3[الوحدة]='Monthly Report'!B38)*('Monthly Report'!F$8=الجدول3[شهر الدفعة])*(الجدول3[المبني]='Monthly Report'!D$8),"شاغرة"))</f>
        <v>176</v>
      </c>
      <c r="D38" s="26" t="str">
        <f ca="1"/>
        <v xml:space="preserve"> سطام مشعان بن عكال العنزي</v>
      </c>
      <c r="E38" s="26">
        <f ca="1"/>
        <v>10353217790</v>
      </c>
      <c r="F38" s="26" t="str">
        <f ca="1"/>
        <v>A3</v>
      </c>
      <c r="G38" s="26" t="str">
        <f ca="1"/>
        <v>B</v>
      </c>
      <c r="H38" s="112">
        <f ca="1"/>
        <v>46308</v>
      </c>
      <c r="I38" s="26" t="str">
        <f ca="1"/>
        <v>أكتوبر 26</v>
      </c>
      <c r="J38" s="26">
        <f ca="1"/>
        <v>1800</v>
      </c>
      <c r="K38" s="26">
        <f ca="1"/>
        <v>1800</v>
      </c>
      <c r="L38" s="26">
        <f ca="1"/>
        <v>0</v>
      </c>
      <c r="M38" s="112">
        <f ca="1"/>
        <v>0</v>
      </c>
      <c r="N38" s="26" t="str">
        <f ca="1"/>
        <v>مستحقة</v>
      </c>
      <c r="O38" s="26">
        <f ca="1"/>
        <v>0</v>
      </c>
      <c r="P38" s="26">
        <f ca="1"/>
        <v>-1800</v>
      </c>
      <c r="Q38" s="26">
        <f ca="1"/>
        <v>0</v>
      </c>
      <c r="R38" s="26">
        <f ca="1"/>
        <v>0</v>
      </c>
      <c r="AF38" s="151"/>
      <c r="AI38" s="152"/>
    </row>
    <row r="39" spans="2:53" ht="20">
      <c r="B39" s="744" t="str">
        <f>IF(D$8="B",Menus!J9,Menus!J24)</f>
        <v>A4</v>
      </c>
      <c r="C39" s="744" cm="1">
        <f t="array" aca="1" ref="C39:R39" ca="1">IF('Monthly Report'!B39="","",_xlfn._xlws.FILTER(الجدول3[],(الجدول3[الوحدة]='Monthly Report'!B39)*('Monthly Report'!F$8=الجدول3[شهر الدفعة])*(الجدول3[المبني]='Monthly Report'!D$8),"شاغرة"))</f>
        <v>140</v>
      </c>
      <c r="D39" s="26" t="str">
        <f ca="1"/>
        <v>فارس محمد سعيد الزهراني</v>
      </c>
      <c r="E39" s="26">
        <f ca="1"/>
        <v>10874887163</v>
      </c>
      <c r="F39" s="26" t="str">
        <f ca="1"/>
        <v>A4</v>
      </c>
      <c r="G39" s="26" t="str">
        <f ca="1"/>
        <v>B</v>
      </c>
      <c r="H39" s="112">
        <f ca="1"/>
        <v>46323</v>
      </c>
      <c r="I39" s="26" t="str">
        <f ca="1"/>
        <v>أكتوبر 26</v>
      </c>
      <c r="J39" s="26">
        <f ca="1"/>
        <v>1900</v>
      </c>
      <c r="K39" s="26">
        <f ca="1"/>
        <v>1900</v>
      </c>
      <c r="L39" s="26">
        <f ca="1"/>
        <v>0</v>
      </c>
      <c r="M39" s="112">
        <f ca="1"/>
        <v>0</v>
      </c>
      <c r="N39" s="26" t="str">
        <f ca="1"/>
        <v>مستحقة اليوم</v>
      </c>
      <c r="O39" s="26">
        <f ca="1"/>
        <v>0</v>
      </c>
      <c r="P39" s="26">
        <f ca="1"/>
        <v>-1900</v>
      </c>
      <c r="Q39" s="26">
        <f ca="1"/>
        <v>0</v>
      </c>
      <c r="R39" s="26">
        <f ca="1"/>
        <v>0</v>
      </c>
      <c r="AF39" s="151"/>
      <c r="AG39" s="26" t="s">
        <v>300</v>
      </c>
      <c r="AH39" s="26" t="s">
        <v>59</v>
      </c>
      <c r="AI39" s="152" t="s">
        <v>301</v>
      </c>
    </row>
    <row r="40" spans="2:53" ht="20">
      <c r="B40" s="744" t="str">
        <f>IF(D$8="B",Menus!J10,Menus!J25)</f>
        <v>A5</v>
      </c>
      <c r="C40" s="744" t="str" cm="1">
        <f t="array" ref="C40">IF('Monthly Report'!B40="","",_xlfn._xlws.FILTER(الجدول3[],(الجدول3[الوحدة]='Monthly Report'!B40)*('Monthly Report'!F$8=الجدول3[شهر الدفعة])*(الجدول3[المبني]='Monthly Report'!D$8),"شاغرة"))</f>
        <v>شاغرة</v>
      </c>
      <c r="D40" s="26"/>
      <c r="E40" s="26"/>
      <c r="F40" s="26"/>
      <c r="G40" s="26"/>
      <c r="H40" s="112"/>
      <c r="I40" s="26"/>
      <c r="J40" s="26"/>
      <c r="K40" s="26"/>
      <c r="L40" s="26"/>
      <c r="M40" s="112"/>
      <c r="N40" s="26"/>
      <c r="O40" s="26"/>
      <c r="P40" s="26"/>
      <c r="Q40" s="26"/>
      <c r="R40" s="26"/>
      <c r="AF40" s="151" t="s">
        <v>42</v>
      </c>
      <c r="AG40" s="26" t="e">
        <f>SUMIFS(#REF!,#REF!,F8,#REF!,AJ25)</f>
        <v>#REF!</v>
      </c>
      <c r="AH40" s="26" t="e">
        <f>SUMIFS(#REF!,#REF!,F8,#REF!,AJ25)</f>
        <v>#REF!</v>
      </c>
      <c r="AI40" s="152" t="e">
        <f>AG40-AH40</f>
        <v>#REF!</v>
      </c>
    </row>
    <row r="41" spans="2:53" ht="20">
      <c r="B41" s="744" t="str">
        <f>IF(D$8="B",Menus!J11,Menus!J26)</f>
        <v>A6</v>
      </c>
      <c r="C41" s="744" cm="1">
        <f t="array" aca="1" ref="C41:R41" ca="1">IF('Monthly Report'!B41="","",_xlfn._xlws.FILTER(الجدول3[],(الجدول3[الوحدة]='Monthly Report'!B41)*('Monthly Report'!F$8=الجدول3[شهر الدفعة])*(الجدول3[المبني]='Monthly Report'!D$8),"شاغرة"))</f>
        <v>256</v>
      </c>
      <c r="D41" s="26" t="str">
        <f ca="1"/>
        <v>سلطان محم عبدالعزيز المشيقح</v>
      </c>
      <c r="E41" s="26">
        <f ca="1"/>
        <v>10929387859</v>
      </c>
      <c r="F41" s="26" t="str">
        <f ca="1"/>
        <v>A6</v>
      </c>
      <c r="G41" s="26" t="str">
        <f ca="1"/>
        <v>B</v>
      </c>
      <c r="H41" s="112">
        <f ca="1"/>
        <v>46305</v>
      </c>
      <c r="I41" s="26" t="str">
        <f ca="1"/>
        <v>أكتوبر 26</v>
      </c>
      <c r="J41" s="26">
        <f ca="1"/>
        <v>2000</v>
      </c>
      <c r="K41" s="26">
        <f ca="1"/>
        <v>2000</v>
      </c>
      <c r="L41" s="26">
        <f ca="1"/>
        <v>2000</v>
      </c>
      <c r="M41" s="112">
        <f ca="1"/>
        <v>46305</v>
      </c>
      <c r="N41" s="26" t="str">
        <f ca="1"/>
        <v>منصة ايجار</v>
      </c>
      <c r="O41" s="26" t="str">
        <f ca="1"/>
        <v>أكتوبر 26</v>
      </c>
      <c r="P41" s="26">
        <f ca="1"/>
        <v>0</v>
      </c>
      <c r="Q41" s="26">
        <f ca="1"/>
        <v>0</v>
      </c>
      <c r="R41" s="26">
        <f ca="1"/>
        <v>0</v>
      </c>
      <c r="AF41" s="151" t="s">
        <v>302</v>
      </c>
      <c r="AG41" s="153" t="e">
        <f>IF(AJ25=103,AG40/20000,AG40/60000)</f>
        <v>#REF!</v>
      </c>
      <c r="AH41" s="153" t="e">
        <f>AH40/AG40</f>
        <v>#REF!</v>
      </c>
      <c r="AI41" s="154" t="e">
        <f>AI40/AG40</f>
        <v>#REF!</v>
      </c>
    </row>
    <row r="42" spans="2:53" ht="20">
      <c r="B42" s="744" t="str">
        <f>IF(D$8="B",Menus!J12,Menus!J27)</f>
        <v>A7</v>
      </c>
      <c r="C42" s="744" cm="1">
        <f t="array" aca="1" ref="C42:R42" ca="1">IF('Monthly Report'!B42="","",_xlfn._xlws.FILTER(الجدول3[],(الجدول3[الوحدة]='Monthly Report'!B42)*('Monthly Report'!F$8=الجدول3[شهر الدفعة])*(الجدول3[المبني]='Monthly Report'!D$8),"شاغرة"))</f>
        <v>215</v>
      </c>
      <c r="D42" s="26" t="str">
        <f ca="1"/>
        <v>علي فهد علي العرجاني</v>
      </c>
      <c r="E42" s="26">
        <f ca="1"/>
        <v>10256514417</v>
      </c>
      <c r="F42" s="26" t="str">
        <f ca="1"/>
        <v>A7</v>
      </c>
      <c r="G42" s="26" t="str">
        <f ca="1"/>
        <v>B</v>
      </c>
      <c r="H42" s="112">
        <f ca="1"/>
        <v>46306</v>
      </c>
      <c r="I42" s="26" t="str">
        <f ca="1"/>
        <v>أكتوبر 26</v>
      </c>
      <c r="J42" s="26">
        <f ca="1"/>
        <v>1900</v>
      </c>
      <c r="K42" s="26">
        <f ca="1"/>
        <v>1900</v>
      </c>
      <c r="L42" s="26">
        <f ca="1"/>
        <v>1000</v>
      </c>
      <c r="M42" s="112">
        <f ca="1"/>
        <v>46306</v>
      </c>
      <c r="N42" s="26" t="str">
        <f ca="1"/>
        <v>منصة ايجار</v>
      </c>
      <c r="O42" s="26" t="str">
        <f ca="1"/>
        <v>أكتوبر 26</v>
      </c>
      <c r="P42" s="26">
        <f ca="1"/>
        <v>-900</v>
      </c>
      <c r="Q42" s="26">
        <f ca="1"/>
        <v>0</v>
      </c>
      <c r="R42" s="26">
        <f ca="1"/>
        <v>0</v>
      </c>
      <c r="AF42" s="155"/>
      <c r="AG42" s="156"/>
      <c r="AH42" s="156"/>
      <c r="AI42" s="157"/>
    </row>
    <row r="43" spans="2:53" ht="20.5" thickTop="1">
      <c r="B43" s="744" t="str">
        <f>IF(D$8="B",Menus!J13,Menus!J28)</f>
        <v>A8</v>
      </c>
      <c r="C43" s="744" t="str" cm="1">
        <f t="array" ref="C43">IF('Monthly Report'!B43="","",_xlfn._xlws.FILTER(الجدول3[],(الجدول3[الوحدة]='Monthly Report'!B43)*('Monthly Report'!F$8=الجدول3[شهر الدفعة])*(الجدول3[المبني]='Monthly Report'!D$8),"شاغرة"))</f>
        <v>شاغرة</v>
      </c>
      <c r="D43" s="26"/>
      <c r="E43" s="26"/>
      <c r="F43" s="26"/>
      <c r="G43" s="26"/>
      <c r="H43" s="112"/>
      <c r="I43" s="26"/>
      <c r="J43" s="26"/>
      <c r="K43" s="26"/>
      <c r="L43" s="26"/>
      <c r="M43" s="112"/>
      <c r="N43" s="26"/>
      <c r="O43" s="26"/>
      <c r="P43" s="26"/>
      <c r="Q43" s="26"/>
      <c r="R43" s="26"/>
    </row>
    <row r="44" spans="2:53" ht="20">
      <c r="B44" s="744" t="str">
        <f>IF(D$8="B",Menus!J14,Menus!J29)</f>
        <v>A9</v>
      </c>
      <c r="C44" s="744" cm="1">
        <f t="array" aca="1" ref="C44:R44" ca="1">IF('Monthly Report'!B44="","",_xlfn._xlws.FILTER(الجدول3[],(الجدول3[الوحدة]='Monthly Report'!B44)*('Monthly Report'!F$8=الجدول3[شهر الدفعة])*(الجدول3[المبني]='Monthly Report'!D$8),"شاغرة"))</f>
        <v>199</v>
      </c>
      <c r="D44" s="26" t="str">
        <f ca="1"/>
        <v>سيف مبارك بن إبراهيم الجديع</v>
      </c>
      <c r="E44" s="26">
        <f ca="1"/>
        <v>10023848025</v>
      </c>
      <c r="F44" s="26" t="str">
        <f ca="1"/>
        <v>A9</v>
      </c>
      <c r="G44" s="26" t="str">
        <f ca="1"/>
        <v>B</v>
      </c>
      <c r="H44" s="112">
        <f ca="1"/>
        <v>46308</v>
      </c>
      <c r="I44" s="26" t="str">
        <f ca="1"/>
        <v>أكتوبر 26</v>
      </c>
      <c r="J44" s="26">
        <f ca="1"/>
        <v>2000</v>
      </c>
      <c r="K44" s="26">
        <f ca="1"/>
        <v>2000</v>
      </c>
      <c r="L44" s="26">
        <f ca="1"/>
        <v>0</v>
      </c>
      <c r="M44" s="112">
        <f ca="1"/>
        <v>0</v>
      </c>
      <c r="N44" s="26" t="str">
        <f ca="1"/>
        <v>مستحقة</v>
      </c>
      <c r="O44" s="26">
        <f ca="1"/>
        <v>0</v>
      </c>
      <c r="P44" s="26">
        <f ca="1"/>
        <v>-2000</v>
      </c>
      <c r="Q44" s="26">
        <f ca="1"/>
        <v>0</v>
      </c>
      <c r="R44" s="26">
        <f ca="1"/>
        <v>0</v>
      </c>
    </row>
    <row r="45" spans="2:53" ht="20">
      <c r="B45" s="744" t="str">
        <f>IF(D$8="B",Menus!J15,Menus!J30)</f>
        <v>A10</v>
      </c>
      <c r="C45" s="744" t="str" cm="1">
        <f t="array" ref="C45">IF('Monthly Report'!B45="","",_xlfn._xlws.FILTER(الجدول3[],(الجدول3[الوحدة]='Monthly Report'!B45)*('Monthly Report'!F$8=الجدول3[شهر الدفعة])*(الجدول3[المبني]='Monthly Report'!D$8),"شاغرة"))</f>
        <v>شاغرة</v>
      </c>
      <c r="H45" s="112"/>
      <c r="M45" s="112"/>
    </row>
    <row r="46" spans="2:53" ht="20">
      <c r="B46" s="744" t="str">
        <f>IF(D$8="B",Menus!J16,Menus!J31)</f>
        <v>A11</v>
      </c>
      <c r="C46" s="744" cm="1">
        <f t="array" aca="1" ref="C46:R46" ca="1">IF('Monthly Report'!B46="","",_xlfn._xlws.FILTER(الجدول3[],(الجدول3[الوحدة]='Monthly Report'!B46)*('Monthly Report'!F$8=الجدول3[شهر الدفعة])*(الجدول3[المبني]='Monthly Report'!D$8),"شاغرة"))</f>
        <v>230</v>
      </c>
      <c r="D46" s="26" t="str">
        <f ca="1"/>
        <v>حسام محسن احمد قحل</v>
      </c>
      <c r="E46" s="26">
        <f ca="1"/>
        <v>10393688367</v>
      </c>
      <c r="F46" s="26" t="str">
        <f ca="1"/>
        <v>A11</v>
      </c>
      <c r="G46" s="26" t="str">
        <f ca="1"/>
        <v>B</v>
      </c>
      <c r="H46" s="112">
        <f ca="1"/>
        <v>46310</v>
      </c>
      <c r="I46" s="26" t="str">
        <f ca="1"/>
        <v>أكتوبر 26</v>
      </c>
      <c r="J46" s="26">
        <f ca="1"/>
        <v>1800</v>
      </c>
      <c r="K46" s="26">
        <f ca="1"/>
        <v>1800</v>
      </c>
      <c r="L46" s="26">
        <f ca="1"/>
        <v>0</v>
      </c>
      <c r="M46" s="112">
        <f ca="1"/>
        <v>0</v>
      </c>
      <c r="N46" s="26" t="str">
        <f ca="1"/>
        <v>مستحقة</v>
      </c>
      <c r="O46" s="26">
        <f ca="1"/>
        <v>0</v>
      </c>
      <c r="P46" s="26">
        <f ca="1"/>
        <v>-1800</v>
      </c>
      <c r="Q46" s="26">
        <f ca="1"/>
        <v>0</v>
      </c>
      <c r="R46" s="26">
        <f ca="1"/>
        <v>0</v>
      </c>
    </row>
    <row r="47" spans="2:53" ht="20">
      <c r="B47" s="744" t="str">
        <f>IF(D$8="B",Menus!J17,Menus!J32)</f>
        <v>R1</v>
      </c>
      <c r="C47" s="744" cm="1">
        <f t="array" aca="1" ref="C47:R47" ca="1">IF('Monthly Report'!B47="","",_xlfn._xlws.FILTER(الجدول3[],(الجدول3[الوحدة]='Monthly Report'!B47)*('Monthly Report'!F$8=الجدول3[شهر الدفعة])*(الجدول3[المبني]='Monthly Report'!D$8),"شاغرة"))</f>
        <v>242</v>
      </c>
      <c r="D47" s="26" t="str">
        <f ca="1"/>
        <v>عبدالمنعم عبدالمحسن إبراهيم العبد</v>
      </c>
      <c r="E47" s="26">
        <f ca="1"/>
        <v>10440619610</v>
      </c>
      <c r="F47" s="26" t="str">
        <f ca="1"/>
        <v>R1</v>
      </c>
      <c r="G47" s="26" t="str">
        <f ca="1"/>
        <v>B</v>
      </c>
      <c r="H47" s="112">
        <f ca="1"/>
        <v>46312</v>
      </c>
      <c r="I47" s="26" t="str">
        <f ca="1"/>
        <v>أكتوبر 26</v>
      </c>
      <c r="J47" s="26">
        <f ca="1"/>
        <v>2500</v>
      </c>
      <c r="K47" s="26">
        <f ca="1"/>
        <v>2500</v>
      </c>
      <c r="L47" s="26">
        <f ca="1"/>
        <v>0</v>
      </c>
      <c r="M47" s="112">
        <f ca="1"/>
        <v>0</v>
      </c>
      <c r="N47" s="26" t="str">
        <f ca="1"/>
        <v>مستحقة</v>
      </c>
      <c r="O47" s="26">
        <f ca="1"/>
        <v>0</v>
      </c>
      <c r="P47" s="26">
        <f ca="1"/>
        <v>-2500</v>
      </c>
      <c r="Q47" s="26">
        <f ca="1"/>
        <v>0</v>
      </c>
      <c r="R47" s="26">
        <f ca="1"/>
        <v>0</v>
      </c>
    </row>
    <row r="48" spans="2:53" ht="20">
      <c r="B48" s="744" t="str">
        <f>IF(D$8="B",Menus!J18,Menus!J33)</f>
        <v>R2</v>
      </c>
      <c r="C48" s="744" t="str" cm="1">
        <f t="array" ref="C48">IF('Monthly Report'!B48="","",_xlfn._xlws.FILTER(الجدول3[],(الجدول3[الوحدة]='Monthly Report'!B48)*('Monthly Report'!F$8=الجدول3[شهر الدفعة])*(الجدول3[المبني]='Monthly Report'!D$8),"شاغرة"))</f>
        <v>شاغرة</v>
      </c>
      <c r="D48" s="26"/>
      <c r="E48" s="26"/>
      <c r="F48" s="26"/>
      <c r="G48" s="26"/>
      <c r="H48" s="112"/>
      <c r="I48" s="26"/>
      <c r="J48" s="26"/>
      <c r="K48" s="26"/>
      <c r="L48" s="26"/>
      <c r="M48" s="112"/>
      <c r="N48" s="26"/>
      <c r="O48" s="26"/>
      <c r="P48" s="26"/>
      <c r="Q48" s="26"/>
      <c r="R48" s="26"/>
    </row>
    <row r="49" spans="2:18" ht="20">
      <c r="B49" s="744" t="str">
        <f>IF(D$8="B",Menus!J19,Menus!J34)</f>
        <v>R3</v>
      </c>
      <c r="C49" s="744" t="str" cm="1">
        <f t="array" ref="C49">IF('Monthly Report'!B49="","",_xlfn._xlws.FILTER(الجدول3[],(الجدول3[الوحدة]='Monthly Report'!B49)*('Monthly Report'!F$8=الجدول3[شهر الدفعة])*(الجدول3[المبني]='Monthly Report'!D$8),"شاغرة"))</f>
        <v>شاغرة</v>
      </c>
      <c r="D49" s="26"/>
      <c r="E49" s="26"/>
      <c r="F49" s="26"/>
      <c r="G49" s="26"/>
      <c r="H49" s="112"/>
      <c r="I49" s="26"/>
      <c r="J49" s="26"/>
      <c r="K49" s="26"/>
      <c r="L49" s="26"/>
      <c r="M49" s="112"/>
      <c r="N49" s="26"/>
      <c r="O49" s="26"/>
      <c r="P49" s="26"/>
      <c r="Q49" s="26"/>
      <c r="R49" s="26"/>
    </row>
    <row r="50" spans="2:18" ht="20">
      <c r="B50" s="744" t="str">
        <f>IF(D$8="A","",IF(D$8="B",Menus!J20,Menus!J35))</f>
        <v>R4</v>
      </c>
      <c r="C50" s="744" cm="1">
        <f t="array" aca="1" ref="C50:R50" ca="1">IF('Monthly Report'!B50="","",_xlfn._xlws.FILTER(الجدول3[],(الجدول3[الوحدة]='Monthly Report'!B50)*('Monthly Report'!F$8=الجدول3[شهر الدفعة])*(الجدول3[المبني]='Monthly Report'!D$8),"شاغرة"))</f>
        <v>211</v>
      </c>
      <c r="D50" t="str">
        <f ca="1"/>
        <v>هاشم سليمان بن موسي الحربي</v>
      </c>
      <c r="E50">
        <f ca="1"/>
        <v>10235672570</v>
      </c>
      <c r="F50" t="str">
        <f ca="1"/>
        <v>R4</v>
      </c>
      <c r="G50" t="str">
        <f ca="1"/>
        <v>B</v>
      </c>
      <c r="H50" s="112">
        <f ca="1"/>
        <v>46298</v>
      </c>
      <c r="I50" t="str">
        <f ca="1"/>
        <v>أكتوبر 26</v>
      </c>
      <c r="J50">
        <f ca="1"/>
        <v>2500</v>
      </c>
      <c r="K50">
        <f ca="1"/>
        <v>2500</v>
      </c>
      <c r="L50">
        <f ca="1"/>
        <v>2500</v>
      </c>
      <c r="M50" s="112">
        <f ca="1"/>
        <v>46299</v>
      </c>
      <c r="N50" t="str">
        <f ca="1"/>
        <v>منصة ايجار</v>
      </c>
      <c r="O50" t="str">
        <f ca="1"/>
        <v>أكتوبر 26</v>
      </c>
      <c r="P50">
        <f ca="1"/>
        <v>0</v>
      </c>
      <c r="Q50">
        <f ca="1"/>
        <v>0</v>
      </c>
      <c r="R50">
        <f ca="1"/>
        <v>0</v>
      </c>
    </row>
    <row r="51" spans="2:18" ht="20">
      <c r="B51" s="744" t="str">
        <f>IF(OR(D$8="A",D$8="B"),"",Menus!J36)</f>
        <v/>
      </c>
      <c r="C51" s="744" t="str" cm="1">
        <f t="array" ref="C51">IF('Monthly Report'!B51="","",_xlfn._xlws.FILTER(الجدول3[],(الجدول3[الوحدة]='Monthly Report'!B51)*('Monthly Report'!F$8=الجدول3[شهر الدفعة])*(الجدول3[المبني]='Monthly Report'!D$8),"شاغرة"))</f>
        <v/>
      </c>
      <c r="D51" s="737"/>
      <c r="H51" s="112"/>
      <c r="M51" s="112"/>
    </row>
    <row r="52" spans="2:18" ht="20">
      <c r="B52" s="744" t="str">
        <f>IF(OR(D$8="A",D$8="B"),"",Menus!J37)</f>
        <v/>
      </c>
      <c r="C52" s="744" t="str" cm="1">
        <f t="array" ref="C52">IF('Monthly Report'!B52="","",_xlfn._xlws.FILTER(الجدول3[],(الجدول3[الوحدة]='Monthly Report'!B52)*('Monthly Report'!F$8=الجدول3[شهر الدفعة])*(الجدول3[المبني]='Monthly Report'!D$8),"شاغرة"))</f>
        <v/>
      </c>
      <c r="H52" s="112"/>
      <c r="M52" s="112"/>
    </row>
    <row r="53" spans="2:18" ht="20">
      <c r="B53" s="744" t="str">
        <f>IF(OR(D$8="A",D$8="B",D$8=102),"",Menus!J38)</f>
        <v/>
      </c>
      <c r="C53" s="744" t="str" cm="1">
        <f t="array" ref="C53">IF('Monthly Report'!B53="","",_xlfn._xlws.FILTER(الجدول3[],(الجدول3[الوحدة]='Monthly Report'!B53)*('Monthly Report'!F$8=الجدول3[شهر الدفعة])*(الجدول3[المبني]='Monthly Report'!D$8),"شاغرة"))</f>
        <v/>
      </c>
      <c r="H53" s="112"/>
      <c r="M53" s="112"/>
    </row>
    <row r="54" spans="2:18" ht="20">
      <c r="B54" s="744" t="str">
        <f>IF(OR(D$8="A",D$8="B",D$8=102),"",Menus!J38)</f>
        <v/>
      </c>
      <c r="C54" s="744" t="str" cm="1">
        <f t="array" ref="C54">IF('Monthly Report'!B54="","",_xlfn._xlws.FILTER(الجدول3[],(الجدول3[الوحدة]='Monthly Report'!B54)*('Monthly Report'!F$8=الجدول3[شهر الدفعة])*(الجدول3[المبني]='Monthly Report'!D$8),"شاغرة"))</f>
        <v/>
      </c>
      <c r="H54" s="112"/>
      <c r="M54" s="112"/>
    </row>
    <row r="55" spans="2:18" ht="20">
      <c r="B55" s="744" t="str">
        <f>IF(OR(D$8="A",D$8="B",D$8=102),"",Menus!J38)</f>
        <v/>
      </c>
      <c r="C55" s="744" t="str" cm="1">
        <f t="array" ref="C55">IF('Monthly Report'!B55="","",_xlfn._xlws.FILTER(الجدول3[],(الجدول3[الوحدة]='Monthly Report'!B55)*('Monthly Report'!F$8=الجدول3[شهر الدفعة])*(الجدول3[المبني]='Monthly Report'!D$8),"شاغرة"))</f>
        <v/>
      </c>
      <c r="H55" s="112"/>
      <c r="M55" s="112"/>
    </row>
    <row r="56" spans="2:18" ht="20">
      <c r="B56" s="744" t="str">
        <f>IF(OR(D$8="A",D$8="B",D$8=102),"",Menus!J38)</f>
        <v/>
      </c>
      <c r="C56" s="744" t="str" cm="1">
        <f t="array" ref="C56">IF('Monthly Report'!B56="","",_xlfn._xlws.FILTER(الجدول3[],(الجدول3[الوحدة]='Monthly Report'!B56)*('Monthly Report'!F$8=الجدول3[شهر الدفعة])*(الجدول3[المبني]='Monthly Report'!D$8),"شاغرة"))</f>
        <v/>
      </c>
      <c r="H56" s="112"/>
      <c r="M56" s="112"/>
    </row>
    <row r="57" spans="2:18" ht="20">
      <c r="B57" s="744" t="str">
        <f>IF(OR(D$8="A",D$8="B",D$8=102),"",Menus!J38)</f>
        <v/>
      </c>
      <c r="C57" s="744" t="str" cm="1">
        <f t="array" ref="C57">IF('Monthly Report'!B57="","",_xlfn._xlws.FILTER(الجدول3[],(الجدول3[الوحدة]='Monthly Report'!B57)*('Monthly Report'!F$8=الجدول3[شهر الدفعة])*(الجدول3[المبني]='Monthly Report'!D$8),"شاغرة"))</f>
        <v/>
      </c>
      <c r="H57" s="112"/>
      <c r="M57" s="112"/>
    </row>
    <row r="58" spans="2:18" ht="20">
      <c r="B58" s="755" t="s">
        <v>316</v>
      </c>
      <c r="C58" s="756"/>
      <c r="D58" s="756"/>
      <c r="E58" s="170">
        <f ca="1">COUNT(E36:E57)</f>
        <v>9</v>
      </c>
      <c r="F58" s="170" t="s">
        <v>317</v>
      </c>
      <c r="G58" s="171">
        <f ca="1">IF(D8=102,16-E58,20-E58)</f>
        <v>11</v>
      </c>
      <c r="H58" s="112"/>
      <c r="M58" s="112"/>
    </row>
    <row r="59" spans="2:18" ht="20">
      <c r="H59" s="112"/>
      <c r="J59" s="26">
        <f ca="1">SUM(J63:J215)</f>
        <v>8400</v>
      </c>
    </row>
    <row r="60" spans="2:18" ht="20">
      <c r="B60" s="757" t="str">
        <f>"ايجارات "&amp;F3&amp;" مبني "&amp;D8</f>
        <v>ايجارات منصة ايجار مبني B</v>
      </c>
      <c r="C60" s="757"/>
      <c r="D60" s="757"/>
      <c r="E60" s="757"/>
      <c r="F60" s="757"/>
      <c r="G60" s="757"/>
      <c r="H60" s="757"/>
      <c r="I60" s="757"/>
      <c r="J60" s="757"/>
      <c r="K60" s="757"/>
      <c r="L60" s="757"/>
      <c r="M60" s="757"/>
      <c r="N60" s="757"/>
      <c r="O60" s="757"/>
      <c r="P60" s="757"/>
    </row>
    <row r="62" spans="2:18">
      <c r="B62" s="135" t="s">
        <v>5</v>
      </c>
      <c r="C62" s="135" t="s">
        <v>5</v>
      </c>
      <c r="D62" s="135" t="s">
        <v>8</v>
      </c>
      <c r="E62" s="135" t="s">
        <v>12</v>
      </c>
      <c r="F62" s="135" t="s">
        <v>1</v>
      </c>
      <c r="G62" s="135" t="s">
        <v>27</v>
      </c>
      <c r="H62" s="135" t="s">
        <v>68</v>
      </c>
      <c r="I62" s="135" t="s">
        <v>72</v>
      </c>
      <c r="J62" s="135" t="s">
        <v>69</v>
      </c>
      <c r="K62" s="135" t="s">
        <v>26</v>
      </c>
      <c r="L62" s="135" t="s">
        <v>67</v>
      </c>
      <c r="M62" s="135" t="s">
        <v>70</v>
      </c>
      <c r="N62" s="135" t="s">
        <v>43</v>
      </c>
      <c r="O62" s="135" t="s">
        <v>73</v>
      </c>
      <c r="P62" s="135" t="s">
        <v>71</v>
      </c>
    </row>
    <row r="63" spans="2:18" ht="20">
      <c r="B63" s="134">
        <v>1</v>
      </c>
      <c r="C63" s="134" cm="1">
        <f t="array" aca="1" ref="C63:R66" ca="1">IFERROR(
    _xlfn._xlws.FILTER(
        الجدول3[#Data],
        (
            ISNUMBER(SEARCH(TRIM(F3&amp;""), الجدول3[حساب الدفع]))
            +
            ISNUMBER(SEARCH("ناجز", الجدول3[حساب الدفع]))
            +
            ISNUMBER(SEARCH("تحملتها الحاضنة", الجدول3[حساب الدفع]))
        )
        *
        (TRIM(الجدول3[المبني]&amp;"") = TRIM(D8&amp;""))
        *
        (ISNUMBER(SEARCH(TRIM(F8&amp;""), الجدول3[شهر التقرير])))
    ),
    "لا توجد نتائج"
)</f>
        <v>188</v>
      </c>
      <c r="D63" t="str">
        <f ca="1"/>
        <v xml:space="preserve"> معاذ ابراهيم محمد الراشد</v>
      </c>
      <c r="E63" s="134">
        <f ca="1"/>
        <v>10645869084</v>
      </c>
      <c r="F63" s="134" t="str">
        <f ca="1"/>
        <v>A1</v>
      </c>
      <c r="G63" s="134" t="str">
        <f ca="1"/>
        <v>B</v>
      </c>
      <c r="H63" s="136">
        <f ca="1"/>
        <v>46311</v>
      </c>
      <c r="I63" s="134" t="str">
        <f ca="1"/>
        <v>أكتوبر 26</v>
      </c>
      <c r="J63" s="134">
        <f ca="1"/>
        <v>2000</v>
      </c>
      <c r="K63" s="134">
        <f ca="1"/>
        <v>2000</v>
      </c>
      <c r="L63" s="134">
        <f ca="1"/>
        <v>2000</v>
      </c>
      <c r="M63" s="136">
        <f ca="1"/>
        <v>46311</v>
      </c>
      <c r="N63" s="134" t="str">
        <f ca="1"/>
        <v>منصة ايجار</v>
      </c>
      <c r="O63" s="134" t="str">
        <f ca="1"/>
        <v>أكتوبر 26</v>
      </c>
      <c r="P63" s="134">
        <f ca="1"/>
        <v>0</v>
      </c>
      <c r="Q63">
        <f ca="1"/>
        <v>0</v>
      </c>
      <c r="R63">
        <f ca="1"/>
        <v>0</v>
      </c>
    </row>
    <row r="64" spans="2:18" ht="20">
      <c r="B64" s="134">
        <v>2</v>
      </c>
      <c r="C64" s="134">
        <f ca="1"/>
        <v>211</v>
      </c>
      <c r="D64" s="134" t="str">
        <f ca="1"/>
        <v>هاشم سليمان بن موسي الحربي</v>
      </c>
      <c r="E64" s="134">
        <f ca="1"/>
        <v>10235672570</v>
      </c>
      <c r="F64" s="134" t="str">
        <f ca="1"/>
        <v>R4</v>
      </c>
      <c r="G64" s="134" t="str">
        <f ca="1"/>
        <v>B</v>
      </c>
      <c r="H64" s="136">
        <f ca="1"/>
        <v>46298</v>
      </c>
      <c r="I64" s="134" t="str">
        <f ca="1"/>
        <v>أكتوبر 26</v>
      </c>
      <c r="J64" s="134">
        <f ca="1"/>
        <v>2500</v>
      </c>
      <c r="K64" s="134">
        <f ca="1"/>
        <v>2500</v>
      </c>
      <c r="L64" s="134">
        <f ca="1"/>
        <v>2500</v>
      </c>
      <c r="M64" s="136">
        <f ca="1"/>
        <v>46299</v>
      </c>
      <c r="N64" s="134" t="str">
        <f ca="1"/>
        <v>منصة ايجار</v>
      </c>
      <c r="O64" s="134" t="str">
        <f ca="1"/>
        <v>أكتوبر 26</v>
      </c>
      <c r="P64" s="134">
        <f ca="1"/>
        <v>0</v>
      </c>
      <c r="Q64">
        <f ca="1"/>
        <v>0</v>
      </c>
      <c r="R64">
        <f ca="1"/>
        <v>0</v>
      </c>
    </row>
    <row r="65" spans="2:18" ht="20">
      <c r="B65" s="134">
        <v>3</v>
      </c>
      <c r="C65" s="134">
        <f ca="1"/>
        <v>215</v>
      </c>
      <c r="D65" s="134" t="str">
        <f ca="1"/>
        <v>علي فهد علي العرجاني</v>
      </c>
      <c r="E65" s="134">
        <f ca="1"/>
        <v>10256514417</v>
      </c>
      <c r="F65" s="134" t="str">
        <f ca="1"/>
        <v>A7</v>
      </c>
      <c r="G65" s="134" t="str">
        <f ca="1"/>
        <v>B</v>
      </c>
      <c r="H65" s="136">
        <f ca="1"/>
        <v>46306</v>
      </c>
      <c r="I65" s="134" t="str">
        <f ca="1"/>
        <v>أكتوبر 26</v>
      </c>
      <c r="J65" s="134">
        <f ca="1"/>
        <v>1900</v>
      </c>
      <c r="K65" s="134">
        <f ca="1"/>
        <v>1900</v>
      </c>
      <c r="L65" s="134">
        <f ca="1"/>
        <v>1000</v>
      </c>
      <c r="M65" s="136">
        <f ca="1"/>
        <v>46306</v>
      </c>
      <c r="N65" s="134" t="str">
        <f ca="1"/>
        <v>منصة ايجار</v>
      </c>
      <c r="O65" s="134" t="str">
        <f ca="1"/>
        <v>أكتوبر 26</v>
      </c>
      <c r="P65" s="134">
        <f ca="1"/>
        <v>-900</v>
      </c>
      <c r="Q65">
        <f ca="1"/>
        <v>0</v>
      </c>
      <c r="R65">
        <f ca="1"/>
        <v>0</v>
      </c>
    </row>
    <row r="66" spans="2:18" ht="20">
      <c r="B66" s="134">
        <v>4</v>
      </c>
      <c r="C66" s="134">
        <f ca="1"/>
        <v>256</v>
      </c>
      <c r="D66" s="134" t="str">
        <f ca="1"/>
        <v>سلطان محم عبدالعزيز المشيقح</v>
      </c>
      <c r="E66" s="134">
        <f ca="1"/>
        <v>10929387859</v>
      </c>
      <c r="F66" s="134" t="str">
        <f ca="1"/>
        <v>A6</v>
      </c>
      <c r="G66" s="134" t="str">
        <f ca="1"/>
        <v>B</v>
      </c>
      <c r="H66" s="136">
        <f ca="1"/>
        <v>46305</v>
      </c>
      <c r="I66" s="134" t="str">
        <f ca="1"/>
        <v>أكتوبر 26</v>
      </c>
      <c r="J66" s="134">
        <f ca="1"/>
        <v>2000</v>
      </c>
      <c r="K66" s="134">
        <f ca="1"/>
        <v>2000</v>
      </c>
      <c r="L66" s="134">
        <f ca="1"/>
        <v>2000</v>
      </c>
      <c r="M66" s="136">
        <f ca="1"/>
        <v>46305</v>
      </c>
      <c r="N66" s="134" t="str">
        <f ca="1"/>
        <v>منصة ايجار</v>
      </c>
      <c r="O66" s="134" t="str">
        <f ca="1"/>
        <v>أكتوبر 26</v>
      </c>
      <c r="P66" s="134">
        <f ca="1"/>
        <v>0</v>
      </c>
      <c r="Q66">
        <f ca="1"/>
        <v>0</v>
      </c>
      <c r="R66">
        <f ca="1"/>
        <v>0</v>
      </c>
    </row>
    <row r="67" spans="2:18" ht="20">
      <c r="B67" s="134">
        <v>5</v>
      </c>
      <c r="C67" s="134"/>
      <c r="D67" s="134"/>
      <c r="E67" s="134"/>
      <c r="F67" s="134"/>
      <c r="G67" s="134"/>
      <c r="H67" s="136"/>
      <c r="I67" s="134"/>
      <c r="J67" s="134"/>
      <c r="K67" s="134"/>
      <c r="L67" s="134"/>
      <c r="M67" s="136"/>
      <c r="N67" s="134"/>
      <c r="O67" s="134"/>
      <c r="P67" s="134"/>
    </row>
    <row r="68" spans="2:18" ht="20">
      <c r="B68" s="134">
        <v>6</v>
      </c>
      <c r="C68" s="134"/>
      <c r="D68" s="134"/>
      <c r="E68" s="134"/>
      <c r="F68" s="134"/>
      <c r="G68" s="134"/>
      <c r="H68" s="136"/>
      <c r="I68" s="134"/>
      <c r="J68" s="134"/>
      <c r="K68" s="134"/>
      <c r="L68" s="134"/>
      <c r="M68" s="136"/>
      <c r="N68" s="134"/>
      <c r="O68" s="134"/>
      <c r="P68" s="134"/>
    </row>
    <row r="69" spans="2:18" ht="20">
      <c r="B69" s="134">
        <v>7</v>
      </c>
      <c r="C69" s="134"/>
      <c r="D69" s="134"/>
      <c r="E69" s="134"/>
      <c r="F69" s="134"/>
      <c r="G69" s="134"/>
      <c r="H69" s="136"/>
      <c r="I69" s="134"/>
      <c r="J69" s="134"/>
      <c r="K69" s="134"/>
      <c r="L69" s="134"/>
      <c r="M69" s="136"/>
      <c r="N69" s="134"/>
      <c r="O69" s="134"/>
      <c r="P69" s="134"/>
    </row>
    <row r="70" spans="2:18" ht="20">
      <c r="B70" s="134">
        <v>8</v>
      </c>
      <c r="C70" s="134"/>
      <c r="D70" s="134"/>
      <c r="E70" s="134"/>
      <c r="F70" s="134"/>
      <c r="G70" s="134"/>
      <c r="H70" s="136"/>
      <c r="I70" s="134"/>
      <c r="J70" s="134"/>
      <c r="K70" s="134"/>
      <c r="L70" s="134"/>
      <c r="M70" s="136"/>
      <c r="N70" s="134"/>
      <c r="O70" s="134"/>
      <c r="P70" s="134"/>
    </row>
    <row r="71" spans="2:18" ht="20">
      <c r="B71" s="134">
        <v>9</v>
      </c>
      <c r="C71" s="134"/>
      <c r="D71" s="134"/>
      <c r="E71" s="134"/>
      <c r="F71" s="134"/>
      <c r="G71" s="134"/>
      <c r="H71" s="136"/>
      <c r="I71" s="134"/>
      <c r="J71" s="134"/>
      <c r="K71" s="134"/>
      <c r="L71" s="134"/>
      <c r="M71" s="136"/>
      <c r="N71" s="134"/>
      <c r="O71" s="134"/>
      <c r="P71" s="134"/>
    </row>
    <row r="72" spans="2:18" ht="20">
      <c r="B72" s="134">
        <v>10</v>
      </c>
      <c r="C72" s="134"/>
      <c r="D72" s="134"/>
      <c r="E72" s="134"/>
      <c r="F72" s="134"/>
      <c r="G72" s="134"/>
      <c r="H72" s="136"/>
      <c r="I72" s="134"/>
      <c r="J72" s="134"/>
      <c r="K72" s="134"/>
      <c r="L72" s="134"/>
      <c r="M72" s="136"/>
      <c r="N72" s="134"/>
      <c r="O72" s="134"/>
      <c r="P72" s="134"/>
    </row>
    <row r="73" spans="2:18" ht="20">
      <c r="B73" s="134">
        <v>11</v>
      </c>
      <c r="C73" s="134"/>
      <c r="D73" s="134"/>
      <c r="E73" s="134"/>
      <c r="F73" s="134"/>
      <c r="G73" s="134"/>
      <c r="H73" s="136"/>
      <c r="I73" s="134"/>
      <c r="J73" s="134"/>
      <c r="K73" s="134"/>
      <c r="L73" s="134"/>
      <c r="M73" s="136"/>
      <c r="N73" s="134"/>
      <c r="O73" s="134"/>
      <c r="P73" s="134"/>
    </row>
    <row r="74" spans="2:18" ht="20">
      <c r="B74" s="134">
        <v>12</v>
      </c>
      <c r="C74" s="134"/>
      <c r="D74" s="134"/>
      <c r="E74" s="134"/>
      <c r="F74" s="134"/>
      <c r="G74" s="134"/>
      <c r="H74" s="136"/>
      <c r="I74" s="134"/>
      <c r="J74" s="134"/>
      <c r="K74" s="134"/>
      <c r="L74" s="134"/>
      <c r="M74" s="136"/>
      <c r="N74" s="134"/>
      <c r="O74" s="134"/>
      <c r="P74" s="134"/>
    </row>
    <row r="75" spans="2:18" ht="20">
      <c r="B75" s="134">
        <v>13</v>
      </c>
      <c r="C75" s="134"/>
      <c r="D75" s="134"/>
      <c r="E75" s="134"/>
      <c r="F75" s="134"/>
      <c r="G75" s="134"/>
      <c r="H75" s="136"/>
      <c r="I75" s="134"/>
      <c r="J75" s="134"/>
      <c r="K75" s="134"/>
      <c r="L75" s="134"/>
      <c r="M75" s="136"/>
      <c r="N75" s="134"/>
      <c r="O75" s="134"/>
      <c r="P75" s="134"/>
    </row>
    <row r="76" spans="2:18" ht="20">
      <c r="B76" s="134">
        <v>14</v>
      </c>
      <c r="C76" s="134"/>
      <c r="D76" s="134"/>
      <c r="E76" s="134"/>
      <c r="F76" s="134"/>
      <c r="G76" s="134"/>
      <c r="H76" s="136"/>
      <c r="I76" s="134"/>
      <c r="J76" s="134"/>
      <c r="K76" s="134"/>
      <c r="L76" s="134"/>
      <c r="M76" s="136"/>
      <c r="N76" s="134"/>
      <c r="O76" s="134"/>
      <c r="P76" s="134"/>
    </row>
    <row r="77" spans="2:18" ht="20">
      <c r="B77" s="134">
        <v>15</v>
      </c>
      <c r="C77" s="134"/>
      <c r="D77" s="134"/>
      <c r="E77" s="134"/>
      <c r="F77" s="134"/>
      <c r="G77" s="134"/>
      <c r="H77" s="136"/>
      <c r="I77" s="134"/>
      <c r="J77" s="134"/>
      <c r="K77" s="134"/>
      <c r="L77" s="134"/>
      <c r="M77" s="136"/>
      <c r="N77" s="134"/>
      <c r="O77" s="134"/>
      <c r="P77" s="134"/>
    </row>
    <row r="78" spans="2:18" ht="20">
      <c r="B78" s="134">
        <v>16</v>
      </c>
      <c r="C78" s="134"/>
      <c r="D78" s="134"/>
      <c r="E78" s="134"/>
      <c r="F78" s="134"/>
      <c r="G78" s="134"/>
      <c r="H78" s="136"/>
      <c r="I78" s="134"/>
      <c r="J78" s="134"/>
      <c r="K78" s="134"/>
      <c r="L78" s="134"/>
      <c r="M78" s="136"/>
      <c r="N78" s="134"/>
      <c r="O78" s="134"/>
      <c r="P78" s="134"/>
    </row>
    <row r="79" spans="2:18" ht="20">
      <c r="B79" s="134">
        <v>17</v>
      </c>
      <c r="C79" s="134"/>
      <c r="D79" s="134"/>
      <c r="E79" s="134"/>
      <c r="F79" s="134"/>
      <c r="G79" s="134"/>
      <c r="H79" s="136"/>
      <c r="I79" s="134"/>
      <c r="J79" s="134"/>
      <c r="K79" s="134"/>
      <c r="L79" s="134"/>
      <c r="M79" s="136"/>
      <c r="N79" s="134"/>
      <c r="O79" s="134"/>
      <c r="P79" s="134"/>
    </row>
    <row r="80" spans="2:18" ht="20">
      <c r="B80" s="134">
        <v>18</v>
      </c>
      <c r="C80" s="134"/>
      <c r="D80" s="134"/>
      <c r="E80" s="134"/>
      <c r="F80" s="134"/>
      <c r="G80" s="134"/>
      <c r="H80" s="136"/>
      <c r="I80" s="134"/>
      <c r="J80" s="134"/>
      <c r="K80" s="134"/>
      <c r="L80" s="134"/>
      <c r="M80" s="136"/>
      <c r="N80" s="134"/>
      <c r="O80" s="134"/>
      <c r="P80" s="134"/>
    </row>
    <row r="81" spans="2:16" ht="20">
      <c r="B81" s="134">
        <v>19</v>
      </c>
      <c r="C81" s="134"/>
      <c r="D81" s="134"/>
      <c r="E81" s="134"/>
      <c r="F81" s="134"/>
      <c r="G81" s="134"/>
      <c r="H81" s="136"/>
      <c r="I81" s="134"/>
      <c r="J81" s="134"/>
      <c r="K81" s="134"/>
      <c r="L81" s="134"/>
      <c r="M81" s="136"/>
      <c r="N81" s="134"/>
      <c r="O81" s="134"/>
      <c r="P81" s="134"/>
    </row>
    <row r="82" spans="2:16" ht="20">
      <c r="B82" s="134">
        <v>20</v>
      </c>
      <c r="C82" s="134"/>
      <c r="D82" s="134"/>
      <c r="E82" s="134"/>
      <c r="F82" s="134"/>
      <c r="G82" s="134"/>
      <c r="H82" s="136"/>
      <c r="I82" s="134"/>
      <c r="J82" s="134"/>
      <c r="K82" s="134"/>
      <c r="L82" s="134"/>
      <c r="M82" s="136"/>
      <c r="N82" s="134"/>
      <c r="O82" s="134"/>
      <c r="P82" s="134"/>
    </row>
    <row r="83" spans="2:16" ht="20">
      <c r="B83" s="26">
        <v>21</v>
      </c>
      <c r="H83" s="112"/>
      <c r="M83" s="112"/>
    </row>
    <row r="84" spans="2:16" ht="20">
      <c r="H84" s="112"/>
    </row>
    <row r="86" spans="2:16" ht="20">
      <c r="L86" s="112"/>
    </row>
    <row r="87" spans="2:16" ht="20">
      <c r="L87" s="112"/>
    </row>
    <row r="88" spans="2:16" ht="25">
      <c r="D88" s="753" t="s">
        <v>160</v>
      </c>
      <c r="E88" s="754"/>
      <c r="L88" s="112"/>
    </row>
    <row r="89" spans="2:16" ht="25">
      <c r="D89" s="380" t="s">
        <v>167</v>
      </c>
      <c r="E89" s="381" t="e">
        <f>SUM(E90:E99)</f>
        <v>#VALUE!</v>
      </c>
      <c r="L89" s="112"/>
    </row>
    <row r="90" spans="2:16" ht="20">
      <c r="D90" s="139" t="s">
        <v>138</v>
      </c>
      <c r="E90" s="140">
        <f>SUMIFS(الجدول5[الإجمالي],الجدول5[المبني],D$8,الجدول5[شهر],F$8,الجدول5[الصنف],D90)</f>
        <v>0</v>
      </c>
      <c r="L90" s="112"/>
    </row>
    <row r="91" spans="2:16" ht="20">
      <c r="D91" s="139" t="s">
        <v>150</v>
      </c>
      <c r="E91" s="140">
        <f>SUMIFS(الجدول5[الإجمالي],الجدول5[المبني],D$8,الجدول5[شهر],F$8,الجدول5[الصنف],D91)</f>
        <v>3944.2</v>
      </c>
      <c r="L91" s="112"/>
    </row>
    <row r="92" spans="2:16" ht="20">
      <c r="D92" s="175" t="s">
        <v>137</v>
      </c>
      <c r="E92" s="140">
        <f>SUMIFS(الجدول5[الإجمالي],الجدول5[المبني],D$8,الجدول5[شهر],F$8,الجدول5[الصنف],D92)</f>
        <v>875</v>
      </c>
      <c r="L92" s="112"/>
    </row>
    <row r="93" spans="2:16" ht="20">
      <c r="D93" s="175" t="s">
        <v>139</v>
      </c>
      <c r="E93" s="140">
        <f>SUMIFS(الجدول5[الإجمالي],الجدول5[المبني],D$8,الجدول5[شهر],F$8,الجدول5[الصنف],D93)</f>
        <v>583</v>
      </c>
      <c r="L93" s="112"/>
    </row>
    <row r="94" spans="2:16" ht="20">
      <c r="D94" s="175" t="s">
        <v>141</v>
      </c>
      <c r="E94" s="140">
        <f>SUMIFS(الجدول5[الإجمالي],الجدول5[المبني],D$8,الجدول5[شهر],F$8,الجدول5[الصنف],D94)</f>
        <v>38</v>
      </c>
      <c r="L94" s="112"/>
    </row>
    <row r="95" spans="2:16" ht="20">
      <c r="D95" s="175" t="s">
        <v>140</v>
      </c>
      <c r="E95" s="140">
        <f>SUMIFS(الجدول5[الإجمالي],الجدول5[المبني],D$8,الجدول5[شهر],F$8,الجدول5[الصنف],D95)</f>
        <v>0</v>
      </c>
      <c r="L95" s="112"/>
    </row>
    <row r="96" spans="2:16" ht="20">
      <c r="D96" s="175" t="s">
        <v>142</v>
      </c>
      <c r="E96" s="140">
        <f>SUMIFS(الجدول5[الإجمالي],الجدول5[المبني],D$8,الجدول5[شهر],F$8,الجدول5[الصنف],D96)</f>
        <v>0</v>
      </c>
      <c r="L96" s="112"/>
    </row>
    <row r="97" spans="4:12" ht="20">
      <c r="D97" s="175" t="s">
        <v>152</v>
      </c>
      <c r="E97" s="140">
        <f>SUMIFS(الجدول5[الإجمالي],الجدول5[المبني],D$8,الجدول5[شهر],F$8,الجدول5[الصنف],D97)</f>
        <v>0</v>
      </c>
      <c r="L97" s="112"/>
    </row>
    <row r="98" spans="4:12" ht="20">
      <c r="D98" s="141" t="s">
        <v>149</v>
      </c>
      <c r="E98" s="140">
        <f>SUMIFS(الجدول5[الإجمالي],الجدول5[المبني],D$8,الجدول5[شهر],F$8,الجدول5[الصنف],D98)</f>
        <v>0</v>
      </c>
      <c r="L98" s="112"/>
    </row>
    <row r="99" spans="4:12" ht="20">
      <c r="D99" s="141" t="s">
        <v>662</v>
      </c>
      <c r="E99" s="931" t="e">
        <f>E14+E24+(E22*5)-SUM(E90:E98)</f>
        <v>#VALUE!</v>
      </c>
      <c r="L99" s="112"/>
    </row>
    <row r="100" spans="4:12" ht="20">
      <c r="L100" s="112"/>
    </row>
    <row r="101" spans="4:12" ht="20">
      <c r="L101" s="112"/>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DAF3141C-27A8-4F42-83BC-FE12A6856D47}">
          <x14:formula1>
            <xm:f>Menus!$C$4:$C$88</xm:f>
          </x14:formula1>
          <xm:sqref>F8</xm:sqref>
        </x14:dataValidation>
        <x14:dataValidation type="list" allowBlank="1" showInputMessage="1" showErrorMessage="1" xr:uid="{8FF8EE80-322F-4061-82D6-CC71578B3B8F}">
          <x14:formula1>
            <xm:f>Menus!$B$4:$B$88</xm:f>
          </x14:formula1>
          <xm:sqref>D8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ورقة20"/>
  <dimension ref="A1:I22"/>
  <sheetViews>
    <sheetView rightToLeft="1" topLeftCell="B1" workbookViewId="0"/>
  </sheetViews>
  <sheetFormatPr defaultRowHeight="15.5"/>
  <sheetData>
    <row r="1" spans="1:9" ht="17.5">
      <c r="A1" s="609">
        <v>1</v>
      </c>
      <c r="B1" s="610" t="s">
        <v>925</v>
      </c>
      <c r="C1" s="611"/>
      <c r="D1" s="241"/>
      <c r="E1" s="612">
        <f>210/2</f>
        <v>105</v>
      </c>
      <c r="F1" s="612"/>
      <c r="G1" s="419" t="s">
        <v>931</v>
      </c>
      <c r="H1" s="241" t="s">
        <v>896</v>
      </c>
      <c r="I1" s="613">
        <v>46254</v>
      </c>
    </row>
    <row r="2" spans="1:9" ht="17.5">
      <c r="A2" s="609">
        <v>2</v>
      </c>
      <c r="B2" s="610" t="s">
        <v>925</v>
      </c>
      <c r="C2" s="241"/>
      <c r="D2" s="241"/>
      <c r="E2" s="612">
        <f>210/2</f>
        <v>105</v>
      </c>
      <c r="F2" s="614"/>
      <c r="G2" s="419" t="s">
        <v>931</v>
      </c>
      <c r="H2" s="241" t="s">
        <v>897</v>
      </c>
      <c r="I2" s="613">
        <v>46254</v>
      </c>
    </row>
    <row r="3" spans="1:9" ht="17.5">
      <c r="A3" s="609">
        <v>3</v>
      </c>
      <c r="B3" s="610" t="s">
        <v>925</v>
      </c>
      <c r="C3" s="615"/>
      <c r="D3" s="241"/>
      <c r="E3" s="612">
        <f>200/2</f>
        <v>100</v>
      </c>
      <c r="F3" s="614"/>
      <c r="G3" s="419" t="s">
        <v>931</v>
      </c>
      <c r="H3" s="241" t="s">
        <v>896</v>
      </c>
      <c r="I3" s="613">
        <v>46254</v>
      </c>
    </row>
    <row r="4" spans="1:9" ht="17.5">
      <c r="A4" s="609">
        <v>4</v>
      </c>
      <c r="B4" s="610" t="s">
        <v>925</v>
      </c>
      <c r="C4" s="615"/>
      <c r="D4" s="241"/>
      <c r="E4" s="612">
        <f>200/2</f>
        <v>100</v>
      </c>
      <c r="F4" s="614"/>
      <c r="G4" s="419" t="s">
        <v>931</v>
      </c>
      <c r="H4" s="241" t="s">
        <v>897</v>
      </c>
      <c r="I4" s="613">
        <v>46254</v>
      </c>
    </row>
    <row r="5" spans="1:9" ht="17.5">
      <c r="A5" s="609">
        <v>5</v>
      </c>
      <c r="B5" s="419" t="s">
        <v>926</v>
      </c>
      <c r="C5" s="241"/>
      <c r="D5" s="241"/>
      <c r="E5" s="612">
        <f>112/2</f>
        <v>56</v>
      </c>
      <c r="F5" s="612"/>
      <c r="G5" s="419" t="s">
        <v>931</v>
      </c>
      <c r="H5" s="241" t="s">
        <v>896</v>
      </c>
      <c r="I5" s="613">
        <v>46255</v>
      </c>
    </row>
    <row r="6" spans="1:9" ht="17.5">
      <c r="A6" s="609">
        <v>6</v>
      </c>
      <c r="B6" s="419" t="s">
        <v>926</v>
      </c>
      <c r="C6" s="615"/>
      <c r="D6" s="241"/>
      <c r="E6" s="612">
        <f>112/2</f>
        <v>56</v>
      </c>
      <c r="F6" s="614"/>
      <c r="G6" s="419" t="s">
        <v>931</v>
      </c>
      <c r="H6" s="241" t="s">
        <v>897</v>
      </c>
      <c r="I6" s="613">
        <v>46255</v>
      </c>
    </row>
    <row r="7" spans="1:9" ht="35">
      <c r="A7" s="609">
        <v>7</v>
      </c>
      <c r="B7" s="616" t="s">
        <v>927</v>
      </c>
      <c r="C7" s="615"/>
      <c r="D7" s="241"/>
      <c r="E7" s="612">
        <f>21/2</f>
        <v>10.5</v>
      </c>
      <c r="F7" s="614"/>
      <c r="G7" s="419" t="s">
        <v>931</v>
      </c>
      <c r="H7" s="241" t="s">
        <v>896</v>
      </c>
      <c r="I7" s="613">
        <v>46255</v>
      </c>
    </row>
    <row r="8" spans="1:9" ht="35">
      <c r="A8" s="609">
        <v>8</v>
      </c>
      <c r="B8" s="616" t="s">
        <v>927</v>
      </c>
      <c r="C8" s="615"/>
      <c r="D8" s="241"/>
      <c r="E8" s="612">
        <f>21/2</f>
        <v>10.5</v>
      </c>
      <c r="F8" s="614"/>
      <c r="G8" s="419" t="s">
        <v>931</v>
      </c>
      <c r="H8" s="241" t="s">
        <v>897</v>
      </c>
      <c r="I8" s="613">
        <v>46255</v>
      </c>
    </row>
    <row r="9" spans="1:9" ht="35">
      <c r="A9" s="609">
        <v>9</v>
      </c>
      <c r="B9" s="616" t="s">
        <v>928</v>
      </c>
      <c r="C9" s="615"/>
      <c r="D9" s="241"/>
      <c r="E9" s="612">
        <f>770/2</f>
        <v>385</v>
      </c>
      <c r="F9" s="614"/>
      <c r="G9" s="419" t="s">
        <v>931</v>
      </c>
      <c r="H9" s="241" t="s">
        <v>896</v>
      </c>
      <c r="I9" s="613">
        <v>46256</v>
      </c>
    </row>
    <row r="10" spans="1:9" ht="35">
      <c r="A10" s="609">
        <v>10</v>
      </c>
      <c r="B10" s="616" t="s">
        <v>928</v>
      </c>
      <c r="C10" s="615"/>
      <c r="D10" s="241"/>
      <c r="E10" s="612">
        <f>770/2</f>
        <v>385</v>
      </c>
      <c r="F10" s="614"/>
      <c r="G10" s="419" t="s">
        <v>931</v>
      </c>
      <c r="H10" s="241" t="s">
        <v>897</v>
      </c>
      <c r="I10" s="613">
        <v>46256</v>
      </c>
    </row>
    <row r="11" spans="1:9" ht="17.5">
      <c r="A11" s="609">
        <v>11</v>
      </c>
      <c r="B11" s="419" t="s">
        <v>926</v>
      </c>
      <c r="C11" s="241"/>
      <c r="D11" s="241"/>
      <c r="E11" s="612">
        <f>182</f>
        <v>182</v>
      </c>
      <c r="F11" s="614"/>
      <c r="G11" s="419" t="s">
        <v>931</v>
      </c>
      <c r="H11" s="241" t="s">
        <v>896</v>
      </c>
      <c r="I11" s="613">
        <v>46256</v>
      </c>
    </row>
    <row r="12" spans="1:9" ht="17.5">
      <c r="A12" s="609">
        <v>12</v>
      </c>
      <c r="B12" s="419" t="s">
        <v>926</v>
      </c>
      <c r="C12" s="241"/>
      <c r="D12" s="241"/>
      <c r="E12" s="612">
        <f>182</f>
        <v>182</v>
      </c>
      <c r="F12" s="614"/>
      <c r="G12" s="419" t="s">
        <v>931</v>
      </c>
      <c r="H12" s="241" t="s">
        <v>897</v>
      </c>
      <c r="I12" s="613">
        <v>46256</v>
      </c>
    </row>
    <row r="13" spans="1:9" ht="17.5">
      <c r="A13" s="609">
        <v>13</v>
      </c>
      <c r="B13" s="419" t="s">
        <v>929</v>
      </c>
      <c r="C13" s="241"/>
      <c r="D13" s="241"/>
      <c r="E13" s="612">
        <v>250</v>
      </c>
      <c r="F13" s="614"/>
      <c r="G13" s="419" t="s">
        <v>931</v>
      </c>
      <c r="H13" s="241" t="s">
        <v>897</v>
      </c>
      <c r="I13" s="613">
        <v>46257</v>
      </c>
    </row>
    <row r="14" spans="1:9" ht="17.5">
      <c r="A14" s="609">
        <v>14</v>
      </c>
      <c r="B14" s="419" t="s">
        <v>930</v>
      </c>
      <c r="C14" s="241"/>
      <c r="D14" s="241"/>
      <c r="E14" s="612">
        <v>3300</v>
      </c>
      <c r="F14" s="614"/>
      <c r="G14" s="419" t="s">
        <v>931</v>
      </c>
      <c r="H14" s="241" t="s">
        <v>896</v>
      </c>
      <c r="I14" s="613">
        <v>46258</v>
      </c>
    </row>
    <row r="15" spans="1:9" ht="17.5">
      <c r="A15" s="609">
        <v>15</v>
      </c>
      <c r="B15" s="419" t="s">
        <v>932</v>
      </c>
      <c r="C15" s="241"/>
      <c r="D15" s="241"/>
      <c r="E15" s="612">
        <v>112</v>
      </c>
      <c r="F15" s="614"/>
      <c r="G15" s="419" t="s">
        <v>931</v>
      </c>
      <c r="H15" s="241" t="s">
        <v>896</v>
      </c>
      <c r="I15" s="613">
        <v>46258</v>
      </c>
    </row>
    <row r="16" spans="1:9" ht="17.5">
      <c r="A16" s="609">
        <v>16</v>
      </c>
      <c r="B16" s="419" t="s">
        <v>933</v>
      </c>
      <c r="C16" s="241"/>
      <c r="D16" s="241"/>
      <c r="E16" s="612">
        <v>100</v>
      </c>
      <c r="F16" s="614"/>
      <c r="G16" s="419" t="s">
        <v>931</v>
      </c>
      <c r="H16" s="241" t="s">
        <v>896</v>
      </c>
      <c r="I16" s="613">
        <v>46258</v>
      </c>
    </row>
    <row r="17" spans="1:9" ht="17.5">
      <c r="A17" s="609">
        <v>17</v>
      </c>
      <c r="B17" s="419" t="s">
        <v>934</v>
      </c>
      <c r="C17" s="241"/>
      <c r="D17" s="241"/>
      <c r="E17" s="612">
        <f>1050/2</f>
        <v>525</v>
      </c>
      <c r="F17" s="614"/>
      <c r="G17" s="419" t="s">
        <v>138</v>
      </c>
      <c r="H17" s="241" t="s">
        <v>896</v>
      </c>
      <c r="I17" s="613">
        <v>46263</v>
      </c>
    </row>
    <row r="18" spans="1:9" ht="17.5">
      <c r="A18" s="609">
        <v>18</v>
      </c>
      <c r="B18" s="419" t="s">
        <v>934</v>
      </c>
      <c r="C18" s="241"/>
      <c r="D18" s="241"/>
      <c r="E18" s="612">
        <f>1050/2</f>
        <v>525</v>
      </c>
      <c r="F18" s="614"/>
      <c r="G18" s="419" t="s">
        <v>138</v>
      </c>
      <c r="H18" s="241" t="s">
        <v>897</v>
      </c>
      <c r="I18" s="613">
        <v>46263</v>
      </c>
    </row>
    <row r="19" spans="1:9" ht="17.5">
      <c r="A19" s="609">
        <v>19</v>
      </c>
      <c r="B19" s="241" t="s">
        <v>935</v>
      </c>
      <c r="C19" s="241"/>
      <c r="D19" s="241">
        <v>1</v>
      </c>
      <c r="E19" s="241">
        <v>1001.4</v>
      </c>
      <c r="F19" s="241"/>
      <c r="G19" s="241" t="s">
        <v>140</v>
      </c>
      <c r="H19" s="241" t="s">
        <v>896</v>
      </c>
      <c r="I19" s="613">
        <v>46263</v>
      </c>
    </row>
    <row r="20" spans="1:9" ht="17.5">
      <c r="A20" s="609">
        <v>20</v>
      </c>
      <c r="B20" s="419" t="s">
        <v>936</v>
      </c>
      <c r="C20" s="241"/>
      <c r="D20" s="241"/>
      <c r="E20" s="612">
        <v>518.28</v>
      </c>
      <c r="F20" s="614"/>
      <c r="G20" s="241" t="s">
        <v>140</v>
      </c>
      <c r="H20" s="241" t="s">
        <v>896</v>
      </c>
      <c r="I20" s="613">
        <v>46263</v>
      </c>
    </row>
    <row r="21" spans="1:9" ht="17.5">
      <c r="A21" s="609">
        <v>21</v>
      </c>
      <c r="B21" s="419" t="s">
        <v>937</v>
      </c>
      <c r="C21" s="241"/>
      <c r="D21" s="241"/>
      <c r="E21" s="612">
        <v>555</v>
      </c>
      <c r="F21" s="614"/>
      <c r="G21" s="241" t="s">
        <v>140</v>
      </c>
      <c r="H21" s="241" t="s">
        <v>896</v>
      </c>
      <c r="I21" s="613">
        <v>46263</v>
      </c>
    </row>
    <row r="22" spans="1:9" ht="18">
      <c r="A22" s="609">
        <v>22</v>
      </c>
      <c r="B22" s="419" t="s">
        <v>938</v>
      </c>
      <c r="C22" s="241"/>
      <c r="D22" s="241"/>
      <c r="E22" s="612">
        <v>850.73</v>
      </c>
      <c r="F22" s="614"/>
      <c r="G22" s="241" t="s">
        <v>140</v>
      </c>
      <c r="H22" s="241" t="s">
        <v>896</v>
      </c>
      <c r="I22" s="613">
        <v>46263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ورقة21"/>
  <dimension ref="A1:P10"/>
  <sheetViews>
    <sheetView rightToLeft="1" workbookViewId="0"/>
  </sheetViews>
  <sheetFormatPr defaultRowHeight="15.5"/>
  <sheetData>
    <row r="1" spans="1:16">
      <c r="A1" s="1">
        <v>1</v>
      </c>
      <c r="B1" s="1" t="s">
        <v>55</v>
      </c>
    </row>
    <row r="2" spans="1:16" ht="35">
      <c r="B2" s="1" t="s">
        <v>4</v>
      </c>
      <c r="C2" s="1" t="s">
        <v>328</v>
      </c>
      <c r="E2" s="758" t="s">
        <v>167</v>
      </c>
      <c r="F2" s="759"/>
      <c r="G2" s="760"/>
      <c r="K2" s="452" t="e">
        <f>(G5/1.15)*0.15</f>
        <v>#REF!</v>
      </c>
      <c r="L2" s="453" t="e">
        <f>(K5/1.15)*0.15</f>
        <v>#REF!</v>
      </c>
      <c r="M2" s="768" t="e">
        <f>IF(L2+K2=L5+I5,"صحيحة",L2+K2-L5-I5)</f>
        <v>#REF!</v>
      </c>
      <c r="N2" s="769"/>
    </row>
    <row r="3" spans="1:16" ht="35">
      <c r="B3" s="1" t="s">
        <v>27</v>
      </c>
      <c r="E3" s="761"/>
      <c r="F3" s="762"/>
      <c r="G3" s="763"/>
      <c r="K3" s="454"/>
      <c r="L3" s="454"/>
      <c r="M3" s="454"/>
      <c r="N3" s="454"/>
    </row>
    <row r="4" spans="1:16" ht="26">
      <c r="B4" s="1" t="s">
        <v>422</v>
      </c>
      <c r="C4" s="149" t="e">
        <f>IF(C1&lt;&gt;"",(SUMIFS(#REF!,#REF!,C2,#REF!,C1)),IF(C3&lt;&gt;"",(SUMIFS(#REF!,#REF!,C2,#REF!,C3)),(SUMIF(#REF!,C2,#REF!))))</f>
        <v>#REF!</v>
      </c>
      <c r="D4" s="328" t="s">
        <v>607</v>
      </c>
      <c r="E4" s="332" t="s">
        <v>608</v>
      </c>
      <c r="F4" s="333" t="s">
        <v>609</v>
      </c>
      <c r="G4" s="334" t="s">
        <v>610</v>
      </c>
      <c r="H4" s="330" t="s">
        <v>416</v>
      </c>
      <c r="I4" s="326" t="s">
        <v>53</v>
      </c>
      <c r="K4" s="455" t="s">
        <v>884</v>
      </c>
      <c r="L4" s="456" t="s">
        <v>53</v>
      </c>
      <c r="M4" s="764" t="s">
        <v>156</v>
      </c>
      <c r="N4" s="765"/>
      <c r="P4" s="417" t="e">
        <f>K5/1.15</f>
        <v>#REF!</v>
      </c>
    </row>
    <row r="5" spans="1:16" ht="32.5">
      <c r="B5" s="1" t="s">
        <v>417</v>
      </c>
      <c r="C5" s="149" t="e">
        <f>C4*2.5%</f>
        <v>#REF!</v>
      </c>
      <c r="D5" s="329" t="s">
        <v>883</v>
      </c>
      <c r="E5" s="336" t="e">
        <f>SUMIF(#REF!,D5,#REF!)</f>
        <v>#REF!</v>
      </c>
      <c r="F5" s="335" t="e">
        <f>SUMIFS(#REF!,#REF!,D5,#REF!,"لا")</f>
        <v>#REF!</v>
      </c>
      <c r="G5" s="337" t="e">
        <f>SUMIFS(#REF!,#REF!,D5,#REF!,"نعم")</f>
        <v>#REF!</v>
      </c>
      <c r="H5" s="331" t="e">
        <f>SUMIFS(#REF!,#REF!,D5,#REF!,"نعم")</f>
        <v>#REF!</v>
      </c>
      <c r="I5" s="327" t="e">
        <f>SUMIF(#REF!,D5,#REF!)</f>
        <v>#REF!</v>
      </c>
      <c r="K5" s="457" t="e">
        <f>SUMIFS(#REF!,#REF!,Revenue!D5,#REF!,"نعم")</f>
        <v>#REF!</v>
      </c>
      <c r="L5" s="458" t="e">
        <f>SUMIFS(#REF!,#REF!,Revenue!D5,#REF!,"نعم")</f>
        <v>#REF!</v>
      </c>
      <c r="M5" s="766" t="e">
        <f>L5-I5</f>
        <v>#REF!</v>
      </c>
      <c r="N5" s="767"/>
    </row>
    <row r="7" spans="1:16">
      <c r="B7" s="6" t="s">
        <v>168</v>
      </c>
      <c r="C7" s="6" t="s">
        <v>50</v>
      </c>
      <c r="D7" s="6" t="s">
        <v>4</v>
      </c>
      <c r="E7" s="6" t="s">
        <v>55</v>
      </c>
      <c r="F7" s="6" t="s">
        <v>51</v>
      </c>
      <c r="G7" s="6" t="s">
        <v>42</v>
      </c>
      <c r="H7" s="6" t="s">
        <v>54</v>
      </c>
      <c r="I7" s="325" t="s">
        <v>416</v>
      </c>
      <c r="J7" s="6" t="s">
        <v>53</v>
      </c>
      <c r="K7" s="6" t="s">
        <v>419</v>
      </c>
      <c r="L7" s="6" t="s">
        <v>985</v>
      </c>
      <c r="M7" s="6" t="s">
        <v>156</v>
      </c>
      <c r="N7" s="6" t="s">
        <v>607</v>
      </c>
    </row>
    <row r="8" spans="1:16">
      <c r="B8" s="1">
        <v>1</v>
      </c>
      <c r="C8" s="2">
        <v>46295</v>
      </c>
      <c r="D8" s="1" t="s">
        <v>328</v>
      </c>
      <c r="E8" s="1" t="s">
        <v>982</v>
      </c>
      <c r="F8" s="1" t="s">
        <v>983</v>
      </c>
      <c r="G8" s="149">
        <v>5864.9180000000006</v>
      </c>
      <c r="H8" s="1" t="s">
        <v>181</v>
      </c>
      <c r="I8" s="149" t="e">
        <f>IF(#REF!=Menus!Q$4,#REF!/1.15,#REF!)</f>
        <v>#REF!</v>
      </c>
      <c r="J8" s="149" t="e">
        <f>IF(#REF!=Menus!Q$4,#REF!-#REF!,0)</f>
        <v>#REF!</v>
      </c>
      <c r="K8" s="1" t="s">
        <v>896</v>
      </c>
      <c r="L8" s="149" t="e">
        <f>#REF!*30%</f>
        <v>#REF!</v>
      </c>
      <c r="M8" s="149" t="e">
        <f>#REF!-#REF!</f>
        <v>#REF!</v>
      </c>
      <c r="N8" s="149"/>
    </row>
    <row r="9" spans="1:16">
      <c r="B9" s="1">
        <v>2</v>
      </c>
      <c r="C9" s="2">
        <v>46295</v>
      </c>
      <c r="D9" s="1" t="s">
        <v>328</v>
      </c>
      <c r="E9" s="1" t="s">
        <v>982</v>
      </c>
      <c r="F9" s="1" t="s">
        <v>984</v>
      </c>
      <c r="G9" s="149">
        <v>1065</v>
      </c>
      <c r="H9" s="1" t="s">
        <v>181</v>
      </c>
      <c r="I9" s="149" t="e">
        <f>IF(#REF!=Menus!Q$4,#REF!/1.15,#REF!)</f>
        <v>#REF!</v>
      </c>
      <c r="J9" s="149" t="e">
        <f>IF(#REF!=Menus!Q$4,#REF!-#REF!,0)</f>
        <v>#REF!</v>
      </c>
      <c r="K9" s="1" t="s">
        <v>897</v>
      </c>
      <c r="L9" s="149" t="e">
        <f>#REF!*30%</f>
        <v>#REF!</v>
      </c>
      <c r="M9" s="149" t="e">
        <f>#REF!-#REF!</f>
        <v>#REF!</v>
      </c>
      <c r="N9" s="149"/>
    </row>
    <row r="10" spans="1:16">
      <c r="B10" s="1">
        <v>3</v>
      </c>
      <c r="C10" s="2"/>
      <c r="G10" s="149"/>
      <c r="I10" s="149" t="e">
        <f>IF(#REF!=Menus!Q$4,#REF!/1.15,#REF!)</f>
        <v>#REF!</v>
      </c>
      <c r="J10" s="149" t="e">
        <f>IF(#REF!=Menus!Q$4,#REF!-#REF!,0)</f>
        <v>#REF!</v>
      </c>
      <c r="L10" s="149"/>
      <c r="M10" s="149"/>
      <c r="N10" s="14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ورقة22"/>
  <dimension ref="A1:F57"/>
  <sheetViews>
    <sheetView rightToLeft="1" workbookViewId="0"/>
  </sheetViews>
  <sheetFormatPr defaultRowHeight="15.5"/>
  <sheetData>
    <row r="1" spans="1:6">
      <c r="A1" s="737" t="e">
        <v>#VALUE!</v>
      </c>
      <c r="B1" s="737"/>
      <c r="C1" s="737"/>
      <c r="D1" s="737"/>
      <c r="E1" s="737"/>
      <c r="F1" s="737"/>
    </row>
    <row r="2" spans="1:6">
      <c r="A2" s="737"/>
      <c r="B2" s="737"/>
      <c r="C2" s="737"/>
      <c r="D2" s="737"/>
      <c r="E2" s="737"/>
      <c r="F2" s="737"/>
    </row>
    <row r="3" spans="1:6">
      <c r="A3" s="737"/>
      <c r="B3" s="737"/>
      <c r="C3" s="737"/>
      <c r="D3" s="737"/>
      <c r="E3" s="737"/>
      <c r="F3" s="737"/>
    </row>
    <row r="4" spans="1:6">
      <c r="A4" s="737"/>
      <c r="B4" s="737"/>
      <c r="C4" s="737"/>
      <c r="D4" s="737"/>
      <c r="E4" s="737"/>
      <c r="F4" s="737"/>
    </row>
    <row r="5" spans="1:6">
      <c r="A5" s="737"/>
      <c r="B5" s="737"/>
      <c r="C5" s="737"/>
      <c r="D5" s="737"/>
      <c r="E5" s="737"/>
      <c r="F5" s="737"/>
    </row>
    <row r="6" spans="1:6" ht="25">
      <c r="A6" s="772" t="s">
        <v>204</v>
      </c>
      <c r="B6" s="772"/>
      <c r="C6" s="772"/>
      <c r="D6" s="772"/>
      <c r="E6" s="772"/>
      <c r="F6" s="772"/>
    </row>
    <row r="7" spans="1:6" ht="25">
      <c r="B7" s="771"/>
      <c r="C7" s="771"/>
      <c r="D7" s="771"/>
      <c r="E7" s="771"/>
    </row>
    <row r="8" spans="1:6" ht="25">
      <c r="A8" s="772" t="s">
        <v>733</v>
      </c>
      <c r="B8" s="772"/>
      <c r="C8" s="772"/>
      <c r="D8" s="772"/>
      <c r="E8" s="772"/>
      <c r="F8" s="772"/>
    </row>
    <row r="10" spans="1:6" ht="52.5">
      <c r="A10" s="384" t="s">
        <v>675</v>
      </c>
      <c r="B10" s="382">
        <v>46149</v>
      </c>
      <c r="C10" s="384" t="s">
        <v>676</v>
      </c>
      <c r="D10" s="1">
        <v>10392757392</v>
      </c>
      <c r="E10" s="384" t="s">
        <v>674</v>
      </c>
      <c r="F10" s="1">
        <v>102</v>
      </c>
    </row>
    <row r="12" spans="1:6" ht="52.5">
      <c r="A12" s="384" t="s">
        <v>669</v>
      </c>
      <c r="B12" s="1" t="s">
        <v>36</v>
      </c>
      <c r="C12" s="384" t="s">
        <v>668</v>
      </c>
      <c r="D12" s="1">
        <v>102</v>
      </c>
      <c r="E12" s="384" t="s">
        <v>667</v>
      </c>
      <c r="F12" s="3" t="s">
        <v>201</v>
      </c>
    </row>
    <row r="14" spans="1:6" ht="87.5">
      <c r="A14" s="384" t="s">
        <v>672</v>
      </c>
      <c r="B14" s="1" t="s">
        <v>625</v>
      </c>
      <c r="C14" s="384" t="s">
        <v>671</v>
      </c>
      <c r="D14" s="1">
        <v>1011636675</v>
      </c>
      <c r="E14" s="384" t="s">
        <v>670</v>
      </c>
      <c r="F14" s="1">
        <v>504281077</v>
      </c>
    </row>
    <row r="16" spans="1:6" ht="87.5">
      <c r="A16" s="384" t="s">
        <v>664</v>
      </c>
      <c r="B16" s="382">
        <v>46142</v>
      </c>
      <c r="C16" s="384" t="s">
        <v>665</v>
      </c>
      <c r="D16" s="382">
        <v>46171</v>
      </c>
      <c r="E16" s="384" t="s">
        <v>666</v>
      </c>
      <c r="F16" s="382">
        <v>46149</v>
      </c>
    </row>
    <row r="18" spans="1:6" ht="87.5">
      <c r="A18" s="384" t="s">
        <v>703</v>
      </c>
      <c r="C18" s="384" t="s">
        <v>704</v>
      </c>
      <c r="E18" s="384" t="s">
        <v>705</v>
      </c>
      <c r="F18" s="3"/>
    </row>
    <row r="20" spans="1:6" ht="70">
      <c r="A20" s="384" t="s">
        <v>237</v>
      </c>
      <c r="C20" s="384" t="s">
        <v>232</v>
      </c>
      <c r="E20" s="384" t="s">
        <v>706</v>
      </c>
    </row>
    <row r="22" spans="1:6" ht="52.5">
      <c r="A22" s="385" t="s">
        <v>707</v>
      </c>
      <c r="C22" s="385" t="s">
        <v>708</v>
      </c>
      <c r="E22" s="385" t="s">
        <v>709</v>
      </c>
      <c r="F22" s="1">
        <v>1</v>
      </c>
    </row>
    <row r="24" spans="1:6" ht="70">
      <c r="A24" s="385" t="s">
        <v>710</v>
      </c>
      <c r="B24" s="1">
        <v>1</v>
      </c>
      <c r="C24" s="385" t="s">
        <v>711</v>
      </c>
      <c r="D24" s="1">
        <v>1</v>
      </c>
      <c r="E24" s="385" t="s">
        <v>712</v>
      </c>
      <c r="F24" s="1">
        <v>1</v>
      </c>
    </row>
    <row r="26" spans="1:6" ht="52.5">
      <c r="A26" s="385" t="s">
        <v>713</v>
      </c>
      <c r="B26" s="1">
        <v>2</v>
      </c>
      <c r="C26" s="385" t="s">
        <v>714</v>
      </c>
      <c r="D26" s="1">
        <v>1</v>
      </c>
      <c r="E26" s="385" t="s">
        <v>715</v>
      </c>
      <c r="F26" s="1">
        <v>1</v>
      </c>
    </row>
    <row r="28" spans="1:6" ht="70">
      <c r="A28" s="385" t="s">
        <v>716</v>
      </c>
      <c r="C28" s="385" t="s">
        <v>717</v>
      </c>
      <c r="D28" s="1">
        <v>1</v>
      </c>
      <c r="E28" s="385" t="s">
        <v>862</v>
      </c>
      <c r="F28" s="1">
        <v>1</v>
      </c>
    </row>
    <row r="30" spans="1:6" ht="52.5">
      <c r="A30" s="385" t="s">
        <v>738</v>
      </c>
      <c r="B30" s="1">
        <v>1</v>
      </c>
      <c r="C30" s="385" t="s">
        <v>719</v>
      </c>
      <c r="D30" s="1">
        <v>1</v>
      </c>
      <c r="E30" s="385" t="s">
        <v>720</v>
      </c>
      <c r="F30" s="1">
        <v>1</v>
      </c>
    </row>
    <row r="32" spans="1:6" ht="70">
      <c r="A32" s="385" t="s">
        <v>721</v>
      </c>
      <c r="B32" s="1">
        <v>1</v>
      </c>
      <c r="C32" s="385" t="s">
        <v>722</v>
      </c>
      <c r="E32" s="385" t="s">
        <v>723</v>
      </c>
      <c r="F32" s="1">
        <v>2</v>
      </c>
    </row>
    <row r="34" spans="1:6" ht="35">
      <c r="A34" s="385" t="s">
        <v>724</v>
      </c>
      <c r="B34" s="1">
        <v>3</v>
      </c>
      <c r="C34" s="385" t="s">
        <v>725</v>
      </c>
      <c r="D34" s="1">
        <v>1</v>
      </c>
      <c r="E34" s="385" t="s">
        <v>726</v>
      </c>
    </row>
    <row r="35" spans="1:6" ht="17.5">
      <c r="A35" s="166"/>
      <c r="C35" s="166"/>
      <c r="E35" s="166"/>
    </row>
    <row r="36" spans="1:6" ht="52.5">
      <c r="A36" s="385" t="s">
        <v>737</v>
      </c>
      <c r="B36" s="1">
        <v>1</v>
      </c>
      <c r="C36" s="385" t="s">
        <v>718</v>
      </c>
      <c r="E36" s="385" t="s">
        <v>736</v>
      </c>
      <c r="F36" s="1">
        <v>3</v>
      </c>
    </row>
    <row r="37" spans="1:6" ht="17.5">
      <c r="A37" s="166"/>
      <c r="C37" s="166"/>
      <c r="E37" s="166"/>
    </row>
    <row r="38" spans="1:6" ht="46.5">
      <c r="A38" s="383" t="s">
        <v>727</v>
      </c>
      <c r="B38" s="770" t="s">
        <v>863</v>
      </c>
      <c r="C38" s="737"/>
      <c r="D38" s="737"/>
      <c r="E38" s="737"/>
      <c r="F38" s="737"/>
    </row>
    <row r="40" spans="1:6" ht="105">
      <c r="A40" s="392" t="s">
        <v>741</v>
      </c>
      <c r="B40" s="394" t="s">
        <v>765</v>
      </c>
      <c r="C40" s="393" t="s">
        <v>766</v>
      </c>
      <c r="D40" s="394" t="s">
        <v>718</v>
      </c>
      <c r="E40" s="393" t="s">
        <v>767</v>
      </c>
      <c r="F40" s="395" t="s">
        <v>743</v>
      </c>
    </row>
    <row r="41" spans="1:6" ht="17.5">
      <c r="A41" s="391" t="s">
        <v>742</v>
      </c>
      <c r="B41" s="396">
        <f>IF(B40="","",
IF(D12=101,IFERROR(INDEX('قطع الصيانة'!D:D,MATCH(B40,'قطع الصيانة'!B:B,0)),"101 غير متطابق"),
IF(D12=102,IFERROR(INDEX('قطع الصيانة'!F:F,MATCH(B40,'قطع الصيانة'!B:B,0)),"102 غير متطابق"),
IF(D12=103,IFERROR(INDEX('قطع الصيانة'!H:H,MATCH(B40,'قطع الصيانة'!B:B,0)),"103 غير متطابق"),
IF(D12=104,IFERROR(INDEX('قطع الصيانة'!J:J,MATCH(B40,'قطع الصيانة'!B:B,0)),"104 غير متطابق"),
IF(D12=11,IFERROR(INDEX('قطع الصيانة'!L:L,MATCH(B40,'قطع الصيانة'!B:B,0)),"11 غير متطابق"),
IF(D12=12,IFERROR(INDEX('قطع الصيانة'!N:N,MATCH(B40,'قطع الصيانة'!B:B,0)),"12 غير متطابق"),
D12&amp;" غير متطابق")))))))</f>
        <v>0</v>
      </c>
      <c r="C41" s="397">
        <f>IF(C40="","",
IF(D12=101,IFERROR(INDEX('قطع الصيانة'!D:D,MATCH(C40,'قطع الصيانة'!B:B,0)),"101 غير متطابق"),
IF(D12=102,IFERROR(INDEX('قطع الصيانة'!F:F,MATCH(C40,'قطع الصيانة'!B:B,0)),"102 غير متطابق"),
IF(D12=103,IFERROR(INDEX('قطع الصيانة'!H:H,MATCH(C40,'قطع الصيانة'!B:B,0)),"103 غير متطابق"),
IF(D12=104,IFERROR(INDEX('قطع الصيانة'!J:J,MATCH(C40,'قطع الصيانة'!B:B,0)),"104 غير متطابق"),
IF(D12=11,IFERROR(INDEX('قطع الصيانة'!L:L,MATCH(C40,'قطع الصيانة'!B:B,0)),"11 غير متطابق"),
IF(D12=12,IFERROR(INDEX('قطع الصيانة'!N:N,MATCH(C40,'قطع الصيانة'!B:B,0)),"12 غير متطابق"),
D12&amp;" غير متطابق")))))))</f>
        <v>200.00006499999998</v>
      </c>
      <c r="D41" s="396">
        <f>IF(D40="","",
IF(D12=101,IFERROR(INDEX('قطع الصيانة'!D:D,MATCH(D40,'قطع الصيانة'!B:B,0)),"101 غير متطابق"),
IF(D12=102,IFERROR(INDEX('قطع الصيانة'!F:F,MATCH(D40,'قطع الصيانة'!B:B,0)),"102 غير متطابق"),
IF(D12=103,IFERROR(INDEX('قطع الصيانة'!H:H,MATCH(D40,'قطع الصيانة'!B:B,0)),"103 غير متطابق"),
IF(D12=104,IFERROR(INDEX('قطع الصيانة'!J:J,MATCH(D40,'قطع الصيانة'!B:B,0)),"104 غير متطابق"),
IF(D12=11,IFERROR(INDEX('قطع الصيانة'!L:L,MATCH(D40,'قطع الصيانة'!B:B,0)),"11 غير متطابق"),
IF(D12=12,IFERROR(INDEX('قطع الصيانة'!N:N,MATCH(D40,'قطع الصيانة'!B:B,0)),"12 غير متطابق"),
D12&amp;" غير متطابق")))))))</f>
        <v>0</v>
      </c>
      <c r="E41" s="397">
        <f>IF(E40="","",
IF(D12=101,IFERROR(INDEX('قطع الصيانة'!D:D,MATCH(E40,'قطع الصيانة'!B:B,0)),"101 غير متطابق"),
IF(D12=102,IFERROR(INDEX('قطع الصيانة'!F:F,MATCH(E40,'قطع الصيانة'!B:B,0)),"102 غير متطابق"),
IF(D12=103,IFERROR(INDEX('قطع الصيانة'!H:H,MATCH(E40,'قطع الصيانة'!B:B,0)),"103 غير متطابق"),
IF(D12=104,IFERROR(INDEX('قطع الصيانة'!J:J,MATCH(E40,'قطع الصيانة'!B:B,0)),"104 غير متطابق"),
IF(D12=11,IFERROR(INDEX('قطع الصيانة'!L:L,MATCH(E40,'قطع الصيانة'!B:B,0)),"11 غير متطابق"),
IF(D12=12,IFERROR(INDEX('قطع الصيانة'!N:N,MATCH(E40,'قطع الصيانة'!B:B,0)),"12 غير متطابق"),
D12&amp;" غير متطابق")))))))</f>
        <v>30.000049999999998</v>
      </c>
      <c r="F41" s="398"/>
    </row>
    <row r="43" spans="1:6" ht="77.5">
      <c r="A43" s="383" t="s">
        <v>728</v>
      </c>
      <c r="B43" s="770" t="s">
        <v>863</v>
      </c>
      <c r="C43" s="737"/>
      <c r="D43" s="737"/>
      <c r="E43" s="737"/>
      <c r="F43" s="737"/>
    </row>
    <row r="44" spans="1:6" ht="17.5">
      <c r="A44" s="166"/>
    </row>
    <row r="45" spans="1:6" ht="17.5">
      <c r="A45" s="55" t="s">
        <v>741</v>
      </c>
      <c r="B45" s="389" t="s">
        <v>768</v>
      </c>
      <c r="C45" s="57"/>
      <c r="D45" s="389"/>
      <c r="E45" s="57"/>
      <c r="F45" s="390" t="s">
        <v>743</v>
      </c>
    </row>
    <row r="46" spans="1:6" ht="17.5">
      <c r="A46" s="391" t="s">
        <v>742</v>
      </c>
      <c r="B46" s="396">
        <f>IF(B45="","",
IF(D12=101,IFERROR(INDEX('قطع الصيانة'!D:D,MATCH(B45,'قطع الصيانة'!B:B,0)),"101 غير متطابق"),
IF(D12=102,IFERROR(INDEX('قطع الصيانة'!F:F,MATCH(B45,'قطع الصيانة'!B:B,0)),"102 غير متطابق"),
IF(D12=103,IFERROR(INDEX('قطع الصيانة'!H:H,MATCH(B45,'قطع الصيانة'!B:B,0)),"103 غير متطابق"),
IF(D12=104,IFERROR(INDEX('قطع الصيانة'!J:J,MATCH(B45,'قطع الصيانة'!B:B,0)),"104 غير متطابق"),
IF(D12=11,IFERROR(INDEX('قطع الصيانة'!L:L,MATCH(B45,'قطع الصيانة'!B:B,0)),"11 غير متطابق"),
IF(D12=12,IFERROR(INDEX('قطع الصيانة'!N:N,MATCH(B45,'قطع الصيانة'!B:B,0)),"12 غير متطابق"),
D12&amp;" غير متطابق")))))))</f>
        <v>0</v>
      </c>
      <c r="C46" s="397" t="str">
        <f>IF(C45="","",
IF(D12=101,IFERROR(INDEX('قطع الصيانة'!D:D,MATCH(C45,'قطع الصيانة'!B:B,0)),"101 غير متطابق"),
IF(D12=102,IFERROR(INDEX('قطع الصيانة'!F:F,MATCH(C45,'قطع الصيانة'!B:B,0)),"102 غير متطابق"),
IF(D12=103,IFERROR(INDEX('قطع الصيانة'!H:H,MATCH(C45,'قطع الصيانة'!B:B,0)),"103 غير متطابق"),
IF(D12=104,IFERROR(INDEX('قطع الصيانة'!J:J,MATCH(C45,'قطع الصيانة'!B:B,0)),"104 غير متطابق"),
IF(D12=11,IFERROR(INDEX('قطع الصيانة'!L:L,MATCH(C45,'قطع الصيانة'!B:B,0)),"11 غير متطابق"),
IF(D12=12,IFERROR(INDEX('قطع الصيانة'!N:N,MATCH(C45,'قطع الصيانة'!B:B,0)),"12 غير متطابق"),
D12&amp;" غير متطابق")))))))</f>
        <v/>
      </c>
      <c r="D46" s="396" t="str">
        <f>IF(D45="","",
IF(D12=101,IFERROR(INDEX('قطع الصيانة'!D:D,MATCH(D45,'قطع الصيانة'!B:B,0)),"101 غير متطابق"),
IF(D12=102,IFERROR(INDEX('قطع الصيانة'!F:F,MATCH(D45,'قطع الصيانة'!B:B,0)),"102 غير متطابق"),
IF(D12=103,IFERROR(INDEX('قطع الصيانة'!H:H,MATCH(D45,'قطع الصيانة'!B:B,0)),"103 غير متطابق"),
IF(D12=104,IFERROR(INDEX('قطع الصيانة'!J:J,MATCH(D45,'قطع الصيانة'!B:B,0)),"104 غير متطابق"),
IF(D12=11,IFERROR(INDEX('قطع الصيانة'!L:L,MATCH(D45,'قطع الصيانة'!B:B,0)),"11 غير متطابق"),
IF(D12=12,IFERROR(INDEX('قطع الصيانة'!N:N,MATCH(D45,'قطع الصيانة'!B:B,0)),"12 غير متطابق"),
D12&amp;" غير متطابق")))))))</f>
        <v/>
      </c>
      <c r="E46" s="397" t="str">
        <f>IF(E45="","",
IF(D12=101,IFERROR(INDEX('قطع الصيانة'!D:D,MATCH(E45,'قطع الصيانة'!B:B,0)),"101 غير متطابق"),
IF(D12=102,IFERROR(INDEX('قطع الصيانة'!F:F,MATCH(E45,'قطع الصيانة'!B:B,0)),"102 غير متطابق"),
IF(D12=103,IFERROR(INDEX('قطع الصيانة'!H:H,MATCH(E45,'قطع الصيانة'!B:B,0)),"103 غير متطابق"),
IF(D12=104,IFERROR(INDEX('قطع الصيانة'!J:J,MATCH(E45,'قطع الصيانة'!B:B,0)),"104 غير متطابق"),
IF(D12=11,IFERROR(INDEX('قطع الصيانة'!L:L,MATCH(E45,'قطع الصيانة'!B:B,0)),"11 غير متطابق"),
IF(D12=12,IFERROR(INDEX('قطع الصيانة'!N:N,MATCH(E45,'قطع الصيانة'!B:B,0)),"12 غير متطابق"),
D12&amp;" غير متطابق")))))))</f>
        <v/>
      </c>
      <c r="F46" s="398"/>
    </row>
    <row r="48" spans="1:6" ht="77.5">
      <c r="A48" s="386" t="s">
        <v>729</v>
      </c>
      <c r="B48" s="770" t="s">
        <v>864</v>
      </c>
      <c r="C48" s="770"/>
      <c r="D48" s="770"/>
      <c r="E48" s="770"/>
      <c r="F48" s="770"/>
    </row>
    <row r="50" spans="1:6" ht="70">
      <c r="A50" s="392" t="s">
        <v>760</v>
      </c>
      <c r="B50" s="393" t="s">
        <v>744</v>
      </c>
      <c r="C50" s="393" t="s">
        <v>745</v>
      </c>
      <c r="D50" s="394" t="s">
        <v>746</v>
      </c>
      <c r="E50" s="393" t="s">
        <v>747</v>
      </c>
      <c r="F50" s="395" t="s">
        <v>748</v>
      </c>
    </row>
    <row r="51" spans="1:6" ht="17.5">
      <c r="A51" s="399"/>
      <c r="B51" s="396">
        <f>SUM(B41:F41)</f>
        <v>230.00011499999997</v>
      </c>
      <c r="C51" s="397">
        <f>SUM(B46:F46)</f>
        <v>0</v>
      </c>
      <c r="D51" s="396">
        <v>0</v>
      </c>
      <c r="E51" s="397">
        <v>0</v>
      </c>
      <c r="F51" s="398">
        <f>SUM(A51:E51)</f>
        <v>230.00011499999997</v>
      </c>
    </row>
    <row r="53" spans="1:6" ht="372">
      <c r="A53" s="386" t="s">
        <v>732</v>
      </c>
      <c r="B53" s="770" t="s">
        <v>865</v>
      </c>
      <c r="C53" s="770"/>
      <c r="D53" s="770"/>
      <c r="E53" s="770"/>
      <c r="F53" s="770"/>
    </row>
    <row r="55" spans="1:6" ht="105">
      <c r="A55" s="387" t="s">
        <v>730</v>
      </c>
      <c r="D55" s="388" t="s">
        <v>731</v>
      </c>
    </row>
    <row r="57" spans="1:6">
      <c r="A57" s="1"/>
      <c r="C57" s="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ورقة23"/>
  <dimension ref="A1:H3"/>
  <sheetViews>
    <sheetView rightToLeft="1" workbookViewId="0"/>
  </sheetViews>
  <sheetFormatPr defaultRowHeight="15.5"/>
  <sheetData>
    <row r="1" spans="1:8">
      <c r="A1" t="s">
        <v>5</v>
      </c>
      <c r="B1" t="s">
        <v>51</v>
      </c>
      <c r="C1" t="s">
        <v>42</v>
      </c>
      <c r="D1" t="s">
        <v>27</v>
      </c>
      <c r="E1" t="s">
        <v>601</v>
      </c>
      <c r="F1" t="s">
        <v>770</v>
      </c>
      <c r="G1" t="s">
        <v>60</v>
      </c>
      <c r="H1" t="s">
        <v>71</v>
      </c>
    </row>
    <row r="2" spans="1:8">
      <c r="A2">
        <v>1</v>
      </c>
      <c r="B2" s="400"/>
      <c r="C2" s="400"/>
      <c r="D2" s="401"/>
      <c r="E2" s="404"/>
      <c r="G2" s="405"/>
      <c r="H2" s="405"/>
    </row>
    <row r="3" spans="1:8">
      <c r="A3">
        <v>2</v>
      </c>
      <c r="B3" s="402"/>
      <c r="C3" s="402"/>
      <c r="D3" s="403"/>
      <c r="G3" s="405"/>
      <c r="H3" s="405"/>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ورقة24"/>
  <dimension ref="A1:X40"/>
  <sheetViews>
    <sheetView rightToLeft="1" workbookViewId="0"/>
  </sheetViews>
  <sheetFormatPr defaultRowHeight="15.5"/>
  <sheetData>
    <row r="1" spans="1:24" ht="23.5">
      <c r="A1" s="773" t="s">
        <v>554</v>
      </c>
      <c r="B1" s="773"/>
      <c r="C1" s="773"/>
      <c r="D1" s="773"/>
      <c r="E1" s="773"/>
      <c r="F1" s="773"/>
      <c r="G1" s="773"/>
      <c r="H1" s="773"/>
      <c r="I1" s="773"/>
      <c r="J1" s="773"/>
      <c r="K1" s="773"/>
      <c r="L1" s="773"/>
      <c r="M1" s="773"/>
      <c r="N1" s="773"/>
      <c r="O1" s="773"/>
      <c r="P1" s="773"/>
      <c r="Q1" s="773"/>
      <c r="R1" s="773"/>
      <c r="W1" s="177" t="s">
        <v>60</v>
      </c>
      <c r="X1" s="178" t="s">
        <v>651</v>
      </c>
    </row>
    <row r="2" spans="1:24">
      <c r="A2" s="774" t="s">
        <v>555</v>
      </c>
      <c r="B2" s="774"/>
      <c r="C2" s="774"/>
      <c r="D2" s="774"/>
      <c r="E2" s="774"/>
      <c r="F2" s="774"/>
      <c r="G2" s="774"/>
      <c r="H2" s="774"/>
      <c r="I2" s="774"/>
      <c r="J2" s="774"/>
      <c r="K2" s="774"/>
      <c r="L2" s="774"/>
      <c r="M2" s="774"/>
      <c r="N2" s="774"/>
      <c r="O2" s="774"/>
      <c r="P2" s="774"/>
      <c r="Q2" s="774"/>
      <c r="R2" s="774"/>
    </row>
    <row r="3" spans="1:24">
      <c r="A3" s="775" t="s">
        <v>556</v>
      </c>
      <c r="B3" s="775"/>
      <c r="C3" s="775"/>
      <c r="D3" s="775"/>
      <c r="E3" s="775"/>
      <c r="F3" s="775"/>
      <c r="G3" s="775"/>
      <c r="H3" s="775"/>
      <c r="I3" s="775"/>
      <c r="J3" s="285" t="e">
        <f>SUM(#REF!)&amp;" ريال"</f>
        <v>#REF!</v>
      </c>
      <c r="K3" s="285" t="e">
        <f>SUM(#REF!)&amp;" ريال"</f>
        <v>#REF!</v>
      </c>
      <c r="L3" s="285" t="e">
        <f>SUM(#REF!)&amp;" ريال"</f>
        <v>#REF!</v>
      </c>
      <c r="M3" s="285"/>
      <c r="N3" s="285"/>
      <c r="O3" s="285" t="e">
        <f>SUM(#REF!)&amp;" ريال"</f>
        <v>#REF!</v>
      </c>
      <c r="P3" s="285"/>
      <c r="Q3" s="285" t="e">
        <f>SUM(#REF!)&amp;" ريال"</f>
        <v>#REF!</v>
      </c>
      <c r="R3" s="285"/>
      <c r="W3" s="177" t="s">
        <v>647</v>
      </c>
      <c r="X3" t="s">
        <v>563</v>
      </c>
    </row>
    <row r="4" spans="1:24">
      <c r="A4" s="269" t="s">
        <v>168</v>
      </c>
      <c r="B4" s="270" t="s">
        <v>50</v>
      </c>
      <c r="C4" s="270" t="s">
        <v>27</v>
      </c>
      <c r="D4" s="270" t="s">
        <v>169</v>
      </c>
      <c r="E4" s="270" t="s">
        <v>557</v>
      </c>
      <c r="F4" s="270" t="s">
        <v>8</v>
      </c>
      <c r="G4" s="270" t="s">
        <v>12</v>
      </c>
      <c r="H4" s="270" t="s">
        <v>43</v>
      </c>
      <c r="I4" s="270" t="s">
        <v>558</v>
      </c>
      <c r="J4" s="270" t="s">
        <v>559</v>
      </c>
      <c r="K4" s="270" t="s">
        <v>560</v>
      </c>
      <c r="L4" s="270" t="s">
        <v>561</v>
      </c>
      <c r="M4" s="271" t="s">
        <v>771</v>
      </c>
      <c r="N4" s="271" t="s">
        <v>4</v>
      </c>
      <c r="O4" s="271" t="s">
        <v>265</v>
      </c>
      <c r="P4" s="271" t="s">
        <v>562</v>
      </c>
      <c r="Q4" s="271" t="s">
        <v>60</v>
      </c>
      <c r="R4" s="271" t="s">
        <v>71</v>
      </c>
      <c r="W4" s="178" t="s">
        <v>648</v>
      </c>
      <c r="X4" s="268"/>
    </row>
    <row r="5" spans="1:24" ht="18.5">
      <c r="A5" s="272">
        <v>1</v>
      </c>
      <c r="B5" s="273"/>
      <c r="C5" s="274"/>
      <c r="D5" s="275"/>
      <c r="E5" s="275"/>
      <c r="F5" s="275"/>
      <c r="G5" s="275"/>
      <c r="H5" s="275"/>
      <c r="I5" s="274"/>
      <c r="J5" s="281"/>
      <c r="K5" s="281"/>
      <c r="L5" s="281"/>
      <c r="M5" s="406"/>
      <c r="N5" s="406"/>
      <c r="O5" s="282">
        <v>0</v>
      </c>
      <c r="P5" s="276"/>
      <c r="Q5" s="284" t="e">
        <f>#REF!-#REF!-#REF!-#REF!</f>
        <v>#REF!</v>
      </c>
      <c r="R5" s="284" t="e">
        <f>#REF!</f>
        <v>#REF!</v>
      </c>
    </row>
    <row r="6" spans="1:24" ht="18.5">
      <c r="A6" s="272">
        <v>2</v>
      </c>
      <c r="B6" s="273"/>
      <c r="C6" s="274"/>
      <c r="D6" s="275"/>
      <c r="E6" s="275"/>
      <c r="F6" s="275"/>
      <c r="G6" s="275"/>
      <c r="H6" s="275"/>
      <c r="I6" s="274"/>
      <c r="J6" s="281"/>
      <c r="K6" s="281"/>
      <c r="L6" s="281"/>
      <c r="M6" s="406"/>
      <c r="N6" s="406"/>
      <c r="O6" s="282">
        <v>0</v>
      </c>
      <c r="P6" s="276"/>
      <c r="Q6" s="284" t="e">
        <f>#REF!-#REF!-#REF!-#REF!</f>
        <v>#REF!</v>
      </c>
      <c r="R6" s="284" t="e">
        <f>#REF!+R5</f>
        <v>#REF!</v>
      </c>
    </row>
    <row r="7" spans="1:24" ht="18.5">
      <c r="A7" s="272">
        <v>3</v>
      </c>
      <c r="B7" s="273"/>
      <c r="C7" s="274"/>
      <c r="D7" s="275"/>
      <c r="E7" s="275"/>
      <c r="F7" s="275"/>
      <c r="G7" s="275"/>
      <c r="H7" s="275"/>
      <c r="I7" s="274"/>
      <c r="J7" s="281"/>
      <c r="K7" s="281"/>
      <c r="L7" s="281"/>
      <c r="M7" s="406"/>
      <c r="N7" s="406"/>
      <c r="O7" s="282">
        <v>0</v>
      </c>
      <c r="P7" s="276"/>
      <c r="Q7" s="284" t="e">
        <f>#REF!-#REF!-#REF!-#REF!</f>
        <v>#REF!</v>
      </c>
      <c r="R7" s="284" t="e">
        <f>#REF!+R6</f>
        <v>#REF!</v>
      </c>
    </row>
    <row r="8" spans="1:24" ht="18.5">
      <c r="A8" s="272">
        <v>4</v>
      </c>
      <c r="B8" s="273"/>
      <c r="C8" s="274"/>
      <c r="D8" s="275"/>
      <c r="E8" s="275"/>
      <c r="F8" s="275"/>
      <c r="G8" s="275"/>
      <c r="H8" s="275"/>
      <c r="I8" s="274"/>
      <c r="J8" s="281"/>
      <c r="K8" s="281"/>
      <c r="L8" s="281"/>
      <c r="M8" s="406"/>
      <c r="N8" s="406"/>
      <c r="O8" s="282">
        <v>0</v>
      </c>
      <c r="P8" s="276"/>
      <c r="Q8" s="284" t="e">
        <f>#REF!-#REF!-#REF!-#REF!</f>
        <v>#REF!</v>
      </c>
      <c r="R8" s="284" t="e">
        <f>#REF!+R7</f>
        <v>#REF!</v>
      </c>
    </row>
    <row r="9" spans="1:24" ht="18.5">
      <c r="A9" s="272">
        <v>5</v>
      </c>
      <c r="B9" s="273"/>
      <c r="C9" s="274"/>
      <c r="D9" s="274"/>
      <c r="E9" s="275"/>
      <c r="F9" s="275"/>
      <c r="G9" s="275"/>
      <c r="H9" s="275"/>
      <c r="I9" s="275"/>
      <c r="J9" s="281"/>
      <c r="K9" s="281"/>
      <c r="L9" s="281"/>
      <c r="M9" s="406"/>
      <c r="N9" s="406"/>
      <c r="O9" s="282">
        <v>0</v>
      </c>
      <c r="P9" s="276"/>
      <c r="Q9" s="284" t="e">
        <f>#REF!-#REF!-#REF!-#REF!</f>
        <v>#REF!</v>
      </c>
      <c r="R9" s="284" t="e">
        <f>#REF!+R8</f>
        <v>#REF!</v>
      </c>
    </row>
    <row r="10" spans="1:24" ht="18.5">
      <c r="A10" s="272">
        <v>6</v>
      </c>
      <c r="B10" s="273"/>
      <c r="C10" s="274"/>
      <c r="D10" s="274"/>
      <c r="E10" s="275"/>
      <c r="F10" s="275"/>
      <c r="G10" s="275"/>
      <c r="H10" s="275"/>
      <c r="I10" s="275"/>
      <c r="J10" s="281"/>
      <c r="K10" s="281"/>
      <c r="L10" s="281"/>
      <c r="M10" s="406"/>
      <c r="N10" s="406"/>
      <c r="O10" s="282">
        <v>0</v>
      </c>
      <c r="P10" s="276"/>
      <c r="Q10" s="284" t="e">
        <f>#REF!-#REF!-#REF!-#REF!</f>
        <v>#REF!</v>
      </c>
      <c r="R10" s="284" t="e">
        <f>#REF!+R9</f>
        <v>#REF!</v>
      </c>
    </row>
    <row r="11" spans="1:24" ht="18.5">
      <c r="A11" s="272">
        <v>7</v>
      </c>
      <c r="B11" s="273"/>
      <c r="C11" s="274"/>
      <c r="D11" s="274"/>
      <c r="E11" s="275"/>
      <c r="F11" s="275"/>
      <c r="G11" s="275"/>
      <c r="H11" s="275"/>
      <c r="I11" s="275"/>
      <c r="J11" s="281"/>
      <c r="K11" s="281"/>
      <c r="L11" s="281"/>
      <c r="M11" s="407"/>
      <c r="N11" s="407"/>
      <c r="O11" s="281">
        <v>0</v>
      </c>
      <c r="P11" s="276"/>
      <c r="Q11" s="284" t="e">
        <f>#REF!-#REF!-#REF!-#REF!</f>
        <v>#REF!</v>
      </c>
      <c r="R11" s="284" t="e">
        <f>#REF!+R10</f>
        <v>#REF!</v>
      </c>
    </row>
    <row r="12" spans="1:24" ht="18.5">
      <c r="A12" s="272">
        <v>8</v>
      </c>
      <c r="B12" s="273"/>
      <c r="C12" s="274"/>
      <c r="D12" s="274"/>
      <c r="E12" s="275"/>
      <c r="F12" s="275"/>
      <c r="G12" s="275"/>
      <c r="H12" s="275"/>
      <c r="I12" s="275"/>
      <c r="J12" s="281"/>
      <c r="K12" s="281"/>
      <c r="L12" s="281"/>
      <c r="M12" s="406"/>
      <c r="N12" s="406"/>
      <c r="O12" s="282">
        <v>0</v>
      </c>
      <c r="P12" s="276"/>
      <c r="Q12" s="284" t="e">
        <f>#REF!-#REF!-#REF!-#REF!</f>
        <v>#REF!</v>
      </c>
      <c r="R12" s="284" t="e">
        <f>#REF!+R11</f>
        <v>#REF!</v>
      </c>
    </row>
    <row r="13" spans="1:24" ht="18.5">
      <c r="A13" s="272">
        <v>9</v>
      </c>
      <c r="B13" s="273"/>
      <c r="C13" s="274"/>
      <c r="D13" s="274"/>
      <c r="E13" s="275"/>
      <c r="F13" s="275"/>
      <c r="G13" s="275"/>
      <c r="H13" s="275"/>
      <c r="I13" s="275"/>
      <c r="J13" s="281"/>
      <c r="K13" s="281"/>
      <c r="L13" s="281"/>
      <c r="M13" s="406"/>
      <c r="N13" s="406"/>
      <c r="O13" s="282">
        <v>0</v>
      </c>
      <c r="P13" s="276"/>
      <c r="Q13" s="284" t="e">
        <f>#REF!-#REF!-#REF!-#REF!</f>
        <v>#REF!</v>
      </c>
      <c r="R13" s="284" t="e">
        <f>#REF!+R12</f>
        <v>#REF!</v>
      </c>
    </row>
    <row r="14" spans="1:24" ht="18.5">
      <c r="A14" s="272">
        <v>10</v>
      </c>
      <c r="B14" s="273"/>
      <c r="C14" s="274"/>
      <c r="D14" s="274"/>
      <c r="E14" s="275"/>
      <c r="F14" s="275"/>
      <c r="G14" s="275"/>
      <c r="H14" s="275"/>
      <c r="I14" s="275"/>
      <c r="J14" s="281"/>
      <c r="K14" s="281"/>
      <c r="L14" s="281"/>
      <c r="M14" s="406"/>
      <c r="N14" s="406"/>
      <c r="O14" s="282">
        <v>0</v>
      </c>
      <c r="P14" s="276"/>
      <c r="Q14" s="284" t="e">
        <f>#REF!-#REF!-#REF!-#REF!</f>
        <v>#REF!</v>
      </c>
      <c r="R14" s="284" t="e">
        <f>#REF!+R13</f>
        <v>#REF!</v>
      </c>
    </row>
    <row r="15" spans="1:24" ht="18.5">
      <c r="A15" s="272">
        <v>11</v>
      </c>
      <c r="B15" s="273"/>
      <c r="C15" s="274"/>
      <c r="D15" s="274"/>
      <c r="E15" s="275"/>
      <c r="F15" s="275"/>
      <c r="G15" s="275"/>
      <c r="H15" s="275"/>
      <c r="I15" s="274"/>
      <c r="J15" s="281"/>
      <c r="K15" s="281"/>
      <c r="L15" s="281"/>
      <c r="M15" s="406"/>
      <c r="N15" s="406"/>
      <c r="O15" s="282">
        <v>0</v>
      </c>
      <c r="P15" s="276"/>
      <c r="Q15" s="284" t="e">
        <f>#REF!-#REF!-#REF!-#REF!</f>
        <v>#REF!</v>
      </c>
      <c r="R15" s="284" t="e">
        <f>#REF!+R14</f>
        <v>#REF!</v>
      </c>
    </row>
    <row r="16" spans="1:24" ht="18.5">
      <c r="A16" s="272">
        <v>12</v>
      </c>
      <c r="B16" s="273"/>
      <c r="C16" s="274"/>
      <c r="D16" s="274"/>
      <c r="E16" s="275"/>
      <c r="F16" s="275"/>
      <c r="G16" s="275"/>
      <c r="H16" s="275"/>
      <c r="I16" s="274"/>
      <c r="J16" s="281"/>
      <c r="K16" s="281"/>
      <c r="L16" s="281"/>
      <c r="M16" s="406"/>
      <c r="N16" s="406"/>
      <c r="O16" s="282">
        <v>0</v>
      </c>
      <c r="P16" s="276"/>
      <c r="Q16" s="284" t="e">
        <f>#REF!-#REF!-#REF!-#REF!</f>
        <v>#REF!</v>
      </c>
      <c r="R16" s="284" t="e">
        <f>#REF!+R15</f>
        <v>#REF!</v>
      </c>
    </row>
    <row r="17" spans="1:18" ht="18.5">
      <c r="A17" s="272">
        <v>14</v>
      </c>
      <c r="B17" s="273"/>
      <c r="C17" s="274"/>
      <c r="D17" s="274"/>
      <c r="E17" s="275"/>
      <c r="F17" s="275"/>
      <c r="G17" s="275"/>
      <c r="H17" s="275"/>
      <c r="I17" s="275"/>
      <c r="J17" s="281"/>
      <c r="K17" s="281"/>
      <c r="L17" s="281"/>
      <c r="M17" s="406"/>
      <c r="N17" s="406"/>
      <c r="O17" s="282">
        <v>0</v>
      </c>
      <c r="P17" s="276"/>
      <c r="Q17" s="284" t="e">
        <f>#REF!-#REF!-#REF!-#REF!</f>
        <v>#REF!</v>
      </c>
      <c r="R17" s="284" t="e">
        <f>#REF!+R16</f>
        <v>#REF!</v>
      </c>
    </row>
    <row r="18" spans="1:18" ht="18.5">
      <c r="A18" s="272">
        <v>15</v>
      </c>
      <c r="B18" s="273"/>
      <c r="C18" s="274"/>
      <c r="D18" s="274"/>
      <c r="E18" s="275"/>
      <c r="F18" s="275"/>
      <c r="G18" s="263"/>
      <c r="H18" s="275"/>
      <c r="I18" s="274"/>
      <c r="J18" s="281"/>
      <c r="K18" s="281"/>
      <c r="L18" s="281"/>
      <c r="M18" s="406"/>
      <c r="N18" s="406"/>
      <c r="O18" s="282">
        <v>0</v>
      </c>
      <c r="P18" s="276"/>
      <c r="Q18" s="284" t="e">
        <f>#REF!-#REF!-#REF!-#REF!</f>
        <v>#REF!</v>
      </c>
      <c r="R18" s="284" t="e">
        <f>#REF!+R17</f>
        <v>#REF!</v>
      </c>
    </row>
    <row r="19" spans="1:18" ht="18.5">
      <c r="A19" s="272">
        <v>16</v>
      </c>
      <c r="B19" s="273"/>
      <c r="C19" s="274"/>
      <c r="D19" s="274"/>
      <c r="E19" s="275"/>
      <c r="F19" s="275"/>
      <c r="G19" s="275"/>
      <c r="H19" s="275"/>
      <c r="I19" s="275"/>
      <c r="J19" s="281"/>
      <c r="K19" s="281"/>
      <c r="L19" s="281"/>
      <c r="M19" s="406"/>
      <c r="N19" s="406"/>
      <c r="O19" s="282">
        <v>0</v>
      </c>
      <c r="P19" s="276"/>
      <c r="Q19" s="284" t="e">
        <f>#REF!-#REF!-#REF!-#REF!</f>
        <v>#REF!</v>
      </c>
      <c r="R19" s="284" t="e">
        <f>#REF!+R18</f>
        <v>#REF!</v>
      </c>
    </row>
    <row r="20" spans="1:18" ht="18.5">
      <c r="A20" s="272">
        <v>17</v>
      </c>
      <c r="B20" s="273"/>
      <c r="C20" s="274"/>
      <c r="D20" s="274"/>
      <c r="E20" s="275"/>
      <c r="F20" s="275"/>
      <c r="G20" s="275"/>
      <c r="H20" s="275"/>
      <c r="I20" s="274"/>
      <c r="J20" s="281"/>
      <c r="K20" s="281"/>
      <c r="L20" s="281"/>
      <c r="M20" s="406"/>
      <c r="N20" s="406"/>
      <c r="O20" s="282">
        <v>0</v>
      </c>
      <c r="P20" s="320"/>
      <c r="Q20" s="284" t="e">
        <f>#REF!-#REF!-#REF!-#REF!</f>
        <v>#REF!</v>
      </c>
      <c r="R20" s="284" t="e">
        <f>#REF!+R19</f>
        <v>#REF!</v>
      </c>
    </row>
    <row r="21" spans="1:18" ht="18.5">
      <c r="A21" s="272">
        <v>18</v>
      </c>
      <c r="B21" s="273"/>
      <c r="C21" s="274"/>
      <c r="D21" s="274"/>
      <c r="E21" s="275"/>
      <c r="F21" s="275"/>
      <c r="G21" s="275"/>
      <c r="H21" s="275"/>
      <c r="I21" s="275"/>
      <c r="J21" s="281"/>
      <c r="K21" s="281"/>
      <c r="L21" s="281"/>
      <c r="M21" s="406"/>
      <c r="N21" s="406"/>
      <c r="O21" s="282">
        <v>0</v>
      </c>
      <c r="P21" s="276"/>
      <c r="Q21" s="284" t="e">
        <f>#REF!-#REF!-#REF!-#REF!</f>
        <v>#REF!</v>
      </c>
      <c r="R21" s="284" t="e">
        <f>#REF!+R20</f>
        <v>#REF!</v>
      </c>
    </row>
    <row r="22" spans="1:18" ht="18.5">
      <c r="A22" s="272">
        <v>19</v>
      </c>
      <c r="B22" s="273"/>
      <c r="C22" s="274"/>
      <c r="D22" s="274"/>
      <c r="E22" s="275"/>
      <c r="F22" s="275"/>
      <c r="G22" s="275"/>
      <c r="H22" s="275"/>
      <c r="I22" s="274"/>
      <c r="J22" s="281"/>
      <c r="K22" s="281"/>
      <c r="L22" s="281"/>
      <c r="M22" s="406"/>
      <c r="N22" s="406"/>
      <c r="O22" s="282">
        <v>0</v>
      </c>
      <c r="P22" s="276"/>
      <c r="Q22" s="284" t="e">
        <f>#REF!-#REF!-#REF!-#REF!</f>
        <v>#REF!</v>
      </c>
      <c r="R22" s="284" t="e">
        <f>#REF!+R21</f>
        <v>#REF!</v>
      </c>
    </row>
    <row r="23" spans="1:18" ht="18.5">
      <c r="A23" s="272">
        <v>20</v>
      </c>
      <c r="B23" s="273"/>
      <c r="C23" s="274"/>
      <c r="D23" s="274"/>
      <c r="E23" s="275"/>
      <c r="F23" s="275"/>
      <c r="G23" s="275"/>
      <c r="H23" s="275"/>
      <c r="I23" s="274"/>
      <c r="J23" s="281"/>
      <c r="K23" s="281"/>
      <c r="L23" s="281"/>
      <c r="M23" s="406"/>
      <c r="N23" s="406"/>
      <c r="O23" s="282">
        <v>0</v>
      </c>
      <c r="P23" s="276"/>
      <c r="Q23" s="284" t="e">
        <f>#REF!-#REF!-#REF!-#REF!</f>
        <v>#REF!</v>
      </c>
      <c r="R23" s="284" t="e">
        <f>#REF!+R22</f>
        <v>#REF!</v>
      </c>
    </row>
    <row r="24" spans="1:18" ht="18.5">
      <c r="A24" s="272">
        <v>21</v>
      </c>
      <c r="B24" s="273"/>
      <c r="C24" s="274"/>
      <c r="D24" s="274"/>
      <c r="E24" s="275"/>
      <c r="F24" s="275"/>
      <c r="G24" s="275"/>
      <c r="H24" s="275"/>
      <c r="I24" s="274"/>
      <c r="J24" s="281"/>
      <c r="K24" s="281"/>
      <c r="L24" s="281"/>
      <c r="M24" s="406"/>
      <c r="N24" s="406"/>
      <c r="O24" s="282">
        <v>0</v>
      </c>
      <c r="P24" s="276"/>
      <c r="Q24" s="284" t="e">
        <f>#REF!-#REF!-#REF!-#REF!</f>
        <v>#REF!</v>
      </c>
      <c r="R24" s="284" t="e">
        <f>#REF!+R23</f>
        <v>#REF!</v>
      </c>
    </row>
    <row r="25" spans="1:18" ht="18.5">
      <c r="A25" s="272">
        <v>22</v>
      </c>
      <c r="B25" s="273"/>
      <c r="C25" s="274"/>
      <c r="D25" s="274"/>
      <c r="E25" s="275"/>
      <c r="F25" s="275"/>
      <c r="G25" s="275"/>
      <c r="H25" s="275"/>
      <c r="I25" s="274"/>
      <c r="J25" s="281"/>
      <c r="K25" s="281"/>
      <c r="L25" s="281"/>
      <c r="M25" s="406"/>
      <c r="N25" s="406"/>
      <c r="O25" s="282">
        <v>0</v>
      </c>
      <c r="P25" s="276"/>
      <c r="Q25" s="284" t="e">
        <f>#REF!-#REF!-#REF!-#REF!</f>
        <v>#REF!</v>
      </c>
      <c r="R25" s="284" t="e">
        <f>#REF!+R24</f>
        <v>#REF!</v>
      </c>
    </row>
    <row r="26" spans="1:18" ht="18.5">
      <c r="A26" s="272">
        <v>23</v>
      </c>
      <c r="B26" s="273"/>
      <c r="C26" s="274"/>
      <c r="D26" s="274"/>
      <c r="E26" s="275"/>
      <c r="F26" s="275"/>
      <c r="G26" s="275"/>
      <c r="H26" s="275"/>
      <c r="I26" s="274"/>
      <c r="J26" s="281"/>
      <c r="K26" s="281"/>
      <c r="L26" s="281"/>
      <c r="M26" s="406"/>
      <c r="N26" s="406"/>
      <c r="O26" s="282">
        <v>0</v>
      </c>
      <c r="P26" s="276"/>
      <c r="Q26" s="284" t="e">
        <f>#REF!-#REF!-#REF!-#REF!</f>
        <v>#REF!</v>
      </c>
      <c r="R26" s="284" t="e">
        <f>#REF!+R25</f>
        <v>#REF!</v>
      </c>
    </row>
    <row r="27" spans="1:18" ht="18.5">
      <c r="A27" s="272">
        <v>24</v>
      </c>
      <c r="B27" s="273"/>
      <c r="C27" s="274"/>
      <c r="D27" s="274"/>
      <c r="E27" s="275"/>
      <c r="F27" s="275"/>
      <c r="G27" s="262"/>
      <c r="H27" s="275"/>
      <c r="I27" s="274"/>
      <c r="J27" s="281"/>
      <c r="K27" s="281"/>
      <c r="L27" s="281"/>
      <c r="M27" s="406"/>
      <c r="N27" s="406"/>
      <c r="O27" s="282">
        <v>0</v>
      </c>
      <c r="P27" s="276"/>
      <c r="Q27" s="284" t="e">
        <f>#REF!-#REF!-#REF!-#REF!</f>
        <v>#REF!</v>
      </c>
      <c r="R27" s="284" t="e">
        <f>#REF!+R26</f>
        <v>#REF!</v>
      </c>
    </row>
    <row r="28" spans="1:18" ht="18.5">
      <c r="A28" s="272">
        <v>25</v>
      </c>
      <c r="B28" s="277"/>
      <c r="C28" s="274"/>
      <c r="D28" s="278"/>
      <c r="E28" s="279"/>
      <c r="F28" s="279"/>
      <c r="G28" s="279"/>
      <c r="H28" s="279"/>
      <c r="I28" s="278"/>
      <c r="J28" s="283"/>
      <c r="K28" s="283"/>
      <c r="L28" s="283"/>
      <c r="M28" s="408"/>
      <c r="N28" s="408"/>
      <c r="O28" s="282">
        <v>0</v>
      </c>
      <c r="P28" s="280"/>
      <c r="Q28" s="284" t="e">
        <f>#REF!-#REF!-#REF!-#REF!</f>
        <v>#REF!</v>
      </c>
      <c r="R28" s="284" t="e">
        <f>#REF!+R27</f>
        <v>#REF!</v>
      </c>
    </row>
    <row r="29" spans="1:18" ht="18.5">
      <c r="A29" s="272">
        <v>26</v>
      </c>
      <c r="B29" s="277"/>
      <c r="C29" s="274"/>
      <c r="D29" s="278"/>
      <c r="E29" s="279"/>
      <c r="F29" s="4"/>
      <c r="G29" s="4"/>
      <c r="H29" s="279"/>
      <c r="I29" s="278"/>
      <c r="J29" s="283"/>
      <c r="K29" s="322"/>
      <c r="L29" s="283"/>
      <c r="M29" s="408"/>
      <c r="N29" s="408"/>
      <c r="O29" s="323">
        <v>0</v>
      </c>
      <c r="P29" s="324"/>
      <c r="Q29" s="284" t="e">
        <f>#REF!-#REF!-#REF!-#REF!</f>
        <v>#REF!</v>
      </c>
      <c r="R29" s="284" t="e">
        <f>#REF!+R28</f>
        <v>#REF!</v>
      </c>
    </row>
    <row r="30" spans="1:18" ht="18.5">
      <c r="A30" s="272">
        <v>27</v>
      </c>
      <c r="B30" s="273"/>
      <c r="C30" s="274"/>
      <c r="D30" s="274"/>
      <c r="E30" s="275"/>
      <c r="F30" s="275"/>
      <c r="G30" s="275"/>
      <c r="H30" s="279"/>
      <c r="I30" s="274"/>
      <c r="J30" s="281"/>
      <c r="K30" s="322"/>
      <c r="L30" s="281"/>
      <c r="M30" s="406"/>
      <c r="N30" s="406"/>
      <c r="O30" s="282">
        <v>0</v>
      </c>
      <c r="P30" s="320"/>
      <c r="Q30" s="284" t="e">
        <f>#REF!-#REF!-#REF!-#REF!</f>
        <v>#REF!</v>
      </c>
      <c r="R30" s="284" t="e">
        <f>#REF!+R29</f>
        <v>#REF!</v>
      </c>
    </row>
    <row r="31" spans="1:18" ht="18.5">
      <c r="A31" s="272">
        <v>28</v>
      </c>
      <c r="B31" s="277"/>
      <c r="C31" s="274"/>
      <c r="D31" s="278"/>
      <c r="E31" s="279"/>
      <c r="F31" s="4"/>
      <c r="G31" s="279"/>
      <c r="H31" s="279"/>
      <c r="I31" s="278"/>
      <c r="J31" s="283"/>
      <c r="K31" s="322"/>
      <c r="L31" s="283"/>
      <c r="M31" s="408"/>
      <c r="N31" s="408"/>
      <c r="O31" s="323">
        <v>0</v>
      </c>
      <c r="P31" s="324"/>
      <c r="Q31" s="284" t="e">
        <f>#REF!-#REF!-#REF!-#REF!</f>
        <v>#REF!</v>
      </c>
      <c r="R31" s="284" t="e">
        <f>#REF!+R30</f>
        <v>#REF!</v>
      </c>
    </row>
    <row r="32" spans="1:18" ht="18.5">
      <c r="A32" s="272">
        <v>29</v>
      </c>
      <c r="B32" s="273"/>
      <c r="C32" s="274"/>
      <c r="D32" s="278"/>
      <c r="E32" s="275"/>
      <c r="F32" s="275"/>
      <c r="G32" s="275"/>
      <c r="H32" s="279"/>
      <c r="I32" s="274"/>
      <c r="J32" s="283"/>
      <c r="K32" s="322"/>
      <c r="L32" s="283"/>
      <c r="M32" s="408"/>
      <c r="N32" s="408"/>
      <c r="O32" s="323">
        <v>0</v>
      </c>
      <c r="P32" s="320"/>
      <c r="Q32" s="284" t="e">
        <f>#REF!-#REF!-#REF!-#REF!</f>
        <v>#REF!</v>
      </c>
      <c r="R32" s="338" t="e">
        <f>#REF!+R31</f>
        <v>#REF!</v>
      </c>
    </row>
    <row r="33" spans="1:18" ht="18.5">
      <c r="A33" s="272">
        <v>30</v>
      </c>
      <c r="B33" s="277"/>
      <c r="C33" s="278"/>
      <c r="D33" s="278"/>
      <c r="E33" s="279"/>
      <c r="F33" s="279"/>
      <c r="G33" s="279"/>
      <c r="H33" s="279"/>
      <c r="I33" s="274"/>
      <c r="J33" s="283"/>
      <c r="K33" s="322"/>
      <c r="L33" s="283"/>
      <c r="M33" s="408"/>
      <c r="N33" s="408"/>
      <c r="O33" s="323">
        <v>0</v>
      </c>
      <c r="P33" s="324"/>
      <c r="Q33" s="284" t="e">
        <f>#REF!-#REF!-#REF!-#REF!</f>
        <v>#REF!</v>
      </c>
      <c r="R33" s="338" t="e">
        <f>#REF!+R32</f>
        <v>#REF!</v>
      </c>
    </row>
    <row r="34" spans="1:18" ht="18.5">
      <c r="A34" s="272">
        <v>31</v>
      </c>
      <c r="B34" s="273"/>
      <c r="C34" s="278"/>
      <c r="D34" s="278"/>
      <c r="E34" s="275"/>
      <c r="F34" s="275"/>
      <c r="G34" s="275"/>
      <c r="H34" s="279"/>
      <c r="I34" s="274"/>
      <c r="J34" s="281"/>
      <c r="K34" s="322"/>
      <c r="L34" s="281"/>
      <c r="M34" s="408"/>
      <c r="N34" s="408"/>
      <c r="O34" s="282">
        <v>0</v>
      </c>
      <c r="P34" s="320"/>
      <c r="Q34" s="284" t="e">
        <f>#REF!-#REF!-#REF!-#REF!</f>
        <v>#REF!</v>
      </c>
      <c r="R34" s="338" t="e">
        <f>#REF!+R33</f>
        <v>#REF!</v>
      </c>
    </row>
    <row r="35" spans="1:18" ht="18.5">
      <c r="A35" s="272">
        <v>32</v>
      </c>
      <c r="B35" s="277"/>
      <c r="C35" s="278"/>
      <c r="D35" s="278"/>
      <c r="E35" s="279"/>
      <c r="F35" s="279"/>
      <c r="G35" s="279"/>
      <c r="H35" s="279"/>
      <c r="I35" s="274"/>
      <c r="J35" s="283"/>
      <c r="K35" s="322"/>
      <c r="L35" s="283"/>
      <c r="M35" s="408"/>
      <c r="N35" s="408"/>
      <c r="O35" s="323">
        <v>0</v>
      </c>
      <c r="P35" s="324"/>
      <c r="Q35" s="284" t="e">
        <f>#REF!-#REF!-#REF!-#REF!</f>
        <v>#REF!</v>
      </c>
      <c r="R35" s="338" t="e">
        <f>#REF!+R34</f>
        <v>#REF!</v>
      </c>
    </row>
    <row r="36" spans="1:18" ht="18.5">
      <c r="A36" s="272">
        <v>33</v>
      </c>
      <c r="B36" s="277"/>
      <c r="C36" s="278"/>
      <c r="D36" s="278"/>
      <c r="E36" s="279"/>
      <c r="F36" s="279"/>
      <c r="G36" s="279"/>
      <c r="H36" s="279"/>
      <c r="I36" s="274"/>
      <c r="J36" s="283"/>
      <c r="K36" s="322"/>
      <c r="L36" s="283"/>
      <c r="M36" s="408"/>
      <c r="N36" s="408"/>
      <c r="O36" s="323">
        <v>0</v>
      </c>
      <c r="P36" s="324"/>
      <c r="Q36" s="284" t="e">
        <f>#REF!-#REF!-#REF!-#REF!</f>
        <v>#REF!</v>
      </c>
      <c r="R36" s="338" t="e">
        <f>#REF!+R35</f>
        <v>#REF!</v>
      </c>
    </row>
    <row r="37" spans="1:18" ht="18.5">
      <c r="A37" s="272">
        <v>34</v>
      </c>
      <c r="B37" s="277"/>
      <c r="C37" s="278"/>
      <c r="D37" s="278"/>
      <c r="E37" s="279"/>
      <c r="F37" s="279"/>
      <c r="G37" s="279"/>
      <c r="H37" s="279"/>
      <c r="I37" s="274"/>
      <c r="J37" s="283"/>
      <c r="K37" s="322"/>
      <c r="L37" s="283"/>
      <c r="M37" s="408"/>
      <c r="N37" s="408"/>
      <c r="O37" s="323">
        <v>0</v>
      </c>
      <c r="P37" s="324"/>
      <c r="Q37" s="284" t="e">
        <f>#REF!-#REF!-#REF!-#REF!</f>
        <v>#REF!</v>
      </c>
      <c r="R37" s="338" t="e">
        <f>#REF!+R36</f>
        <v>#REF!</v>
      </c>
    </row>
    <row r="38" spans="1:18" ht="18.5">
      <c r="A38" s="272">
        <v>35</v>
      </c>
      <c r="B38" s="273"/>
      <c r="C38" s="278"/>
      <c r="D38" s="274"/>
      <c r="E38" s="275"/>
      <c r="F38" s="275"/>
      <c r="G38" s="275"/>
      <c r="H38" s="279"/>
      <c r="I38" s="274"/>
      <c r="J38" s="283"/>
      <c r="K38" s="322"/>
      <c r="L38" s="283"/>
      <c r="M38" s="408"/>
      <c r="N38" s="408"/>
      <c r="O38" s="323">
        <v>0</v>
      </c>
      <c r="P38" s="320"/>
      <c r="Q38" s="284" t="e">
        <f>#REF!-#REF!-#REF!-#REF!</f>
        <v>#REF!</v>
      </c>
      <c r="R38" s="338" t="e">
        <f>#REF!+R37</f>
        <v>#REF!</v>
      </c>
    </row>
    <row r="39" spans="1:18" ht="18.5">
      <c r="A39" s="272">
        <v>36</v>
      </c>
      <c r="B39" s="273"/>
      <c r="C39" s="278"/>
      <c r="D39" s="278"/>
      <c r="E39" s="275"/>
      <c r="F39" s="275"/>
      <c r="G39" s="275"/>
      <c r="H39" s="279"/>
      <c r="I39" s="278"/>
      <c r="J39" s="283"/>
      <c r="K39" s="322"/>
      <c r="L39" s="283"/>
      <c r="M39" s="408"/>
      <c r="N39" s="408"/>
      <c r="O39" s="323">
        <v>0</v>
      </c>
      <c r="P39" s="320"/>
      <c r="Q39" s="284" t="e">
        <f>#REF!-#REF!-#REF!-#REF!</f>
        <v>#REF!</v>
      </c>
      <c r="R39" s="338" t="e">
        <f>#REF!+R38</f>
        <v>#REF!</v>
      </c>
    </row>
    <row r="40" spans="1:18" ht="18.5">
      <c r="A40" s="272">
        <v>37</v>
      </c>
      <c r="B40" s="277"/>
      <c r="C40" s="278"/>
      <c r="D40" s="278"/>
      <c r="E40" s="279"/>
      <c r="F40" s="279"/>
      <c r="G40" s="279"/>
      <c r="H40" s="279"/>
      <c r="I40" s="278"/>
      <c r="J40" s="283"/>
      <c r="K40" s="322"/>
      <c r="L40" s="283"/>
      <c r="M40" s="408"/>
      <c r="N40" s="408"/>
      <c r="O40" s="323">
        <v>0</v>
      </c>
      <c r="P40" s="324"/>
      <c r="Q40" s="284" t="e">
        <f>#REF!-#REF!-#REF!-#REF!</f>
        <v>#REF!</v>
      </c>
      <c r="R40" s="338" t="e">
        <f>#REF!+R39</f>
        <v>#REF!</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ورقة25"/>
  <dimension ref="B3:N13"/>
  <sheetViews>
    <sheetView rightToLeft="1" workbookViewId="0"/>
  </sheetViews>
  <sheetFormatPr defaultRowHeight="15.5"/>
  <sheetData>
    <row r="3" spans="2:14" ht="20">
      <c r="B3" s="776" t="s">
        <v>817</v>
      </c>
      <c r="C3" s="776"/>
      <c r="D3" s="776"/>
      <c r="E3" s="776"/>
      <c r="F3" s="423" t="s">
        <v>272</v>
      </c>
      <c r="G3" s="777" t="e">
        <f>D5-H5</f>
        <v>#REF!</v>
      </c>
      <c r="H3" s="777"/>
      <c r="L3" s="137" t="s">
        <v>166</v>
      </c>
      <c r="M3" s="143" t="s">
        <v>140</v>
      </c>
      <c r="N3" s="138" t="e">
        <f>SUMIFS(#REF!,#REF!,102,#REF!,التدفقات!F3,#REF!,M3)</f>
        <v>#REF!</v>
      </c>
    </row>
    <row r="4" spans="2:14" ht="20">
      <c r="L4" s="144" t="s">
        <v>159</v>
      </c>
      <c r="M4" s="145" t="e">
        <f>N3*20%</f>
        <v>#REF!</v>
      </c>
      <c r="N4" s="146" t="s">
        <v>162</v>
      </c>
    </row>
    <row r="5" spans="2:14" ht="20">
      <c r="B5" s="776" t="s">
        <v>816</v>
      </c>
      <c r="C5" s="776"/>
      <c r="D5" s="192" t="e">
        <f>SUM(D7:D18)</f>
        <v>#REF!</v>
      </c>
      <c r="F5" s="776" t="s">
        <v>172</v>
      </c>
      <c r="G5" s="776"/>
      <c r="H5" s="192" t="e">
        <f>SUM(H7:H17)</f>
        <v>#REF!</v>
      </c>
      <c r="L5" s="26"/>
      <c r="M5" s="26"/>
      <c r="N5" s="26"/>
    </row>
    <row r="6" spans="2:14" ht="20">
      <c r="B6" t="s">
        <v>168</v>
      </c>
      <c r="C6" t="s">
        <v>51</v>
      </c>
      <c r="D6" t="s">
        <v>42</v>
      </c>
      <c r="F6" t="s">
        <v>168</v>
      </c>
      <c r="G6" t="s">
        <v>51</v>
      </c>
      <c r="H6" s="192" t="s">
        <v>42</v>
      </c>
      <c r="L6" s="750" t="s">
        <v>160</v>
      </c>
      <c r="M6" s="751"/>
      <c r="N6" s="168"/>
    </row>
    <row r="7" spans="2:14" ht="20">
      <c r="B7">
        <v>1</v>
      </c>
      <c r="C7" t="s">
        <v>418</v>
      </c>
      <c r="D7" s="192">
        <v>0</v>
      </c>
      <c r="F7">
        <v>1</v>
      </c>
      <c r="G7" t="s">
        <v>818</v>
      </c>
      <c r="H7" s="192">
        <v>0</v>
      </c>
      <c r="L7" s="137" t="s">
        <v>167</v>
      </c>
      <c r="M7" s="138" t="e">
        <f>M8+M9+M12+O7</f>
        <v>#REF!</v>
      </c>
      <c r="N7" s="26"/>
    </row>
    <row r="8" spans="2:14" ht="20">
      <c r="B8">
        <v>2</v>
      </c>
      <c r="C8" t="s">
        <v>821</v>
      </c>
      <c r="D8" s="192" t="e">
        <f>(SUMIFS(#REF!,#REF!,التدفقات!F3))/1.15</f>
        <v>#REF!</v>
      </c>
      <c r="F8">
        <v>2</v>
      </c>
      <c r="G8" t="s">
        <v>819</v>
      </c>
      <c r="H8" s="192" t="e">
        <f>SUMIFS(#REF!,#REF!,التدفقات!F3,#REF!,1)</f>
        <v>#REF!</v>
      </c>
      <c r="L8" s="139" t="s">
        <v>138</v>
      </c>
      <c r="M8" s="140" t="e">
        <f>SUMIFS(#REF!,#REF!,102,#REF!,التدفقات!F3,#REF!,L8)</f>
        <v>#REF!</v>
      </c>
      <c r="N8" s="26"/>
    </row>
    <row r="9" spans="2:14" ht="20">
      <c r="B9">
        <v>3</v>
      </c>
      <c r="C9" t="s">
        <v>260</v>
      </c>
      <c r="D9" s="192">
        <v>0</v>
      </c>
      <c r="F9">
        <v>3</v>
      </c>
      <c r="G9" t="s">
        <v>820</v>
      </c>
      <c r="H9" s="192" t="e">
        <f>((((SUMIFS(#REF!,#REF!,التدفقات!F3,#REF!,102)))-M7)*20%)</f>
        <v>#REF!</v>
      </c>
      <c r="L9" s="139" t="s">
        <v>150</v>
      </c>
      <c r="M9" s="140" t="e">
        <f>SUMIFS(#REF!,#REF!,102,#REF!,التدفقات!F3,#REF!,L9)</f>
        <v>#REF!</v>
      </c>
      <c r="N9" s="26"/>
    </row>
    <row r="10" spans="2:14" ht="20">
      <c r="B10">
        <v>4</v>
      </c>
      <c r="C10" t="s">
        <v>822</v>
      </c>
      <c r="D10">
        <v>0</v>
      </c>
      <c r="F10">
        <v>4</v>
      </c>
      <c r="G10" t="s">
        <v>824</v>
      </c>
      <c r="H10" s="192">
        <v>0</v>
      </c>
      <c r="L10" s="175"/>
      <c r="M10" s="176"/>
      <c r="N10" s="26"/>
    </row>
    <row r="11" spans="2:14" ht="20">
      <c r="B11">
        <v>5</v>
      </c>
      <c r="C11" t="s">
        <v>823</v>
      </c>
      <c r="D11">
        <v>0</v>
      </c>
      <c r="F11">
        <v>5</v>
      </c>
      <c r="G11" t="s">
        <v>825</v>
      </c>
      <c r="H11" s="192">
        <v>0</v>
      </c>
      <c r="L11" s="175"/>
      <c r="M11" s="176"/>
      <c r="N11" s="26"/>
    </row>
    <row r="12" spans="2:14" ht="20">
      <c r="F12">
        <v>6</v>
      </c>
      <c r="G12" t="s">
        <v>826</v>
      </c>
      <c r="H12" s="192">
        <v>0</v>
      </c>
      <c r="L12" s="141" t="s">
        <v>149</v>
      </c>
      <c r="M12" s="142" t="e">
        <f>SUMIFS(#REF!,#REF!,102,#REF!,التدفقات!F3,#REF!,L12)</f>
        <v>#REF!</v>
      </c>
      <c r="N12" s="26"/>
    </row>
    <row r="13" spans="2:14">
      <c r="F13">
        <v>7</v>
      </c>
      <c r="G13" t="s">
        <v>827</v>
      </c>
      <c r="H13" s="192">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ورقة26"/>
  <dimension ref="A2:I24"/>
  <sheetViews>
    <sheetView rightToLeft="1" workbookViewId="0"/>
  </sheetViews>
  <sheetFormatPr defaultRowHeight="15.5"/>
  <sheetData>
    <row r="2" spans="1:9" ht="25">
      <c r="A2" s="255"/>
      <c r="B2" s="780" t="s">
        <v>799</v>
      </c>
      <c r="C2" s="780"/>
      <c r="D2" s="780"/>
      <c r="E2" s="780"/>
      <c r="F2" s="780"/>
      <c r="G2" s="780"/>
      <c r="H2" s="780"/>
      <c r="I2" s="254"/>
    </row>
    <row r="3" spans="1:9" ht="18">
      <c r="A3" s="255"/>
      <c r="B3" s="781" t="s">
        <v>180</v>
      </c>
      <c r="C3" s="782"/>
      <c r="D3" s="782"/>
      <c r="E3" s="782">
        <v>15</v>
      </c>
      <c r="F3" s="782"/>
      <c r="H3" s="783"/>
      <c r="I3" s="254"/>
    </row>
    <row r="4" spans="1:9">
      <c r="A4" s="255"/>
      <c r="G4" s="412"/>
      <c r="H4" s="784"/>
      <c r="I4" s="254"/>
    </row>
    <row r="5" spans="1:9" ht="18">
      <c r="A5" s="255"/>
      <c r="B5" s="785" t="s">
        <v>800</v>
      </c>
      <c r="C5" s="786"/>
      <c r="D5" s="786"/>
      <c r="E5" s="787">
        <v>160000</v>
      </c>
      <c r="F5" s="787"/>
      <c r="G5" s="787"/>
      <c r="H5" s="784"/>
      <c r="I5" s="254"/>
    </row>
    <row r="6" spans="1:9" ht="20">
      <c r="A6" s="255"/>
      <c r="B6" s="785" t="s">
        <v>813</v>
      </c>
      <c r="C6" s="786"/>
      <c r="D6" s="418">
        <v>0.05</v>
      </c>
      <c r="E6" s="787">
        <f>D12*D6</f>
        <v>22500</v>
      </c>
      <c r="F6" s="787"/>
      <c r="G6" s="787"/>
      <c r="H6" s="784"/>
      <c r="I6" s="254"/>
    </row>
    <row r="7" spans="1:9">
      <c r="A7" s="255"/>
      <c r="E7" s="413"/>
      <c r="F7" s="413"/>
      <c r="H7" s="414"/>
      <c r="I7" s="254"/>
    </row>
    <row r="8" spans="1:9">
      <c r="A8" s="255"/>
      <c r="F8" s="778" t="s">
        <v>801</v>
      </c>
      <c r="G8" s="778"/>
      <c r="H8" s="778"/>
      <c r="I8" s="254"/>
    </row>
    <row r="9" spans="1:9" ht="18">
      <c r="A9" s="255"/>
      <c r="B9" s="779" t="s">
        <v>802</v>
      </c>
      <c r="C9" s="778"/>
      <c r="D9" s="778"/>
      <c r="F9" s="778" t="s">
        <v>803</v>
      </c>
      <c r="G9" s="778"/>
      <c r="H9" s="415">
        <v>0.2</v>
      </c>
      <c r="I9" s="254"/>
    </row>
    <row r="10" spans="1:9">
      <c r="A10" s="255"/>
      <c r="C10" s="1" t="s">
        <v>804</v>
      </c>
      <c r="D10" s="1" t="s">
        <v>805</v>
      </c>
      <c r="G10" s="1" t="s">
        <v>804</v>
      </c>
      <c r="H10" s="1" t="s">
        <v>805</v>
      </c>
      <c r="I10" s="254"/>
    </row>
    <row r="11" spans="1:9">
      <c r="A11" s="255"/>
      <c r="B11" s="1" t="s">
        <v>806</v>
      </c>
      <c r="C11" s="413">
        <v>2500</v>
      </c>
      <c r="D11" s="413">
        <f>C11*E3</f>
        <v>37500</v>
      </c>
      <c r="F11" s="1" t="s">
        <v>806</v>
      </c>
      <c r="G11" s="413">
        <f>C16*H9</f>
        <v>297.22222222222229</v>
      </c>
      <c r="H11" s="413">
        <f>D16*H9</f>
        <v>4458.3333333333348</v>
      </c>
      <c r="I11" s="254"/>
    </row>
    <row r="12" spans="1:9">
      <c r="A12" s="255"/>
      <c r="B12" s="1" t="s">
        <v>807</v>
      </c>
      <c r="C12" s="413">
        <f>C11*12</f>
        <v>30000</v>
      </c>
      <c r="D12" s="413">
        <f>C12*E3</f>
        <v>450000</v>
      </c>
      <c r="F12" s="1" t="s">
        <v>807</v>
      </c>
      <c r="G12" s="413">
        <f>C17*H9</f>
        <v>3566.6666666666674</v>
      </c>
      <c r="H12" s="413">
        <f>D17*H9</f>
        <v>53500.000000000015</v>
      </c>
      <c r="I12" s="254"/>
    </row>
    <row r="13" spans="1:9">
      <c r="A13" s="255"/>
      <c r="I13" s="254"/>
    </row>
    <row r="14" spans="1:9" ht="18">
      <c r="A14" s="255"/>
      <c r="B14" s="779" t="s">
        <v>808</v>
      </c>
      <c r="C14" s="778"/>
      <c r="D14" s="778"/>
      <c r="F14" s="778" t="s">
        <v>809</v>
      </c>
      <c r="G14" s="778"/>
      <c r="H14" s="416">
        <f>100%-H9</f>
        <v>0.8</v>
      </c>
      <c r="I14" s="254"/>
    </row>
    <row r="15" spans="1:9">
      <c r="A15" s="255"/>
      <c r="C15" s="1" t="s">
        <v>804</v>
      </c>
      <c r="D15" s="1" t="s">
        <v>805</v>
      </c>
      <c r="G15" s="1" t="s">
        <v>804</v>
      </c>
      <c r="H15" s="1" t="s">
        <v>805</v>
      </c>
      <c r="I15" s="254"/>
    </row>
    <row r="16" spans="1:9">
      <c r="A16" s="255"/>
      <c r="B16" s="1" t="s">
        <v>806</v>
      </c>
      <c r="C16" s="413">
        <f>C11-(E6/E3/12)-((E5/E3)/12)</f>
        <v>1486.1111111111113</v>
      </c>
      <c r="D16" s="413">
        <f>C16*E3</f>
        <v>22291.666666666672</v>
      </c>
      <c r="F16" s="1" t="s">
        <v>806</v>
      </c>
      <c r="G16" s="413">
        <f>C16*H14</f>
        <v>1188.8888888888891</v>
      </c>
      <c r="H16" s="413">
        <f>D16*H14</f>
        <v>17833.333333333339</v>
      </c>
      <c r="I16" s="254"/>
    </row>
    <row r="17" spans="1:9">
      <c r="A17" s="255"/>
      <c r="B17" s="1" t="s">
        <v>807</v>
      </c>
      <c r="C17" s="413">
        <f>C12-(E6/E3)-(E5/E3)</f>
        <v>17833.333333333336</v>
      </c>
      <c r="D17" s="413">
        <f>C17*E3</f>
        <v>267500.00000000006</v>
      </c>
      <c r="F17" s="1" t="s">
        <v>807</v>
      </c>
      <c r="G17" s="413">
        <f>C17*H14</f>
        <v>14266.66666666667</v>
      </c>
      <c r="H17" s="413">
        <f>D17*H14</f>
        <v>214000.00000000006</v>
      </c>
      <c r="I17" s="254"/>
    </row>
    <row r="18" spans="1:9">
      <c r="A18" s="255"/>
      <c r="I18" s="254"/>
    </row>
    <row r="19" spans="1:9">
      <c r="B19" s="252"/>
      <c r="C19" s="252"/>
      <c r="D19" s="252"/>
      <c r="E19" s="252"/>
      <c r="F19" s="252"/>
      <c r="G19" s="252"/>
      <c r="H19" s="252"/>
    </row>
    <row r="22" spans="1:9">
      <c r="B22" s="737" t="s">
        <v>810</v>
      </c>
      <c r="C22" s="737"/>
      <c r="D22" s="1">
        <v>1</v>
      </c>
      <c r="E22" s="1">
        <v>2</v>
      </c>
      <c r="F22" s="1">
        <v>3</v>
      </c>
      <c r="G22" s="1">
        <v>4</v>
      </c>
    </row>
    <row r="23" spans="1:9">
      <c r="B23" s="737" t="s">
        <v>811</v>
      </c>
      <c r="C23" s="737"/>
      <c r="D23" s="417">
        <f>C16-G11-G16</f>
        <v>0</v>
      </c>
      <c r="E23" s="417">
        <f>D16-H11-H16</f>
        <v>0</v>
      </c>
      <c r="F23" s="417">
        <f>C17-G12-G17</f>
        <v>0</v>
      </c>
      <c r="G23" s="417">
        <f>D17-H17-H12</f>
        <v>0</v>
      </c>
    </row>
    <row r="24" spans="1:9">
      <c r="B24" s="737" t="s">
        <v>812</v>
      </c>
      <c r="C24" s="737"/>
      <c r="D24" s="417">
        <f>C11-C16-(E6/E3/12)-(E5/E3/12)</f>
        <v>0</v>
      </c>
      <c r="E24" s="417">
        <f>D11-D16-(E6/12)-(E5/12)</f>
        <v>0</v>
      </c>
      <c r="F24" s="417">
        <f>C12-C17-(E6/E3)-E5/E3</f>
        <v>0</v>
      </c>
      <c r="G24" s="417">
        <f>D12-D17-E6-E5</f>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ورقة27"/>
  <dimension ref="B1:AQ546"/>
  <sheetViews>
    <sheetView rightToLeft="1" workbookViewId="0"/>
  </sheetViews>
  <sheetFormatPr defaultRowHeight="15.5"/>
  <sheetData>
    <row r="1" spans="2:43">
      <c r="Z1" s="178"/>
      <c r="AD1" s="178"/>
      <c r="AG1" s="178"/>
    </row>
    <row r="2" spans="2:43">
      <c r="B2" s="460" t="s">
        <v>50</v>
      </c>
      <c r="C2" s="424" t="s">
        <v>596</v>
      </c>
      <c r="D2" s="424" t="s">
        <v>814</v>
      </c>
      <c r="E2" s="424" t="s">
        <v>47</v>
      </c>
      <c r="F2" s="424" t="s">
        <v>631</v>
      </c>
      <c r="G2" s="424" t="s">
        <v>815</v>
      </c>
      <c r="H2" s="425" t="s">
        <v>627</v>
      </c>
      <c r="I2" s="425" t="s">
        <v>628</v>
      </c>
      <c r="J2" s="425" t="s">
        <v>629</v>
      </c>
      <c r="K2" s="425" t="s">
        <v>630</v>
      </c>
      <c r="L2" s="425" t="s">
        <v>632</v>
      </c>
      <c r="M2" s="435" t="s">
        <v>633</v>
      </c>
      <c r="N2" s="435" t="s">
        <v>634</v>
      </c>
      <c r="O2" s="425" t="s">
        <v>4</v>
      </c>
      <c r="P2" s="425" t="s">
        <v>842</v>
      </c>
      <c r="Q2" s="425" t="s">
        <v>833</v>
      </c>
      <c r="R2" s="425" t="s">
        <v>840</v>
      </c>
      <c r="S2" s="425" t="s">
        <v>860</v>
      </c>
      <c r="T2" s="425" t="s">
        <v>841</v>
      </c>
      <c r="U2" s="425" t="s">
        <v>168</v>
      </c>
      <c r="V2" s="376"/>
      <c r="AB2" s="376"/>
      <c r="AD2" s="178"/>
      <c r="AE2" s="376"/>
      <c r="AG2" s="178"/>
      <c r="AH2" s="376"/>
      <c r="AI2" s="376"/>
      <c r="AJ2" s="376"/>
      <c r="AK2" s="376"/>
      <c r="AL2" s="376"/>
      <c r="AM2" s="376"/>
      <c r="AN2" s="376"/>
      <c r="AO2" s="376"/>
      <c r="AP2" s="376"/>
      <c r="AQ2" s="376"/>
    </row>
    <row r="3" spans="2:43">
      <c r="B3" s="378">
        <v>1</v>
      </c>
      <c r="C3" s="438"/>
      <c r="D3" s="378"/>
      <c r="E3" s="438"/>
      <c r="F3" s="378"/>
      <c r="G3" s="378"/>
      <c r="H3" s="378"/>
      <c r="I3" s="378"/>
      <c r="J3" s="378"/>
      <c r="K3" s="378"/>
      <c r="L3" s="378"/>
      <c r="M3" s="436"/>
      <c r="N3" s="436"/>
      <c r="O3" s="378"/>
      <c r="P3" s="378"/>
      <c r="Q3" s="378"/>
      <c r="R3" s="378"/>
      <c r="S3" s="378"/>
      <c r="T3" s="378"/>
      <c r="U3" s="378">
        <v>1</v>
      </c>
      <c r="V3" s="376"/>
      <c r="AB3" s="376"/>
      <c r="AK3" s="376"/>
      <c r="AL3" s="376"/>
      <c r="AM3" s="376"/>
      <c r="AN3" s="376"/>
      <c r="AO3" s="376"/>
      <c r="AP3" s="376"/>
      <c r="AQ3" s="376"/>
    </row>
    <row r="4" spans="2:43">
      <c r="B4" s="378">
        <v>2</v>
      </c>
      <c r="C4" s="378"/>
      <c r="D4" s="378"/>
      <c r="E4" s="378"/>
      <c r="F4" s="378"/>
      <c r="G4" s="378"/>
      <c r="H4" s="378" t="str">
        <f t="array" aca="1" ref="H4" ca="1">_xlfn.TEXTJOIN("", TRUE, IF(ISNUMBER(--MID(C4, ROW(INDIRECT("1:"&amp;LEN(C4))), 1)), MID(C4, ROW(INDIRECT("1:"&amp;LEN(C4))), 1), ""))</f>
        <v/>
      </c>
      <c r="I4" s="378"/>
      <c r="J4" s="378">
        <f t="shared" ref="J4:K23" si="0">IF(LEFT(I4,5)="00966", RIGHT(I4,LEN(I4)-5),
    IF(LEFT(I4,4)="+966", RIGHT(I4,LEN(I4)-4),
        IF(LEFT(I4,3)="966", RIGHT(I4,LEN(I4)-3),
            IF(LEFT(I4,1)="0", RIGHT(I4,LEN(I4)-1), I4)
        )
    )
)</f>
        <v>0</v>
      </c>
      <c r="K4" s="378" t="str">
        <f t="shared" si="0"/>
        <v/>
      </c>
      <c r="L4" s="378" t="str">
        <f t="shared" ref="L4:L35" si="1">IF(LEFT(K4,1)="5",
    IF(LEN(K4)=9,"سعودي - صحيح",
        IF(LEN(K4)&lt;9,"سعودي - ناقص "&amp;(9-LEN(K4)),"سعودي - زائد "&amp;(LEN(K4)-9))
    ),
"أجنبي")</f>
        <v>أجنبي</v>
      </c>
      <c r="M4" s="436" t="str">
        <f t="shared" ref="M4:M35" si="2">IF(LEFT(K4,1)="5","966"&amp;K4,K4)</f>
        <v/>
      </c>
      <c r="N4" s="436"/>
      <c r="O4" s="378"/>
      <c r="P4" s="378"/>
      <c r="Q4" s="378"/>
      <c r="R4" s="378"/>
      <c r="S4" s="378"/>
      <c r="T4" s="378"/>
      <c r="U4" s="378">
        <v>2</v>
      </c>
      <c r="V4" s="378"/>
      <c r="W4" s="378"/>
      <c r="X4" s="378"/>
      <c r="Y4" s="378"/>
      <c r="Z4" s="378"/>
      <c r="AA4" s="378"/>
      <c r="AB4" s="378"/>
      <c r="AC4" s="378"/>
      <c r="AD4" s="378"/>
      <c r="AE4" s="378"/>
      <c r="AF4" s="378"/>
      <c r="AG4" s="378"/>
      <c r="AH4" s="378"/>
      <c r="AI4" s="378"/>
      <c r="AJ4" s="378"/>
      <c r="AK4" s="378"/>
      <c r="AL4" s="378"/>
      <c r="AM4" s="378"/>
      <c r="AN4" s="378"/>
      <c r="AO4" s="378"/>
      <c r="AP4" s="378"/>
      <c r="AQ4" s="378"/>
    </row>
    <row r="5" spans="2:43">
      <c r="B5" s="378">
        <v>3</v>
      </c>
      <c r="C5" s="378"/>
      <c r="D5" s="378"/>
      <c r="E5" s="378"/>
      <c r="F5" s="378"/>
      <c r="G5" s="378"/>
      <c r="H5" s="378" t="str">
        <f t="array" aca="1" ref="H5" ca="1">_xlfn.TEXTJOIN("", TRUE, IF(ISNUMBER(--MID(C5, ROW(INDIRECT("1:"&amp;LEN(C5))), 1)), MID(C5, ROW(INDIRECT("1:"&amp;LEN(C5))), 1), ""))</f>
        <v/>
      </c>
      <c r="I5" s="378"/>
      <c r="J5" s="378">
        <f t="shared" si="0"/>
        <v>0</v>
      </c>
      <c r="K5" s="378" t="str">
        <f t="shared" si="0"/>
        <v/>
      </c>
      <c r="L5" s="378" t="str">
        <f t="shared" si="1"/>
        <v>أجنبي</v>
      </c>
      <c r="M5" s="436" t="str">
        <f t="shared" si="2"/>
        <v/>
      </c>
      <c r="N5" s="436"/>
      <c r="O5" s="378"/>
      <c r="P5" s="378"/>
      <c r="Q5" s="378"/>
      <c r="R5" s="378"/>
      <c r="S5" s="378"/>
      <c r="T5" s="378"/>
      <c r="U5" s="378">
        <v>3</v>
      </c>
      <c r="V5" s="378"/>
      <c r="W5" s="378"/>
      <c r="X5" s="378"/>
      <c r="Y5" s="378"/>
      <c r="Z5" s="378"/>
      <c r="AA5" s="378"/>
      <c r="AB5" s="378"/>
      <c r="AC5" s="378"/>
      <c r="AD5" s="378"/>
      <c r="AE5" s="378"/>
      <c r="AF5" s="378"/>
      <c r="AG5" s="378"/>
      <c r="AH5" s="378"/>
      <c r="AI5" s="378"/>
      <c r="AJ5" s="378"/>
      <c r="AK5" s="378"/>
      <c r="AL5" s="378"/>
      <c r="AM5" s="378"/>
      <c r="AN5" s="378"/>
      <c r="AO5" s="378"/>
      <c r="AP5" s="378"/>
      <c r="AQ5" s="378"/>
    </row>
    <row r="6" spans="2:43">
      <c r="B6" s="378">
        <v>4</v>
      </c>
      <c r="C6" s="378"/>
      <c r="D6" s="378"/>
      <c r="E6" s="378"/>
      <c r="F6" s="378"/>
      <c r="G6" s="378"/>
      <c r="H6" s="378" t="str">
        <f t="array" aca="1" ref="H6" ca="1">_xlfn.TEXTJOIN("", TRUE, IF(ISNUMBER(--MID(C6, ROW(INDIRECT("1:"&amp;LEN(C6))), 1)), MID(C6, ROW(INDIRECT("1:"&amp;LEN(C6))), 1), ""))</f>
        <v/>
      </c>
      <c r="I6" s="378"/>
      <c r="J6" s="378">
        <f t="shared" si="0"/>
        <v>0</v>
      </c>
      <c r="K6" s="378" t="str">
        <f t="shared" si="0"/>
        <v/>
      </c>
      <c r="L6" s="378" t="str">
        <f t="shared" si="1"/>
        <v>أجنبي</v>
      </c>
      <c r="M6" s="436" t="str">
        <f t="shared" si="2"/>
        <v/>
      </c>
      <c r="N6" s="436"/>
      <c r="O6" s="378"/>
      <c r="P6" s="378"/>
      <c r="Q6" s="378"/>
      <c r="R6" s="378"/>
      <c r="S6" s="378"/>
      <c r="T6" s="378"/>
      <c r="U6" s="378">
        <v>4</v>
      </c>
      <c r="V6" s="378"/>
      <c r="W6" s="378"/>
      <c r="X6" s="378"/>
      <c r="Y6" s="378"/>
      <c r="Z6" s="378"/>
      <c r="AA6" s="378"/>
      <c r="AB6" s="378"/>
      <c r="AC6" s="378"/>
      <c r="AD6" s="378"/>
      <c r="AE6" s="378"/>
      <c r="AF6" s="378"/>
      <c r="AG6" s="378"/>
      <c r="AH6" s="378"/>
      <c r="AI6" s="378"/>
      <c r="AJ6" s="378"/>
      <c r="AK6" s="378"/>
      <c r="AL6" s="378"/>
      <c r="AM6" s="378"/>
      <c r="AN6" s="378"/>
      <c r="AO6" s="378"/>
      <c r="AP6" s="378"/>
      <c r="AQ6" s="378"/>
    </row>
    <row r="7" spans="2:43">
      <c r="B7" s="378">
        <v>5</v>
      </c>
      <c r="C7" s="378"/>
      <c r="D7" s="378"/>
      <c r="E7" s="378"/>
      <c r="F7" s="378"/>
      <c r="G7" s="378"/>
      <c r="H7" s="378" t="str">
        <f t="array" aca="1" ref="H7" ca="1">_xlfn.TEXTJOIN("", TRUE, IF(ISNUMBER(--MID(C7, ROW(INDIRECT("1:"&amp;LEN(C7))), 1)), MID(C7, ROW(INDIRECT("1:"&amp;LEN(C7))), 1), ""))</f>
        <v/>
      </c>
      <c r="I7" s="378"/>
      <c r="J7" s="378">
        <f t="shared" si="0"/>
        <v>0</v>
      </c>
      <c r="K7" s="378" t="str">
        <f t="shared" si="0"/>
        <v/>
      </c>
      <c r="L7" s="378" t="str">
        <f t="shared" si="1"/>
        <v>أجنبي</v>
      </c>
      <c r="M7" s="436" t="str">
        <f t="shared" si="2"/>
        <v/>
      </c>
      <c r="N7" s="436"/>
      <c r="O7" s="378"/>
      <c r="P7" s="378"/>
      <c r="Q7" s="378"/>
      <c r="R7" s="378"/>
      <c r="S7" s="378"/>
      <c r="T7" s="378"/>
      <c r="U7" s="378">
        <v>5</v>
      </c>
      <c r="V7" s="378"/>
      <c r="W7" s="378"/>
      <c r="X7" s="378"/>
      <c r="Y7" s="378"/>
      <c r="Z7" s="378"/>
      <c r="AA7" s="378"/>
      <c r="AB7" s="378"/>
      <c r="AC7" s="378"/>
      <c r="AD7" s="378"/>
      <c r="AE7" s="378"/>
      <c r="AF7" s="378"/>
      <c r="AG7" s="378"/>
      <c r="AH7" s="378"/>
      <c r="AI7" s="378"/>
      <c r="AJ7" s="378"/>
      <c r="AK7" s="378"/>
      <c r="AL7" s="378"/>
      <c r="AM7" s="378"/>
      <c r="AN7" s="378"/>
      <c r="AO7" s="378"/>
      <c r="AP7" s="378"/>
      <c r="AQ7" s="378"/>
    </row>
    <row r="8" spans="2:43">
      <c r="B8" s="378">
        <v>6</v>
      </c>
      <c r="C8" s="378"/>
      <c r="D8" s="378"/>
      <c r="E8" s="378"/>
      <c r="F8" s="378"/>
      <c r="G8" s="378"/>
      <c r="H8" s="378" t="str">
        <f t="array" aca="1" ref="H8" ca="1">_xlfn.TEXTJOIN("", TRUE, IF(ISNUMBER(--MID(C8, ROW(INDIRECT("1:"&amp;LEN(C8))), 1)), MID(C8, ROW(INDIRECT("1:"&amp;LEN(C8))), 1), ""))</f>
        <v/>
      </c>
      <c r="I8" s="378"/>
      <c r="J8" s="378">
        <f t="shared" si="0"/>
        <v>0</v>
      </c>
      <c r="K8" s="378" t="str">
        <f t="shared" si="0"/>
        <v/>
      </c>
      <c r="L8" s="378" t="str">
        <f t="shared" si="1"/>
        <v>أجنبي</v>
      </c>
      <c r="M8" s="436" t="str">
        <f t="shared" si="2"/>
        <v/>
      </c>
      <c r="N8" s="436"/>
      <c r="O8" s="378"/>
      <c r="P8" s="378"/>
      <c r="Q8" s="378"/>
      <c r="R8" s="378"/>
      <c r="S8" s="378"/>
      <c r="T8" s="378"/>
      <c r="U8" s="378">
        <v>6</v>
      </c>
      <c r="V8" s="378"/>
      <c r="W8" s="378"/>
      <c r="X8" s="378"/>
      <c r="Y8" s="378"/>
      <c r="Z8" s="378"/>
      <c r="AA8" s="378"/>
      <c r="AB8" s="378"/>
      <c r="AC8" s="378"/>
      <c r="AD8" s="378"/>
      <c r="AE8" s="378"/>
      <c r="AF8" s="378"/>
      <c r="AG8" s="378"/>
      <c r="AH8" s="378"/>
      <c r="AI8" s="378"/>
      <c r="AJ8" s="378"/>
      <c r="AK8" s="378"/>
      <c r="AL8" s="378"/>
      <c r="AM8" s="378"/>
      <c r="AN8" s="378"/>
      <c r="AO8" s="378"/>
      <c r="AP8" s="378"/>
      <c r="AQ8" s="378"/>
    </row>
    <row r="9" spans="2:43">
      <c r="B9" s="378">
        <v>7</v>
      </c>
      <c r="C9" s="378"/>
      <c r="D9" s="378"/>
      <c r="E9" s="378"/>
      <c r="F9" s="378"/>
      <c r="G9" s="378"/>
      <c r="H9" s="378" t="str">
        <f t="array" aca="1" ref="H9" ca="1">_xlfn.TEXTJOIN("", TRUE, IF(ISNUMBER(--MID(C9, ROW(INDIRECT("1:"&amp;LEN(C9))), 1)), MID(C9, ROW(INDIRECT("1:"&amp;LEN(C9))), 1), ""))</f>
        <v/>
      </c>
      <c r="I9" s="378"/>
      <c r="J9" s="378">
        <f t="shared" si="0"/>
        <v>0</v>
      </c>
      <c r="K9" s="378" t="str">
        <f t="shared" si="0"/>
        <v/>
      </c>
      <c r="L9" s="378" t="str">
        <f t="shared" si="1"/>
        <v>أجنبي</v>
      </c>
      <c r="M9" s="436" t="str">
        <f t="shared" si="2"/>
        <v/>
      </c>
      <c r="N9" s="436"/>
      <c r="O9" s="378"/>
      <c r="P9" s="378"/>
      <c r="Q9" s="378"/>
      <c r="R9" s="378"/>
      <c r="S9" s="378"/>
      <c r="T9" s="378"/>
      <c r="U9" s="378">
        <v>7</v>
      </c>
      <c r="V9" s="378"/>
      <c r="W9" s="378"/>
      <c r="X9" s="378"/>
      <c r="Y9" s="378"/>
      <c r="Z9" s="378"/>
      <c r="AA9" s="378"/>
      <c r="AB9" s="378"/>
      <c r="AC9" s="378"/>
      <c r="AD9" s="378"/>
      <c r="AE9" s="378"/>
      <c r="AF9" s="378"/>
      <c r="AG9" s="378"/>
      <c r="AH9" s="378"/>
      <c r="AI9" s="378"/>
      <c r="AJ9" s="378"/>
      <c r="AK9" s="378"/>
      <c r="AL9" s="378"/>
      <c r="AM9" s="378"/>
      <c r="AN9" s="378"/>
      <c r="AO9" s="378"/>
      <c r="AP9" s="378"/>
      <c r="AQ9" s="378"/>
    </row>
    <row r="10" spans="2:43">
      <c r="B10" s="378">
        <v>8</v>
      </c>
      <c r="C10" s="378"/>
      <c r="D10" s="378"/>
      <c r="E10" s="378"/>
      <c r="F10" s="378"/>
      <c r="G10" s="378"/>
      <c r="H10" s="378" t="str">
        <f t="array" aca="1" ref="H10" ca="1">_xlfn.TEXTJOIN("", TRUE, IF(ISNUMBER(--MID(C10, ROW(INDIRECT("1:"&amp;LEN(C10))), 1)), MID(C10, ROW(INDIRECT("1:"&amp;LEN(C10))), 1), ""))</f>
        <v/>
      </c>
      <c r="I10" s="378"/>
      <c r="J10" s="378">
        <f t="shared" si="0"/>
        <v>0</v>
      </c>
      <c r="K10" s="378" t="str">
        <f t="shared" si="0"/>
        <v/>
      </c>
      <c r="L10" s="378" t="str">
        <f t="shared" si="1"/>
        <v>أجنبي</v>
      </c>
      <c r="M10" s="436" t="str">
        <f t="shared" si="2"/>
        <v/>
      </c>
      <c r="N10" s="436"/>
      <c r="O10" s="378"/>
      <c r="P10" s="378"/>
      <c r="Q10" s="378"/>
      <c r="R10" s="378"/>
      <c r="S10" s="378"/>
      <c r="T10" s="378"/>
      <c r="U10" s="378">
        <v>8</v>
      </c>
      <c r="V10" s="378"/>
      <c r="W10" s="378"/>
      <c r="X10" s="378"/>
      <c r="Y10" s="378"/>
      <c r="Z10" s="378"/>
      <c r="AA10" s="378"/>
      <c r="AB10" s="378"/>
      <c r="AC10" s="378"/>
      <c r="AD10" s="378"/>
      <c r="AE10" s="378"/>
      <c r="AF10" s="378"/>
      <c r="AG10" s="378"/>
      <c r="AH10" s="378"/>
      <c r="AI10" s="378"/>
      <c r="AJ10" s="378"/>
      <c r="AK10" s="378"/>
      <c r="AL10" s="378"/>
      <c r="AM10" s="378"/>
      <c r="AN10" s="378"/>
      <c r="AO10" s="378"/>
      <c r="AP10" s="378"/>
      <c r="AQ10" s="378"/>
    </row>
    <row r="11" spans="2:43">
      <c r="B11" s="378">
        <v>9</v>
      </c>
      <c r="C11" s="378"/>
      <c r="D11" s="378"/>
      <c r="E11" s="378"/>
      <c r="F11" s="378"/>
      <c r="G11" s="378"/>
      <c r="H11" s="378" t="str">
        <f t="array" aca="1" ref="H11" ca="1">_xlfn.TEXTJOIN("", TRUE, IF(ISNUMBER(--MID(C11, ROW(INDIRECT("1:"&amp;LEN(C11))), 1)), MID(C11, ROW(INDIRECT("1:"&amp;LEN(C11))), 1), ""))</f>
        <v/>
      </c>
      <c r="I11" s="378"/>
      <c r="J11" s="378">
        <f t="shared" si="0"/>
        <v>0</v>
      </c>
      <c r="K11" s="378" t="str">
        <f t="shared" si="0"/>
        <v/>
      </c>
      <c r="L11" s="378" t="str">
        <f t="shared" si="1"/>
        <v>أجنبي</v>
      </c>
      <c r="M11" s="436" t="str">
        <f t="shared" si="2"/>
        <v/>
      </c>
      <c r="N11" s="436"/>
      <c r="O11" s="378"/>
      <c r="P11" s="378"/>
      <c r="Q11" s="378"/>
      <c r="R11" s="378"/>
      <c r="S11" s="378"/>
      <c r="T11" s="378"/>
      <c r="U11" s="378">
        <v>9</v>
      </c>
      <c r="V11" s="378"/>
      <c r="W11" s="378"/>
      <c r="X11" s="378"/>
      <c r="Y11" s="378"/>
      <c r="Z11" s="378"/>
      <c r="AA11" s="378"/>
      <c r="AB11" s="378"/>
      <c r="AC11" s="378"/>
      <c r="AD11" s="378"/>
      <c r="AE11" s="378"/>
      <c r="AF11" s="378"/>
      <c r="AG11" s="378"/>
      <c r="AH11" s="378"/>
      <c r="AI11" s="378"/>
      <c r="AJ11" s="378"/>
      <c r="AK11" s="378"/>
      <c r="AL11" s="378"/>
      <c r="AM11" s="378"/>
      <c r="AN11" s="378"/>
      <c r="AO11" s="378"/>
      <c r="AP11" s="378"/>
      <c r="AQ11" s="378"/>
    </row>
    <row r="12" spans="2:43">
      <c r="B12" s="378">
        <v>10</v>
      </c>
      <c r="C12" s="378"/>
      <c r="D12" s="378"/>
      <c r="E12" s="378"/>
      <c r="F12" s="378"/>
      <c r="G12" s="378"/>
      <c r="H12" s="378" t="str">
        <f t="array" aca="1" ref="H12" ca="1">_xlfn.TEXTJOIN("", TRUE, IF(ISNUMBER(--MID(C12, ROW(INDIRECT("1:"&amp;LEN(C12))), 1)), MID(C12, ROW(INDIRECT("1:"&amp;LEN(C12))), 1), ""))</f>
        <v/>
      </c>
      <c r="I12" s="378"/>
      <c r="J12" s="378">
        <f t="shared" si="0"/>
        <v>0</v>
      </c>
      <c r="K12" s="378" t="str">
        <f t="shared" si="0"/>
        <v/>
      </c>
      <c r="L12" s="378" t="str">
        <f t="shared" si="1"/>
        <v>أجنبي</v>
      </c>
      <c r="M12" s="436" t="str">
        <f t="shared" si="2"/>
        <v/>
      </c>
      <c r="N12" s="436"/>
      <c r="O12" s="378"/>
      <c r="P12" s="378"/>
      <c r="Q12" s="378"/>
      <c r="R12" s="378"/>
      <c r="S12" s="378"/>
      <c r="T12" s="378"/>
      <c r="U12" s="378">
        <v>10</v>
      </c>
      <c r="V12" s="378"/>
      <c r="W12" s="378"/>
      <c r="X12" s="378"/>
      <c r="Y12" s="378"/>
      <c r="Z12" s="378"/>
      <c r="AA12" s="378"/>
      <c r="AB12" s="378"/>
      <c r="AC12" s="378"/>
      <c r="AD12" s="378"/>
      <c r="AE12" s="378"/>
      <c r="AF12" s="378"/>
      <c r="AG12" s="378"/>
      <c r="AH12" s="378"/>
      <c r="AI12" s="378"/>
      <c r="AJ12" s="378"/>
      <c r="AK12" s="378"/>
      <c r="AL12" s="378"/>
      <c r="AM12" s="378"/>
      <c r="AN12" s="378"/>
      <c r="AO12" s="378"/>
      <c r="AP12" s="378"/>
      <c r="AQ12" s="378"/>
    </row>
    <row r="13" spans="2:43">
      <c r="B13" s="378">
        <v>11</v>
      </c>
      <c r="C13" s="378"/>
      <c r="D13" s="378"/>
      <c r="E13" s="378"/>
      <c r="F13" s="378"/>
      <c r="G13" s="378"/>
      <c r="H13" s="378" t="str">
        <f t="array" aca="1" ref="H13" ca="1">_xlfn.TEXTJOIN("", TRUE, IF(ISNUMBER(--MID(C13, ROW(INDIRECT("1:"&amp;LEN(C13))), 1)), MID(C13, ROW(INDIRECT("1:"&amp;LEN(C13))), 1), ""))</f>
        <v/>
      </c>
      <c r="I13" s="378"/>
      <c r="J13" s="378">
        <f t="shared" si="0"/>
        <v>0</v>
      </c>
      <c r="K13" s="378" t="str">
        <f t="shared" si="0"/>
        <v/>
      </c>
      <c r="L13" s="378" t="str">
        <f t="shared" si="1"/>
        <v>أجنبي</v>
      </c>
      <c r="M13" s="436" t="str">
        <f t="shared" si="2"/>
        <v/>
      </c>
      <c r="N13" s="436"/>
      <c r="O13" s="378"/>
      <c r="P13" s="378"/>
      <c r="Q13" s="378"/>
      <c r="R13" s="437"/>
      <c r="S13" s="437"/>
      <c r="T13" s="378"/>
      <c r="U13" s="378">
        <v>11</v>
      </c>
      <c r="V13" s="378"/>
      <c r="W13" s="378"/>
      <c r="X13" s="378"/>
      <c r="Y13" s="378"/>
      <c r="Z13" s="378"/>
      <c r="AA13" s="378"/>
      <c r="AB13" s="378"/>
      <c r="AC13" s="378"/>
      <c r="AD13" s="378"/>
      <c r="AE13" s="378"/>
      <c r="AF13" s="378"/>
      <c r="AG13" s="378"/>
      <c r="AH13" s="378"/>
      <c r="AI13" s="378"/>
      <c r="AJ13" s="378"/>
      <c r="AK13" s="378"/>
      <c r="AL13" s="378"/>
      <c r="AM13" s="378"/>
      <c r="AN13" s="378"/>
      <c r="AO13" s="378"/>
      <c r="AP13" s="378"/>
      <c r="AQ13" s="378"/>
    </row>
    <row r="14" spans="2:43">
      <c r="B14" s="378">
        <v>12</v>
      </c>
      <c r="C14" s="378"/>
      <c r="D14" s="378"/>
      <c r="E14" s="378"/>
      <c r="F14" s="378"/>
      <c r="G14" s="378"/>
      <c r="H14" s="378" t="str">
        <f t="array" aca="1" ref="H14" ca="1">_xlfn.TEXTJOIN("", TRUE, IF(ISNUMBER(--MID(C14, ROW(INDIRECT("1:"&amp;LEN(C14))), 1)), MID(C14, ROW(INDIRECT("1:"&amp;LEN(C14))), 1), ""))</f>
        <v/>
      </c>
      <c r="I14" s="378"/>
      <c r="J14" s="378">
        <f t="shared" si="0"/>
        <v>0</v>
      </c>
      <c r="K14" s="378" t="str">
        <f t="shared" si="0"/>
        <v/>
      </c>
      <c r="L14" s="378" t="str">
        <f t="shared" si="1"/>
        <v>أجنبي</v>
      </c>
      <c r="M14" s="436" t="str">
        <f t="shared" si="2"/>
        <v/>
      </c>
      <c r="N14" s="436"/>
      <c r="O14" s="378"/>
      <c r="P14" s="378"/>
      <c r="Q14" s="378"/>
      <c r="R14" s="437"/>
      <c r="S14" s="91"/>
      <c r="T14" s="378"/>
      <c r="U14" s="378">
        <v>12</v>
      </c>
      <c r="V14" s="378"/>
      <c r="W14" s="378"/>
      <c r="X14" s="378"/>
      <c r="Y14" s="378"/>
      <c r="Z14" s="378"/>
      <c r="AA14" s="378"/>
      <c r="AB14" s="378"/>
      <c r="AC14" s="378"/>
      <c r="AD14" s="378"/>
      <c r="AE14" s="378"/>
      <c r="AF14" s="378"/>
      <c r="AG14" s="378"/>
      <c r="AH14" s="378"/>
      <c r="AI14" s="378"/>
      <c r="AJ14" s="378"/>
      <c r="AK14" s="378"/>
      <c r="AL14" s="378"/>
      <c r="AM14" s="378"/>
      <c r="AN14" s="378"/>
      <c r="AO14" s="378"/>
      <c r="AP14" s="378"/>
      <c r="AQ14" s="378"/>
    </row>
    <row r="15" spans="2:43">
      <c r="B15" s="378">
        <v>13</v>
      </c>
      <c r="C15" s="378"/>
      <c r="D15" s="378"/>
      <c r="E15" s="378"/>
      <c r="F15" s="378"/>
      <c r="G15" s="378"/>
      <c r="H15" s="378" t="str">
        <f t="array" aca="1" ref="H15" ca="1">_xlfn.TEXTJOIN("", TRUE, IF(ISNUMBER(--MID(C15, ROW(INDIRECT("1:"&amp;LEN(C15))), 1)), MID(C15, ROW(INDIRECT("1:"&amp;LEN(C15))), 1), ""))</f>
        <v/>
      </c>
      <c r="I15" s="378"/>
      <c r="J15" s="378">
        <f t="shared" si="0"/>
        <v>0</v>
      </c>
      <c r="K15" s="378" t="str">
        <f t="shared" si="0"/>
        <v/>
      </c>
      <c r="L15" s="378" t="str">
        <f t="shared" si="1"/>
        <v>أجنبي</v>
      </c>
      <c r="M15" s="436" t="str">
        <f t="shared" si="2"/>
        <v/>
      </c>
      <c r="N15" s="436"/>
      <c r="O15" s="378"/>
      <c r="P15" s="378"/>
      <c r="Q15" s="378"/>
      <c r="R15" s="437"/>
      <c r="S15" s="91"/>
      <c r="T15" s="378"/>
      <c r="U15" s="378">
        <v>13</v>
      </c>
      <c r="V15" s="378"/>
      <c r="W15" s="378"/>
      <c r="X15" s="378"/>
      <c r="Y15" s="378"/>
      <c r="Z15" s="378"/>
      <c r="AA15" s="378"/>
      <c r="AB15" s="378"/>
      <c r="AC15" s="378"/>
      <c r="AD15" s="378"/>
      <c r="AE15" s="378"/>
      <c r="AF15" s="378"/>
      <c r="AG15" s="378"/>
      <c r="AH15" s="378"/>
      <c r="AI15" s="378"/>
      <c r="AJ15" s="378"/>
      <c r="AK15" s="378"/>
      <c r="AL15" s="378"/>
      <c r="AM15" s="378"/>
      <c r="AN15" s="378"/>
      <c r="AO15" s="378"/>
      <c r="AP15" s="378"/>
      <c r="AQ15" s="378"/>
    </row>
    <row r="16" spans="2:43">
      <c r="B16" s="378">
        <v>14</v>
      </c>
      <c r="C16" s="378"/>
      <c r="D16" s="378"/>
      <c r="E16" s="378"/>
      <c r="F16" s="378"/>
      <c r="G16" s="378"/>
      <c r="H16" s="378" t="str">
        <f t="array" aca="1" ref="H16" ca="1">_xlfn.TEXTJOIN("", TRUE, IF(ISNUMBER(--MID(C16, ROW(INDIRECT("1:"&amp;LEN(C16))), 1)), MID(C16, ROW(INDIRECT("1:"&amp;LEN(C16))), 1), ""))</f>
        <v/>
      </c>
      <c r="I16" s="378"/>
      <c r="J16" s="378">
        <f t="shared" si="0"/>
        <v>0</v>
      </c>
      <c r="K16" s="378" t="str">
        <f t="shared" si="0"/>
        <v/>
      </c>
      <c r="L16" s="378" t="str">
        <f t="shared" si="1"/>
        <v>أجنبي</v>
      </c>
      <c r="M16" s="436" t="str">
        <f t="shared" si="2"/>
        <v/>
      </c>
      <c r="N16" s="436"/>
      <c r="O16" s="378"/>
      <c r="P16" s="378"/>
      <c r="Q16" s="378"/>
      <c r="R16" s="437"/>
      <c r="S16" s="437"/>
      <c r="T16" s="378"/>
      <c r="U16" s="378">
        <v>14</v>
      </c>
      <c r="V16" s="378"/>
      <c r="W16" s="378"/>
      <c r="X16" s="378"/>
      <c r="Y16" s="378"/>
      <c r="Z16" s="378"/>
      <c r="AA16" s="378"/>
      <c r="AB16" s="378"/>
      <c r="AC16" s="378"/>
      <c r="AD16" s="378"/>
      <c r="AE16" s="378"/>
      <c r="AF16" s="378"/>
      <c r="AG16" s="378"/>
      <c r="AH16" s="378"/>
      <c r="AI16" s="378"/>
      <c r="AJ16" s="378"/>
      <c r="AK16" s="378"/>
      <c r="AL16" s="378"/>
      <c r="AM16" s="378"/>
      <c r="AN16" s="378"/>
      <c r="AO16" s="378"/>
      <c r="AP16" s="378"/>
      <c r="AQ16" s="378"/>
    </row>
    <row r="17" spans="2:43">
      <c r="B17" s="378">
        <v>15</v>
      </c>
      <c r="C17" s="378"/>
      <c r="D17" s="378"/>
      <c r="E17" s="378"/>
      <c r="F17" s="378"/>
      <c r="G17" s="378"/>
      <c r="H17" s="378" t="str">
        <f t="array" aca="1" ref="H17" ca="1">_xlfn.TEXTJOIN("", TRUE, IF(ISNUMBER(--MID(C17, ROW(INDIRECT("1:"&amp;LEN(C17))), 1)), MID(C17, ROW(INDIRECT("1:"&amp;LEN(C17))), 1), ""))</f>
        <v/>
      </c>
      <c r="I17" s="378"/>
      <c r="J17" s="378">
        <f t="shared" si="0"/>
        <v>0</v>
      </c>
      <c r="K17" s="378" t="str">
        <f t="shared" si="0"/>
        <v/>
      </c>
      <c r="L17" s="378" t="str">
        <f t="shared" si="1"/>
        <v>أجنبي</v>
      </c>
      <c r="M17" s="436" t="str">
        <f t="shared" si="2"/>
        <v/>
      </c>
      <c r="N17" s="436"/>
      <c r="O17" s="378"/>
      <c r="P17" s="378"/>
      <c r="Q17" s="378"/>
      <c r="R17" s="378"/>
      <c r="S17" s="378"/>
      <c r="T17" s="378"/>
      <c r="U17" s="378">
        <v>15</v>
      </c>
      <c r="V17" s="378"/>
      <c r="W17" s="378"/>
      <c r="X17" s="378"/>
      <c r="Y17" s="378"/>
      <c r="Z17" s="378"/>
      <c r="AA17" s="378"/>
      <c r="AB17" s="378"/>
      <c r="AC17" s="378"/>
      <c r="AD17" s="378"/>
      <c r="AE17" s="378"/>
      <c r="AF17" s="378"/>
      <c r="AG17" s="378"/>
      <c r="AH17" s="378"/>
      <c r="AI17" s="378"/>
      <c r="AJ17" s="378"/>
      <c r="AK17" s="378"/>
      <c r="AL17" s="378"/>
      <c r="AM17" s="378"/>
      <c r="AN17" s="378"/>
      <c r="AO17" s="378"/>
      <c r="AP17" s="378"/>
      <c r="AQ17" s="378"/>
    </row>
    <row r="18" spans="2:43">
      <c r="B18" s="378">
        <v>16</v>
      </c>
      <c r="C18" s="378"/>
      <c r="D18" s="378"/>
      <c r="E18" s="378"/>
      <c r="F18" s="378"/>
      <c r="G18" s="378"/>
      <c r="H18" s="378" t="str">
        <f t="array" aca="1" ref="H18" ca="1">_xlfn.TEXTJOIN("", TRUE, IF(ISNUMBER(--MID(C18, ROW(INDIRECT("1:"&amp;LEN(C18))), 1)), MID(C18, ROW(INDIRECT("1:"&amp;LEN(C18))), 1), ""))</f>
        <v/>
      </c>
      <c r="I18" s="378"/>
      <c r="J18" s="378">
        <f t="shared" si="0"/>
        <v>0</v>
      </c>
      <c r="K18" s="378" t="str">
        <f t="shared" si="0"/>
        <v/>
      </c>
      <c r="L18" s="378" t="str">
        <f t="shared" si="1"/>
        <v>أجنبي</v>
      </c>
      <c r="M18" s="436" t="str">
        <f t="shared" si="2"/>
        <v/>
      </c>
      <c r="N18" s="436"/>
      <c r="O18" s="378"/>
      <c r="P18" s="378"/>
      <c r="Q18" s="378"/>
      <c r="R18" s="437"/>
      <c r="S18" s="91"/>
      <c r="T18" s="378"/>
      <c r="U18" s="378">
        <v>16</v>
      </c>
      <c r="V18" s="378"/>
      <c r="W18" s="378"/>
      <c r="X18" s="378"/>
      <c r="Y18" s="378"/>
      <c r="Z18" s="378"/>
      <c r="AA18" s="378"/>
      <c r="AB18" s="378"/>
      <c r="AC18" s="378"/>
      <c r="AD18" s="378"/>
      <c r="AE18" s="378"/>
      <c r="AF18" s="378"/>
      <c r="AG18" s="378"/>
      <c r="AH18" s="378"/>
      <c r="AI18" s="378"/>
      <c r="AJ18" s="378"/>
      <c r="AK18" s="378"/>
      <c r="AL18" s="378"/>
      <c r="AM18" s="378"/>
      <c r="AN18" s="378"/>
      <c r="AO18" s="378"/>
      <c r="AP18" s="378"/>
      <c r="AQ18" s="378"/>
    </row>
    <row r="19" spans="2:43">
      <c r="B19" s="378">
        <v>17</v>
      </c>
      <c r="C19" s="378"/>
      <c r="D19" s="378"/>
      <c r="E19" s="378"/>
      <c r="F19" s="378"/>
      <c r="G19" s="378"/>
      <c r="H19" s="378" t="str">
        <f t="array" aca="1" ref="H19" ca="1">_xlfn.TEXTJOIN("", TRUE, IF(ISNUMBER(--MID(C19, ROW(INDIRECT("1:"&amp;LEN(C19))), 1)), MID(C19, ROW(INDIRECT("1:"&amp;LEN(C19))), 1), ""))</f>
        <v/>
      </c>
      <c r="I19" s="378"/>
      <c r="J19" s="378">
        <f t="shared" si="0"/>
        <v>0</v>
      </c>
      <c r="K19" s="378" t="str">
        <f t="shared" si="0"/>
        <v/>
      </c>
      <c r="L19" s="378" t="str">
        <f t="shared" si="1"/>
        <v>أجنبي</v>
      </c>
      <c r="M19" s="436" t="str">
        <f t="shared" si="2"/>
        <v/>
      </c>
      <c r="N19" s="436"/>
      <c r="O19" s="378"/>
      <c r="P19" s="378"/>
      <c r="Q19" s="378"/>
      <c r="R19" s="437"/>
      <c r="S19" s="91"/>
      <c r="T19" s="378"/>
      <c r="U19" s="378">
        <v>17</v>
      </c>
      <c r="V19" s="378"/>
      <c r="W19" s="378"/>
      <c r="X19" s="378"/>
      <c r="Y19" s="378"/>
      <c r="Z19" s="378"/>
      <c r="AA19" s="378"/>
      <c r="AB19" s="378"/>
      <c r="AC19" s="378"/>
      <c r="AD19" s="378"/>
      <c r="AE19" s="378"/>
      <c r="AF19" s="378"/>
      <c r="AG19" s="378"/>
      <c r="AH19" s="378"/>
      <c r="AI19" s="378"/>
      <c r="AJ19" s="378"/>
      <c r="AK19" s="378"/>
      <c r="AL19" s="378"/>
      <c r="AM19" s="378"/>
      <c r="AN19" s="378"/>
      <c r="AO19" s="378"/>
      <c r="AP19" s="378"/>
      <c r="AQ19" s="378"/>
    </row>
    <row r="20" spans="2:43">
      <c r="B20" s="378">
        <v>18</v>
      </c>
      <c r="C20" s="378"/>
      <c r="D20" s="378"/>
      <c r="E20" s="378"/>
      <c r="F20" s="378"/>
      <c r="G20" s="378"/>
      <c r="H20" s="378" t="str">
        <f t="array" aca="1" ref="H20" ca="1">_xlfn.TEXTJOIN("", TRUE, IF(ISNUMBER(--MID(C20, ROW(INDIRECT("1:"&amp;LEN(C20))), 1)), MID(C20, ROW(INDIRECT("1:"&amp;LEN(C20))), 1), ""))</f>
        <v/>
      </c>
      <c r="I20" s="378"/>
      <c r="J20" s="378">
        <f t="shared" si="0"/>
        <v>0</v>
      </c>
      <c r="K20" s="378" t="str">
        <f t="shared" si="0"/>
        <v/>
      </c>
      <c r="L20" s="378" t="str">
        <f t="shared" si="1"/>
        <v>أجنبي</v>
      </c>
      <c r="M20" s="436" t="str">
        <f t="shared" si="2"/>
        <v/>
      </c>
      <c r="N20" s="436"/>
      <c r="O20" s="378"/>
      <c r="P20" s="378"/>
      <c r="Q20" s="378"/>
      <c r="R20" s="437"/>
      <c r="S20" s="91"/>
      <c r="T20" s="378"/>
      <c r="U20" s="378">
        <v>18</v>
      </c>
      <c r="V20" s="378"/>
      <c r="W20" s="378"/>
      <c r="X20" s="378"/>
      <c r="Y20" s="378"/>
      <c r="Z20" s="378"/>
      <c r="AA20" s="378"/>
      <c r="AB20" s="378"/>
      <c r="AC20" s="378"/>
      <c r="AD20" s="378"/>
      <c r="AE20" s="378"/>
      <c r="AF20" s="378"/>
      <c r="AG20" s="378"/>
      <c r="AH20" s="378"/>
      <c r="AI20" s="378"/>
      <c r="AJ20" s="378"/>
      <c r="AK20" s="378"/>
      <c r="AL20" s="378"/>
      <c r="AM20" s="378"/>
      <c r="AN20" s="378"/>
      <c r="AO20" s="378"/>
      <c r="AP20" s="378"/>
      <c r="AQ20" s="378"/>
    </row>
    <row r="21" spans="2:43">
      <c r="B21" s="378">
        <v>19</v>
      </c>
      <c r="C21" s="378"/>
      <c r="D21" s="378"/>
      <c r="E21" s="378"/>
      <c r="F21" s="378"/>
      <c r="G21" s="378"/>
      <c r="H21" s="378" t="str">
        <f t="array" aca="1" ref="H21" ca="1">_xlfn.TEXTJOIN("", TRUE, IF(ISNUMBER(--MID(C21, ROW(INDIRECT("1:"&amp;LEN(C21))), 1)), MID(C21, ROW(INDIRECT("1:"&amp;LEN(C21))), 1), ""))</f>
        <v/>
      </c>
      <c r="I21" s="378"/>
      <c r="J21" s="378">
        <f t="shared" si="0"/>
        <v>0</v>
      </c>
      <c r="K21" s="378" t="str">
        <f t="shared" si="0"/>
        <v/>
      </c>
      <c r="L21" s="378" t="str">
        <f t="shared" si="1"/>
        <v>أجنبي</v>
      </c>
      <c r="M21" s="436" t="str">
        <f t="shared" si="2"/>
        <v/>
      </c>
      <c r="N21" s="436"/>
      <c r="O21" s="378"/>
      <c r="P21" s="378"/>
      <c r="Q21" s="378"/>
      <c r="R21" s="437"/>
      <c r="S21" s="91"/>
      <c r="T21" s="378"/>
      <c r="U21" s="378">
        <v>19</v>
      </c>
      <c r="V21" s="378"/>
      <c r="W21" s="378"/>
      <c r="X21" s="378"/>
      <c r="Y21" s="378"/>
      <c r="Z21" s="378"/>
      <c r="AA21" s="378"/>
      <c r="AB21" s="378"/>
      <c r="AC21" s="378"/>
      <c r="AD21" s="378"/>
      <c r="AE21" s="378"/>
      <c r="AF21" s="378"/>
      <c r="AG21" s="378"/>
      <c r="AH21" s="378"/>
      <c r="AI21" s="378"/>
      <c r="AJ21" s="378"/>
      <c r="AK21" s="378"/>
      <c r="AL21" s="378"/>
      <c r="AM21" s="378"/>
      <c r="AN21" s="378"/>
      <c r="AO21" s="378"/>
      <c r="AP21" s="378"/>
      <c r="AQ21" s="378"/>
    </row>
    <row r="22" spans="2:43">
      <c r="B22" s="378">
        <v>20</v>
      </c>
      <c r="C22" s="378"/>
      <c r="D22" s="378"/>
      <c r="E22" s="378"/>
      <c r="F22" s="378"/>
      <c r="G22" s="378"/>
      <c r="H22" s="378" t="str">
        <f t="array" aca="1" ref="H22" ca="1">_xlfn.TEXTJOIN("", TRUE, IF(ISNUMBER(--MID(C22, ROW(INDIRECT("1:"&amp;LEN(C22))), 1)), MID(C22, ROW(INDIRECT("1:"&amp;LEN(C22))), 1), ""))</f>
        <v/>
      </c>
      <c r="I22" s="378"/>
      <c r="J22" s="378">
        <f t="shared" si="0"/>
        <v>0</v>
      </c>
      <c r="K22" s="378" t="str">
        <f t="shared" si="0"/>
        <v/>
      </c>
      <c r="L22" s="378" t="str">
        <f t="shared" si="1"/>
        <v>أجنبي</v>
      </c>
      <c r="M22" s="436" t="str">
        <f t="shared" si="2"/>
        <v/>
      </c>
      <c r="N22" s="436"/>
      <c r="O22" s="378"/>
      <c r="P22" s="378"/>
      <c r="Q22" s="378"/>
      <c r="R22" s="437"/>
      <c r="S22" s="91"/>
      <c r="T22" s="378"/>
      <c r="U22" s="378">
        <v>20</v>
      </c>
      <c r="V22" s="378"/>
      <c r="W22" s="378"/>
      <c r="X22" s="378"/>
      <c r="Y22" s="378"/>
      <c r="Z22" s="378"/>
      <c r="AA22" s="378"/>
      <c r="AB22" s="378"/>
      <c r="AC22" s="378"/>
      <c r="AD22" s="378"/>
      <c r="AE22" s="378"/>
      <c r="AF22" s="378"/>
      <c r="AG22" s="378"/>
      <c r="AH22" s="378"/>
      <c r="AI22" s="378"/>
      <c r="AJ22" s="378"/>
      <c r="AK22" s="378"/>
      <c r="AL22" s="378"/>
      <c r="AM22" s="378"/>
      <c r="AN22" s="378"/>
      <c r="AO22" s="378"/>
      <c r="AP22" s="378"/>
      <c r="AQ22" s="378"/>
    </row>
    <row r="23" spans="2:43">
      <c r="B23" s="378">
        <v>21</v>
      </c>
      <c r="C23" s="378"/>
      <c r="D23" s="378"/>
      <c r="E23" s="378"/>
      <c r="F23" s="378"/>
      <c r="G23" s="378"/>
      <c r="H23" s="378" t="str">
        <f t="array" aca="1" ref="H23" ca="1">_xlfn.TEXTJOIN("", TRUE, IF(ISNUMBER(--MID(C23, ROW(INDIRECT("1:"&amp;LEN(C23))), 1)), MID(C23, ROW(INDIRECT("1:"&amp;LEN(C23))), 1), ""))</f>
        <v/>
      </c>
      <c r="I23" s="378"/>
      <c r="J23" s="378">
        <f t="shared" si="0"/>
        <v>0</v>
      </c>
      <c r="K23" s="378" t="str">
        <f t="shared" si="0"/>
        <v/>
      </c>
      <c r="L23" s="378" t="str">
        <f t="shared" si="1"/>
        <v>أجنبي</v>
      </c>
      <c r="M23" s="436" t="str">
        <f t="shared" si="2"/>
        <v/>
      </c>
      <c r="N23" s="436"/>
      <c r="O23" s="378"/>
      <c r="P23" s="378"/>
      <c r="Q23" s="378"/>
      <c r="R23" s="437"/>
      <c r="S23" s="91"/>
      <c r="T23" s="378"/>
      <c r="U23" s="378">
        <v>21</v>
      </c>
      <c r="V23" s="378"/>
      <c r="W23" s="378"/>
      <c r="X23" s="378"/>
      <c r="Y23" s="378"/>
      <c r="Z23" s="378"/>
      <c r="AA23" s="378"/>
      <c r="AB23" s="378"/>
      <c r="AC23" s="378"/>
      <c r="AD23" s="378"/>
      <c r="AE23" s="378"/>
      <c r="AF23" s="378"/>
      <c r="AG23" s="378"/>
      <c r="AH23" s="378"/>
      <c r="AI23" s="378"/>
      <c r="AJ23" s="378"/>
      <c r="AK23" s="378"/>
      <c r="AL23" s="378"/>
      <c r="AM23" s="378"/>
      <c r="AN23" s="378"/>
      <c r="AO23" s="378"/>
      <c r="AP23" s="378"/>
      <c r="AQ23" s="378"/>
    </row>
    <row r="24" spans="2:43">
      <c r="B24" s="378">
        <v>22</v>
      </c>
      <c r="C24" s="378"/>
      <c r="D24" s="378"/>
      <c r="E24" s="378"/>
      <c r="F24" s="378"/>
      <c r="G24" s="378"/>
      <c r="H24" s="378" t="str">
        <f t="array" aca="1" ref="H24" ca="1">_xlfn.TEXTJOIN("", TRUE, IF(ISNUMBER(--MID(C24, ROW(INDIRECT("1:"&amp;LEN(C24))), 1)), MID(C24, ROW(INDIRECT("1:"&amp;LEN(C24))), 1), ""))</f>
        <v/>
      </c>
      <c r="I24" s="378"/>
      <c r="J24" s="378">
        <f t="shared" ref="J24:K43" si="3">IF(LEFT(I24,5)="00966", RIGHT(I24,LEN(I24)-5),
    IF(LEFT(I24,4)="+966", RIGHT(I24,LEN(I24)-4),
        IF(LEFT(I24,3)="966", RIGHT(I24,LEN(I24)-3),
            IF(LEFT(I24,1)="0", RIGHT(I24,LEN(I24)-1), I24)
        )
    )
)</f>
        <v>0</v>
      </c>
      <c r="K24" s="378" t="str">
        <f t="shared" si="3"/>
        <v/>
      </c>
      <c r="L24" s="378" t="str">
        <f t="shared" si="1"/>
        <v>أجنبي</v>
      </c>
      <c r="M24" s="436" t="str">
        <f t="shared" si="2"/>
        <v/>
      </c>
      <c r="N24" s="436"/>
      <c r="O24" s="378"/>
      <c r="P24" s="378"/>
      <c r="Q24" s="378"/>
      <c r="R24" s="378"/>
      <c r="S24" s="378"/>
      <c r="T24" s="378"/>
      <c r="U24" s="378">
        <v>22</v>
      </c>
      <c r="V24" s="378"/>
      <c r="W24" s="378"/>
      <c r="X24" s="378"/>
      <c r="Y24" s="378"/>
      <c r="Z24" s="378"/>
      <c r="AA24" s="378"/>
      <c r="AB24" s="378"/>
      <c r="AC24" s="378"/>
      <c r="AD24" s="378"/>
      <c r="AE24" s="378"/>
      <c r="AF24" s="378"/>
      <c r="AG24" s="378"/>
      <c r="AH24" s="378"/>
      <c r="AI24" s="378"/>
      <c r="AJ24" s="378"/>
      <c r="AK24" s="378"/>
      <c r="AL24" s="378"/>
      <c r="AM24" s="378"/>
      <c r="AN24" s="378"/>
      <c r="AO24" s="378"/>
      <c r="AP24" s="378"/>
      <c r="AQ24" s="378"/>
    </row>
    <row r="25" spans="2:43">
      <c r="B25" s="378">
        <v>23</v>
      </c>
      <c r="C25" s="378"/>
      <c r="D25" s="378"/>
      <c r="E25" s="378"/>
      <c r="F25" s="378"/>
      <c r="G25" s="378"/>
      <c r="H25" s="378" t="str">
        <f t="array" aca="1" ref="H25" ca="1">_xlfn.TEXTJOIN("", TRUE, IF(ISNUMBER(--MID(C25, ROW(INDIRECT("1:"&amp;LEN(C25))), 1)), MID(C25, ROW(INDIRECT("1:"&amp;LEN(C25))), 1), ""))</f>
        <v/>
      </c>
      <c r="I25" s="378"/>
      <c r="J25" s="378">
        <f t="shared" si="3"/>
        <v>0</v>
      </c>
      <c r="K25" s="378" t="str">
        <f t="shared" si="3"/>
        <v/>
      </c>
      <c r="L25" s="378" t="str">
        <f t="shared" si="1"/>
        <v>أجنبي</v>
      </c>
      <c r="M25" s="436" t="str">
        <f t="shared" si="2"/>
        <v/>
      </c>
      <c r="N25" s="436"/>
      <c r="O25" s="378"/>
      <c r="P25" s="378"/>
      <c r="Q25" s="378"/>
      <c r="R25" s="378"/>
      <c r="S25" s="378"/>
      <c r="T25" s="378"/>
      <c r="U25" s="378">
        <v>23</v>
      </c>
      <c r="V25" s="378"/>
      <c r="W25" s="378"/>
      <c r="X25" s="378"/>
      <c r="Y25" s="378"/>
      <c r="Z25" s="378"/>
      <c r="AA25" s="378"/>
      <c r="AB25" s="378"/>
      <c r="AC25" s="378"/>
      <c r="AD25" s="378"/>
      <c r="AE25" s="378"/>
      <c r="AF25" s="378"/>
      <c r="AG25" s="378"/>
      <c r="AH25" s="378"/>
      <c r="AI25" s="378"/>
      <c r="AJ25" s="378"/>
      <c r="AK25" s="378"/>
      <c r="AL25" s="378"/>
      <c r="AM25" s="378"/>
      <c r="AN25" s="378"/>
      <c r="AO25" s="378"/>
      <c r="AP25" s="378"/>
      <c r="AQ25" s="378"/>
    </row>
    <row r="26" spans="2:43">
      <c r="B26" s="378">
        <v>24</v>
      </c>
      <c r="C26" s="378"/>
      <c r="D26" s="378"/>
      <c r="E26" s="378"/>
      <c r="F26" s="378"/>
      <c r="G26" s="378"/>
      <c r="H26" s="378" t="str">
        <f t="array" aca="1" ref="H26" ca="1">_xlfn.TEXTJOIN("", TRUE, IF(ISNUMBER(--MID(C26, ROW(INDIRECT("1:"&amp;LEN(C26))), 1)), MID(C26, ROW(INDIRECT("1:"&amp;LEN(C26))), 1), ""))</f>
        <v/>
      </c>
      <c r="I26" s="378"/>
      <c r="J26" s="378">
        <f t="shared" si="3"/>
        <v>0</v>
      </c>
      <c r="K26" s="378" t="str">
        <f t="shared" si="3"/>
        <v/>
      </c>
      <c r="L26" s="378" t="str">
        <f t="shared" si="1"/>
        <v>أجنبي</v>
      </c>
      <c r="M26" s="436" t="str">
        <f t="shared" si="2"/>
        <v/>
      </c>
      <c r="N26" s="436"/>
      <c r="O26" s="378"/>
      <c r="P26" s="378"/>
      <c r="Q26" s="378"/>
      <c r="R26" s="378"/>
      <c r="S26" s="378"/>
      <c r="T26" s="378"/>
      <c r="U26" s="378">
        <v>24</v>
      </c>
      <c r="V26" s="378"/>
      <c r="W26" s="378"/>
      <c r="X26" s="378"/>
      <c r="Y26" s="378"/>
      <c r="Z26" s="378"/>
      <c r="AA26" s="378"/>
      <c r="AB26" s="378"/>
      <c r="AC26" s="378"/>
      <c r="AD26" s="378"/>
      <c r="AE26" s="378"/>
      <c r="AF26" s="378"/>
      <c r="AG26" s="378"/>
      <c r="AH26" s="378"/>
      <c r="AI26" s="378"/>
      <c r="AJ26" s="378"/>
      <c r="AK26" s="378"/>
      <c r="AL26" s="378"/>
      <c r="AM26" s="378"/>
      <c r="AN26" s="378"/>
      <c r="AO26" s="378"/>
      <c r="AP26" s="378"/>
      <c r="AQ26" s="378"/>
    </row>
    <row r="27" spans="2:43">
      <c r="B27" s="378">
        <v>25</v>
      </c>
      <c r="C27" s="378"/>
      <c r="D27" s="378"/>
      <c r="E27" s="378"/>
      <c r="F27" s="378"/>
      <c r="G27" s="378"/>
      <c r="H27" s="378" t="str">
        <f t="array" aca="1" ref="H27" ca="1">_xlfn.TEXTJOIN("", TRUE, IF(ISNUMBER(--MID(C27, ROW(INDIRECT("1:"&amp;LEN(C27))), 1)), MID(C27, ROW(INDIRECT("1:"&amp;LEN(C27))), 1), ""))</f>
        <v/>
      </c>
      <c r="I27" s="378"/>
      <c r="J27" s="378">
        <f t="shared" si="3"/>
        <v>0</v>
      </c>
      <c r="K27" s="378" t="str">
        <f t="shared" si="3"/>
        <v/>
      </c>
      <c r="L27" s="378" t="str">
        <f t="shared" si="1"/>
        <v>أجنبي</v>
      </c>
      <c r="M27" s="436" t="str">
        <f t="shared" si="2"/>
        <v/>
      </c>
      <c r="N27" s="436"/>
      <c r="O27" s="378"/>
      <c r="P27" s="378"/>
      <c r="Q27" s="378"/>
      <c r="R27" s="378"/>
      <c r="S27" s="378"/>
      <c r="T27" s="378"/>
      <c r="U27" s="378">
        <v>25</v>
      </c>
      <c r="V27" s="378"/>
      <c r="W27" s="378"/>
      <c r="X27" s="378"/>
      <c r="Y27" s="378"/>
      <c r="Z27" s="378"/>
      <c r="AA27" s="378"/>
      <c r="AB27" s="378"/>
      <c r="AC27" s="378"/>
      <c r="AD27" s="378"/>
      <c r="AE27" s="378"/>
      <c r="AF27" s="378"/>
      <c r="AG27" s="378"/>
      <c r="AH27" s="378"/>
      <c r="AI27" s="378"/>
      <c r="AJ27" s="378"/>
      <c r="AK27" s="378"/>
      <c r="AL27" s="378"/>
      <c r="AM27" s="378"/>
      <c r="AN27" s="378"/>
      <c r="AO27" s="378"/>
      <c r="AP27" s="378"/>
      <c r="AQ27" s="378"/>
    </row>
    <row r="28" spans="2:43">
      <c r="B28" s="378">
        <v>26</v>
      </c>
      <c r="C28" s="378"/>
      <c r="D28" s="378"/>
      <c r="E28" s="378"/>
      <c r="F28" s="378"/>
      <c r="G28" s="378"/>
      <c r="H28" s="378" t="str">
        <f t="array" aca="1" ref="H28" ca="1">_xlfn.TEXTJOIN("", TRUE, IF(ISNUMBER(--MID(C28, ROW(INDIRECT("1:"&amp;LEN(C28))), 1)), MID(C28, ROW(INDIRECT("1:"&amp;LEN(C28))), 1), ""))</f>
        <v/>
      </c>
      <c r="I28" s="378"/>
      <c r="J28" s="378">
        <f t="shared" si="3"/>
        <v>0</v>
      </c>
      <c r="K28" s="378" t="str">
        <f t="shared" si="3"/>
        <v/>
      </c>
      <c r="L28" s="378" t="str">
        <f t="shared" si="1"/>
        <v>أجنبي</v>
      </c>
      <c r="M28" s="436" t="str">
        <f t="shared" si="2"/>
        <v/>
      </c>
      <c r="N28" s="436"/>
      <c r="O28" s="378"/>
      <c r="P28" s="378"/>
      <c r="Q28" s="378"/>
      <c r="R28" s="378"/>
      <c r="S28" s="378"/>
      <c r="T28" s="378"/>
      <c r="U28" s="378">
        <v>26</v>
      </c>
      <c r="V28" s="378"/>
      <c r="W28" s="378"/>
      <c r="X28" s="378"/>
      <c r="Y28" s="378"/>
      <c r="Z28" s="378"/>
      <c r="AA28" s="378"/>
      <c r="AB28" s="378"/>
      <c r="AC28" s="378"/>
      <c r="AD28" s="378"/>
      <c r="AE28" s="378"/>
      <c r="AF28" s="378"/>
      <c r="AG28" s="378"/>
      <c r="AH28" s="378"/>
      <c r="AI28" s="378"/>
      <c r="AJ28" s="378"/>
      <c r="AK28" s="378"/>
      <c r="AL28" s="378"/>
      <c r="AM28" s="378"/>
      <c r="AN28" s="378"/>
      <c r="AO28" s="378"/>
      <c r="AP28" s="378"/>
      <c r="AQ28" s="378"/>
    </row>
    <row r="29" spans="2:43">
      <c r="B29" s="378">
        <v>27</v>
      </c>
      <c r="C29" s="378"/>
      <c r="D29" s="378"/>
      <c r="E29" s="378"/>
      <c r="F29" s="378"/>
      <c r="G29" s="378"/>
      <c r="H29" s="378" t="str">
        <f t="array" aca="1" ref="H29" ca="1">_xlfn.TEXTJOIN("", TRUE, IF(ISNUMBER(--MID(C29, ROW(INDIRECT("1:"&amp;LEN(C29))), 1)), MID(C29, ROW(INDIRECT("1:"&amp;LEN(C29))), 1), ""))</f>
        <v/>
      </c>
      <c r="I29" s="378"/>
      <c r="J29" s="378">
        <f t="shared" si="3"/>
        <v>0</v>
      </c>
      <c r="K29" s="378" t="str">
        <f t="shared" si="3"/>
        <v/>
      </c>
      <c r="L29" s="378" t="str">
        <f t="shared" si="1"/>
        <v>أجنبي</v>
      </c>
      <c r="M29" s="436" t="str">
        <f t="shared" si="2"/>
        <v/>
      </c>
      <c r="N29" s="436"/>
      <c r="O29" s="378"/>
      <c r="P29" s="378"/>
      <c r="Q29" s="378"/>
      <c r="R29" s="378"/>
      <c r="S29" s="378"/>
      <c r="T29" s="378"/>
      <c r="U29" s="378">
        <v>27</v>
      </c>
      <c r="V29" s="378"/>
      <c r="W29" s="378"/>
      <c r="X29" s="378"/>
      <c r="Y29" s="378"/>
      <c r="Z29" s="378"/>
      <c r="AA29" s="378"/>
      <c r="AB29" s="378"/>
      <c r="AC29" s="378"/>
      <c r="AD29" s="378"/>
      <c r="AE29" s="378"/>
      <c r="AF29" s="378"/>
      <c r="AG29" s="378"/>
      <c r="AH29" s="378"/>
      <c r="AI29" s="378"/>
      <c r="AJ29" s="378"/>
      <c r="AK29" s="378"/>
      <c r="AL29" s="378"/>
      <c r="AM29" s="378"/>
      <c r="AN29" s="378"/>
      <c r="AO29" s="378"/>
      <c r="AP29" s="378"/>
      <c r="AQ29" s="378"/>
    </row>
    <row r="30" spans="2:43">
      <c r="B30" s="378">
        <v>28</v>
      </c>
      <c r="C30" s="378"/>
      <c r="D30" s="378"/>
      <c r="E30" s="378"/>
      <c r="F30" s="378"/>
      <c r="G30" s="378"/>
      <c r="H30" s="378" t="str">
        <f t="array" aca="1" ref="H30" ca="1">_xlfn.TEXTJOIN("", TRUE, IF(ISNUMBER(--MID(C30, ROW(INDIRECT("1:"&amp;LEN(C30))), 1)), MID(C30, ROW(INDIRECT("1:"&amp;LEN(C30))), 1), ""))</f>
        <v/>
      </c>
      <c r="I30" s="378"/>
      <c r="J30" s="378">
        <f t="shared" si="3"/>
        <v>0</v>
      </c>
      <c r="K30" s="378" t="str">
        <f t="shared" si="3"/>
        <v/>
      </c>
      <c r="L30" s="378" t="str">
        <f t="shared" si="1"/>
        <v>أجنبي</v>
      </c>
      <c r="M30" s="436" t="str">
        <f t="shared" si="2"/>
        <v/>
      </c>
      <c r="N30" s="436"/>
      <c r="O30" s="378"/>
      <c r="P30" s="378"/>
      <c r="Q30" s="378"/>
      <c r="R30" s="378"/>
      <c r="S30" s="378"/>
      <c r="T30" s="378"/>
      <c r="U30" s="378">
        <v>28</v>
      </c>
      <c r="V30" s="378"/>
      <c r="W30" s="378"/>
      <c r="X30" s="378"/>
      <c r="Y30" s="378"/>
      <c r="Z30" s="378"/>
      <c r="AA30" s="378"/>
      <c r="AB30" s="378"/>
      <c r="AC30" s="378"/>
      <c r="AD30" s="378"/>
      <c r="AE30" s="378"/>
      <c r="AF30" s="378"/>
      <c r="AG30" s="378"/>
      <c r="AH30" s="378"/>
      <c r="AI30" s="378"/>
      <c r="AJ30" s="378"/>
      <c r="AK30" s="378"/>
      <c r="AL30" s="378"/>
      <c r="AM30" s="378"/>
      <c r="AN30" s="378"/>
      <c r="AO30" s="378"/>
      <c r="AP30" s="378"/>
      <c r="AQ30" s="378"/>
    </row>
    <row r="31" spans="2:43">
      <c r="B31" s="378">
        <v>29</v>
      </c>
      <c r="C31" s="378"/>
      <c r="D31" s="378"/>
      <c r="E31" s="378"/>
      <c r="F31" s="378"/>
      <c r="G31" s="378"/>
      <c r="H31" s="378" t="str">
        <f t="array" aca="1" ref="H31" ca="1">_xlfn.TEXTJOIN("", TRUE, IF(ISNUMBER(--MID(C31, ROW(INDIRECT("1:"&amp;LEN(C31))), 1)), MID(C31, ROW(INDIRECT("1:"&amp;LEN(C31))), 1), ""))</f>
        <v/>
      </c>
      <c r="I31" s="378"/>
      <c r="J31" s="378">
        <f t="shared" si="3"/>
        <v>0</v>
      </c>
      <c r="K31" s="378" t="str">
        <f t="shared" si="3"/>
        <v/>
      </c>
      <c r="L31" s="378" t="str">
        <f t="shared" si="1"/>
        <v>أجنبي</v>
      </c>
      <c r="M31" s="436" t="str">
        <f t="shared" si="2"/>
        <v/>
      </c>
      <c r="N31" s="436"/>
      <c r="O31" s="378"/>
      <c r="P31" s="378"/>
      <c r="Q31" s="378"/>
      <c r="R31" s="378"/>
      <c r="S31" s="378"/>
      <c r="T31" s="378"/>
      <c r="U31" s="378">
        <v>29</v>
      </c>
      <c r="V31" s="378"/>
      <c r="W31" s="378"/>
      <c r="X31" s="378"/>
      <c r="Y31" s="378"/>
      <c r="Z31" s="378"/>
      <c r="AA31" s="378"/>
      <c r="AB31" s="378"/>
      <c r="AC31" s="378"/>
      <c r="AD31" s="378"/>
      <c r="AE31" s="378"/>
      <c r="AF31" s="378"/>
      <c r="AG31" s="378"/>
      <c r="AH31" s="378"/>
      <c r="AI31" s="378"/>
      <c r="AJ31" s="378"/>
      <c r="AK31" s="378"/>
      <c r="AL31" s="378"/>
      <c r="AM31" s="378"/>
      <c r="AN31" s="378"/>
      <c r="AO31" s="378"/>
      <c r="AP31" s="378"/>
      <c r="AQ31" s="378"/>
    </row>
    <row r="32" spans="2:43">
      <c r="B32" s="378">
        <v>30</v>
      </c>
      <c r="C32" s="378"/>
      <c r="D32" s="378"/>
      <c r="E32" s="378"/>
      <c r="F32" s="378"/>
      <c r="G32" s="378"/>
      <c r="H32" s="378" t="str">
        <f t="array" aca="1" ref="H32" ca="1">_xlfn.TEXTJOIN("", TRUE, IF(ISNUMBER(--MID(C32, ROW(INDIRECT("1:"&amp;LEN(C32))), 1)), MID(C32, ROW(INDIRECT("1:"&amp;LEN(C32))), 1), ""))</f>
        <v/>
      </c>
      <c r="I32" s="378"/>
      <c r="J32" s="378">
        <f t="shared" si="3"/>
        <v>0</v>
      </c>
      <c r="K32" s="378" t="str">
        <f t="shared" si="3"/>
        <v/>
      </c>
      <c r="L32" s="378" t="str">
        <f t="shared" si="1"/>
        <v>أجنبي</v>
      </c>
      <c r="M32" s="436" t="str">
        <f t="shared" si="2"/>
        <v/>
      </c>
      <c r="N32" s="436"/>
      <c r="O32" s="378"/>
      <c r="P32" s="378"/>
      <c r="Q32" s="378"/>
      <c r="R32" s="378"/>
      <c r="S32" s="378"/>
      <c r="T32" s="378"/>
      <c r="U32" s="378">
        <v>30</v>
      </c>
      <c r="V32" s="378"/>
      <c r="W32" s="378"/>
      <c r="X32" s="378"/>
      <c r="Y32" s="378"/>
      <c r="Z32" s="378"/>
      <c r="AA32" s="378"/>
      <c r="AB32" s="378"/>
      <c r="AC32" s="378"/>
      <c r="AD32" s="378"/>
      <c r="AE32" s="378"/>
      <c r="AF32" s="378"/>
      <c r="AG32" s="378"/>
      <c r="AH32" s="378"/>
      <c r="AI32" s="378"/>
      <c r="AJ32" s="378"/>
      <c r="AK32" s="378"/>
      <c r="AL32" s="378"/>
      <c r="AM32" s="378"/>
      <c r="AN32" s="378"/>
      <c r="AO32" s="378"/>
      <c r="AP32" s="378"/>
      <c r="AQ32" s="378"/>
    </row>
    <row r="33" spans="2:43">
      <c r="B33" s="378">
        <v>31</v>
      </c>
      <c r="C33" s="378"/>
      <c r="D33" s="378"/>
      <c r="E33" s="378"/>
      <c r="F33" s="378"/>
      <c r="G33" s="378"/>
      <c r="H33" s="378" t="str">
        <f t="array" aca="1" ref="H33" ca="1">_xlfn.TEXTJOIN("", TRUE, IF(ISNUMBER(--MID(C33, ROW(INDIRECT("1:"&amp;LEN(C33))), 1)), MID(C33, ROW(INDIRECT("1:"&amp;LEN(C33))), 1), ""))</f>
        <v/>
      </c>
      <c r="I33" s="378"/>
      <c r="J33" s="378">
        <f t="shared" si="3"/>
        <v>0</v>
      </c>
      <c r="K33" s="378" t="str">
        <f t="shared" si="3"/>
        <v/>
      </c>
      <c r="L33" s="378" t="str">
        <f t="shared" si="1"/>
        <v>أجنبي</v>
      </c>
      <c r="M33" s="436" t="str">
        <f t="shared" si="2"/>
        <v/>
      </c>
      <c r="N33" s="436"/>
      <c r="O33" s="378"/>
      <c r="P33" s="378"/>
      <c r="Q33" s="378"/>
      <c r="R33" s="378"/>
      <c r="S33" s="378"/>
      <c r="T33" s="378"/>
      <c r="U33" s="378">
        <v>31</v>
      </c>
      <c r="V33" s="378"/>
      <c r="W33" s="378"/>
      <c r="X33" s="378"/>
      <c r="Y33" s="378"/>
      <c r="Z33" s="378"/>
      <c r="AA33" s="378"/>
      <c r="AB33" s="378"/>
      <c r="AC33" s="378"/>
      <c r="AD33" s="378"/>
      <c r="AE33" s="378"/>
      <c r="AF33" s="378"/>
      <c r="AG33" s="378"/>
      <c r="AH33" s="378"/>
      <c r="AI33" s="378"/>
      <c r="AJ33" s="378"/>
      <c r="AK33" s="378"/>
      <c r="AL33" s="378"/>
      <c r="AM33" s="378"/>
      <c r="AN33" s="378"/>
      <c r="AO33" s="378"/>
      <c r="AP33" s="378"/>
      <c r="AQ33" s="378"/>
    </row>
    <row r="34" spans="2:43">
      <c r="B34" s="378">
        <v>32</v>
      </c>
      <c r="C34" s="378"/>
      <c r="D34" s="378"/>
      <c r="E34" s="378"/>
      <c r="F34" s="378"/>
      <c r="G34" s="378"/>
      <c r="H34" s="378" t="str">
        <f t="array" aca="1" ref="H34" ca="1">_xlfn.TEXTJOIN("", TRUE, IF(ISNUMBER(--MID(C34, ROW(INDIRECT("1:"&amp;LEN(C34))), 1)), MID(C34, ROW(INDIRECT("1:"&amp;LEN(C34))), 1), ""))</f>
        <v/>
      </c>
      <c r="I34" s="378"/>
      <c r="J34" s="378">
        <f t="shared" si="3"/>
        <v>0</v>
      </c>
      <c r="K34" s="378" t="str">
        <f t="shared" si="3"/>
        <v/>
      </c>
      <c r="L34" s="378" t="str">
        <f t="shared" si="1"/>
        <v>أجنبي</v>
      </c>
      <c r="M34" s="436" t="str">
        <f t="shared" si="2"/>
        <v/>
      </c>
      <c r="N34" s="436"/>
      <c r="O34" s="378"/>
      <c r="P34" s="378"/>
      <c r="Q34" s="378"/>
      <c r="R34" s="378"/>
      <c r="S34" s="378"/>
      <c r="T34" s="378"/>
      <c r="U34" s="378">
        <v>32</v>
      </c>
      <c r="V34" s="378"/>
      <c r="W34" s="378"/>
      <c r="X34" s="378"/>
      <c r="Y34" s="378"/>
      <c r="Z34" s="378"/>
      <c r="AA34" s="378"/>
      <c r="AB34" s="378"/>
      <c r="AC34" s="378"/>
      <c r="AD34" s="378"/>
      <c r="AE34" s="378"/>
      <c r="AF34" s="378"/>
      <c r="AG34" s="378"/>
      <c r="AH34" s="378"/>
      <c r="AI34" s="378"/>
      <c r="AJ34" s="378"/>
      <c r="AK34" s="378"/>
      <c r="AL34" s="378"/>
      <c r="AM34" s="378"/>
      <c r="AN34" s="378"/>
      <c r="AO34" s="378"/>
      <c r="AP34" s="378"/>
      <c r="AQ34" s="378"/>
    </row>
    <row r="35" spans="2:43">
      <c r="B35" s="378">
        <v>33</v>
      </c>
      <c r="C35" s="378"/>
      <c r="D35" s="378"/>
      <c r="E35" s="378"/>
      <c r="F35" s="378"/>
      <c r="G35" s="378"/>
      <c r="H35" s="378" t="str">
        <f t="array" aca="1" ref="H35" ca="1">_xlfn.TEXTJOIN("", TRUE, IF(ISNUMBER(--MID(C35, ROW(INDIRECT("1:"&amp;LEN(C35))), 1)), MID(C35, ROW(INDIRECT("1:"&amp;LEN(C35))), 1), ""))</f>
        <v/>
      </c>
      <c r="I35" s="378"/>
      <c r="J35" s="378">
        <f t="shared" si="3"/>
        <v>0</v>
      </c>
      <c r="K35" s="378" t="str">
        <f t="shared" si="3"/>
        <v/>
      </c>
      <c r="L35" s="378" t="str">
        <f t="shared" si="1"/>
        <v>أجنبي</v>
      </c>
      <c r="M35" s="436" t="str">
        <f t="shared" si="2"/>
        <v/>
      </c>
      <c r="N35" s="436"/>
      <c r="O35" s="378"/>
      <c r="P35" s="378"/>
      <c r="Q35" s="378"/>
      <c r="R35" s="378"/>
      <c r="S35" s="378"/>
      <c r="T35" s="378"/>
      <c r="U35" s="378">
        <v>33</v>
      </c>
      <c r="V35" s="378"/>
      <c r="W35" s="378"/>
      <c r="X35" s="378"/>
      <c r="Y35" s="378"/>
      <c r="Z35" s="378"/>
      <c r="AA35" s="378"/>
      <c r="AB35" s="378"/>
      <c r="AC35" s="378"/>
      <c r="AD35" s="378"/>
      <c r="AE35" s="378"/>
      <c r="AF35" s="378"/>
      <c r="AG35" s="378"/>
      <c r="AH35" s="378"/>
      <c r="AI35" s="378"/>
      <c r="AJ35" s="378"/>
      <c r="AK35" s="378"/>
      <c r="AL35" s="378"/>
      <c r="AM35" s="378"/>
      <c r="AN35" s="378"/>
      <c r="AO35" s="378"/>
      <c r="AP35" s="378"/>
      <c r="AQ35" s="378"/>
    </row>
    <row r="36" spans="2:43">
      <c r="B36" s="378">
        <v>34</v>
      </c>
      <c r="C36" s="378"/>
      <c r="D36" s="378"/>
      <c r="E36" s="378"/>
      <c r="F36" s="378"/>
      <c r="G36" s="378"/>
      <c r="H36" s="378" t="str">
        <f t="array" aca="1" ref="H36" ca="1">_xlfn.TEXTJOIN("", TRUE, IF(ISNUMBER(--MID(C36, ROW(INDIRECT("1:"&amp;LEN(C36))), 1)), MID(C36, ROW(INDIRECT("1:"&amp;LEN(C36))), 1), ""))</f>
        <v/>
      </c>
      <c r="I36" s="378"/>
      <c r="J36" s="378">
        <f t="shared" si="3"/>
        <v>0</v>
      </c>
      <c r="K36" s="378" t="str">
        <f t="shared" si="3"/>
        <v/>
      </c>
      <c r="L36" s="378" t="str">
        <f t="shared" ref="L36:L67" si="4">IF(LEFT(K36,1)="5",
    IF(LEN(K36)=9,"سعودي - صحيح",
        IF(LEN(K36)&lt;9,"سعودي - ناقص "&amp;(9-LEN(K36)),"سعودي - زائد "&amp;(LEN(K36)-9))
    ),
"أجنبي")</f>
        <v>أجنبي</v>
      </c>
      <c r="M36" s="436" t="str">
        <f t="shared" ref="M36:M67" si="5">IF(LEFT(K36,1)="5","966"&amp;K36,K36)</f>
        <v/>
      </c>
      <c r="N36" s="436"/>
      <c r="O36" s="378"/>
      <c r="P36" s="378"/>
      <c r="Q36" s="378"/>
      <c r="R36" s="378"/>
      <c r="S36" s="378"/>
      <c r="T36" s="378"/>
      <c r="U36" s="378">
        <v>34</v>
      </c>
      <c r="V36" s="378"/>
      <c r="W36" s="378"/>
      <c r="X36" s="378"/>
      <c r="Y36" s="378"/>
      <c r="Z36" s="378"/>
      <c r="AA36" s="378"/>
      <c r="AB36" s="378"/>
      <c r="AC36" s="378"/>
      <c r="AD36" s="378"/>
      <c r="AE36" s="378"/>
      <c r="AF36" s="378"/>
      <c r="AG36" s="378"/>
      <c r="AH36" s="378"/>
      <c r="AI36" s="378"/>
      <c r="AJ36" s="378"/>
      <c r="AK36" s="378"/>
      <c r="AL36" s="378"/>
      <c r="AM36" s="378"/>
      <c r="AN36" s="378"/>
      <c r="AO36" s="378"/>
      <c r="AP36" s="378"/>
      <c r="AQ36" s="378"/>
    </row>
    <row r="37" spans="2:43">
      <c r="B37" s="378">
        <v>35</v>
      </c>
      <c r="C37" s="378"/>
      <c r="D37" s="378"/>
      <c r="E37" s="378"/>
      <c r="F37" s="378"/>
      <c r="G37" s="378"/>
      <c r="H37" s="378" t="str">
        <f t="array" aca="1" ref="H37" ca="1">_xlfn.TEXTJOIN("", TRUE, IF(ISNUMBER(--MID(C37, ROW(INDIRECT("1:"&amp;LEN(C37))), 1)), MID(C37, ROW(INDIRECT("1:"&amp;LEN(C37))), 1), ""))</f>
        <v/>
      </c>
      <c r="I37" s="378"/>
      <c r="J37" s="378">
        <f t="shared" si="3"/>
        <v>0</v>
      </c>
      <c r="K37" s="378" t="str">
        <f t="shared" si="3"/>
        <v/>
      </c>
      <c r="L37" s="378" t="str">
        <f t="shared" si="4"/>
        <v>أجنبي</v>
      </c>
      <c r="M37" s="436" t="str">
        <f t="shared" si="5"/>
        <v/>
      </c>
      <c r="N37" s="436"/>
      <c r="O37" s="378"/>
      <c r="P37" s="378"/>
      <c r="Q37" s="378"/>
      <c r="R37" s="378"/>
      <c r="S37" s="378"/>
      <c r="T37" s="378"/>
      <c r="U37" s="378">
        <v>35</v>
      </c>
      <c r="V37" s="378"/>
      <c r="W37" s="378"/>
      <c r="X37" s="378"/>
      <c r="Y37" s="378"/>
      <c r="Z37" s="378"/>
      <c r="AA37" s="378"/>
      <c r="AB37" s="378"/>
      <c r="AC37" s="378"/>
      <c r="AD37" s="378"/>
      <c r="AE37" s="378"/>
      <c r="AF37" s="378"/>
      <c r="AG37" s="378"/>
      <c r="AH37" s="378"/>
      <c r="AI37" s="378"/>
      <c r="AJ37" s="378"/>
      <c r="AK37" s="378"/>
      <c r="AL37" s="378"/>
      <c r="AM37" s="378"/>
      <c r="AN37" s="378"/>
      <c r="AO37" s="378"/>
      <c r="AP37" s="378"/>
      <c r="AQ37" s="378"/>
    </row>
    <row r="38" spans="2:43">
      <c r="B38" s="378">
        <v>36</v>
      </c>
      <c r="C38" s="378"/>
      <c r="D38" s="378"/>
      <c r="E38" s="378"/>
      <c r="F38" s="378"/>
      <c r="G38" s="378"/>
      <c r="H38" s="378" t="str">
        <f t="array" aca="1" ref="H38" ca="1">_xlfn.TEXTJOIN("", TRUE, IF(ISNUMBER(--MID(C38, ROW(INDIRECT("1:"&amp;LEN(C38))), 1)), MID(C38, ROW(INDIRECT("1:"&amp;LEN(C38))), 1), ""))</f>
        <v/>
      </c>
      <c r="I38" s="378"/>
      <c r="J38" s="378">
        <f t="shared" si="3"/>
        <v>0</v>
      </c>
      <c r="K38" s="378" t="str">
        <f t="shared" si="3"/>
        <v/>
      </c>
      <c r="L38" s="378" t="str">
        <f t="shared" si="4"/>
        <v>أجنبي</v>
      </c>
      <c r="M38" s="436" t="str">
        <f t="shared" si="5"/>
        <v/>
      </c>
      <c r="N38" s="436"/>
      <c r="O38" s="378"/>
      <c r="P38" s="378"/>
      <c r="Q38" s="378"/>
      <c r="R38" s="378"/>
      <c r="S38" s="378"/>
      <c r="T38" s="378"/>
      <c r="U38" s="378">
        <v>36</v>
      </c>
      <c r="V38" s="378"/>
      <c r="W38" s="378"/>
      <c r="X38" s="378"/>
      <c r="Y38" s="378"/>
      <c r="Z38" s="378"/>
      <c r="AA38" s="378"/>
      <c r="AB38" s="378"/>
      <c r="AC38" s="378"/>
      <c r="AD38" s="378"/>
      <c r="AE38" s="378"/>
      <c r="AF38" s="378"/>
      <c r="AG38" s="378"/>
      <c r="AH38" s="378"/>
      <c r="AI38" s="378"/>
      <c r="AJ38" s="378"/>
      <c r="AK38" s="378"/>
      <c r="AL38" s="378"/>
      <c r="AM38" s="378"/>
      <c r="AN38" s="378"/>
      <c r="AO38" s="378"/>
      <c r="AP38" s="378"/>
      <c r="AQ38" s="378"/>
    </row>
    <row r="39" spans="2:43">
      <c r="B39" s="378">
        <v>37</v>
      </c>
      <c r="C39" s="378"/>
      <c r="D39" s="378"/>
      <c r="E39" s="378"/>
      <c r="F39" s="378"/>
      <c r="G39" s="378"/>
      <c r="H39" s="378" t="str">
        <f t="array" aca="1" ref="H39" ca="1">_xlfn.TEXTJOIN("", TRUE, IF(ISNUMBER(--MID(C39, ROW(INDIRECT("1:"&amp;LEN(C39))), 1)), MID(C39, ROW(INDIRECT("1:"&amp;LEN(C39))), 1), ""))</f>
        <v/>
      </c>
      <c r="I39" s="378"/>
      <c r="J39" s="378">
        <f t="shared" si="3"/>
        <v>0</v>
      </c>
      <c r="K39" s="378" t="str">
        <f t="shared" si="3"/>
        <v/>
      </c>
      <c r="L39" s="378" t="str">
        <f t="shared" si="4"/>
        <v>أجنبي</v>
      </c>
      <c r="M39" s="436" t="str">
        <f t="shared" si="5"/>
        <v/>
      </c>
      <c r="N39" s="436"/>
      <c r="O39" s="378"/>
      <c r="P39" s="378"/>
      <c r="Q39" s="378"/>
      <c r="R39" s="378"/>
      <c r="S39" s="378"/>
      <c r="T39" s="378"/>
      <c r="U39" s="378">
        <v>37</v>
      </c>
      <c r="V39" s="378"/>
      <c r="W39" s="378"/>
      <c r="X39" s="378"/>
      <c r="Y39" s="378"/>
      <c r="Z39" s="378"/>
      <c r="AA39" s="378"/>
      <c r="AB39" s="378"/>
      <c r="AC39" s="378"/>
      <c r="AD39" s="378"/>
      <c r="AE39" s="378"/>
      <c r="AF39" s="378"/>
      <c r="AG39" s="378"/>
      <c r="AH39" s="378"/>
      <c r="AI39" s="378"/>
      <c r="AJ39" s="378"/>
      <c r="AK39" s="378"/>
      <c r="AL39" s="378"/>
      <c r="AM39" s="378"/>
      <c r="AN39" s="378"/>
      <c r="AO39" s="378"/>
      <c r="AP39" s="378"/>
      <c r="AQ39" s="378"/>
    </row>
    <row r="40" spans="2:43">
      <c r="B40" s="378">
        <v>38</v>
      </c>
      <c r="C40" s="378"/>
      <c r="D40" s="378"/>
      <c r="E40" s="378"/>
      <c r="F40" s="378"/>
      <c r="G40" s="378"/>
      <c r="H40" s="378" t="str">
        <f t="array" aca="1" ref="H40" ca="1">_xlfn.TEXTJOIN("", TRUE, IF(ISNUMBER(--MID(C40, ROW(INDIRECT("1:"&amp;LEN(C40))), 1)), MID(C40, ROW(INDIRECT("1:"&amp;LEN(C40))), 1), ""))</f>
        <v/>
      </c>
      <c r="I40" s="378"/>
      <c r="J40" s="378">
        <f t="shared" si="3"/>
        <v>0</v>
      </c>
      <c r="K40" s="378" t="str">
        <f t="shared" si="3"/>
        <v/>
      </c>
      <c r="L40" s="378" t="str">
        <f t="shared" si="4"/>
        <v>أجنبي</v>
      </c>
      <c r="M40" s="436" t="str">
        <f t="shared" si="5"/>
        <v/>
      </c>
      <c r="N40" s="436"/>
      <c r="O40" s="378"/>
      <c r="P40" s="378"/>
      <c r="Q40" s="378"/>
      <c r="R40" s="378"/>
      <c r="S40" s="378"/>
      <c r="T40" s="378"/>
      <c r="U40" s="378">
        <v>38</v>
      </c>
      <c r="V40" s="378"/>
      <c r="W40" s="378"/>
      <c r="X40" s="378"/>
      <c r="Y40" s="378"/>
      <c r="Z40" s="378"/>
      <c r="AA40" s="378"/>
      <c r="AB40" s="378"/>
      <c r="AC40" s="378"/>
      <c r="AD40" s="378"/>
      <c r="AE40" s="378"/>
      <c r="AF40" s="378"/>
      <c r="AG40" s="378"/>
      <c r="AH40" s="378"/>
      <c r="AI40" s="378"/>
      <c r="AJ40" s="378"/>
      <c r="AK40" s="378"/>
      <c r="AL40" s="378"/>
      <c r="AM40" s="378"/>
      <c r="AN40" s="378"/>
      <c r="AO40" s="378"/>
      <c r="AP40" s="378"/>
      <c r="AQ40" s="378"/>
    </row>
    <row r="41" spans="2:43">
      <c r="B41" s="378">
        <v>39</v>
      </c>
      <c r="C41" s="378"/>
      <c r="D41" s="378"/>
      <c r="E41" s="378"/>
      <c r="F41" s="378"/>
      <c r="G41" s="378"/>
      <c r="H41" s="378" t="str">
        <f t="array" aca="1" ref="H41" ca="1">_xlfn.TEXTJOIN("", TRUE, IF(ISNUMBER(--MID(C41, ROW(INDIRECT("1:"&amp;LEN(C41))), 1)), MID(C41, ROW(INDIRECT("1:"&amp;LEN(C41))), 1), ""))</f>
        <v/>
      </c>
      <c r="I41" s="378"/>
      <c r="J41" s="378">
        <f t="shared" si="3"/>
        <v>0</v>
      </c>
      <c r="K41" s="378" t="str">
        <f t="shared" si="3"/>
        <v/>
      </c>
      <c r="L41" s="378" t="str">
        <f t="shared" si="4"/>
        <v>أجنبي</v>
      </c>
      <c r="M41" s="436" t="str">
        <f t="shared" si="5"/>
        <v/>
      </c>
      <c r="N41" s="436"/>
      <c r="O41" s="378"/>
      <c r="P41" s="378"/>
      <c r="Q41" s="378"/>
      <c r="R41" s="378"/>
      <c r="S41" s="378"/>
      <c r="T41" s="378"/>
      <c r="U41" s="378">
        <v>39</v>
      </c>
      <c r="V41" s="378"/>
      <c r="W41" s="378"/>
      <c r="X41" s="378"/>
      <c r="Y41" s="378"/>
      <c r="Z41" s="378"/>
      <c r="AA41" s="378"/>
      <c r="AB41" s="378"/>
      <c r="AC41" s="378"/>
      <c r="AD41" s="378"/>
      <c r="AE41" s="378"/>
      <c r="AF41" s="378"/>
      <c r="AG41" s="378"/>
      <c r="AH41" s="378"/>
      <c r="AI41" s="378"/>
      <c r="AJ41" s="378"/>
      <c r="AK41" s="378"/>
      <c r="AL41" s="378"/>
      <c r="AM41" s="378"/>
      <c r="AN41" s="378"/>
      <c r="AO41" s="378"/>
      <c r="AP41" s="378"/>
      <c r="AQ41" s="378"/>
    </row>
    <row r="42" spans="2:43">
      <c r="B42" s="378">
        <v>40</v>
      </c>
      <c r="C42" s="378"/>
      <c r="D42" s="378"/>
      <c r="E42" s="378"/>
      <c r="F42" s="378"/>
      <c r="G42" s="378"/>
      <c r="H42" s="378" t="str">
        <f t="array" aca="1" ref="H42" ca="1">_xlfn.TEXTJOIN("", TRUE, IF(ISNUMBER(--MID(C42, ROW(INDIRECT("1:"&amp;LEN(C42))), 1)), MID(C42, ROW(INDIRECT("1:"&amp;LEN(C42))), 1), ""))</f>
        <v/>
      </c>
      <c r="I42" s="378"/>
      <c r="J42" s="378">
        <f t="shared" si="3"/>
        <v>0</v>
      </c>
      <c r="K42" s="378" t="str">
        <f t="shared" si="3"/>
        <v/>
      </c>
      <c r="L42" s="378" t="str">
        <f t="shared" si="4"/>
        <v>أجنبي</v>
      </c>
      <c r="M42" s="436" t="str">
        <f t="shared" si="5"/>
        <v/>
      </c>
      <c r="N42" s="436"/>
      <c r="O42" s="378"/>
      <c r="P42" s="378"/>
      <c r="Q42" s="378"/>
      <c r="R42" s="378"/>
      <c r="S42" s="378"/>
      <c r="T42" s="378"/>
      <c r="U42" s="378">
        <v>40</v>
      </c>
      <c r="V42" s="378"/>
      <c r="W42" s="378"/>
      <c r="X42" s="378"/>
      <c r="Y42" s="378"/>
      <c r="Z42" s="378"/>
      <c r="AA42" s="378"/>
      <c r="AB42" s="378"/>
      <c r="AC42" s="378"/>
      <c r="AD42" s="378"/>
      <c r="AE42" s="378"/>
      <c r="AF42" s="378"/>
      <c r="AG42" s="378"/>
      <c r="AH42" s="378"/>
      <c r="AI42" s="378"/>
      <c r="AJ42" s="378"/>
      <c r="AK42" s="378"/>
      <c r="AL42" s="378"/>
      <c r="AM42" s="378"/>
      <c r="AN42" s="378"/>
      <c r="AO42" s="378"/>
      <c r="AP42" s="378"/>
      <c r="AQ42" s="378"/>
    </row>
    <row r="43" spans="2:43">
      <c r="B43" s="378">
        <v>41</v>
      </c>
      <c r="C43" s="378"/>
      <c r="D43" s="378"/>
      <c r="E43" s="378"/>
      <c r="F43" s="378"/>
      <c r="G43" s="378"/>
      <c r="H43" s="378" t="str">
        <f t="array" aca="1" ref="H43" ca="1">_xlfn.TEXTJOIN("", TRUE, IF(ISNUMBER(--MID(C43, ROW(INDIRECT("1:"&amp;LEN(C43))), 1)), MID(C43, ROW(INDIRECT("1:"&amp;LEN(C43))), 1), ""))</f>
        <v/>
      </c>
      <c r="I43" s="378"/>
      <c r="J43" s="378">
        <f t="shared" si="3"/>
        <v>0</v>
      </c>
      <c r="K43" s="378" t="str">
        <f t="shared" si="3"/>
        <v/>
      </c>
      <c r="L43" s="378" t="str">
        <f t="shared" si="4"/>
        <v>أجنبي</v>
      </c>
      <c r="M43" s="436" t="str">
        <f t="shared" si="5"/>
        <v/>
      </c>
      <c r="N43" s="436"/>
      <c r="O43" s="378"/>
      <c r="P43" s="378"/>
      <c r="Q43" s="378"/>
      <c r="R43" s="378"/>
      <c r="S43" s="378"/>
      <c r="T43" s="378"/>
      <c r="U43" s="378">
        <v>41</v>
      </c>
      <c r="V43" s="378"/>
      <c r="W43" s="378"/>
      <c r="X43" s="378"/>
      <c r="Y43" s="378"/>
      <c r="Z43" s="378"/>
      <c r="AA43" s="378"/>
      <c r="AB43" s="378"/>
      <c r="AC43" s="378"/>
      <c r="AD43" s="378"/>
      <c r="AE43" s="378"/>
      <c r="AF43" s="378"/>
      <c r="AG43" s="378"/>
      <c r="AH43" s="378"/>
      <c r="AI43" s="378"/>
      <c r="AJ43" s="378"/>
      <c r="AK43" s="378"/>
      <c r="AL43" s="378"/>
      <c r="AM43" s="378"/>
      <c r="AN43" s="378"/>
      <c r="AO43" s="378"/>
      <c r="AP43" s="378"/>
      <c r="AQ43" s="378"/>
    </row>
    <row r="44" spans="2:43">
      <c r="B44" s="378">
        <v>42</v>
      </c>
      <c r="C44" s="378"/>
      <c r="D44" s="378"/>
      <c r="E44" s="378"/>
      <c r="F44" s="378"/>
      <c r="G44" s="378"/>
      <c r="H44" s="378" t="str">
        <f t="array" aca="1" ref="H44" ca="1">_xlfn.TEXTJOIN("", TRUE, IF(ISNUMBER(--MID(C44, ROW(INDIRECT("1:"&amp;LEN(C44))), 1)), MID(C44, ROW(INDIRECT("1:"&amp;LEN(C44))), 1), ""))</f>
        <v/>
      </c>
      <c r="I44" s="378"/>
      <c r="J44" s="378">
        <f t="shared" ref="J44:K63" si="6">IF(LEFT(I44,5)="00966", RIGHT(I44,LEN(I44)-5),
    IF(LEFT(I44,4)="+966", RIGHT(I44,LEN(I44)-4),
        IF(LEFT(I44,3)="966", RIGHT(I44,LEN(I44)-3),
            IF(LEFT(I44,1)="0", RIGHT(I44,LEN(I44)-1), I44)
        )
    )
)</f>
        <v>0</v>
      </c>
      <c r="K44" s="378" t="str">
        <f t="shared" si="6"/>
        <v/>
      </c>
      <c r="L44" s="378" t="str">
        <f t="shared" si="4"/>
        <v>أجنبي</v>
      </c>
      <c r="M44" s="436" t="str">
        <f t="shared" si="5"/>
        <v/>
      </c>
      <c r="N44" s="436"/>
      <c r="O44" s="378"/>
      <c r="P44" s="378"/>
      <c r="Q44" s="378"/>
      <c r="R44" s="378"/>
      <c r="S44" s="378"/>
      <c r="T44" s="378"/>
      <c r="U44" s="378">
        <v>42</v>
      </c>
      <c r="V44" s="378"/>
      <c r="W44" s="378"/>
      <c r="X44" s="378"/>
      <c r="Y44" s="378"/>
      <c r="Z44" s="378"/>
      <c r="AA44" s="378"/>
      <c r="AB44" s="378"/>
      <c r="AC44" s="378"/>
      <c r="AD44" s="378"/>
      <c r="AE44" s="378"/>
      <c r="AF44" s="378"/>
      <c r="AG44" s="378"/>
      <c r="AH44" s="378"/>
      <c r="AI44" s="378"/>
      <c r="AJ44" s="378"/>
      <c r="AK44" s="378"/>
      <c r="AL44" s="378"/>
      <c r="AM44" s="378"/>
      <c r="AN44" s="378"/>
      <c r="AO44" s="378"/>
      <c r="AP44" s="378"/>
      <c r="AQ44" s="378"/>
    </row>
    <row r="45" spans="2:43">
      <c r="B45" s="378">
        <v>43</v>
      </c>
      <c r="C45" s="378"/>
      <c r="D45" s="378"/>
      <c r="E45" s="378"/>
      <c r="F45" s="378"/>
      <c r="G45" s="378"/>
      <c r="H45" s="378" t="str">
        <f t="array" aca="1" ref="H45" ca="1">_xlfn.TEXTJOIN("", TRUE, IF(ISNUMBER(--MID(C45, ROW(INDIRECT("1:"&amp;LEN(C45))), 1)), MID(C45, ROW(INDIRECT("1:"&amp;LEN(C45))), 1), ""))</f>
        <v/>
      </c>
      <c r="I45" s="378"/>
      <c r="J45" s="378">
        <f t="shared" si="6"/>
        <v>0</v>
      </c>
      <c r="K45" s="378" t="str">
        <f t="shared" si="6"/>
        <v/>
      </c>
      <c r="L45" s="378" t="str">
        <f t="shared" si="4"/>
        <v>أجنبي</v>
      </c>
      <c r="M45" s="436" t="str">
        <f t="shared" si="5"/>
        <v/>
      </c>
      <c r="N45" s="436"/>
      <c r="O45" s="378"/>
      <c r="P45" s="378"/>
      <c r="Q45" s="378"/>
      <c r="R45" s="378"/>
      <c r="S45" s="378"/>
      <c r="T45" s="378"/>
      <c r="U45" s="378">
        <v>43</v>
      </c>
      <c r="V45" s="378"/>
      <c r="W45" s="378"/>
      <c r="X45" s="378"/>
      <c r="Y45" s="378"/>
      <c r="Z45" s="378"/>
      <c r="AA45" s="378"/>
      <c r="AB45" s="378"/>
      <c r="AC45" s="378"/>
      <c r="AD45" s="378"/>
      <c r="AE45" s="378"/>
      <c r="AF45" s="378"/>
      <c r="AG45" s="378"/>
      <c r="AH45" s="378"/>
      <c r="AI45" s="378"/>
      <c r="AJ45" s="378"/>
      <c r="AK45" s="378"/>
      <c r="AL45" s="378"/>
      <c r="AM45" s="378"/>
      <c r="AN45" s="378"/>
      <c r="AO45" s="378"/>
      <c r="AP45" s="378"/>
      <c r="AQ45" s="378"/>
    </row>
    <row r="46" spans="2:43">
      <c r="B46" s="378">
        <v>44</v>
      </c>
      <c r="C46" s="378"/>
      <c r="D46" s="378"/>
      <c r="E46" s="378"/>
      <c r="F46" s="378"/>
      <c r="G46" s="378"/>
      <c r="H46" s="378" t="str">
        <f t="array" aca="1" ref="H46" ca="1">_xlfn.TEXTJOIN("", TRUE, IF(ISNUMBER(--MID(C46, ROW(INDIRECT("1:"&amp;LEN(C46))), 1)), MID(C46, ROW(INDIRECT("1:"&amp;LEN(C46))), 1), ""))</f>
        <v/>
      </c>
      <c r="I46" s="378"/>
      <c r="J46" s="378">
        <f t="shared" si="6"/>
        <v>0</v>
      </c>
      <c r="K46" s="378" t="str">
        <f t="shared" si="6"/>
        <v/>
      </c>
      <c r="L46" s="378" t="str">
        <f t="shared" si="4"/>
        <v>أجنبي</v>
      </c>
      <c r="M46" s="436" t="str">
        <f t="shared" si="5"/>
        <v/>
      </c>
      <c r="N46" s="436"/>
      <c r="O46" s="378"/>
      <c r="P46" s="378"/>
      <c r="Q46" s="378"/>
      <c r="R46" s="378"/>
      <c r="S46" s="378"/>
      <c r="T46" s="378"/>
      <c r="U46" s="378">
        <v>44</v>
      </c>
      <c r="V46" s="378"/>
      <c r="W46" s="378"/>
      <c r="X46" s="378"/>
      <c r="Y46" s="378"/>
      <c r="Z46" s="378"/>
      <c r="AA46" s="378"/>
      <c r="AB46" s="378"/>
      <c r="AC46" s="378"/>
      <c r="AD46" s="378"/>
      <c r="AE46" s="378"/>
      <c r="AF46" s="378"/>
      <c r="AG46" s="378"/>
      <c r="AH46" s="378"/>
      <c r="AI46" s="378"/>
      <c r="AJ46" s="378"/>
      <c r="AK46" s="378"/>
      <c r="AL46" s="378"/>
      <c r="AM46" s="378"/>
      <c r="AN46" s="378"/>
      <c r="AO46" s="378"/>
      <c r="AP46" s="378"/>
      <c r="AQ46" s="378"/>
    </row>
    <row r="47" spans="2:43">
      <c r="B47" s="378">
        <v>45</v>
      </c>
      <c r="C47" s="378"/>
      <c r="D47" s="378"/>
      <c r="E47" s="378"/>
      <c r="F47" s="378"/>
      <c r="G47" s="378"/>
      <c r="H47" s="378" t="str">
        <f t="array" aca="1" ref="H47" ca="1">_xlfn.TEXTJOIN("", TRUE, IF(ISNUMBER(--MID(C47, ROW(INDIRECT("1:"&amp;LEN(C47))), 1)), MID(C47, ROW(INDIRECT("1:"&amp;LEN(C47))), 1), ""))</f>
        <v/>
      </c>
      <c r="I47" s="378"/>
      <c r="J47" s="378">
        <f t="shared" si="6"/>
        <v>0</v>
      </c>
      <c r="K47" s="378" t="str">
        <f t="shared" si="6"/>
        <v/>
      </c>
      <c r="L47" s="378" t="str">
        <f t="shared" si="4"/>
        <v>أجنبي</v>
      </c>
      <c r="M47" s="436" t="str">
        <f t="shared" si="5"/>
        <v/>
      </c>
      <c r="N47" s="436"/>
      <c r="O47" s="378"/>
      <c r="P47" s="378"/>
      <c r="Q47" s="378"/>
      <c r="R47" s="378"/>
      <c r="S47" s="378"/>
      <c r="T47" s="378"/>
      <c r="U47" s="378">
        <v>45</v>
      </c>
      <c r="V47" s="378"/>
      <c r="W47" s="378"/>
      <c r="X47" s="378"/>
      <c r="Y47" s="378"/>
      <c r="Z47" s="378"/>
      <c r="AA47" s="378"/>
      <c r="AB47" s="378"/>
      <c r="AC47" s="378"/>
      <c r="AD47" s="378"/>
      <c r="AE47" s="378"/>
      <c r="AF47" s="378"/>
      <c r="AG47" s="378"/>
      <c r="AH47" s="378"/>
      <c r="AI47" s="378"/>
      <c r="AJ47" s="378"/>
      <c r="AK47" s="378"/>
      <c r="AL47" s="378"/>
      <c r="AM47" s="378"/>
      <c r="AN47" s="378"/>
      <c r="AO47" s="378"/>
      <c r="AP47" s="378"/>
      <c r="AQ47" s="378"/>
    </row>
    <row r="48" spans="2:43">
      <c r="B48" s="378">
        <v>46</v>
      </c>
      <c r="C48" s="378"/>
      <c r="D48" s="378"/>
      <c r="E48" s="378"/>
      <c r="F48" s="378"/>
      <c r="G48" s="378"/>
      <c r="H48" s="378" t="str">
        <f t="array" aca="1" ref="H48" ca="1">_xlfn.TEXTJOIN("", TRUE, IF(ISNUMBER(--MID(C48, ROW(INDIRECT("1:"&amp;LEN(C48))), 1)), MID(C48, ROW(INDIRECT("1:"&amp;LEN(C48))), 1), ""))</f>
        <v/>
      </c>
      <c r="I48" s="378"/>
      <c r="J48" s="378">
        <f t="shared" si="6"/>
        <v>0</v>
      </c>
      <c r="K48" s="378" t="str">
        <f t="shared" si="6"/>
        <v/>
      </c>
      <c r="L48" s="378" t="str">
        <f t="shared" si="4"/>
        <v>أجنبي</v>
      </c>
      <c r="M48" s="436" t="str">
        <f t="shared" si="5"/>
        <v/>
      </c>
      <c r="N48" s="436"/>
      <c r="O48" s="378"/>
      <c r="P48" s="378"/>
      <c r="Q48" s="378"/>
      <c r="R48" s="378"/>
      <c r="S48" s="378"/>
      <c r="T48" s="378"/>
      <c r="U48" s="378">
        <v>46</v>
      </c>
      <c r="V48" s="378"/>
      <c r="W48" s="378"/>
      <c r="X48" s="378"/>
      <c r="Y48" s="378"/>
      <c r="Z48" s="378"/>
      <c r="AA48" s="378"/>
      <c r="AB48" s="378"/>
      <c r="AC48" s="378"/>
      <c r="AD48" s="378"/>
      <c r="AE48" s="378"/>
      <c r="AF48" s="378"/>
      <c r="AG48" s="378"/>
      <c r="AH48" s="378"/>
      <c r="AI48" s="378"/>
      <c r="AJ48" s="378"/>
      <c r="AK48" s="378"/>
      <c r="AL48" s="378"/>
      <c r="AM48" s="378"/>
      <c r="AN48" s="378"/>
      <c r="AO48" s="378"/>
      <c r="AP48" s="378"/>
      <c r="AQ48" s="378"/>
    </row>
    <row r="49" spans="2:43">
      <c r="B49" s="378">
        <v>47</v>
      </c>
      <c r="C49" s="378"/>
      <c r="D49" s="378"/>
      <c r="E49" s="378"/>
      <c r="F49" s="378"/>
      <c r="G49" s="378"/>
      <c r="H49" s="378" t="str">
        <f t="array" aca="1" ref="H49" ca="1">_xlfn.TEXTJOIN("", TRUE, IF(ISNUMBER(--MID(C49, ROW(INDIRECT("1:"&amp;LEN(C49))), 1)), MID(C49, ROW(INDIRECT("1:"&amp;LEN(C49))), 1), ""))</f>
        <v/>
      </c>
      <c r="I49" s="378"/>
      <c r="J49" s="378">
        <f t="shared" si="6"/>
        <v>0</v>
      </c>
      <c r="K49" s="378" t="str">
        <f t="shared" si="6"/>
        <v/>
      </c>
      <c r="L49" s="378" t="str">
        <f t="shared" si="4"/>
        <v>أجنبي</v>
      </c>
      <c r="M49" s="436" t="str">
        <f t="shared" si="5"/>
        <v/>
      </c>
      <c r="N49" s="436"/>
      <c r="O49" s="378"/>
      <c r="P49" s="378"/>
      <c r="Q49" s="378"/>
      <c r="R49" s="378"/>
      <c r="S49" s="378"/>
      <c r="T49" s="378"/>
      <c r="U49" s="378">
        <v>47</v>
      </c>
      <c r="V49" s="378"/>
      <c r="W49" s="378"/>
      <c r="X49" s="378"/>
      <c r="Y49" s="378"/>
      <c r="Z49" s="378"/>
      <c r="AA49" s="378"/>
      <c r="AB49" s="378"/>
      <c r="AC49" s="378"/>
      <c r="AD49" s="378"/>
      <c r="AE49" s="378"/>
      <c r="AF49" s="378"/>
      <c r="AG49" s="378"/>
      <c r="AH49" s="378"/>
      <c r="AI49" s="378"/>
      <c r="AJ49" s="378"/>
      <c r="AK49" s="378"/>
      <c r="AL49" s="378"/>
      <c r="AM49" s="378"/>
      <c r="AN49" s="378"/>
      <c r="AO49" s="378"/>
      <c r="AP49" s="378"/>
      <c r="AQ49" s="378"/>
    </row>
    <row r="50" spans="2:43">
      <c r="B50" s="378">
        <v>48</v>
      </c>
      <c r="C50" s="378"/>
      <c r="D50" s="378"/>
      <c r="E50" s="378"/>
      <c r="F50" s="378"/>
      <c r="G50" s="378"/>
      <c r="H50" s="378" t="str">
        <f t="array" aca="1" ref="H50" ca="1">_xlfn.TEXTJOIN("", TRUE, IF(ISNUMBER(--MID(C50, ROW(INDIRECT("1:"&amp;LEN(C50))), 1)), MID(C50, ROW(INDIRECT("1:"&amp;LEN(C50))), 1), ""))</f>
        <v/>
      </c>
      <c r="I50" s="378"/>
      <c r="J50" s="378">
        <f t="shared" si="6"/>
        <v>0</v>
      </c>
      <c r="K50" s="378" t="str">
        <f t="shared" si="6"/>
        <v/>
      </c>
      <c r="L50" s="378" t="str">
        <f t="shared" si="4"/>
        <v>أجنبي</v>
      </c>
      <c r="M50" s="436" t="str">
        <f t="shared" si="5"/>
        <v/>
      </c>
      <c r="N50" s="436"/>
      <c r="O50" s="378"/>
      <c r="P50" s="378"/>
      <c r="Q50" s="378"/>
      <c r="R50" s="378"/>
      <c r="S50" s="378"/>
      <c r="T50" s="378"/>
      <c r="U50" s="378">
        <v>48</v>
      </c>
      <c r="V50" s="378"/>
      <c r="W50" s="378"/>
      <c r="X50" s="378"/>
      <c r="Y50" s="378"/>
      <c r="Z50" s="378"/>
      <c r="AA50" s="378"/>
      <c r="AB50" s="378"/>
      <c r="AC50" s="378"/>
      <c r="AD50" s="378"/>
      <c r="AE50" s="378"/>
      <c r="AF50" s="378"/>
      <c r="AG50" s="378"/>
      <c r="AH50" s="378"/>
      <c r="AI50" s="378"/>
      <c r="AJ50" s="378"/>
      <c r="AK50" s="378"/>
      <c r="AL50" s="378"/>
      <c r="AM50" s="378"/>
      <c r="AN50" s="378"/>
      <c r="AO50" s="378"/>
      <c r="AP50" s="378"/>
      <c r="AQ50" s="378"/>
    </row>
    <row r="51" spans="2:43">
      <c r="B51" s="378">
        <v>49</v>
      </c>
      <c r="C51" s="378"/>
      <c r="D51" s="378"/>
      <c r="E51" s="378"/>
      <c r="F51" s="378"/>
      <c r="G51" s="378"/>
      <c r="H51" s="378" t="str">
        <f t="array" aca="1" ref="H51" ca="1">_xlfn.TEXTJOIN("", TRUE, IF(ISNUMBER(--MID(C51, ROW(INDIRECT("1:"&amp;LEN(C51))), 1)), MID(C51, ROW(INDIRECT("1:"&amp;LEN(C51))), 1), ""))</f>
        <v/>
      </c>
      <c r="I51" s="378"/>
      <c r="J51" s="378">
        <f t="shared" si="6"/>
        <v>0</v>
      </c>
      <c r="K51" s="378" t="str">
        <f t="shared" si="6"/>
        <v/>
      </c>
      <c r="L51" s="378" t="str">
        <f t="shared" si="4"/>
        <v>أجنبي</v>
      </c>
      <c r="M51" s="436" t="str">
        <f t="shared" si="5"/>
        <v/>
      </c>
      <c r="N51" s="436"/>
      <c r="O51" s="378"/>
      <c r="P51" s="378"/>
      <c r="Q51" s="378"/>
      <c r="R51" s="378"/>
      <c r="S51" s="378"/>
      <c r="T51" s="378"/>
      <c r="U51" s="378">
        <v>49</v>
      </c>
      <c r="V51" s="378"/>
      <c r="W51" s="378"/>
      <c r="X51" s="378"/>
      <c r="Y51" s="378"/>
      <c r="Z51" s="378"/>
      <c r="AA51" s="378"/>
      <c r="AB51" s="378"/>
      <c r="AC51" s="378"/>
      <c r="AD51" s="378"/>
      <c r="AE51" s="378"/>
      <c r="AF51" s="378"/>
      <c r="AG51" s="378"/>
      <c r="AH51" s="378"/>
      <c r="AI51" s="378"/>
      <c r="AJ51" s="378"/>
      <c r="AK51" s="378"/>
      <c r="AL51" s="378"/>
      <c r="AM51" s="378"/>
      <c r="AN51" s="378"/>
      <c r="AO51" s="378"/>
      <c r="AP51" s="378"/>
      <c r="AQ51" s="378"/>
    </row>
    <row r="52" spans="2:43">
      <c r="B52" s="378">
        <v>50</v>
      </c>
      <c r="C52" s="378"/>
      <c r="D52" s="378"/>
      <c r="E52" s="378"/>
      <c r="F52" s="378"/>
      <c r="G52" s="378"/>
      <c r="H52" s="378" t="str">
        <f t="array" aca="1" ref="H52" ca="1">_xlfn.TEXTJOIN("", TRUE, IF(ISNUMBER(--MID(C52, ROW(INDIRECT("1:"&amp;LEN(C52))), 1)), MID(C52, ROW(INDIRECT("1:"&amp;LEN(C52))), 1), ""))</f>
        <v/>
      </c>
      <c r="I52" s="378"/>
      <c r="J52" s="378">
        <f t="shared" si="6"/>
        <v>0</v>
      </c>
      <c r="K52" s="378" t="str">
        <f t="shared" si="6"/>
        <v/>
      </c>
      <c r="L52" s="378" t="str">
        <f t="shared" si="4"/>
        <v>أجنبي</v>
      </c>
      <c r="M52" s="436" t="str">
        <f t="shared" si="5"/>
        <v/>
      </c>
      <c r="N52" s="436"/>
      <c r="O52" s="378"/>
      <c r="P52" s="378"/>
      <c r="Q52" s="378"/>
      <c r="R52" s="378"/>
      <c r="S52" s="378"/>
      <c r="T52" s="378"/>
      <c r="U52" s="378">
        <v>50</v>
      </c>
      <c r="V52" s="378"/>
      <c r="W52" s="378"/>
      <c r="X52" s="378"/>
      <c r="Y52" s="378"/>
      <c r="Z52" s="378"/>
      <c r="AA52" s="378"/>
      <c r="AB52" s="378"/>
      <c r="AC52" s="378"/>
      <c r="AD52" s="378"/>
      <c r="AE52" s="378"/>
      <c r="AF52" s="378"/>
      <c r="AG52" s="378"/>
      <c r="AH52" s="378"/>
      <c r="AI52" s="378"/>
      <c r="AJ52" s="378"/>
      <c r="AK52" s="378"/>
      <c r="AL52" s="378"/>
      <c r="AM52" s="378"/>
      <c r="AN52" s="378"/>
      <c r="AO52" s="378"/>
      <c r="AP52" s="378"/>
      <c r="AQ52" s="378"/>
    </row>
    <row r="53" spans="2:43">
      <c r="B53" s="378">
        <v>51</v>
      </c>
      <c r="C53" s="378"/>
      <c r="D53" s="378"/>
      <c r="E53" s="378"/>
      <c r="F53" s="378"/>
      <c r="G53" s="378"/>
      <c r="H53" s="378" t="str">
        <f t="array" aca="1" ref="H53" ca="1">_xlfn.TEXTJOIN("", TRUE, IF(ISNUMBER(--MID(C53, ROW(INDIRECT("1:"&amp;LEN(C53))), 1)), MID(C53, ROW(INDIRECT("1:"&amp;LEN(C53))), 1), ""))</f>
        <v/>
      </c>
      <c r="I53" s="378"/>
      <c r="J53" s="378">
        <f t="shared" si="6"/>
        <v>0</v>
      </c>
      <c r="K53" s="378" t="str">
        <f t="shared" si="6"/>
        <v/>
      </c>
      <c r="L53" s="378" t="str">
        <f t="shared" si="4"/>
        <v>أجنبي</v>
      </c>
      <c r="M53" s="436" t="str">
        <f t="shared" si="5"/>
        <v/>
      </c>
      <c r="N53" s="436"/>
      <c r="O53" s="378"/>
      <c r="P53" s="378"/>
      <c r="Q53" s="378"/>
      <c r="R53" s="378"/>
      <c r="S53" s="378"/>
      <c r="T53" s="378"/>
      <c r="U53" s="378">
        <v>51</v>
      </c>
      <c r="V53" s="378"/>
      <c r="W53" s="378"/>
      <c r="X53" s="378"/>
      <c r="Y53" s="378"/>
      <c r="Z53" s="378"/>
      <c r="AA53" s="378"/>
      <c r="AB53" s="378"/>
      <c r="AC53" s="378"/>
      <c r="AD53" s="378"/>
      <c r="AE53" s="378"/>
      <c r="AF53" s="378"/>
      <c r="AG53" s="378"/>
      <c r="AH53" s="378"/>
      <c r="AI53" s="378"/>
      <c r="AJ53" s="378"/>
      <c r="AK53" s="378"/>
      <c r="AL53" s="378"/>
      <c r="AM53" s="378"/>
      <c r="AN53" s="378"/>
      <c r="AO53" s="378"/>
      <c r="AP53" s="378"/>
      <c r="AQ53" s="378"/>
    </row>
    <row r="54" spans="2:43">
      <c r="B54" s="378">
        <v>52</v>
      </c>
      <c r="C54" s="378"/>
      <c r="D54" s="378"/>
      <c r="E54" s="378"/>
      <c r="F54" s="378"/>
      <c r="G54" s="378"/>
      <c r="H54" s="378" t="str">
        <f t="array" aca="1" ref="H54" ca="1">_xlfn.TEXTJOIN("", TRUE, IF(ISNUMBER(--MID(C54, ROW(INDIRECT("1:"&amp;LEN(C54))), 1)), MID(C54, ROW(INDIRECT("1:"&amp;LEN(C54))), 1), ""))</f>
        <v/>
      </c>
      <c r="I54" s="378"/>
      <c r="J54" s="378">
        <f t="shared" si="6"/>
        <v>0</v>
      </c>
      <c r="K54" s="378" t="str">
        <f t="shared" si="6"/>
        <v/>
      </c>
      <c r="L54" s="378" t="str">
        <f t="shared" si="4"/>
        <v>أجنبي</v>
      </c>
      <c r="M54" s="436" t="str">
        <f t="shared" si="5"/>
        <v/>
      </c>
      <c r="N54" s="436"/>
      <c r="O54" s="378"/>
      <c r="P54" s="378"/>
      <c r="Q54" s="378"/>
      <c r="R54" s="378"/>
      <c r="S54" s="378"/>
      <c r="T54" s="378"/>
      <c r="U54" s="378">
        <v>52</v>
      </c>
      <c r="V54" s="378"/>
      <c r="W54" s="378"/>
      <c r="X54" s="378"/>
      <c r="Y54" s="378"/>
      <c r="Z54" s="378"/>
      <c r="AA54" s="378"/>
      <c r="AB54" s="378"/>
      <c r="AC54" s="378"/>
      <c r="AD54" s="378"/>
      <c r="AE54" s="378"/>
      <c r="AF54" s="378"/>
      <c r="AG54" s="378"/>
      <c r="AH54" s="378"/>
      <c r="AI54" s="378"/>
      <c r="AJ54" s="378"/>
      <c r="AK54" s="378"/>
      <c r="AL54" s="378"/>
      <c r="AM54" s="378"/>
      <c r="AN54" s="378"/>
      <c r="AO54" s="378"/>
      <c r="AP54" s="378"/>
      <c r="AQ54" s="378"/>
    </row>
    <row r="55" spans="2:43">
      <c r="B55" s="378">
        <v>53</v>
      </c>
      <c r="C55" s="378"/>
      <c r="D55" s="378"/>
      <c r="E55" s="378"/>
      <c r="F55" s="378"/>
      <c r="G55" s="378"/>
      <c r="H55" s="378" t="str">
        <f t="array" aca="1" ref="H55" ca="1">_xlfn.TEXTJOIN("", TRUE, IF(ISNUMBER(--MID(C55, ROW(INDIRECT("1:"&amp;LEN(C55))), 1)), MID(C55, ROW(INDIRECT("1:"&amp;LEN(C55))), 1), ""))</f>
        <v/>
      </c>
      <c r="I55" s="378"/>
      <c r="J55" s="378">
        <f t="shared" si="6"/>
        <v>0</v>
      </c>
      <c r="K55" s="378" t="str">
        <f t="shared" si="6"/>
        <v/>
      </c>
      <c r="L55" s="378" t="str">
        <f t="shared" si="4"/>
        <v>أجنبي</v>
      </c>
      <c r="M55" s="436" t="str">
        <f t="shared" si="5"/>
        <v/>
      </c>
      <c r="N55" s="436"/>
      <c r="O55" s="378"/>
      <c r="P55" s="378"/>
      <c r="Q55" s="378"/>
      <c r="R55" s="378"/>
      <c r="S55" s="378"/>
      <c r="T55" s="378"/>
      <c r="U55" s="378">
        <v>53</v>
      </c>
      <c r="V55" s="378"/>
      <c r="W55" s="378"/>
      <c r="X55" s="378"/>
      <c r="Y55" s="378"/>
      <c r="Z55" s="378"/>
      <c r="AA55" s="378"/>
      <c r="AB55" s="378"/>
      <c r="AC55" s="378"/>
      <c r="AD55" s="378"/>
      <c r="AE55" s="378"/>
      <c r="AF55" s="378"/>
      <c r="AG55" s="378"/>
      <c r="AH55" s="378"/>
      <c r="AI55" s="378"/>
      <c r="AJ55" s="378"/>
      <c r="AK55" s="378"/>
      <c r="AL55" s="378"/>
      <c r="AM55" s="378"/>
      <c r="AN55" s="378"/>
      <c r="AO55" s="378"/>
      <c r="AP55" s="378"/>
      <c r="AQ55" s="378"/>
    </row>
    <row r="56" spans="2:43">
      <c r="B56" s="378">
        <v>54</v>
      </c>
      <c r="C56" s="378"/>
      <c r="D56" s="378"/>
      <c r="E56" s="378"/>
      <c r="F56" s="378"/>
      <c r="G56" s="378"/>
      <c r="H56" s="378" t="str">
        <f t="array" aca="1" ref="H56" ca="1">_xlfn.TEXTJOIN("", TRUE, IF(ISNUMBER(--MID(C56, ROW(INDIRECT("1:"&amp;LEN(C56))), 1)), MID(C56, ROW(INDIRECT("1:"&amp;LEN(C56))), 1), ""))</f>
        <v/>
      </c>
      <c r="I56" s="378"/>
      <c r="J56" s="378">
        <f t="shared" si="6"/>
        <v>0</v>
      </c>
      <c r="K56" s="378" t="str">
        <f t="shared" si="6"/>
        <v/>
      </c>
      <c r="L56" s="378" t="str">
        <f t="shared" si="4"/>
        <v>أجنبي</v>
      </c>
      <c r="M56" s="436" t="str">
        <f t="shared" si="5"/>
        <v/>
      </c>
      <c r="N56" s="436"/>
      <c r="O56" s="378"/>
      <c r="P56" s="378"/>
      <c r="Q56" s="378"/>
      <c r="R56" s="378"/>
      <c r="S56" s="378"/>
      <c r="T56" s="378"/>
      <c r="U56" s="378">
        <v>54</v>
      </c>
      <c r="V56" s="378"/>
      <c r="W56" s="378"/>
      <c r="X56" s="378"/>
      <c r="Y56" s="378"/>
      <c r="Z56" s="378"/>
      <c r="AA56" s="378"/>
      <c r="AB56" s="378"/>
      <c r="AC56" s="378"/>
      <c r="AD56" s="378"/>
      <c r="AE56" s="378"/>
      <c r="AF56" s="378"/>
      <c r="AG56" s="378"/>
      <c r="AH56" s="378"/>
      <c r="AI56" s="378"/>
      <c r="AJ56" s="378"/>
      <c r="AK56" s="378"/>
      <c r="AL56" s="378"/>
      <c r="AM56" s="378"/>
      <c r="AN56" s="378"/>
      <c r="AO56" s="378"/>
      <c r="AP56" s="378"/>
      <c r="AQ56" s="378"/>
    </row>
    <row r="57" spans="2:43">
      <c r="B57" s="378">
        <v>55</v>
      </c>
      <c r="C57" s="378"/>
      <c r="D57" s="378"/>
      <c r="E57" s="378"/>
      <c r="F57" s="378"/>
      <c r="G57" s="378"/>
      <c r="H57" s="378" t="str">
        <f t="array" aca="1" ref="H57" ca="1">_xlfn.TEXTJOIN("", TRUE, IF(ISNUMBER(--MID(C57, ROW(INDIRECT("1:"&amp;LEN(C57))), 1)), MID(C57, ROW(INDIRECT("1:"&amp;LEN(C57))), 1), ""))</f>
        <v/>
      </c>
      <c r="I57" s="378"/>
      <c r="J57" s="378">
        <f t="shared" si="6"/>
        <v>0</v>
      </c>
      <c r="K57" s="378" t="str">
        <f t="shared" si="6"/>
        <v/>
      </c>
      <c r="L57" s="378" t="str">
        <f t="shared" si="4"/>
        <v>أجنبي</v>
      </c>
      <c r="M57" s="436" t="str">
        <f t="shared" si="5"/>
        <v/>
      </c>
      <c r="N57" s="436"/>
      <c r="O57" s="378"/>
      <c r="P57" s="378"/>
      <c r="Q57" s="378"/>
      <c r="R57" s="378"/>
      <c r="S57" s="378"/>
      <c r="T57" s="378"/>
      <c r="U57" s="378">
        <v>55</v>
      </c>
      <c r="V57" s="378"/>
      <c r="W57" s="378"/>
      <c r="X57" s="378"/>
      <c r="Y57" s="378"/>
      <c r="Z57" s="378"/>
      <c r="AA57" s="378"/>
      <c r="AB57" s="378"/>
      <c r="AC57" s="378"/>
      <c r="AD57" s="378"/>
      <c r="AE57" s="378"/>
      <c r="AF57" s="378"/>
      <c r="AG57" s="378"/>
      <c r="AH57" s="378"/>
      <c r="AI57" s="378"/>
      <c r="AJ57" s="378"/>
      <c r="AK57" s="378"/>
      <c r="AL57" s="378"/>
      <c r="AM57" s="378"/>
      <c r="AN57" s="378"/>
      <c r="AO57" s="378"/>
      <c r="AP57" s="378"/>
      <c r="AQ57" s="378"/>
    </row>
    <row r="58" spans="2:43">
      <c r="B58" s="378">
        <v>56</v>
      </c>
      <c r="C58" s="378"/>
      <c r="D58" s="378"/>
      <c r="E58" s="378"/>
      <c r="F58" s="378"/>
      <c r="G58" s="378"/>
      <c r="H58" s="378" t="str">
        <f t="array" aca="1" ref="H58" ca="1">_xlfn.TEXTJOIN("", TRUE, IF(ISNUMBER(--MID(C58, ROW(INDIRECT("1:"&amp;LEN(C58))), 1)), MID(C58, ROW(INDIRECT("1:"&amp;LEN(C58))), 1), ""))</f>
        <v/>
      </c>
      <c r="I58" s="378"/>
      <c r="J58" s="378">
        <f t="shared" si="6"/>
        <v>0</v>
      </c>
      <c r="K58" s="378" t="str">
        <f t="shared" si="6"/>
        <v/>
      </c>
      <c r="L58" s="378" t="str">
        <f t="shared" si="4"/>
        <v>أجنبي</v>
      </c>
      <c r="M58" s="436" t="str">
        <f t="shared" si="5"/>
        <v/>
      </c>
      <c r="N58" s="436"/>
      <c r="O58" s="378"/>
      <c r="P58" s="378"/>
      <c r="Q58" s="378"/>
      <c r="R58" s="378"/>
      <c r="S58" s="378"/>
      <c r="T58" s="378"/>
      <c r="U58" s="378">
        <v>56</v>
      </c>
      <c r="V58" s="378"/>
      <c r="W58" s="378"/>
      <c r="X58" s="378"/>
      <c r="Y58" s="378"/>
      <c r="Z58" s="378"/>
      <c r="AA58" s="378"/>
      <c r="AB58" s="378"/>
      <c r="AC58" s="378"/>
      <c r="AD58" s="378"/>
      <c r="AE58" s="378"/>
      <c r="AF58" s="378"/>
      <c r="AG58" s="378"/>
      <c r="AH58" s="378"/>
      <c r="AI58" s="378"/>
      <c r="AJ58" s="378"/>
      <c r="AK58" s="378"/>
      <c r="AL58" s="378"/>
      <c r="AM58" s="378"/>
      <c r="AN58" s="378"/>
      <c r="AO58" s="378"/>
      <c r="AP58" s="378"/>
      <c r="AQ58" s="378"/>
    </row>
    <row r="59" spans="2:43">
      <c r="B59" s="378">
        <v>57</v>
      </c>
      <c r="C59" s="378"/>
      <c r="D59" s="378"/>
      <c r="E59" s="378"/>
      <c r="F59" s="378"/>
      <c r="G59" s="378"/>
      <c r="H59" s="378" t="str">
        <f t="array" aca="1" ref="H59" ca="1">_xlfn.TEXTJOIN("", TRUE, IF(ISNUMBER(--MID(C59, ROW(INDIRECT("1:"&amp;LEN(C59))), 1)), MID(C59, ROW(INDIRECT("1:"&amp;LEN(C59))), 1), ""))</f>
        <v/>
      </c>
      <c r="I59" s="378"/>
      <c r="J59" s="378">
        <f t="shared" si="6"/>
        <v>0</v>
      </c>
      <c r="K59" s="378" t="str">
        <f t="shared" si="6"/>
        <v/>
      </c>
      <c r="L59" s="378" t="str">
        <f t="shared" si="4"/>
        <v>أجنبي</v>
      </c>
      <c r="M59" s="436" t="str">
        <f t="shared" si="5"/>
        <v/>
      </c>
      <c r="N59" s="436"/>
      <c r="O59" s="378"/>
      <c r="P59" s="378"/>
      <c r="Q59" s="378"/>
      <c r="R59" s="378"/>
      <c r="S59" s="378"/>
      <c r="T59" s="378"/>
      <c r="U59" s="378">
        <v>57</v>
      </c>
      <c r="V59" s="378"/>
      <c r="W59" s="378"/>
      <c r="X59" s="378"/>
      <c r="Y59" s="378"/>
      <c r="Z59" s="378"/>
      <c r="AA59" s="378"/>
      <c r="AB59" s="378"/>
      <c r="AC59" s="378"/>
      <c r="AD59" s="378"/>
      <c r="AE59" s="378"/>
      <c r="AF59" s="378"/>
      <c r="AG59" s="378"/>
      <c r="AH59" s="378"/>
      <c r="AI59" s="378"/>
      <c r="AJ59" s="378"/>
      <c r="AK59" s="378"/>
      <c r="AL59" s="378"/>
      <c r="AM59" s="378"/>
      <c r="AN59" s="378"/>
      <c r="AO59" s="378"/>
      <c r="AP59" s="378"/>
      <c r="AQ59" s="378"/>
    </row>
    <row r="60" spans="2:43">
      <c r="B60" s="378">
        <v>58</v>
      </c>
      <c r="C60" s="378"/>
      <c r="D60" s="378"/>
      <c r="E60" s="378"/>
      <c r="F60" s="378"/>
      <c r="G60" s="378"/>
      <c r="H60" s="378" t="str">
        <f t="array" aca="1" ref="H60" ca="1">_xlfn.TEXTJOIN("", TRUE, IF(ISNUMBER(--MID(C60, ROW(INDIRECT("1:"&amp;LEN(C60))), 1)), MID(C60, ROW(INDIRECT("1:"&amp;LEN(C60))), 1), ""))</f>
        <v/>
      </c>
      <c r="I60" s="378"/>
      <c r="J60" s="378">
        <f t="shared" si="6"/>
        <v>0</v>
      </c>
      <c r="K60" s="378" t="str">
        <f t="shared" si="6"/>
        <v/>
      </c>
      <c r="L60" s="378" t="str">
        <f t="shared" si="4"/>
        <v>أجنبي</v>
      </c>
      <c r="M60" s="436" t="str">
        <f t="shared" si="5"/>
        <v/>
      </c>
      <c r="N60" s="436"/>
      <c r="O60" s="378"/>
      <c r="P60" s="378"/>
      <c r="Q60" s="378"/>
      <c r="R60" s="378"/>
      <c r="S60" s="378"/>
      <c r="T60" s="378"/>
      <c r="U60" s="378">
        <v>58</v>
      </c>
      <c r="V60" s="378"/>
      <c r="W60" s="378"/>
      <c r="X60" s="378"/>
      <c r="Y60" s="378"/>
      <c r="Z60" s="378"/>
      <c r="AA60" s="378"/>
      <c r="AB60" s="378"/>
      <c r="AC60" s="378"/>
      <c r="AD60" s="378"/>
      <c r="AE60" s="378"/>
      <c r="AF60" s="378"/>
      <c r="AG60" s="378"/>
      <c r="AH60" s="378"/>
      <c r="AI60" s="378"/>
      <c r="AJ60" s="378"/>
      <c r="AK60" s="378"/>
      <c r="AL60" s="378"/>
      <c r="AM60" s="378"/>
      <c r="AN60" s="378"/>
      <c r="AO60" s="378"/>
      <c r="AP60" s="378"/>
      <c r="AQ60" s="378"/>
    </row>
    <row r="61" spans="2:43">
      <c r="B61" s="378">
        <v>59</v>
      </c>
      <c r="C61" s="378"/>
      <c r="D61" s="378"/>
      <c r="E61" s="378"/>
      <c r="F61" s="378"/>
      <c r="G61" s="378"/>
      <c r="H61" s="378" t="str">
        <f t="array" aca="1" ref="H61" ca="1">_xlfn.TEXTJOIN("", TRUE, IF(ISNUMBER(--MID(C61, ROW(INDIRECT("1:"&amp;LEN(C61))), 1)), MID(C61, ROW(INDIRECT("1:"&amp;LEN(C61))), 1), ""))</f>
        <v/>
      </c>
      <c r="I61" s="378"/>
      <c r="J61" s="378">
        <f t="shared" si="6"/>
        <v>0</v>
      </c>
      <c r="K61" s="378" t="str">
        <f t="shared" si="6"/>
        <v/>
      </c>
      <c r="L61" s="378" t="str">
        <f t="shared" si="4"/>
        <v>أجنبي</v>
      </c>
      <c r="M61" s="436" t="str">
        <f t="shared" si="5"/>
        <v/>
      </c>
      <c r="N61" s="436"/>
      <c r="O61" s="378"/>
      <c r="P61" s="378"/>
      <c r="Q61" s="378"/>
      <c r="R61" s="378"/>
      <c r="S61" s="378"/>
      <c r="T61" s="378"/>
      <c r="U61" s="378">
        <v>59</v>
      </c>
      <c r="V61" s="378"/>
      <c r="W61" s="378"/>
      <c r="X61" s="378"/>
      <c r="Y61" s="378"/>
      <c r="Z61" s="378"/>
      <c r="AA61" s="378"/>
      <c r="AB61" s="378"/>
      <c r="AC61" s="378"/>
      <c r="AD61" s="378"/>
      <c r="AE61" s="378"/>
      <c r="AF61" s="378"/>
      <c r="AG61" s="378"/>
      <c r="AH61" s="378"/>
      <c r="AI61" s="378"/>
      <c r="AJ61" s="378"/>
      <c r="AK61" s="378"/>
      <c r="AL61" s="378"/>
      <c r="AM61" s="378"/>
      <c r="AN61" s="378"/>
      <c r="AO61" s="378"/>
      <c r="AP61" s="378"/>
      <c r="AQ61" s="378"/>
    </row>
    <row r="62" spans="2:43">
      <c r="B62" s="378">
        <v>60</v>
      </c>
      <c r="C62" s="378"/>
      <c r="D62" s="378"/>
      <c r="E62" s="378"/>
      <c r="F62" s="378"/>
      <c r="G62" s="378"/>
      <c r="H62" s="378" t="str">
        <f t="array" aca="1" ref="H62" ca="1">_xlfn.TEXTJOIN("", TRUE, IF(ISNUMBER(--MID(C62, ROW(INDIRECT("1:"&amp;LEN(C62))), 1)), MID(C62, ROW(INDIRECT("1:"&amp;LEN(C62))), 1), ""))</f>
        <v/>
      </c>
      <c r="I62" s="378"/>
      <c r="J62" s="378">
        <f t="shared" si="6"/>
        <v>0</v>
      </c>
      <c r="K62" s="378" t="str">
        <f t="shared" si="6"/>
        <v/>
      </c>
      <c r="L62" s="378" t="str">
        <f t="shared" si="4"/>
        <v>أجنبي</v>
      </c>
      <c r="M62" s="436" t="str">
        <f t="shared" si="5"/>
        <v/>
      </c>
      <c r="N62" s="436"/>
      <c r="O62" s="378"/>
      <c r="P62" s="378"/>
      <c r="Q62" s="378"/>
      <c r="R62" s="378"/>
      <c r="S62" s="378"/>
      <c r="T62" s="378"/>
      <c r="U62" s="378">
        <v>60</v>
      </c>
      <c r="V62" s="378"/>
      <c r="W62" s="378"/>
      <c r="X62" s="378"/>
      <c r="Y62" s="378"/>
      <c r="Z62" s="378"/>
      <c r="AA62" s="378"/>
      <c r="AB62" s="378"/>
      <c r="AC62" s="378"/>
      <c r="AD62" s="378"/>
      <c r="AE62" s="378"/>
      <c r="AF62" s="378"/>
      <c r="AG62" s="378"/>
      <c r="AH62" s="378"/>
      <c r="AI62" s="378"/>
      <c r="AJ62" s="378"/>
      <c r="AK62" s="378"/>
      <c r="AL62" s="378"/>
      <c r="AM62" s="378"/>
      <c r="AN62" s="378"/>
      <c r="AO62" s="378"/>
      <c r="AP62" s="378"/>
      <c r="AQ62" s="378"/>
    </row>
    <row r="63" spans="2:43">
      <c r="B63" s="378">
        <v>61</v>
      </c>
      <c r="C63" s="378"/>
      <c r="D63" s="378"/>
      <c r="E63" s="378"/>
      <c r="F63" s="378"/>
      <c r="G63" s="378"/>
      <c r="H63" s="378" t="str">
        <f t="array" aca="1" ref="H63" ca="1">_xlfn.TEXTJOIN("", TRUE, IF(ISNUMBER(--MID(C63, ROW(INDIRECT("1:"&amp;LEN(C63))), 1)), MID(C63, ROW(INDIRECT("1:"&amp;LEN(C63))), 1), ""))</f>
        <v/>
      </c>
      <c r="I63" s="378"/>
      <c r="J63" s="378">
        <f t="shared" si="6"/>
        <v>0</v>
      </c>
      <c r="K63" s="378" t="str">
        <f t="shared" si="6"/>
        <v/>
      </c>
      <c r="L63" s="378" t="str">
        <f t="shared" si="4"/>
        <v>أجنبي</v>
      </c>
      <c r="M63" s="436" t="str">
        <f t="shared" si="5"/>
        <v/>
      </c>
      <c r="N63" s="436"/>
      <c r="O63" s="378"/>
      <c r="P63" s="378"/>
      <c r="Q63" s="378"/>
      <c r="R63" s="378"/>
      <c r="S63" s="378"/>
      <c r="T63" s="378"/>
      <c r="U63" s="378">
        <v>61</v>
      </c>
      <c r="V63" s="378"/>
      <c r="W63" s="378"/>
      <c r="X63" s="378"/>
      <c r="Y63" s="378"/>
      <c r="Z63" s="378"/>
      <c r="AA63" s="378"/>
      <c r="AB63" s="378"/>
      <c r="AC63" s="378"/>
      <c r="AD63" s="378"/>
      <c r="AE63" s="378"/>
      <c r="AF63" s="378"/>
      <c r="AG63" s="378"/>
      <c r="AH63" s="378"/>
      <c r="AI63" s="378"/>
      <c r="AJ63" s="378"/>
      <c r="AK63" s="378"/>
      <c r="AL63" s="378"/>
      <c r="AM63" s="378"/>
      <c r="AN63" s="378"/>
      <c r="AO63" s="378"/>
      <c r="AP63" s="378"/>
      <c r="AQ63" s="378"/>
    </row>
    <row r="64" spans="2:43">
      <c r="B64" s="378">
        <v>62</v>
      </c>
      <c r="C64" s="378"/>
      <c r="D64" s="378"/>
      <c r="E64" s="378"/>
      <c r="F64" s="378"/>
      <c r="G64" s="378"/>
      <c r="H64" s="378" t="str">
        <f t="array" aca="1" ref="H64" ca="1">_xlfn.TEXTJOIN("", TRUE, IF(ISNUMBER(--MID(C64, ROW(INDIRECT("1:"&amp;LEN(C64))), 1)), MID(C64, ROW(INDIRECT("1:"&amp;LEN(C64))), 1), ""))</f>
        <v/>
      </c>
      <c r="I64" s="378"/>
      <c r="J64" s="378">
        <f t="shared" ref="J64:K83" si="7">IF(LEFT(I64,5)="00966", RIGHT(I64,LEN(I64)-5),
    IF(LEFT(I64,4)="+966", RIGHT(I64,LEN(I64)-4),
        IF(LEFT(I64,3)="966", RIGHT(I64,LEN(I64)-3),
            IF(LEFT(I64,1)="0", RIGHT(I64,LEN(I64)-1), I64)
        )
    )
)</f>
        <v>0</v>
      </c>
      <c r="K64" s="378" t="str">
        <f t="shared" si="7"/>
        <v/>
      </c>
      <c r="L64" s="378" t="str">
        <f t="shared" si="4"/>
        <v>أجنبي</v>
      </c>
      <c r="M64" s="436" t="str">
        <f t="shared" si="5"/>
        <v/>
      </c>
      <c r="N64" s="436"/>
      <c r="O64" s="378"/>
      <c r="P64" s="378"/>
      <c r="Q64" s="378"/>
      <c r="R64" s="378"/>
      <c r="S64" s="378"/>
      <c r="T64" s="378"/>
      <c r="U64" s="378">
        <v>62</v>
      </c>
      <c r="V64" s="378"/>
      <c r="W64" s="378"/>
      <c r="X64" s="378"/>
      <c r="Y64" s="378"/>
      <c r="Z64" s="378"/>
      <c r="AA64" s="378"/>
      <c r="AB64" s="378"/>
      <c r="AC64" s="378"/>
      <c r="AD64" s="378"/>
      <c r="AE64" s="378"/>
      <c r="AF64" s="378"/>
      <c r="AG64" s="378"/>
      <c r="AH64" s="378"/>
      <c r="AI64" s="378"/>
      <c r="AJ64" s="378"/>
      <c r="AK64" s="378"/>
      <c r="AL64" s="378"/>
      <c r="AM64" s="378"/>
      <c r="AN64" s="378"/>
      <c r="AO64" s="378"/>
      <c r="AP64" s="378"/>
      <c r="AQ64" s="378"/>
    </row>
    <row r="65" spans="2:43">
      <c r="B65" s="378">
        <v>63</v>
      </c>
      <c r="C65" s="378"/>
      <c r="D65" s="378"/>
      <c r="E65" s="378"/>
      <c r="F65" s="378"/>
      <c r="G65" s="378"/>
      <c r="H65" s="378" t="str">
        <f t="array" aca="1" ref="H65" ca="1">_xlfn.TEXTJOIN("", TRUE, IF(ISNUMBER(--MID(C65, ROW(INDIRECT("1:"&amp;LEN(C65))), 1)), MID(C65, ROW(INDIRECT("1:"&amp;LEN(C65))), 1), ""))</f>
        <v/>
      </c>
      <c r="I65" s="378"/>
      <c r="J65" s="378">
        <f t="shared" si="7"/>
        <v>0</v>
      </c>
      <c r="K65" s="378" t="str">
        <f t="shared" si="7"/>
        <v/>
      </c>
      <c r="L65" s="378" t="str">
        <f t="shared" si="4"/>
        <v>أجنبي</v>
      </c>
      <c r="M65" s="436" t="str">
        <f t="shared" si="5"/>
        <v/>
      </c>
      <c r="N65" s="436"/>
      <c r="O65" s="378"/>
      <c r="P65" s="378"/>
      <c r="Q65" s="378"/>
      <c r="R65" s="378"/>
      <c r="S65" s="378"/>
      <c r="T65" s="378"/>
      <c r="U65" s="378">
        <v>63</v>
      </c>
      <c r="V65" s="378"/>
      <c r="W65" s="378"/>
      <c r="X65" s="378"/>
      <c r="Y65" s="378"/>
      <c r="Z65" s="378"/>
      <c r="AA65" s="378"/>
      <c r="AB65" s="378"/>
      <c r="AC65" s="378"/>
      <c r="AD65" s="378"/>
      <c r="AE65" s="378"/>
      <c r="AF65" s="378"/>
      <c r="AG65" s="378"/>
      <c r="AH65" s="378"/>
      <c r="AI65" s="378"/>
      <c r="AJ65" s="378"/>
      <c r="AK65" s="378"/>
      <c r="AL65" s="378"/>
      <c r="AM65" s="378"/>
      <c r="AN65" s="378"/>
      <c r="AO65" s="378"/>
      <c r="AP65" s="378"/>
      <c r="AQ65" s="378"/>
    </row>
    <row r="66" spans="2:43">
      <c r="B66" s="378">
        <v>64</v>
      </c>
      <c r="C66" s="378"/>
      <c r="D66" s="378"/>
      <c r="E66" s="378"/>
      <c r="F66" s="378"/>
      <c r="G66" s="378"/>
      <c r="H66" s="378" t="str">
        <f t="array" aca="1" ref="H66" ca="1">_xlfn.TEXTJOIN("", TRUE, IF(ISNUMBER(--MID(C66, ROW(INDIRECT("1:"&amp;LEN(C66))), 1)), MID(C66, ROW(INDIRECT("1:"&amp;LEN(C66))), 1), ""))</f>
        <v/>
      </c>
      <c r="I66" s="378"/>
      <c r="J66" s="378">
        <f t="shared" si="7"/>
        <v>0</v>
      </c>
      <c r="K66" s="378" t="str">
        <f t="shared" si="7"/>
        <v/>
      </c>
      <c r="L66" s="378" t="str">
        <f t="shared" si="4"/>
        <v>أجنبي</v>
      </c>
      <c r="M66" s="436" t="str">
        <f t="shared" si="5"/>
        <v/>
      </c>
      <c r="N66" s="436"/>
      <c r="O66" s="378"/>
      <c r="P66" s="378"/>
      <c r="Q66" s="378"/>
      <c r="R66" s="437"/>
      <c r="S66" s="437"/>
      <c r="T66" s="378"/>
      <c r="U66" s="378">
        <v>64</v>
      </c>
      <c r="V66" s="378"/>
      <c r="W66" s="378"/>
      <c r="X66" s="378"/>
      <c r="Y66" s="378"/>
      <c r="Z66" s="378"/>
      <c r="AA66" s="378"/>
      <c r="AB66" s="378"/>
      <c r="AC66" s="378"/>
      <c r="AD66" s="378"/>
      <c r="AE66" s="378"/>
      <c r="AF66" s="378"/>
      <c r="AG66" s="378"/>
      <c r="AH66" s="378"/>
      <c r="AI66" s="378"/>
      <c r="AJ66" s="378"/>
      <c r="AK66" s="378"/>
      <c r="AL66" s="378"/>
      <c r="AM66" s="378"/>
      <c r="AN66" s="378"/>
      <c r="AO66" s="378"/>
      <c r="AP66" s="378"/>
      <c r="AQ66" s="378"/>
    </row>
    <row r="67" spans="2:43">
      <c r="B67" s="378">
        <v>65</v>
      </c>
      <c r="C67" s="378"/>
      <c r="D67" s="378"/>
      <c r="E67" s="378"/>
      <c r="F67" s="378"/>
      <c r="G67" s="378"/>
      <c r="H67" s="378" t="str">
        <f t="array" aca="1" ref="H67" ca="1">_xlfn.TEXTJOIN("", TRUE, IF(ISNUMBER(--MID(C67, ROW(INDIRECT("1:"&amp;LEN(C67))), 1)), MID(C67, ROW(INDIRECT("1:"&amp;LEN(C67))), 1), ""))</f>
        <v/>
      </c>
      <c r="I67" s="378"/>
      <c r="J67" s="378">
        <f t="shared" si="7"/>
        <v>0</v>
      </c>
      <c r="K67" s="378" t="str">
        <f t="shared" si="7"/>
        <v/>
      </c>
      <c r="L67" s="378" t="str">
        <f t="shared" si="4"/>
        <v>أجنبي</v>
      </c>
      <c r="M67" s="436" t="str">
        <f t="shared" si="5"/>
        <v/>
      </c>
      <c r="N67" s="436"/>
      <c r="O67" s="378"/>
      <c r="P67" s="378"/>
      <c r="Q67" s="378"/>
      <c r="R67" s="378"/>
      <c r="S67" s="378"/>
      <c r="T67" s="378"/>
      <c r="U67" s="378">
        <v>65</v>
      </c>
      <c r="V67" s="378"/>
      <c r="W67" s="378"/>
      <c r="X67" s="378"/>
      <c r="Y67" s="378"/>
      <c r="Z67" s="378"/>
      <c r="AA67" s="378"/>
      <c r="AB67" s="378"/>
      <c r="AC67" s="378"/>
      <c r="AD67" s="378"/>
      <c r="AE67" s="378"/>
      <c r="AF67" s="378"/>
      <c r="AG67" s="378"/>
      <c r="AH67" s="378"/>
      <c r="AI67" s="378"/>
      <c r="AJ67" s="378"/>
      <c r="AK67" s="378"/>
      <c r="AL67" s="378"/>
      <c r="AM67" s="378"/>
      <c r="AN67" s="378"/>
      <c r="AO67" s="378"/>
      <c r="AP67" s="378"/>
      <c r="AQ67" s="378"/>
    </row>
    <row r="68" spans="2:43">
      <c r="B68" s="378">
        <v>66</v>
      </c>
      <c r="C68" s="378"/>
      <c r="D68" s="378"/>
      <c r="E68" s="378"/>
      <c r="F68" s="378"/>
      <c r="G68" s="378"/>
      <c r="H68" s="378" t="str">
        <f t="array" aca="1" ref="H68" ca="1">_xlfn.TEXTJOIN("", TRUE, IF(ISNUMBER(--MID(C68, ROW(INDIRECT("1:"&amp;LEN(C68))), 1)), MID(C68, ROW(INDIRECT("1:"&amp;LEN(C68))), 1), ""))</f>
        <v/>
      </c>
      <c r="I68" s="378"/>
      <c r="J68" s="378">
        <f t="shared" si="7"/>
        <v>0</v>
      </c>
      <c r="K68" s="378" t="str">
        <f t="shared" si="7"/>
        <v/>
      </c>
      <c r="L68" s="378" t="str">
        <f t="shared" ref="L68:L99" si="8">IF(LEFT(K68,1)="5",
    IF(LEN(K68)=9,"سعودي - صحيح",
        IF(LEN(K68)&lt;9,"سعودي - ناقص "&amp;(9-LEN(K68)),"سعودي - زائد "&amp;(LEN(K68)-9))
    ),
"أجنبي")</f>
        <v>أجنبي</v>
      </c>
      <c r="M68" s="436" t="str">
        <f t="shared" ref="M68:M99" si="9">IF(LEFT(K68,1)="5","966"&amp;K68,K68)</f>
        <v/>
      </c>
      <c r="N68" s="436"/>
      <c r="O68" s="378"/>
      <c r="P68" s="378"/>
      <c r="Q68" s="378"/>
      <c r="R68" s="378"/>
      <c r="S68" s="378"/>
      <c r="T68" s="378"/>
      <c r="U68" s="378">
        <v>66</v>
      </c>
      <c r="V68" s="378"/>
      <c r="W68" s="378"/>
      <c r="X68" s="378"/>
      <c r="Y68" s="378"/>
      <c r="Z68" s="378"/>
      <c r="AA68" s="378"/>
      <c r="AB68" s="378"/>
      <c r="AC68" s="378"/>
      <c r="AD68" s="378"/>
      <c r="AE68" s="378"/>
      <c r="AF68" s="378"/>
      <c r="AG68" s="378"/>
      <c r="AH68" s="378"/>
      <c r="AI68" s="378"/>
      <c r="AJ68" s="378"/>
      <c r="AK68" s="378"/>
      <c r="AL68" s="378"/>
      <c r="AM68" s="378"/>
      <c r="AN68" s="378"/>
      <c r="AO68" s="378"/>
      <c r="AP68" s="378"/>
      <c r="AQ68" s="378"/>
    </row>
    <row r="69" spans="2:43">
      <c r="B69" s="378">
        <v>67</v>
      </c>
      <c r="C69" s="378"/>
      <c r="D69" s="378"/>
      <c r="E69" s="378"/>
      <c r="F69" s="378"/>
      <c r="G69" s="378"/>
      <c r="H69" s="378" t="str">
        <f t="array" aca="1" ref="H69" ca="1">_xlfn.TEXTJOIN("", TRUE, IF(ISNUMBER(--MID(C69, ROW(INDIRECT("1:"&amp;LEN(C69))), 1)), MID(C69, ROW(INDIRECT("1:"&amp;LEN(C69))), 1), ""))</f>
        <v/>
      </c>
      <c r="I69" s="378"/>
      <c r="J69" s="378">
        <f t="shared" si="7"/>
        <v>0</v>
      </c>
      <c r="K69" s="378" t="str">
        <f t="shared" si="7"/>
        <v/>
      </c>
      <c r="L69" s="378" t="str">
        <f t="shared" si="8"/>
        <v>أجنبي</v>
      </c>
      <c r="M69" s="436" t="str">
        <f t="shared" si="9"/>
        <v/>
      </c>
      <c r="N69" s="436"/>
      <c r="O69" s="378"/>
      <c r="P69" s="378"/>
      <c r="Q69" s="378"/>
      <c r="R69" s="378"/>
      <c r="S69" s="378"/>
      <c r="T69" s="378"/>
      <c r="U69" s="378">
        <v>67</v>
      </c>
      <c r="V69" s="378"/>
      <c r="W69" s="378"/>
      <c r="X69" s="378"/>
      <c r="Y69" s="378"/>
      <c r="Z69" s="378"/>
      <c r="AA69" s="378"/>
      <c r="AB69" s="378"/>
      <c r="AC69" s="378"/>
      <c r="AD69" s="378"/>
      <c r="AE69" s="378"/>
      <c r="AF69" s="378"/>
      <c r="AG69" s="378"/>
      <c r="AH69" s="378"/>
      <c r="AI69" s="378"/>
      <c r="AJ69" s="378"/>
      <c r="AK69" s="378"/>
      <c r="AL69" s="378"/>
      <c r="AM69" s="378"/>
      <c r="AN69" s="378"/>
      <c r="AO69" s="378"/>
      <c r="AP69" s="378"/>
      <c r="AQ69" s="378"/>
    </row>
    <row r="70" spans="2:43">
      <c r="B70" s="378">
        <v>68</v>
      </c>
      <c r="C70" s="378"/>
      <c r="D70" s="378"/>
      <c r="E70" s="378"/>
      <c r="F70" s="378"/>
      <c r="G70" s="378"/>
      <c r="H70" s="378" t="str">
        <f t="array" aca="1" ref="H70" ca="1">_xlfn.TEXTJOIN("", TRUE, IF(ISNUMBER(--MID(C70, ROW(INDIRECT("1:"&amp;LEN(C70))), 1)), MID(C70, ROW(INDIRECT("1:"&amp;LEN(C70))), 1), ""))</f>
        <v/>
      </c>
      <c r="I70" s="378"/>
      <c r="J70" s="378">
        <f t="shared" si="7"/>
        <v>0</v>
      </c>
      <c r="K70" s="378" t="str">
        <f t="shared" si="7"/>
        <v/>
      </c>
      <c r="L70" s="378" t="str">
        <f t="shared" si="8"/>
        <v>أجنبي</v>
      </c>
      <c r="M70" s="436" t="str">
        <f t="shared" si="9"/>
        <v/>
      </c>
      <c r="N70" s="436"/>
      <c r="O70" s="378"/>
      <c r="P70" s="378"/>
      <c r="Q70" s="378"/>
      <c r="R70" s="378"/>
      <c r="S70" s="378"/>
      <c r="T70" s="378"/>
      <c r="U70" s="378">
        <v>68</v>
      </c>
      <c r="V70" s="378"/>
      <c r="W70" s="378"/>
      <c r="X70" s="378"/>
      <c r="Y70" s="378"/>
      <c r="Z70" s="378"/>
      <c r="AA70" s="378"/>
      <c r="AB70" s="378"/>
      <c r="AC70" s="378"/>
      <c r="AD70" s="378"/>
      <c r="AE70" s="378"/>
      <c r="AF70" s="378"/>
      <c r="AG70" s="378"/>
      <c r="AH70" s="378"/>
      <c r="AI70" s="378"/>
      <c r="AJ70" s="378"/>
      <c r="AK70" s="378"/>
      <c r="AL70" s="378"/>
      <c r="AM70" s="378"/>
      <c r="AN70" s="378"/>
      <c r="AO70" s="378"/>
      <c r="AP70" s="378"/>
      <c r="AQ70" s="378"/>
    </row>
    <row r="71" spans="2:43">
      <c r="B71" s="378">
        <v>69</v>
      </c>
      <c r="C71" s="378"/>
      <c r="D71" s="378"/>
      <c r="E71" s="378"/>
      <c r="F71" s="378"/>
      <c r="G71" s="378"/>
      <c r="H71" s="378" t="str">
        <f t="array" aca="1" ref="H71" ca="1">_xlfn.TEXTJOIN("", TRUE, IF(ISNUMBER(--MID(C71, ROW(INDIRECT("1:"&amp;LEN(C71))), 1)), MID(C71, ROW(INDIRECT("1:"&amp;LEN(C71))), 1), ""))</f>
        <v/>
      </c>
      <c r="I71" s="378"/>
      <c r="J71" s="378">
        <f t="shared" si="7"/>
        <v>0</v>
      </c>
      <c r="K71" s="378" t="str">
        <f t="shared" si="7"/>
        <v/>
      </c>
      <c r="L71" s="378" t="str">
        <f t="shared" si="8"/>
        <v>أجنبي</v>
      </c>
      <c r="M71" s="436" t="str">
        <f t="shared" si="9"/>
        <v/>
      </c>
      <c r="N71" s="436"/>
      <c r="O71" s="378"/>
      <c r="P71" s="378"/>
      <c r="Q71" s="378"/>
      <c r="R71" s="378"/>
      <c r="S71" s="378"/>
      <c r="T71" s="378"/>
      <c r="U71" s="378">
        <v>69</v>
      </c>
      <c r="V71" s="378"/>
      <c r="W71" s="378"/>
      <c r="X71" s="378"/>
      <c r="Y71" s="378"/>
      <c r="Z71" s="378"/>
      <c r="AA71" s="378"/>
      <c r="AB71" s="378"/>
      <c r="AC71" s="378"/>
      <c r="AD71" s="378"/>
      <c r="AE71" s="378"/>
      <c r="AF71" s="378"/>
      <c r="AG71" s="378"/>
      <c r="AH71" s="378"/>
      <c r="AI71" s="378"/>
      <c r="AJ71" s="378"/>
      <c r="AK71" s="378"/>
      <c r="AL71" s="378"/>
      <c r="AM71" s="378"/>
      <c r="AN71" s="378"/>
      <c r="AO71" s="378"/>
      <c r="AP71" s="378"/>
      <c r="AQ71" s="378"/>
    </row>
    <row r="72" spans="2:43">
      <c r="B72" s="378">
        <v>70</v>
      </c>
      <c r="C72" s="378"/>
      <c r="D72" s="378"/>
      <c r="E72" s="378"/>
      <c r="F72" s="378"/>
      <c r="G72" s="378"/>
      <c r="H72" s="378" t="str">
        <f t="array" aca="1" ref="H72" ca="1">_xlfn.TEXTJOIN("", TRUE, IF(ISNUMBER(--MID(C72, ROW(INDIRECT("1:"&amp;LEN(C72))), 1)), MID(C72, ROW(INDIRECT("1:"&amp;LEN(C72))), 1), ""))</f>
        <v/>
      </c>
      <c r="I72" s="378"/>
      <c r="J72" s="378">
        <f t="shared" si="7"/>
        <v>0</v>
      </c>
      <c r="K72" s="378" t="str">
        <f t="shared" si="7"/>
        <v/>
      </c>
      <c r="L72" s="378" t="str">
        <f t="shared" si="8"/>
        <v>أجنبي</v>
      </c>
      <c r="M72" s="436" t="str">
        <f t="shared" si="9"/>
        <v/>
      </c>
      <c r="N72" s="436"/>
      <c r="O72" s="378"/>
      <c r="P72" s="378"/>
      <c r="Q72" s="378"/>
      <c r="R72" s="378"/>
      <c r="S72" s="378"/>
      <c r="T72" s="378"/>
      <c r="U72" s="378">
        <v>70</v>
      </c>
      <c r="V72" s="378"/>
      <c r="W72" s="378"/>
      <c r="X72" s="378"/>
      <c r="Y72" s="378"/>
      <c r="Z72" s="378"/>
      <c r="AA72" s="378"/>
      <c r="AB72" s="378"/>
      <c r="AC72" s="378"/>
      <c r="AD72" s="378"/>
      <c r="AE72" s="378"/>
      <c r="AF72" s="378"/>
      <c r="AG72" s="378"/>
      <c r="AH72" s="378"/>
      <c r="AI72" s="378"/>
      <c r="AJ72" s="378"/>
      <c r="AK72" s="378"/>
      <c r="AL72" s="378"/>
      <c r="AM72" s="378"/>
      <c r="AN72" s="378"/>
      <c r="AO72" s="378"/>
      <c r="AP72" s="378"/>
      <c r="AQ72" s="378"/>
    </row>
    <row r="73" spans="2:43">
      <c r="B73" s="378">
        <v>71</v>
      </c>
      <c r="C73" s="378"/>
      <c r="D73" s="378"/>
      <c r="E73" s="378"/>
      <c r="F73" s="378"/>
      <c r="G73" s="378"/>
      <c r="H73" s="378" t="str">
        <f t="array" aca="1" ref="H73" ca="1">_xlfn.TEXTJOIN("", TRUE, IF(ISNUMBER(--MID(C73, ROW(INDIRECT("1:"&amp;LEN(C73))), 1)), MID(C73, ROW(INDIRECT("1:"&amp;LEN(C73))), 1), ""))</f>
        <v/>
      </c>
      <c r="I73" s="378"/>
      <c r="J73" s="378">
        <f t="shared" si="7"/>
        <v>0</v>
      </c>
      <c r="K73" s="378" t="str">
        <f t="shared" si="7"/>
        <v/>
      </c>
      <c r="L73" s="378" t="str">
        <f t="shared" si="8"/>
        <v>أجنبي</v>
      </c>
      <c r="M73" s="436" t="str">
        <f t="shared" si="9"/>
        <v/>
      </c>
      <c r="N73" s="436"/>
      <c r="O73" s="378"/>
      <c r="P73" s="378"/>
      <c r="Q73" s="378"/>
      <c r="R73" s="378"/>
      <c r="S73" s="378"/>
      <c r="T73" s="378"/>
      <c r="U73" s="378">
        <v>71</v>
      </c>
      <c r="V73" s="378"/>
      <c r="W73" s="378"/>
      <c r="X73" s="378"/>
      <c r="Y73" s="378"/>
      <c r="Z73" s="378"/>
      <c r="AA73" s="378"/>
      <c r="AB73" s="378"/>
      <c r="AC73" s="378"/>
      <c r="AD73" s="378"/>
      <c r="AE73" s="378"/>
      <c r="AF73" s="378"/>
      <c r="AG73" s="378"/>
      <c r="AH73" s="378"/>
      <c r="AI73" s="378"/>
      <c r="AJ73" s="378"/>
      <c r="AK73" s="378"/>
      <c r="AL73" s="378"/>
      <c r="AM73" s="378"/>
      <c r="AN73" s="378"/>
      <c r="AO73" s="378"/>
      <c r="AP73" s="378"/>
      <c r="AQ73" s="378"/>
    </row>
    <row r="74" spans="2:43">
      <c r="B74" s="378">
        <v>72</v>
      </c>
      <c r="C74" s="378"/>
      <c r="D74" s="378"/>
      <c r="E74" s="378"/>
      <c r="F74" s="378"/>
      <c r="G74" s="378"/>
      <c r="H74" s="378" t="str">
        <f t="array" aca="1" ref="H74" ca="1">_xlfn.TEXTJOIN("", TRUE, IF(ISNUMBER(--MID(C74, ROW(INDIRECT("1:"&amp;LEN(C74))), 1)), MID(C74, ROW(INDIRECT("1:"&amp;LEN(C74))), 1), ""))</f>
        <v/>
      </c>
      <c r="I74" s="378"/>
      <c r="J74" s="378">
        <f t="shared" si="7"/>
        <v>0</v>
      </c>
      <c r="K74" s="378" t="str">
        <f t="shared" si="7"/>
        <v/>
      </c>
      <c r="L74" s="378" t="str">
        <f t="shared" si="8"/>
        <v>أجنبي</v>
      </c>
      <c r="M74" s="436" t="str">
        <f t="shared" si="9"/>
        <v/>
      </c>
      <c r="N74" s="436"/>
      <c r="O74" s="378"/>
      <c r="P74" s="378"/>
      <c r="Q74" s="378"/>
      <c r="R74" s="378"/>
      <c r="S74" s="378"/>
      <c r="T74" s="378"/>
      <c r="U74" s="378">
        <v>72</v>
      </c>
      <c r="V74" s="378"/>
      <c r="W74" s="378"/>
      <c r="X74" s="378"/>
      <c r="Y74" s="378"/>
      <c r="Z74" s="378"/>
      <c r="AA74" s="378"/>
      <c r="AB74" s="378"/>
      <c r="AC74" s="378"/>
      <c r="AD74" s="378"/>
      <c r="AE74" s="378"/>
      <c r="AF74" s="378"/>
      <c r="AG74" s="378"/>
      <c r="AH74" s="378"/>
      <c r="AI74" s="378"/>
      <c r="AJ74" s="378"/>
      <c r="AK74" s="378"/>
      <c r="AL74" s="378"/>
      <c r="AM74" s="378"/>
      <c r="AN74" s="378"/>
      <c r="AO74" s="378"/>
      <c r="AP74" s="378"/>
      <c r="AQ74" s="378"/>
    </row>
    <row r="75" spans="2:43">
      <c r="B75" s="378">
        <v>73</v>
      </c>
      <c r="C75" s="378"/>
      <c r="D75" s="378"/>
      <c r="E75" s="378"/>
      <c r="F75" s="378"/>
      <c r="G75" s="378"/>
      <c r="H75" s="378" t="str">
        <f t="array" aca="1" ref="H75" ca="1">_xlfn.TEXTJOIN("", TRUE, IF(ISNUMBER(--MID(C75, ROW(INDIRECT("1:"&amp;LEN(C75))), 1)), MID(C75, ROW(INDIRECT("1:"&amp;LEN(C75))), 1), ""))</f>
        <v/>
      </c>
      <c r="I75" s="378"/>
      <c r="J75" s="378">
        <f t="shared" si="7"/>
        <v>0</v>
      </c>
      <c r="K75" s="378" t="str">
        <f t="shared" si="7"/>
        <v/>
      </c>
      <c r="L75" s="378" t="str">
        <f t="shared" si="8"/>
        <v>أجنبي</v>
      </c>
      <c r="M75" s="436" t="str">
        <f t="shared" si="9"/>
        <v/>
      </c>
      <c r="N75" s="436"/>
      <c r="O75" s="378"/>
      <c r="P75" s="378"/>
      <c r="Q75" s="378"/>
      <c r="R75" s="378"/>
      <c r="S75" s="378"/>
      <c r="T75" s="378"/>
      <c r="U75" s="378">
        <v>73</v>
      </c>
      <c r="V75" s="378"/>
      <c r="W75" s="378"/>
      <c r="X75" s="378"/>
      <c r="Y75" s="378"/>
      <c r="Z75" s="378"/>
      <c r="AA75" s="378"/>
      <c r="AB75" s="378"/>
      <c r="AC75" s="378"/>
      <c r="AD75" s="378"/>
      <c r="AE75" s="378"/>
      <c r="AF75" s="378"/>
      <c r="AG75" s="378"/>
      <c r="AH75" s="378"/>
      <c r="AI75" s="378"/>
      <c r="AJ75" s="378"/>
      <c r="AK75" s="378"/>
      <c r="AL75" s="378"/>
      <c r="AM75" s="378"/>
      <c r="AN75" s="378"/>
      <c r="AO75" s="378"/>
      <c r="AP75" s="378"/>
      <c r="AQ75" s="378"/>
    </row>
    <row r="76" spans="2:43">
      <c r="B76" s="378">
        <v>74</v>
      </c>
      <c r="C76" s="378"/>
      <c r="D76" s="378"/>
      <c r="E76" s="378"/>
      <c r="F76" s="378"/>
      <c r="G76" s="378"/>
      <c r="H76" s="378" t="str">
        <f t="array" aca="1" ref="H76" ca="1">_xlfn.TEXTJOIN("", TRUE, IF(ISNUMBER(--MID(C76, ROW(INDIRECT("1:"&amp;LEN(C76))), 1)), MID(C76, ROW(INDIRECT("1:"&amp;LEN(C76))), 1), ""))</f>
        <v/>
      </c>
      <c r="I76" s="378"/>
      <c r="J76" s="378">
        <f t="shared" si="7"/>
        <v>0</v>
      </c>
      <c r="K76" s="378" t="str">
        <f t="shared" si="7"/>
        <v/>
      </c>
      <c r="L76" s="378" t="str">
        <f t="shared" si="8"/>
        <v>أجنبي</v>
      </c>
      <c r="M76" s="436" t="str">
        <f t="shared" si="9"/>
        <v/>
      </c>
      <c r="N76" s="436"/>
      <c r="O76" s="378"/>
      <c r="P76" s="378"/>
      <c r="Q76" s="378"/>
      <c r="R76" s="378"/>
      <c r="S76" s="378"/>
      <c r="T76" s="378"/>
      <c r="U76" s="378">
        <v>74</v>
      </c>
      <c r="V76" s="378"/>
      <c r="W76" s="378"/>
      <c r="X76" s="378"/>
      <c r="Y76" s="378"/>
      <c r="Z76" s="378"/>
      <c r="AA76" s="378"/>
      <c r="AB76" s="378"/>
      <c r="AC76" s="378"/>
      <c r="AD76" s="378"/>
      <c r="AE76" s="378"/>
      <c r="AF76" s="378"/>
      <c r="AG76" s="378"/>
      <c r="AH76" s="378"/>
      <c r="AI76" s="378"/>
      <c r="AJ76" s="378"/>
      <c r="AK76" s="378"/>
      <c r="AL76" s="378"/>
      <c r="AM76" s="378"/>
      <c r="AN76" s="378"/>
      <c r="AO76" s="378"/>
      <c r="AP76" s="378"/>
      <c r="AQ76" s="378"/>
    </row>
    <row r="77" spans="2:43">
      <c r="B77" s="378">
        <v>75</v>
      </c>
      <c r="C77" s="378"/>
      <c r="D77" s="378"/>
      <c r="E77" s="378"/>
      <c r="F77" s="378"/>
      <c r="G77" s="378"/>
      <c r="H77" s="378" t="str">
        <f t="array" aca="1" ref="H77" ca="1">_xlfn.TEXTJOIN("", TRUE, IF(ISNUMBER(--MID(C77, ROW(INDIRECT("1:"&amp;LEN(C77))), 1)), MID(C77, ROW(INDIRECT("1:"&amp;LEN(C77))), 1), ""))</f>
        <v/>
      </c>
      <c r="I77" s="378"/>
      <c r="J77" s="378">
        <f t="shared" si="7"/>
        <v>0</v>
      </c>
      <c r="K77" s="378" t="str">
        <f t="shared" si="7"/>
        <v/>
      </c>
      <c r="L77" s="378" t="str">
        <f t="shared" si="8"/>
        <v>أجنبي</v>
      </c>
      <c r="M77" s="436" t="str">
        <f t="shared" si="9"/>
        <v/>
      </c>
      <c r="N77" s="436"/>
      <c r="O77" s="378"/>
      <c r="P77" s="378"/>
      <c r="Q77" s="378"/>
      <c r="R77" s="378"/>
      <c r="S77" s="378"/>
      <c r="T77" s="378"/>
      <c r="U77" s="378">
        <v>75</v>
      </c>
      <c r="V77" s="378"/>
      <c r="W77" s="378"/>
      <c r="X77" s="378"/>
      <c r="Y77" s="378"/>
      <c r="Z77" s="378"/>
      <c r="AA77" s="378"/>
      <c r="AB77" s="378"/>
      <c r="AC77" s="378"/>
      <c r="AD77" s="378"/>
      <c r="AE77" s="378"/>
      <c r="AF77" s="378"/>
      <c r="AG77" s="378"/>
      <c r="AH77" s="378"/>
      <c r="AI77" s="378"/>
      <c r="AJ77" s="378"/>
      <c r="AK77" s="378"/>
      <c r="AL77" s="378"/>
      <c r="AM77" s="378"/>
      <c r="AN77" s="378"/>
      <c r="AO77" s="378"/>
      <c r="AP77" s="378"/>
      <c r="AQ77" s="378"/>
    </row>
    <row r="78" spans="2:43">
      <c r="B78" s="378">
        <v>76</v>
      </c>
      <c r="C78" s="378"/>
      <c r="D78" s="378"/>
      <c r="E78" s="378"/>
      <c r="F78" s="378"/>
      <c r="G78" s="378"/>
      <c r="H78" s="378" t="str">
        <f t="array" aca="1" ref="H78" ca="1">_xlfn.TEXTJOIN("", TRUE, IF(ISNUMBER(--MID(C78, ROW(INDIRECT("1:"&amp;LEN(C78))), 1)), MID(C78, ROW(INDIRECT("1:"&amp;LEN(C78))), 1), ""))</f>
        <v/>
      </c>
      <c r="I78" s="378"/>
      <c r="J78" s="378">
        <f t="shared" si="7"/>
        <v>0</v>
      </c>
      <c r="K78" s="378" t="str">
        <f t="shared" si="7"/>
        <v/>
      </c>
      <c r="L78" s="378" t="str">
        <f t="shared" si="8"/>
        <v>أجنبي</v>
      </c>
      <c r="M78" s="436" t="str">
        <f t="shared" si="9"/>
        <v/>
      </c>
      <c r="N78" s="436"/>
      <c r="O78" s="378"/>
      <c r="P78" s="378"/>
      <c r="Q78" s="378"/>
      <c r="R78" s="378"/>
      <c r="S78" s="378"/>
      <c r="T78" s="378"/>
      <c r="U78" s="378">
        <v>76</v>
      </c>
      <c r="V78" s="378"/>
      <c r="W78" s="378"/>
      <c r="X78" s="378"/>
      <c r="Y78" s="378"/>
      <c r="Z78" s="378"/>
      <c r="AA78" s="378"/>
      <c r="AB78" s="378"/>
      <c r="AC78" s="378"/>
      <c r="AD78" s="378"/>
      <c r="AE78" s="378"/>
      <c r="AF78" s="378"/>
      <c r="AG78" s="378"/>
      <c r="AH78" s="378"/>
      <c r="AI78" s="378"/>
      <c r="AJ78" s="378"/>
      <c r="AK78" s="378"/>
      <c r="AL78" s="378"/>
      <c r="AM78" s="378"/>
      <c r="AN78" s="378"/>
      <c r="AO78" s="378"/>
      <c r="AP78" s="378"/>
      <c r="AQ78" s="378"/>
    </row>
    <row r="79" spans="2:43">
      <c r="B79" s="378">
        <v>77</v>
      </c>
      <c r="C79" s="378"/>
      <c r="D79" s="378"/>
      <c r="E79" s="378"/>
      <c r="F79" s="378"/>
      <c r="G79" s="378"/>
      <c r="H79" s="378" t="str">
        <f t="array" aca="1" ref="H79" ca="1">_xlfn.TEXTJOIN("", TRUE, IF(ISNUMBER(--MID(C79, ROW(INDIRECT("1:"&amp;LEN(C79))), 1)), MID(C79, ROW(INDIRECT("1:"&amp;LEN(C79))), 1), ""))</f>
        <v/>
      </c>
      <c r="I79" s="378"/>
      <c r="J79" s="378">
        <f t="shared" si="7"/>
        <v>0</v>
      </c>
      <c r="K79" s="378" t="str">
        <f t="shared" si="7"/>
        <v/>
      </c>
      <c r="L79" s="378" t="str">
        <f t="shared" si="8"/>
        <v>أجنبي</v>
      </c>
      <c r="M79" s="436" t="str">
        <f t="shared" si="9"/>
        <v/>
      </c>
      <c r="N79" s="436"/>
      <c r="O79" s="378"/>
      <c r="P79" s="378"/>
      <c r="Q79" s="378"/>
      <c r="R79" s="378"/>
      <c r="S79" s="378"/>
      <c r="T79" s="378"/>
      <c r="U79" s="378">
        <v>77</v>
      </c>
      <c r="V79" s="378"/>
      <c r="W79" s="378"/>
      <c r="X79" s="378"/>
      <c r="Y79" s="378"/>
      <c r="Z79" s="378"/>
      <c r="AA79" s="378"/>
      <c r="AB79" s="378"/>
      <c r="AC79" s="378"/>
      <c r="AD79" s="378"/>
      <c r="AE79" s="378"/>
      <c r="AF79" s="378"/>
      <c r="AG79" s="378"/>
      <c r="AH79" s="378"/>
      <c r="AI79" s="378"/>
      <c r="AJ79" s="378"/>
      <c r="AK79" s="378"/>
      <c r="AL79" s="378"/>
      <c r="AM79" s="378"/>
      <c r="AN79" s="378"/>
      <c r="AO79" s="378"/>
      <c r="AP79" s="378"/>
      <c r="AQ79" s="378"/>
    </row>
    <row r="80" spans="2:43">
      <c r="B80" s="378">
        <v>78</v>
      </c>
      <c r="C80" s="378"/>
      <c r="D80" s="378"/>
      <c r="E80" s="378"/>
      <c r="F80" s="378"/>
      <c r="G80" s="378"/>
      <c r="H80" s="378" t="str">
        <f t="array" aca="1" ref="H80" ca="1">_xlfn.TEXTJOIN("", TRUE, IF(ISNUMBER(--MID(C80, ROW(INDIRECT("1:"&amp;LEN(C80))), 1)), MID(C80, ROW(INDIRECT("1:"&amp;LEN(C80))), 1), ""))</f>
        <v/>
      </c>
      <c r="I80" s="378"/>
      <c r="J80" s="378">
        <f t="shared" si="7"/>
        <v>0</v>
      </c>
      <c r="K80" s="378" t="str">
        <f t="shared" si="7"/>
        <v/>
      </c>
      <c r="L80" s="378" t="str">
        <f t="shared" si="8"/>
        <v>أجنبي</v>
      </c>
      <c r="M80" s="436" t="str">
        <f t="shared" si="9"/>
        <v/>
      </c>
      <c r="N80" s="436"/>
      <c r="O80" s="378"/>
      <c r="P80" s="378"/>
      <c r="Q80" s="378"/>
      <c r="R80" s="378"/>
      <c r="S80" s="378"/>
      <c r="T80" s="378"/>
      <c r="U80" s="378">
        <v>78</v>
      </c>
      <c r="V80" s="378"/>
      <c r="W80" s="378"/>
      <c r="X80" s="378"/>
      <c r="Y80" s="378"/>
      <c r="Z80" s="378"/>
      <c r="AA80" s="378"/>
      <c r="AB80" s="378"/>
      <c r="AC80" s="378"/>
      <c r="AD80" s="378"/>
      <c r="AE80" s="378"/>
      <c r="AF80" s="378"/>
      <c r="AG80" s="378"/>
      <c r="AH80" s="378"/>
      <c r="AI80" s="378"/>
      <c r="AJ80" s="378"/>
      <c r="AK80" s="378"/>
      <c r="AL80" s="378"/>
      <c r="AM80" s="378"/>
      <c r="AN80" s="378"/>
      <c r="AO80" s="378"/>
      <c r="AP80" s="378"/>
      <c r="AQ80" s="378"/>
    </row>
    <row r="81" spans="2:43">
      <c r="B81" s="378">
        <v>79</v>
      </c>
      <c r="C81" s="378"/>
      <c r="D81" s="378"/>
      <c r="E81" s="378"/>
      <c r="F81" s="378"/>
      <c r="G81" s="378"/>
      <c r="H81" s="378" t="str">
        <f t="array" aca="1" ref="H81" ca="1">_xlfn.TEXTJOIN("", TRUE, IF(ISNUMBER(--MID(C81, ROW(INDIRECT("1:"&amp;LEN(C81))), 1)), MID(C81, ROW(INDIRECT("1:"&amp;LEN(C81))), 1), ""))</f>
        <v/>
      </c>
      <c r="I81" s="378"/>
      <c r="J81" s="378">
        <f t="shared" si="7"/>
        <v>0</v>
      </c>
      <c r="K81" s="378" t="str">
        <f t="shared" si="7"/>
        <v/>
      </c>
      <c r="L81" s="378" t="str">
        <f t="shared" si="8"/>
        <v>أجنبي</v>
      </c>
      <c r="M81" s="436" t="str">
        <f t="shared" si="9"/>
        <v/>
      </c>
      <c r="N81" s="436"/>
      <c r="O81" s="378"/>
      <c r="P81" s="378"/>
      <c r="Q81" s="378"/>
      <c r="R81" s="378"/>
      <c r="S81" s="378"/>
      <c r="T81" s="378"/>
      <c r="U81" s="378">
        <v>79</v>
      </c>
      <c r="V81" s="378"/>
      <c r="W81" s="378"/>
      <c r="X81" s="378"/>
      <c r="Y81" s="378"/>
      <c r="Z81" s="378"/>
      <c r="AA81" s="378"/>
      <c r="AB81" s="378"/>
      <c r="AC81" s="378"/>
      <c r="AD81" s="378"/>
      <c r="AE81" s="378"/>
      <c r="AF81" s="378"/>
      <c r="AG81" s="378"/>
      <c r="AH81" s="378"/>
      <c r="AI81" s="378"/>
      <c r="AJ81" s="378"/>
      <c r="AK81" s="378"/>
      <c r="AL81" s="378"/>
      <c r="AM81" s="378"/>
      <c r="AN81" s="378"/>
      <c r="AO81" s="378"/>
      <c r="AP81" s="378"/>
      <c r="AQ81" s="378"/>
    </row>
    <row r="82" spans="2:43">
      <c r="B82" s="378">
        <v>80</v>
      </c>
      <c r="C82" s="378"/>
      <c r="D82" s="378"/>
      <c r="E82" s="378"/>
      <c r="F82" s="378"/>
      <c r="G82" s="378"/>
      <c r="H82" s="378" t="str">
        <f t="array" aca="1" ref="H82" ca="1">_xlfn.TEXTJOIN("", TRUE, IF(ISNUMBER(--MID(C82, ROW(INDIRECT("1:"&amp;LEN(C82))), 1)), MID(C82, ROW(INDIRECT("1:"&amp;LEN(C82))), 1), ""))</f>
        <v/>
      </c>
      <c r="I82" s="378"/>
      <c r="J82" s="378">
        <f t="shared" si="7"/>
        <v>0</v>
      </c>
      <c r="K82" s="378" t="str">
        <f t="shared" si="7"/>
        <v/>
      </c>
      <c r="L82" s="378" t="str">
        <f t="shared" si="8"/>
        <v>أجنبي</v>
      </c>
      <c r="M82" s="436" t="str">
        <f t="shared" si="9"/>
        <v/>
      </c>
      <c r="N82" s="436"/>
      <c r="O82" s="378"/>
      <c r="P82" s="378"/>
      <c r="Q82" s="378"/>
      <c r="R82" s="437"/>
      <c r="S82" s="91"/>
      <c r="T82" s="378"/>
      <c r="U82" s="378">
        <v>80</v>
      </c>
      <c r="V82" s="378"/>
      <c r="W82" s="378"/>
      <c r="X82" s="378"/>
      <c r="Y82" s="378"/>
      <c r="Z82" s="378"/>
      <c r="AA82" s="378"/>
      <c r="AB82" s="378"/>
      <c r="AC82" s="378"/>
      <c r="AD82" s="378"/>
      <c r="AE82" s="378"/>
      <c r="AF82" s="378"/>
      <c r="AG82" s="378"/>
      <c r="AH82" s="378"/>
      <c r="AI82" s="378"/>
      <c r="AJ82" s="378"/>
      <c r="AK82" s="378"/>
      <c r="AL82" s="378"/>
      <c r="AM82" s="378"/>
      <c r="AN82" s="378"/>
      <c r="AO82" s="378"/>
      <c r="AP82" s="378"/>
      <c r="AQ82" s="378"/>
    </row>
    <row r="83" spans="2:43">
      <c r="B83" s="378">
        <v>81</v>
      </c>
      <c r="C83" s="378"/>
      <c r="D83" s="378"/>
      <c r="E83" s="378"/>
      <c r="F83" s="378"/>
      <c r="G83" s="378"/>
      <c r="H83" s="378" t="str">
        <f t="array" aca="1" ref="H83" ca="1">_xlfn.TEXTJOIN("", TRUE, IF(ISNUMBER(--MID(C83, ROW(INDIRECT("1:"&amp;LEN(C83))), 1)), MID(C83, ROW(INDIRECT("1:"&amp;LEN(C83))), 1), ""))</f>
        <v/>
      </c>
      <c r="I83" s="378"/>
      <c r="J83" s="378">
        <f t="shared" si="7"/>
        <v>0</v>
      </c>
      <c r="K83" s="378" t="str">
        <f t="shared" si="7"/>
        <v/>
      </c>
      <c r="L83" s="378" t="str">
        <f t="shared" si="8"/>
        <v>أجنبي</v>
      </c>
      <c r="M83" s="436" t="str">
        <f t="shared" si="9"/>
        <v/>
      </c>
      <c r="N83" s="436"/>
      <c r="O83" s="378"/>
      <c r="P83" s="378"/>
      <c r="Q83" s="378"/>
      <c r="R83" s="378"/>
      <c r="S83" s="378"/>
      <c r="T83" s="378"/>
      <c r="U83" s="378">
        <v>81</v>
      </c>
      <c r="V83" s="378"/>
      <c r="W83" s="378"/>
      <c r="X83" s="378"/>
      <c r="Y83" s="378"/>
      <c r="Z83" s="378"/>
      <c r="AA83" s="378"/>
      <c r="AB83" s="378"/>
      <c r="AC83" s="378"/>
      <c r="AD83" s="378"/>
      <c r="AE83" s="378"/>
      <c r="AF83" s="378"/>
      <c r="AG83" s="378"/>
      <c r="AH83" s="378"/>
      <c r="AI83" s="378"/>
      <c r="AJ83" s="378"/>
      <c r="AK83" s="378"/>
      <c r="AL83" s="378"/>
      <c r="AM83" s="378"/>
      <c r="AN83" s="378"/>
      <c r="AO83" s="378"/>
      <c r="AP83" s="378"/>
      <c r="AQ83" s="378"/>
    </row>
    <row r="84" spans="2:43">
      <c r="B84" s="378">
        <v>82</v>
      </c>
      <c r="C84" s="378"/>
      <c r="D84" s="378"/>
      <c r="E84" s="378"/>
      <c r="F84" s="378"/>
      <c r="G84" s="378"/>
      <c r="H84" s="378" t="str">
        <f t="array" aca="1" ref="H84" ca="1">_xlfn.TEXTJOIN("", TRUE, IF(ISNUMBER(--MID(C84, ROW(INDIRECT("1:"&amp;LEN(C84))), 1)), MID(C84, ROW(INDIRECT("1:"&amp;LEN(C84))), 1), ""))</f>
        <v/>
      </c>
      <c r="I84" s="378"/>
      <c r="J84" s="378">
        <f t="shared" ref="J84:K103" si="10">IF(LEFT(I84,5)="00966", RIGHT(I84,LEN(I84)-5),
    IF(LEFT(I84,4)="+966", RIGHT(I84,LEN(I84)-4),
        IF(LEFT(I84,3)="966", RIGHT(I84,LEN(I84)-3),
            IF(LEFT(I84,1)="0", RIGHT(I84,LEN(I84)-1), I84)
        )
    )
)</f>
        <v>0</v>
      </c>
      <c r="K84" s="378" t="str">
        <f t="shared" si="10"/>
        <v/>
      </c>
      <c r="L84" s="378" t="str">
        <f t="shared" si="8"/>
        <v>أجنبي</v>
      </c>
      <c r="M84" s="436" t="str">
        <f t="shared" si="9"/>
        <v/>
      </c>
      <c r="N84" s="436"/>
      <c r="O84" s="378"/>
      <c r="P84" s="378"/>
      <c r="Q84" s="378"/>
      <c r="R84" s="378"/>
      <c r="S84" s="378"/>
      <c r="T84" s="378"/>
      <c r="U84" s="378">
        <v>82</v>
      </c>
      <c r="V84" s="378"/>
      <c r="W84" s="378"/>
      <c r="X84" s="378"/>
      <c r="Y84" s="378"/>
      <c r="Z84" s="378"/>
      <c r="AA84" s="378"/>
      <c r="AB84" s="378"/>
      <c r="AC84" s="378"/>
      <c r="AD84" s="378"/>
      <c r="AE84" s="378"/>
      <c r="AF84" s="378"/>
      <c r="AG84" s="378"/>
      <c r="AH84" s="378"/>
      <c r="AI84" s="378"/>
      <c r="AJ84" s="378"/>
      <c r="AK84" s="378"/>
      <c r="AL84" s="378"/>
      <c r="AM84" s="378"/>
      <c r="AN84" s="378"/>
      <c r="AO84" s="378"/>
      <c r="AP84" s="378"/>
      <c r="AQ84" s="378"/>
    </row>
    <row r="85" spans="2:43">
      <c r="B85" s="378">
        <v>83</v>
      </c>
      <c r="C85" s="378"/>
      <c r="D85" s="378"/>
      <c r="E85" s="378"/>
      <c r="F85" s="378"/>
      <c r="G85" s="378"/>
      <c r="H85" s="378" t="str">
        <f t="array" aca="1" ref="H85" ca="1">_xlfn.TEXTJOIN("", TRUE, IF(ISNUMBER(--MID(C85, ROW(INDIRECT("1:"&amp;LEN(C85))), 1)), MID(C85, ROW(INDIRECT("1:"&amp;LEN(C85))), 1), ""))</f>
        <v/>
      </c>
      <c r="I85" s="378"/>
      <c r="J85" s="378">
        <f t="shared" si="10"/>
        <v>0</v>
      </c>
      <c r="K85" s="378" t="str">
        <f t="shared" si="10"/>
        <v/>
      </c>
      <c r="L85" s="378" t="str">
        <f t="shared" si="8"/>
        <v>أجنبي</v>
      </c>
      <c r="M85" s="436" t="str">
        <f t="shared" si="9"/>
        <v/>
      </c>
      <c r="N85" s="436"/>
      <c r="O85" s="378"/>
      <c r="P85" s="378"/>
      <c r="Q85" s="378"/>
      <c r="R85" s="437"/>
      <c r="S85" s="91"/>
      <c r="T85" s="378"/>
      <c r="U85" s="378">
        <v>83</v>
      </c>
      <c r="V85" s="378"/>
      <c r="W85" s="378"/>
      <c r="X85" s="378"/>
      <c r="Y85" s="378"/>
      <c r="Z85" s="378"/>
      <c r="AA85" s="378"/>
      <c r="AB85" s="378"/>
      <c r="AC85" s="378"/>
      <c r="AD85" s="378"/>
      <c r="AE85" s="378"/>
      <c r="AF85" s="378"/>
      <c r="AG85" s="378"/>
      <c r="AH85" s="378"/>
      <c r="AI85" s="378"/>
      <c r="AJ85" s="378"/>
      <c r="AK85" s="378"/>
      <c r="AL85" s="378"/>
      <c r="AM85" s="378"/>
      <c r="AN85" s="378"/>
      <c r="AO85" s="378"/>
      <c r="AP85" s="378"/>
      <c r="AQ85" s="378"/>
    </row>
    <row r="86" spans="2:43">
      <c r="B86" s="378">
        <v>84</v>
      </c>
      <c r="C86" s="378"/>
      <c r="D86" s="378"/>
      <c r="E86" s="378"/>
      <c r="F86" s="378"/>
      <c r="G86" s="378"/>
      <c r="H86" s="378" t="str">
        <f t="array" aca="1" ref="H86" ca="1">_xlfn.TEXTJOIN("", TRUE, IF(ISNUMBER(--MID(C86, ROW(INDIRECT("1:"&amp;LEN(C86))), 1)), MID(C86, ROW(INDIRECT("1:"&amp;LEN(C86))), 1), ""))</f>
        <v/>
      </c>
      <c r="I86" s="378"/>
      <c r="J86" s="378">
        <f t="shared" si="10"/>
        <v>0</v>
      </c>
      <c r="K86" s="378" t="str">
        <f t="shared" si="10"/>
        <v/>
      </c>
      <c r="L86" s="378" t="str">
        <f t="shared" si="8"/>
        <v>أجنبي</v>
      </c>
      <c r="M86" s="436" t="str">
        <f t="shared" si="9"/>
        <v/>
      </c>
      <c r="N86" s="436"/>
      <c r="O86" s="378"/>
      <c r="P86" s="378"/>
      <c r="Q86" s="378"/>
      <c r="R86" s="378"/>
      <c r="S86" s="378"/>
      <c r="T86" s="378"/>
      <c r="U86" s="378">
        <v>84</v>
      </c>
      <c r="V86" s="378"/>
      <c r="W86" s="378"/>
      <c r="X86" s="378"/>
      <c r="Y86" s="378"/>
      <c r="Z86" s="378"/>
      <c r="AA86" s="378"/>
      <c r="AB86" s="378"/>
      <c r="AC86" s="378"/>
      <c r="AD86" s="378"/>
      <c r="AE86" s="378"/>
      <c r="AF86" s="378"/>
      <c r="AG86" s="378"/>
      <c r="AH86" s="378"/>
      <c r="AI86" s="378"/>
      <c r="AJ86" s="378"/>
      <c r="AK86" s="378"/>
      <c r="AL86" s="378"/>
      <c r="AM86" s="378"/>
      <c r="AN86" s="378"/>
      <c r="AO86" s="378"/>
      <c r="AP86" s="378"/>
      <c r="AQ86" s="378"/>
    </row>
    <row r="87" spans="2:43">
      <c r="B87" s="378">
        <v>85</v>
      </c>
      <c r="C87" s="378"/>
      <c r="D87" s="378"/>
      <c r="E87" s="378"/>
      <c r="F87" s="378"/>
      <c r="G87" s="378"/>
      <c r="H87" s="378" t="str">
        <f t="array" aca="1" ref="H87" ca="1">_xlfn.TEXTJOIN("", TRUE, IF(ISNUMBER(--MID(C87, ROW(INDIRECT("1:"&amp;LEN(C87))), 1)), MID(C87, ROW(INDIRECT("1:"&amp;LEN(C87))), 1), ""))</f>
        <v/>
      </c>
      <c r="I87" s="378"/>
      <c r="J87" s="378">
        <f t="shared" si="10"/>
        <v>0</v>
      </c>
      <c r="K87" s="378" t="str">
        <f t="shared" si="10"/>
        <v/>
      </c>
      <c r="L87" s="378" t="str">
        <f t="shared" si="8"/>
        <v>أجنبي</v>
      </c>
      <c r="M87" s="436" t="str">
        <f t="shared" si="9"/>
        <v/>
      </c>
      <c r="N87" s="436"/>
      <c r="O87" s="378"/>
      <c r="P87" s="378"/>
      <c r="Q87" s="378"/>
      <c r="R87" s="378"/>
      <c r="S87" s="378"/>
      <c r="T87" s="378"/>
      <c r="U87" s="378">
        <v>85</v>
      </c>
      <c r="V87" s="378"/>
      <c r="W87" s="378"/>
      <c r="X87" s="378"/>
      <c r="Y87" s="378"/>
      <c r="Z87" s="378"/>
      <c r="AA87" s="378"/>
      <c r="AB87" s="378"/>
      <c r="AC87" s="378"/>
      <c r="AD87" s="378"/>
      <c r="AE87" s="378"/>
      <c r="AF87" s="378"/>
      <c r="AG87" s="378"/>
      <c r="AH87" s="378"/>
      <c r="AI87" s="378"/>
      <c r="AJ87" s="378"/>
      <c r="AK87" s="378"/>
      <c r="AL87" s="378"/>
      <c r="AM87" s="378"/>
      <c r="AN87" s="378"/>
      <c r="AO87" s="378"/>
      <c r="AP87" s="378"/>
      <c r="AQ87" s="378"/>
    </row>
    <row r="88" spans="2:43">
      <c r="B88" s="378">
        <v>86</v>
      </c>
      <c r="C88" s="378"/>
      <c r="D88" s="378"/>
      <c r="E88" s="378"/>
      <c r="F88" s="378"/>
      <c r="G88" s="378"/>
      <c r="H88" s="378" t="str">
        <f t="array" aca="1" ref="H88" ca="1">_xlfn.TEXTJOIN("", TRUE, IF(ISNUMBER(--MID(C88, ROW(INDIRECT("1:"&amp;LEN(C88))), 1)), MID(C88, ROW(INDIRECT("1:"&amp;LEN(C88))), 1), ""))</f>
        <v/>
      </c>
      <c r="I88" s="378"/>
      <c r="J88" s="378">
        <f t="shared" si="10"/>
        <v>0</v>
      </c>
      <c r="K88" s="378" t="str">
        <f t="shared" si="10"/>
        <v/>
      </c>
      <c r="L88" s="378" t="str">
        <f t="shared" si="8"/>
        <v>أجنبي</v>
      </c>
      <c r="M88" s="436" t="str">
        <f t="shared" si="9"/>
        <v/>
      </c>
      <c r="N88" s="436"/>
      <c r="O88" s="378"/>
      <c r="P88" s="378"/>
      <c r="Q88" s="378"/>
      <c r="R88" s="378"/>
      <c r="S88" s="378"/>
      <c r="T88" s="378"/>
      <c r="U88" s="378">
        <v>86</v>
      </c>
      <c r="V88" s="378"/>
      <c r="W88" s="378"/>
      <c r="X88" s="378"/>
      <c r="Y88" s="378"/>
      <c r="Z88" s="378"/>
      <c r="AA88" s="378"/>
      <c r="AB88" s="378"/>
      <c r="AC88" s="378"/>
      <c r="AD88" s="378"/>
      <c r="AE88" s="378"/>
      <c r="AF88" s="378"/>
      <c r="AG88" s="378"/>
      <c r="AH88" s="378"/>
      <c r="AI88" s="378"/>
      <c r="AJ88" s="378"/>
      <c r="AK88" s="378"/>
      <c r="AL88" s="378"/>
      <c r="AM88" s="378"/>
      <c r="AN88" s="378"/>
      <c r="AO88" s="378"/>
      <c r="AP88" s="378"/>
      <c r="AQ88" s="378"/>
    </row>
    <row r="89" spans="2:43">
      <c r="B89" s="378">
        <v>87</v>
      </c>
      <c r="C89" s="378"/>
      <c r="D89" s="378"/>
      <c r="E89" s="378"/>
      <c r="F89" s="378"/>
      <c r="G89" s="378"/>
      <c r="H89" s="378" t="str">
        <f t="array" aca="1" ref="H89" ca="1">_xlfn.TEXTJOIN("", TRUE, IF(ISNUMBER(--MID(C89, ROW(INDIRECT("1:"&amp;LEN(C89))), 1)), MID(C89, ROW(INDIRECT("1:"&amp;LEN(C89))), 1), ""))</f>
        <v/>
      </c>
      <c r="I89" s="378"/>
      <c r="J89" s="378">
        <f t="shared" si="10"/>
        <v>0</v>
      </c>
      <c r="K89" s="378" t="str">
        <f t="shared" si="10"/>
        <v/>
      </c>
      <c r="L89" s="378" t="str">
        <f t="shared" si="8"/>
        <v>أجنبي</v>
      </c>
      <c r="M89" s="436" t="str">
        <f t="shared" si="9"/>
        <v/>
      </c>
      <c r="N89" s="436"/>
      <c r="O89" s="378"/>
      <c r="P89" s="378"/>
      <c r="Q89" s="378"/>
      <c r="R89" s="378"/>
      <c r="S89" s="378"/>
      <c r="T89" s="378"/>
      <c r="U89" s="378">
        <v>87</v>
      </c>
      <c r="V89" s="378"/>
      <c r="W89" s="378"/>
      <c r="X89" s="378"/>
      <c r="Y89" s="378"/>
      <c r="Z89" s="378"/>
      <c r="AA89" s="378"/>
      <c r="AB89" s="378"/>
      <c r="AC89" s="378"/>
      <c r="AD89" s="378"/>
      <c r="AE89" s="378"/>
      <c r="AF89" s="378"/>
      <c r="AG89" s="378"/>
      <c r="AH89" s="378"/>
      <c r="AI89" s="378"/>
      <c r="AJ89" s="378"/>
      <c r="AK89" s="378"/>
      <c r="AL89" s="378"/>
      <c r="AM89" s="378"/>
      <c r="AN89" s="378"/>
      <c r="AO89" s="378"/>
      <c r="AP89" s="378"/>
      <c r="AQ89" s="378"/>
    </row>
    <row r="90" spans="2:43">
      <c r="B90" s="378">
        <v>88</v>
      </c>
      <c r="C90" s="378"/>
      <c r="D90" s="378"/>
      <c r="E90" s="378"/>
      <c r="F90" s="378"/>
      <c r="G90" s="378"/>
      <c r="H90" s="378" t="str">
        <f t="array" aca="1" ref="H90" ca="1">_xlfn.TEXTJOIN("", TRUE, IF(ISNUMBER(--MID(C90, ROW(INDIRECT("1:"&amp;LEN(C90))), 1)), MID(C90, ROW(INDIRECT("1:"&amp;LEN(C90))), 1), ""))</f>
        <v/>
      </c>
      <c r="I90" s="378"/>
      <c r="J90" s="378">
        <f t="shared" si="10"/>
        <v>0</v>
      </c>
      <c r="K90" s="378" t="str">
        <f t="shared" si="10"/>
        <v/>
      </c>
      <c r="L90" s="378" t="str">
        <f t="shared" si="8"/>
        <v>أجنبي</v>
      </c>
      <c r="M90" s="436" t="str">
        <f t="shared" si="9"/>
        <v/>
      </c>
      <c r="N90" s="436"/>
      <c r="O90" s="378"/>
      <c r="P90" s="378"/>
      <c r="Q90" s="378"/>
      <c r="R90" s="378"/>
      <c r="S90" s="378"/>
      <c r="T90" s="378"/>
      <c r="U90" s="378">
        <v>88</v>
      </c>
      <c r="V90" s="378"/>
      <c r="W90" s="378"/>
      <c r="X90" s="378"/>
      <c r="Y90" s="378"/>
      <c r="Z90" s="378"/>
      <c r="AA90" s="378"/>
      <c r="AB90" s="378"/>
      <c r="AC90" s="378"/>
      <c r="AD90" s="378"/>
      <c r="AE90" s="378"/>
      <c r="AF90" s="378"/>
      <c r="AG90" s="378"/>
      <c r="AH90" s="378"/>
      <c r="AI90" s="378"/>
      <c r="AJ90" s="378"/>
      <c r="AK90" s="378"/>
      <c r="AL90" s="378"/>
      <c r="AM90" s="378"/>
      <c r="AN90" s="378"/>
      <c r="AO90" s="378"/>
      <c r="AP90" s="378"/>
      <c r="AQ90" s="378"/>
    </row>
    <row r="91" spans="2:43">
      <c r="B91" s="378">
        <v>89</v>
      </c>
      <c r="C91" s="378"/>
      <c r="D91" s="378"/>
      <c r="E91" s="378"/>
      <c r="F91" s="378"/>
      <c r="G91" s="378"/>
      <c r="H91" s="378" t="str">
        <f t="array" aca="1" ref="H91" ca="1">_xlfn.TEXTJOIN("", TRUE, IF(ISNUMBER(--MID(C91, ROW(INDIRECT("1:"&amp;LEN(C91))), 1)), MID(C91, ROW(INDIRECT("1:"&amp;LEN(C91))), 1), ""))</f>
        <v/>
      </c>
      <c r="I91" s="378"/>
      <c r="J91" s="378">
        <f t="shared" si="10"/>
        <v>0</v>
      </c>
      <c r="K91" s="378" t="str">
        <f t="shared" si="10"/>
        <v/>
      </c>
      <c r="L91" s="378" t="str">
        <f t="shared" si="8"/>
        <v>أجنبي</v>
      </c>
      <c r="M91" s="436" t="str">
        <f t="shared" si="9"/>
        <v/>
      </c>
      <c r="N91" s="436"/>
      <c r="O91" s="378"/>
      <c r="P91" s="378"/>
      <c r="Q91" s="378"/>
      <c r="R91" s="378"/>
      <c r="S91" s="378"/>
      <c r="T91" s="378"/>
      <c r="U91" s="378">
        <v>89</v>
      </c>
      <c r="V91" s="378"/>
      <c r="W91" s="378"/>
      <c r="X91" s="378"/>
      <c r="Y91" s="378"/>
      <c r="Z91" s="378"/>
      <c r="AA91" s="378"/>
      <c r="AB91" s="378"/>
      <c r="AC91" s="378"/>
      <c r="AD91" s="378"/>
      <c r="AE91" s="378"/>
      <c r="AF91" s="378"/>
      <c r="AG91" s="378"/>
      <c r="AH91" s="378"/>
      <c r="AI91" s="378"/>
      <c r="AJ91" s="378"/>
      <c r="AK91" s="378"/>
      <c r="AL91" s="378"/>
      <c r="AM91" s="378"/>
      <c r="AN91" s="378"/>
      <c r="AO91" s="378"/>
      <c r="AP91" s="378"/>
      <c r="AQ91" s="378"/>
    </row>
    <row r="92" spans="2:43">
      <c r="B92" s="378">
        <v>90</v>
      </c>
      <c r="C92" s="378"/>
      <c r="D92" s="378"/>
      <c r="E92" s="378"/>
      <c r="F92" s="378"/>
      <c r="G92" s="378"/>
      <c r="H92" s="378" t="str">
        <f t="array" aca="1" ref="H92" ca="1">_xlfn.TEXTJOIN("", TRUE, IF(ISNUMBER(--MID(C92, ROW(INDIRECT("1:"&amp;LEN(C92))), 1)), MID(C92, ROW(INDIRECT("1:"&amp;LEN(C92))), 1), ""))</f>
        <v/>
      </c>
      <c r="I92" s="378"/>
      <c r="J92" s="378">
        <f t="shared" si="10"/>
        <v>0</v>
      </c>
      <c r="K92" s="378" t="str">
        <f t="shared" si="10"/>
        <v/>
      </c>
      <c r="L92" s="378" t="str">
        <f t="shared" si="8"/>
        <v>أجنبي</v>
      </c>
      <c r="M92" s="436" t="str">
        <f t="shared" si="9"/>
        <v/>
      </c>
      <c r="N92" s="436"/>
      <c r="O92" s="378"/>
      <c r="P92" s="378"/>
      <c r="Q92" s="378"/>
      <c r="R92" s="378"/>
      <c r="S92" s="378"/>
      <c r="T92" s="378"/>
      <c r="U92" s="378">
        <v>90</v>
      </c>
      <c r="V92" s="378"/>
      <c r="W92" s="378"/>
      <c r="X92" s="378"/>
      <c r="Y92" s="378"/>
      <c r="Z92" s="378"/>
      <c r="AA92" s="378"/>
      <c r="AB92" s="378"/>
      <c r="AC92" s="378"/>
      <c r="AD92" s="378"/>
      <c r="AE92" s="378"/>
      <c r="AF92" s="378"/>
      <c r="AG92" s="378"/>
      <c r="AH92" s="378"/>
      <c r="AI92" s="378"/>
      <c r="AJ92" s="378"/>
      <c r="AK92" s="378"/>
      <c r="AL92" s="378"/>
      <c r="AM92" s="378"/>
      <c r="AN92" s="378"/>
      <c r="AO92" s="378"/>
      <c r="AP92" s="378"/>
      <c r="AQ92" s="378"/>
    </row>
    <row r="93" spans="2:43">
      <c r="B93" s="378">
        <v>91</v>
      </c>
      <c r="C93" s="378"/>
      <c r="D93" s="378"/>
      <c r="E93" s="378"/>
      <c r="F93" s="378"/>
      <c r="G93" s="378"/>
      <c r="H93" s="378" t="str">
        <f t="array" aca="1" ref="H93" ca="1">_xlfn.TEXTJOIN("", TRUE, IF(ISNUMBER(--MID(C93, ROW(INDIRECT("1:"&amp;LEN(C93))), 1)), MID(C93, ROW(INDIRECT("1:"&amp;LEN(C93))), 1), ""))</f>
        <v/>
      </c>
      <c r="I93" s="378"/>
      <c r="J93" s="378">
        <f t="shared" si="10"/>
        <v>0</v>
      </c>
      <c r="K93" s="378" t="str">
        <f t="shared" si="10"/>
        <v/>
      </c>
      <c r="L93" s="378" t="str">
        <f t="shared" si="8"/>
        <v>أجنبي</v>
      </c>
      <c r="M93" s="436" t="str">
        <f t="shared" si="9"/>
        <v/>
      </c>
      <c r="N93" s="436"/>
      <c r="O93" s="378"/>
      <c r="P93" s="378"/>
      <c r="Q93" s="378"/>
      <c r="R93" s="378"/>
      <c r="S93" s="378"/>
      <c r="T93" s="378"/>
      <c r="U93" s="378">
        <v>91</v>
      </c>
      <c r="V93" s="378"/>
      <c r="W93" s="378"/>
      <c r="X93" s="378"/>
      <c r="Y93" s="378"/>
      <c r="Z93" s="378"/>
      <c r="AA93" s="378"/>
      <c r="AB93" s="378"/>
      <c r="AC93" s="378"/>
      <c r="AD93" s="378"/>
      <c r="AE93" s="378"/>
      <c r="AF93" s="378"/>
      <c r="AG93" s="378"/>
      <c r="AH93" s="378"/>
      <c r="AI93" s="378"/>
      <c r="AJ93" s="378"/>
      <c r="AK93" s="378"/>
      <c r="AL93" s="378"/>
      <c r="AM93" s="378"/>
      <c r="AN93" s="378"/>
      <c r="AO93" s="378"/>
      <c r="AP93" s="378"/>
      <c r="AQ93" s="378"/>
    </row>
    <row r="94" spans="2:43">
      <c r="B94" s="378">
        <v>92</v>
      </c>
      <c r="C94" s="378"/>
      <c r="D94" s="378"/>
      <c r="E94" s="378"/>
      <c r="F94" s="378"/>
      <c r="G94" s="378"/>
      <c r="H94" s="378" t="str">
        <f t="array" aca="1" ref="H94" ca="1">_xlfn.TEXTJOIN("", TRUE, IF(ISNUMBER(--MID(C94, ROW(INDIRECT("1:"&amp;LEN(C94))), 1)), MID(C94, ROW(INDIRECT("1:"&amp;LEN(C94))), 1), ""))</f>
        <v/>
      </c>
      <c r="I94" s="378"/>
      <c r="J94" s="378">
        <f t="shared" si="10"/>
        <v>0</v>
      </c>
      <c r="K94" s="378" t="str">
        <f t="shared" si="10"/>
        <v/>
      </c>
      <c r="L94" s="378" t="str">
        <f t="shared" si="8"/>
        <v>أجنبي</v>
      </c>
      <c r="M94" s="436" t="str">
        <f t="shared" si="9"/>
        <v/>
      </c>
      <c r="N94" s="436"/>
      <c r="O94" s="378"/>
      <c r="P94" s="378"/>
      <c r="Q94" s="378"/>
      <c r="R94" s="378"/>
      <c r="S94" s="378"/>
      <c r="T94" s="378"/>
      <c r="U94" s="378">
        <v>92</v>
      </c>
      <c r="V94" s="378"/>
      <c r="W94" s="378"/>
      <c r="X94" s="378"/>
      <c r="Y94" s="378"/>
      <c r="Z94" s="378"/>
      <c r="AA94" s="378"/>
      <c r="AB94" s="378"/>
      <c r="AC94" s="378"/>
      <c r="AD94" s="378"/>
      <c r="AE94" s="378"/>
      <c r="AF94" s="378"/>
      <c r="AG94" s="378"/>
      <c r="AH94" s="378"/>
      <c r="AI94" s="378"/>
      <c r="AJ94" s="378"/>
      <c r="AK94" s="378"/>
      <c r="AL94" s="378"/>
      <c r="AM94" s="378"/>
      <c r="AN94" s="378"/>
      <c r="AO94" s="378"/>
      <c r="AP94" s="378"/>
      <c r="AQ94" s="378"/>
    </row>
    <row r="95" spans="2:43">
      <c r="B95" s="378">
        <v>93</v>
      </c>
      <c r="C95" s="378"/>
      <c r="D95" s="378"/>
      <c r="E95" s="378"/>
      <c r="F95" s="378"/>
      <c r="G95" s="378"/>
      <c r="H95" s="378" t="str">
        <f t="array" aca="1" ref="H95" ca="1">_xlfn.TEXTJOIN("", TRUE, IF(ISNUMBER(--MID(C95, ROW(INDIRECT("1:"&amp;LEN(C95))), 1)), MID(C95, ROW(INDIRECT("1:"&amp;LEN(C95))), 1), ""))</f>
        <v/>
      </c>
      <c r="I95" s="378"/>
      <c r="J95" s="378">
        <f t="shared" si="10"/>
        <v>0</v>
      </c>
      <c r="K95" s="378" t="str">
        <f t="shared" si="10"/>
        <v/>
      </c>
      <c r="L95" s="378" t="str">
        <f t="shared" si="8"/>
        <v>أجنبي</v>
      </c>
      <c r="M95" s="436" t="str">
        <f t="shared" si="9"/>
        <v/>
      </c>
      <c r="N95" s="436"/>
      <c r="O95" s="378"/>
      <c r="P95" s="378"/>
      <c r="Q95" s="378"/>
      <c r="R95" s="91"/>
      <c r="S95" s="378"/>
      <c r="T95" s="378"/>
      <c r="U95" s="378">
        <v>93</v>
      </c>
      <c r="V95" s="378"/>
      <c r="W95" s="378"/>
      <c r="X95" s="378"/>
      <c r="Y95" s="378"/>
      <c r="Z95" s="378"/>
      <c r="AA95" s="378"/>
      <c r="AB95" s="378"/>
      <c r="AC95" s="378"/>
      <c r="AD95" s="378"/>
      <c r="AE95" s="378"/>
      <c r="AF95" s="378"/>
      <c r="AG95" s="378"/>
      <c r="AH95" s="378"/>
      <c r="AI95" s="378"/>
      <c r="AJ95" s="378"/>
      <c r="AK95" s="378"/>
      <c r="AL95" s="378"/>
      <c r="AM95" s="378"/>
      <c r="AN95" s="378"/>
      <c r="AO95" s="378"/>
      <c r="AP95" s="378"/>
      <c r="AQ95" s="378"/>
    </row>
    <row r="96" spans="2:43">
      <c r="B96" s="378">
        <v>94</v>
      </c>
      <c r="C96" s="378"/>
      <c r="D96" s="378"/>
      <c r="E96" s="378"/>
      <c r="F96" s="378"/>
      <c r="G96" s="378"/>
      <c r="H96" s="378" t="str">
        <f t="array" aca="1" ref="H96" ca="1">_xlfn.TEXTJOIN("", TRUE, IF(ISNUMBER(--MID(C96, ROW(INDIRECT("1:"&amp;LEN(C96))), 1)), MID(C96, ROW(INDIRECT("1:"&amp;LEN(C96))), 1), ""))</f>
        <v/>
      </c>
      <c r="I96" s="378"/>
      <c r="J96" s="378">
        <f t="shared" si="10"/>
        <v>0</v>
      </c>
      <c r="K96" s="378" t="str">
        <f t="shared" si="10"/>
        <v/>
      </c>
      <c r="L96" s="378" t="str">
        <f t="shared" si="8"/>
        <v>أجنبي</v>
      </c>
      <c r="M96" s="436" t="str">
        <f t="shared" si="9"/>
        <v/>
      </c>
      <c r="N96" s="436"/>
      <c r="O96" s="378"/>
      <c r="P96" s="378"/>
      <c r="Q96" s="378"/>
      <c r="R96" s="378"/>
      <c r="S96" s="378"/>
      <c r="T96" s="378"/>
      <c r="U96" s="378">
        <v>94</v>
      </c>
      <c r="V96" s="378"/>
      <c r="W96" s="378"/>
      <c r="X96" s="378"/>
      <c r="Y96" s="378"/>
      <c r="Z96" s="378"/>
      <c r="AA96" s="378"/>
      <c r="AB96" s="378"/>
      <c r="AC96" s="378"/>
      <c r="AD96" s="378"/>
      <c r="AE96" s="378"/>
      <c r="AF96" s="378"/>
      <c r="AG96" s="378"/>
      <c r="AH96" s="378"/>
      <c r="AI96" s="378"/>
      <c r="AJ96" s="378"/>
      <c r="AK96" s="378"/>
      <c r="AL96" s="378"/>
      <c r="AM96" s="378"/>
      <c r="AN96" s="378"/>
      <c r="AO96" s="378"/>
      <c r="AP96" s="378"/>
      <c r="AQ96" s="378"/>
    </row>
    <row r="97" spans="2:43">
      <c r="B97" s="378">
        <v>95</v>
      </c>
      <c r="C97" s="378"/>
      <c r="D97" s="378"/>
      <c r="E97" s="378"/>
      <c r="F97" s="378"/>
      <c r="G97" s="378"/>
      <c r="H97" s="378" t="str">
        <f t="array" aca="1" ref="H97" ca="1">_xlfn.TEXTJOIN("", TRUE, IF(ISNUMBER(--MID(C97, ROW(INDIRECT("1:"&amp;LEN(C97))), 1)), MID(C97, ROW(INDIRECT("1:"&amp;LEN(C97))), 1), ""))</f>
        <v/>
      </c>
      <c r="I97" s="378"/>
      <c r="J97" s="378">
        <f t="shared" si="10"/>
        <v>0</v>
      </c>
      <c r="K97" s="378" t="str">
        <f t="shared" si="10"/>
        <v/>
      </c>
      <c r="L97" s="378" t="str">
        <f t="shared" si="8"/>
        <v>أجنبي</v>
      </c>
      <c r="M97" s="436" t="str">
        <f t="shared" si="9"/>
        <v/>
      </c>
      <c r="N97" s="436"/>
      <c r="O97" s="378"/>
      <c r="P97" s="378"/>
      <c r="Q97" s="378"/>
      <c r="R97" s="378"/>
      <c r="S97" s="378"/>
      <c r="T97" s="378"/>
      <c r="U97" s="378">
        <v>95</v>
      </c>
      <c r="V97" s="378"/>
      <c r="W97" s="378"/>
      <c r="X97" s="378"/>
      <c r="Y97" s="378"/>
      <c r="Z97" s="378"/>
      <c r="AA97" s="378"/>
      <c r="AB97" s="378"/>
      <c r="AC97" s="378"/>
      <c r="AD97" s="378"/>
      <c r="AE97" s="378"/>
      <c r="AF97" s="378"/>
      <c r="AG97" s="378"/>
      <c r="AH97" s="378"/>
      <c r="AI97" s="378"/>
      <c r="AJ97" s="378"/>
      <c r="AK97" s="378"/>
      <c r="AL97" s="378"/>
      <c r="AM97" s="378"/>
      <c r="AN97" s="378"/>
      <c r="AO97" s="378"/>
      <c r="AP97" s="378"/>
      <c r="AQ97" s="378"/>
    </row>
    <row r="98" spans="2:43">
      <c r="B98" s="378">
        <v>96</v>
      </c>
      <c r="C98" s="378"/>
      <c r="D98" s="378"/>
      <c r="E98" s="378"/>
      <c r="F98" s="378"/>
      <c r="G98" s="378"/>
      <c r="H98" s="378" t="str">
        <f t="array" aca="1" ref="H98" ca="1">_xlfn.TEXTJOIN("", TRUE, IF(ISNUMBER(--MID(C98, ROW(INDIRECT("1:"&amp;LEN(C98))), 1)), MID(C98, ROW(INDIRECT("1:"&amp;LEN(C98))), 1), ""))</f>
        <v/>
      </c>
      <c r="I98" s="378"/>
      <c r="J98" s="378">
        <f t="shared" si="10"/>
        <v>0</v>
      </c>
      <c r="K98" s="378" t="str">
        <f t="shared" si="10"/>
        <v/>
      </c>
      <c r="L98" s="378" t="str">
        <f t="shared" si="8"/>
        <v>أجنبي</v>
      </c>
      <c r="M98" s="436" t="str">
        <f t="shared" si="9"/>
        <v/>
      </c>
      <c r="N98" s="436"/>
      <c r="O98" s="378"/>
      <c r="P98" s="378"/>
      <c r="Q98" s="378"/>
      <c r="R98" s="378"/>
      <c r="S98" s="378"/>
      <c r="T98" s="378"/>
      <c r="U98" s="378">
        <v>96</v>
      </c>
      <c r="V98" s="378"/>
      <c r="W98" s="378"/>
      <c r="X98" s="378"/>
      <c r="Y98" s="378"/>
      <c r="Z98" s="378"/>
      <c r="AA98" s="378"/>
      <c r="AB98" s="378"/>
      <c r="AC98" s="378"/>
      <c r="AD98" s="378"/>
      <c r="AE98" s="378"/>
      <c r="AF98" s="378"/>
      <c r="AG98" s="378"/>
      <c r="AH98" s="378"/>
      <c r="AI98" s="378"/>
      <c r="AJ98" s="378"/>
      <c r="AK98" s="378"/>
      <c r="AL98" s="378"/>
      <c r="AM98" s="378"/>
      <c r="AN98" s="378"/>
      <c r="AO98" s="378"/>
      <c r="AP98" s="378"/>
      <c r="AQ98" s="378"/>
    </row>
    <row r="99" spans="2:43">
      <c r="B99" s="378">
        <v>97</v>
      </c>
      <c r="C99" s="378"/>
      <c r="D99" s="378"/>
      <c r="E99" s="378"/>
      <c r="F99" s="378"/>
      <c r="G99" s="378"/>
      <c r="H99" s="378" t="str">
        <f t="array" aca="1" ref="H99" ca="1">_xlfn.TEXTJOIN("", TRUE, IF(ISNUMBER(--MID(C99, ROW(INDIRECT("1:"&amp;LEN(C99))), 1)), MID(C99, ROW(INDIRECT("1:"&amp;LEN(C99))), 1), ""))</f>
        <v/>
      </c>
      <c r="I99" s="378"/>
      <c r="J99" s="378">
        <f t="shared" si="10"/>
        <v>0</v>
      </c>
      <c r="K99" s="378" t="str">
        <f t="shared" si="10"/>
        <v/>
      </c>
      <c r="L99" s="378" t="str">
        <f t="shared" si="8"/>
        <v>أجنبي</v>
      </c>
      <c r="M99" s="436" t="str">
        <f t="shared" si="9"/>
        <v/>
      </c>
      <c r="N99" s="436"/>
      <c r="O99" s="378"/>
      <c r="P99" s="378"/>
      <c r="Q99" s="378"/>
      <c r="R99" s="378"/>
      <c r="S99" s="378"/>
      <c r="T99" s="378"/>
      <c r="U99" s="378">
        <v>97</v>
      </c>
      <c r="V99" s="378"/>
      <c r="W99" s="378"/>
      <c r="X99" s="378"/>
      <c r="Y99" s="378"/>
      <c r="Z99" s="378"/>
      <c r="AA99" s="378"/>
      <c r="AB99" s="378"/>
      <c r="AC99" s="378"/>
      <c r="AD99" s="378"/>
      <c r="AE99" s="378"/>
      <c r="AF99" s="378"/>
      <c r="AG99" s="378"/>
      <c r="AH99" s="378"/>
      <c r="AI99" s="378"/>
      <c r="AJ99" s="378"/>
      <c r="AK99" s="378"/>
      <c r="AL99" s="378"/>
      <c r="AM99" s="378"/>
      <c r="AN99" s="378"/>
      <c r="AO99" s="378"/>
      <c r="AP99" s="378"/>
      <c r="AQ99" s="378"/>
    </row>
    <row r="100" spans="2:43">
      <c r="B100" s="378">
        <v>98</v>
      </c>
      <c r="C100" s="378"/>
      <c r="D100" s="378"/>
      <c r="E100" s="378"/>
      <c r="F100" s="378"/>
      <c r="G100" s="378"/>
      <c r="H100" s="378" t="str">
        <f t="array" aca="1" ref="H100" ca="1">_xlfn.TEXTJOIN("", TRUE, IF(ISNUMBER(--MID(C100, ROW(INDIRECT("1:"&amp;LEN(C100))), 1)), MID(C100, ROW(INDIRECT("1:"&amp;LEN(C100))), 1), ""))</f>
        <v/>
      </c>
      <c r="I100" s="378"/>
      <c r="J100" s="378">
        <f t="shared" si="10"/>
        <v>0</v>
      </c>
      <c r="K100" s="378" t="str">
        <f t="shared" si="10"/>
        <v/>
      </c>
      <c r="L100" s="378" t="str">
        <f t="shared" ref="L100:L106" si="11">IF(LEFT(K100,1)="5",
    IF(LEN(K100)=9,"سعودي - صحيح",
        IF(LEN(K100)&lt;9,"سعودي - ناقص "&amp;(9-LEN(K100)),"سعودي - زائد "&amp;(LEN(K100)-9))
    ),
"أجنبي")</f>
        <v>أجنبي</v>
      </c>
      <c r="M100" s="436" t="str">
        <f t="shared" ref="M100:M106" si="12">IF(LEFT(K100,1)="5","966"&amp;K100,K100)</f>
        <v/>
      </c>
      <c r="N100" s="436"/>
      <c r="O100" s="378"/>
      <c r="P100" s="378"/>
      <c r="Q100" s="378"/>
      <c r="R100" s="378"/>
      <c r="S100" s="378"/>
      <c r="T100" s="378"/>
      <c r="U100" s="378">
        <v>98</v>
      </c>
      <c r="V100" s="378"/>
      <c r="W100" s="378"/>
      <c r="X100" s="378"/>
      <c r="Y100" s="378"/>
      <c r="Z100" s="378"/>
      <c r="AA100" s="378"/>
      <c r="AB100" s="378"/>
      <c r="AC100" s="378"/>
      <c r="AD100" s="378"/>
      <c r="AE100" s="378"/>
      <c r="AF100" s="378"/>
      <c r="AG100" s="378"/>
      <c r="AH100" s="378"/>
      <c r="AI100" s="378"/>
      <c r="AJ100" s="378"/>
      <c r="AK100" s="378"/>
      <c r="AL100" s="378"/>
      <c r="AM100" s="378"/>
      <c r="AN100" s="378"/>
      <c r="AO100" s="378"/>
      <c r="AP100" s="378"/>
      <c r="AQ100" s="378"/>
    </row>
    <row r="101" spans="2:43">
      <c r="B101" s="378">
        <v>99</v>
      </c>
      <c r="C101" s="378"/>
      <c r="D101" s="378"/>
      <c r="E101" s="378"/>
      <c r="F101" s="378"/>
      <c r="G101" s="378"/>
      <c r="H101" s="378" t="str">
        <f t="array" aca="1" ref="H101" ca="1">_xlfn.TEXTJOIN("", TRUE, IF(ISNUMBER(--MID(C101, ROW(INDIRECT("1:"&amp;LEN(C101))), 1)), MID(C101, ROW(INDIRECT("1:"&amp;LEN(C101))), 1), ""))</f>
        <v/>
      </c>
      <c r="I101" s="378"/>
      <c r="J101" s="378">
        <f t="shared" si="10"/>
        <v>0</v>
      </c>
      <c r="K101" s="378" t="str">
        <f t="shared" si="10"/>
        <v/>
      </c>
      <c r="L101" s="378" t="str">
        <f t="shared" si="11"/>
        <v>أجنبي</v>
      </c>
      <c r="M101" s="436" t="str">
        <f t="shared" si="12"/>
        <v/>
      </c>
      <c r="N101" s="436"/>
      <c r="O101" s="378"/>
      <c r="P101" s="378"/>
      <c r="Q101" s="378"/>
      <c r="R101" s="378"/>
      <c r="S101" s="378"/>
      <c r="T101" s="378"/>
      <c r="U101" s="378">
        <v>99</v>
      </c>
      <c r="V101" s="378"/>
      <c r="W101" s="378"/>
      <c r="X101" s="378"/>
      <c r="Y101" s="378"/>
      <c r="Z101" s="378"/>
      <c r="AA101" s="378"/>
      <c r="AB101" s="378"/>
      <c r="AC101" s="378"/>
      <c r="AD101" s="378"/>
      <c r="AE101" s="378"/>
      <c r="AF101" s="378"/>
      <c r="AG101" s="378"/>
      <c r="AH101" s="378"/>
      <c r="AI101" s="378"/>
      <c r="AJ101" s="378"/>
      <c r="AK101" s="378"/>
      <c r="AL101" s="378"/>
      <c r="AM101" s="378"/>
      <c r="AN101" s="378"/>
      <c r="AO101" s="378"/>
      <c r="AP101" s="378"/>
      <c r="AQ101" s="378"/>
    </row>
    <row r="102" spans="2:43">
      <c r="B102" s="378">
        <v>100</v>
      </c>
      <c r="C102" s="378"/>
      <c r="D102" s="378"/>
      <c r="E102" s="378"/>
      <c r="F102" s="378"/>
      <c r="G102" s="378"/>
      <c r="H102" s="378" t="str">
        <f t="array" aca="1" ref="H102" ca="1">_xlfn.TEXTJOIN("", TRUE, IF(ISNUMBER(--MID(C102, ROW(INDIRECT("1:"&amp;LEN(C102))), 1)), MID(C102, ROW(INDIRECT("1:"&amp;LEN(C102))), 1), ""))</f>
        <v/>
      </c>
      <c r="I102" s="378"/>
      <c r="J102" s="378">
        <f t="shared" si="10"/>
        <v>0</v>
      </c>
      <c r="K102" s="378" t="str">
        <f t="shared" si="10"/>
        <v/>
      </c>
      <c r="L102" s="378" t="str">
        <f t="shared" si="11"/>
        <v>أجنبي</v>
      </c>
      <c r="M102" s="436" t="str">
        <f t="shared" si="12"/>
        <v/>
      </c>
      <c r="N102" s="436"/>
      <c r="O102" s="378"/>
      <c r="P102" s="378"/>
      <c r="Q102" s="378"/>
      <c r="R102" s="378"/>
      <c r="S102" s="378"/>
      <c r="T102" s="378"/>
      <c r="U102" s="378">
        <v>100</v>
      </c>
      <c r="V102" s="378"/>
      <c r="W102" s="378"/>
      <c r="X102" s="378"/>
      <c r="Y102" s="378"/>
      <c r="Z102" s="378"/>
      <c r="AA102" s="378"/>
      <c r="AB102" s="378"/>
      <c r="AC102" s="378"/>
      <c r="AD102" s="378"/>
      <c r="AE102" s="378"/>
      <c r="AF102" s="378"/>
      <c r="AG102" s="378"/>
      <c r="AH102" s="378"/>
      <c r="AI102" s="378"/>
      <c r="AJ102" s="378"/>
      <c r="AK102" s="378"/>
      <c r="AL102" s="378"/>
      <c r="AM102" s="378"/>
      <c r="AN102" s="378"/>
      <c r="AO102" s="378"/>
      <c r="AP102" s="378"/>
      <c r="AQ102" s="378"/>
    </row>
    <row r="103" spans="2:43">
      <c r="B103" s="378">
        <v>101</v>
      </c>
      <c r="C103" s="378"/>
      <c r="D103" s="378"/>
      <c r="E103" s="378"/>
      <c r="F103" s="378"/>
      <c r="G103" s="378"/>
      <c r="H103" s="378" t="str">
        <f t="array" aca="1" ref="H103" ca="1">_xlfn.TEXTJOIN("", TRUE, IF(ISNUMBER(--MID(C103, ROW(INDIRECT("1:"&amp;LEN(C103))), 1)), MID(C103, ROW(INDIRECT("1:"&amp;LEN(C103))), 1), ""))</f>
        <v/>
      </c>
      <c r="I103" s="378"/>
      <c r="J103" s="378">
        <f t="shared" si="10"/>
        <v>0</v>
      </c>
      <c r="K103" s="378" t="str">
        <f t="shared" si="10"/>
        <v/>
      </c>
      <c r="L103" s="378" t="str">
        <f t="shared" si="11"/>
        <v>أجنبي</v>
      </c>
      <c r="M103" s="436" t="str">
        <f t="shared" si="12"/>
        <v/>
      </c>
      <c r="N103" s="436"/>
      <c r="O103" s="378"/>
      <c r="P103" s="378"/>
      <c r="Q103" s="378"/>
      <c r="R103" s="378"/>
      <c r="S103" s="378"/>
      <c r="T103" s="378"/>
      <c r="U103" s="378">
        <v>101</v>
      </c>
      <c r="V103" s="378"/>
      <c r="W103" s="378"/>
      <c r="X103" s="378"/>
      <c r="Y103" s="378"/>
      <c r="Z103" s="378"/>
      <c r="AA103" s="378"/>
      <c r="AB103" s="378"/>
      <c r="AC103" s="378"/>
      <c r="AD103" s="378"/>
      <c r="AE103" s="378"/>
      <c r="AF103" s="378"/>
      <c r="AG103" s="378"/>
      <c r="AH103" s="378"/>
      <c r="AI103" s="378"/>
      <c r="AJ103" s="378"/>
      <c r="AK103" s="378"/>
      <c r="AL103" s="378"/>
      <c r="AM103" s="378"/>
      <c r="AN103" s="378"/>
      <c r="AO103" s="378"/>
      <c r="AP103" s="378"/>
      <c r="AQ103" s="378"/>
    </row>
    <row r="104" spans="2:43">
      <c r="B104" s="378">
        <v>102</v>
      </c>
      <c r="C104" s="378"/>
      <c r="D104" s="378"/>
      <c r="E104" s="378"/>
      <c r="F104" s="378"/>
      <c r="G104" s="378"/>
      <c r="H104" s="378" t="str">
        <f t="array" aca="1" ref="H104" ca="1">_xlfn.TEXTJOIN("", TRUE, IF(ISNUMBER(--MID(C104, ROW(INDIRECT("1:"&amp;LEN(C104))), 1)), MID(C104, ROW(INDIRECT("1:"&amp;LEN(C104))), 1), ""))</f>
        <v/>
      </c>
      <c r="I104" s="378"/>
      <c r="J104" s="378">
        <f t="shared" ref="J104:K106" si="13">IF(LEFT(I104,5)="00966", RIGHT(I104,LEN(I104)-5),
    IF(LEFT(I104,4)="+966", RIGHT(I104,LEN(I104)-4),
        IF(LEFT(I104,3)="966", RIGHT(I104,LEN(I104)-3),
            IF(LEFT(I104,1)="0", RIGHT(I104,LEN(I104)-1), I104)
        )
    )
)</f>
        <v>0</v>
      </c>
      <c r="K104" s="378" t="str">
        <f t="shared" si="13"/>
        <v/>
      </c>
      <c r="L104" s="378" t="str">
        <f t="shared" si="11"/>
        <v>أجنبي</v>
      </c>
      <c r="M104" s="436" t="str">
        <f t="shared" si="12"/>
        <v/>
      </c>
      <c r="N104" s="436"/>
      <c r="O104" s="378"/>
      <c r="P104" s="378"/>
      <c r="Q104" s="378"/>
      <c r="R104" s="378"/>
      <c r="S104" s="378"/>
      <c r="T104" s="378"/>
      <c r="U104" s="378">
        <v>102</v>
      </c>
      <c r="V104" s="378"/>
      <c r="W104" s="378"/>
      <c r="X104" s="378"/>
      <c r="Y104" s="378"/>
      <c r="Z104" s="378"/>
      <c r="AA104" s="378"/>
      <c r="AB104" s="378"/>
      <c r="AC104" s="378"/>
      <c r="AD104" s="378"/>
      <c r="AE104" s="378"/>
      <c r="AF104" s="378"/>
      <c r="AG104" s="378"/>
      <c r="AH104" s="378"/>
      <c r="AI104" s="378"/>
      <c r="AJ104" s="378"/>
      <c r="AK104" s="378"/>
      <c r="AL104" s="378"/>
      <c r="AM104" s="378"/>
      <c r="AN104" s="378"/>
      <c r="AO104" s="378"/>
      <c r="AP104" s="378"/>
      <c r="AQ104" s="378"/>
    </row>
    <row r="105" spans="2:43">
      <c r="B105" s="378">
        <v>103</v>
      </c>
      <c r="C105" s="378"/>
      <c r="D105" s="378"/>
      <c r="E105" s="378"/>
      <c r="F105" s="378"/>
      <c r="G105" s="378"/>
      <c r="H105" s="378" t="str">
        <f t="array" aca="1" ref="H105" ca="1">_xlfn.TEXTJOIN("", TRUE, IF(ISNUMBER(--MID(C105, ROW(INDIRECT("1:"&amp;LEN(C105))), 1)), MID(C105, ROW(INDIRECT("1:"&amp;LEN(C105))), 1), ""))</f>
        <v/>
      </c>
      <c r="I105" s="378"/>
      <c r="J105" s="378">
        <f t="shared" si="13"/>
        <v>0</v>
      </c>
      <c r="K105" s="378" t="str">
        <f t="shared" si="13"/>
        <v/>
      </c>
      <c r="L105" s="378" t="str">
        <f t="shared" si="11"/>
        <v>أجنبي</v>
      </c>
      <c r="M105" s="436" t="str">
        <f t="shared" si="12"/>
        <v/>
      </c>
      <c r="N105" s="436"/>
      <c r="O105" s="378"/>
      <c r="P105" s="378"/>
      <c r="Q105" s="378"/>
      <c r="R105" s="378"/>
      <c r="S105" s="378"/>
      <c r="T105" s="378"/>
      <c r="U105" s="378">
        <v>103</v>
      </c>
      <c r="V105" s="378"/>
      <c r="W105" s="378"/>
      <c r="X105" s="378"/>
      <c r="Y105" s="378"/>
      <c r="Z105" s="378"/>
      <c r="AA105" s="378"/>
      <c r="AB105" s="378"/>
      <c r="AC105" s="378"/>
      <c r="AD105" s="378"/>
      <c r="AE105" s="378"/>
      <c r="AF105" s="378"/>
      <c r="AG105" s="378"/>
      <c r="AH105" s="378"/>
      <c r="AI105" s="378"/>
      <c r="AJ105" s="378"/>
      <c r="AK105" s="378"/>
      <c r="AL105" s="378"/>
      <c r="AM105" s="378"/>
      <c r="AN105" s="378"/>
      <c r="AO105" s="378"/>
      <c r="AP105" s="378"/>
      <c r="AQ105" s="378"/>
    </row>
    <row r="106" spans="2:43">
      <c r="B106" s="378">
        <v>104</v>
      </c>
      <c r="C106" s="378"/>
      <c r="D106" s="378"/>
      <c r="E106" s="378"/>
      <c r="F106" s="378"/>
      <c r="G106" s="378"/>
      <c r="H106" s="378" t="str">
        <f t="array" aca="1" ref="H106" ca="1">_xlfn.TEXTJOIN("", TRUE, IF(ISNUMBER(--MID(C106, ROW(INDIRECT("1:"&amp;LEN(C106))), 1)), MID(C106, ROW(INDIRECT("1:"&amp;LEN(C106))), 1), ""))</f>
        <v/>
      </c>
      <c r="I106" s="378"/>
      <c r="J106" s="378">
        <f t="shared" si="13"/>
        <v>0</v>
      </c>
      <c r="K106" s="378" t="str">
        <f t="shared" si="13"/>
        <v/>
      </c>
      <c r="L106" s="378" t="str">
        <f t="shared" si="11"/>
        <v>أجنبي</v>
      </c>
      <c r="M106" s="436" t="str">
        <f t="shared" si="12"/>
        <v/>
      </c>
      <c r="N106" s="436"/>
      <c r="O106" s="378"/>
      <c r="P106" s="378"/>
      <c r="Q106" s="378"/>
      <c r="R106" s="91"/>
      <c r="S106" s="378"/>
      <c r="T106" s="378"/>
      <c r="U106" s="378">
        <v>104</v>
      </c>
      <c r="V106" s="378"/>
      <c r="W106" s="378"/>
      <c r="X106" s="378"/>
      <c r="Y106" s="378"/>
      <c r="Z106" s="378"/>
      <c r="AA106" s="378"/>
      <c r="AB106" s="378"/>
      <c r="AC106" s="378"/>
      <c r="AD106" s="378"/>
      <c r="AE106" s="378"/>
      <c r="AF106" s="378"/>
      <c r="AG106" s="378"/>
      <c r="AH106" s="378"/>
      <c r="AI106" s="378"/>
      <c r="AJ106" s="378"/>
      <c r="AK106" s="378"/>
      <c r="AL106" s="378"/>
      <c r="AM106" s="378"/>
      <c r="AN106" s="378"/>
      <c r="AO106" s="378"/>
      <c r="AP106" s="378"/>
      <c r="AQ106" s="378"/>
    </row>
    <row r="107" spans="2:43">
      <c r="B107" s="378">
        <v>105</v>
      </c>
      <c r="C107" s="378"/>
      <c r="D107" s="378"/>
      <c r="E107" s="378"/>
      <c r="F107" s="378"/>
      <c r="G107" s="378"/>
      <c r="H107" s="378" t="str">
        <f t="array" aca="1" ref="H107" ca="1">_xlfn.TEXTJOIN("", TRUE, IF(ISNUMBER(--MID(C107, ROW(INDIRECT("1:"&amp;LEN(C107))), 1)), MID(C107, ROW(INDIRECT("1:"&amp;LEN(C107))), 1), ""))</f>
        <v/>
      </c>
      <c r="I107" s="378"/>
      <c r="J107" s="378">
        <f t="shared" ref="J107:K107" si="14">IF(LEFT(I107,5)="00966", RIGHT(I107,LEN(I107)-5),
    IF(LEFT(I107,4)="+966", RIGHT(I107,LEN(I107)-4),
        IF(LEFT(I107,3)="966", RIGHT(I107,LEN(I107)-3),
            IF(LEFT(I107,1)="0", RIGHT(I107,LEN(I107)-1), I107)
        )
    )
)</f>
        <v>0</v>
      </c>
      <c r="K107" s="378" t="str">
        <f t="shared" si="14"/>
        <v/>
      </c>
      <c r="L107" s="378" t="str">
        <f t="shared" ref="L107:L155" si="15">IF(LEFT(K107,1)="5",
    IF(LEN(K107)=9,"سعودي - صحيح",
        IF(LEN(K107)&lt;9,"سعودي - ناقص "&amp;(9-LEN(K107)),"سعودي - زائد "&amp;(LEN(K107)-9))
    ),
"أجنبي")</f>
        <v>أجنبي</v>
      </c>
      <c r="M107" s="436" t="str">
        <f t="shared" ref="M107:M155" si="16">IF(LEFT(K107,1)="5","966"&amp;K107,K107)</f>
        <v/>
      </c>
      <c r="N107" s="436"/>
      <c r="O107" s="378"/>
      <c r="P107" s="378"/>
      <c r="Q107" s="378"/>
      <c r="R107" s="378"/>
      <c r="S107" s="378"/>
      <c r="T107" s="378"/>
      <c r="U107" s="378">
        <v>105</v>
      </c>
      <c r="V107" s="378"/>
      <c r="W107" s="378"/>
      <c r="X107" s="378"/>
      <c r="Y107" s="378"/>
      <c r="Z107" s="378"/>
      <c r="AA107" s="378"/>
      <c r="AB107" s="378"/>
      <c r="AC107" s="378"/>
      <c r="AD107" s="378"/>
      <c r="AE107" s="378"/>
      <c r="AF107" s="378"/>
      <c r="AG107" s="378"/>
      <c r="AH107" s="378"/>
      <c r="AI107" s="378"/>
      <c r="AJ107" s="378"/>
      <c r="AK107" s="378"/>
      <c r="AL107" s="378"/>
      <c r="AM107" s="378"/>
      <c r="AN107" s="378"/>
      <c r="AO107" s="378"/>
      <c r="AP107" s="378"/>
      <c r="AQ107" s="378"/>
    </row>
    <row r="108" spans="2:43">
      <c r="B108" s="378">
        <v>106</v>
      </c>
      <c r="C108" s="378"/>
      <c r="D108" s="378"/>
      <c r="E108" s="378"/>
      <c r="F108" s="378"/>
      <c r="G108" s="378"/>
      <c r="H108" s="378" t="str">
        <f t="array" aca="1" ref="H108" ca="1">_xlfn.TEXTJOIN("", TRUE, IF(ISNUMBER(--MID(C108, ROW(INDIRECT("1:"&amp;LEN(C108))), 1)), MID(C108, ROW(INDIRECT("1:"&amp;LEN(C108))), 1), ""))</f>
        <v/>
      </c>
      <c r="I108" s="378"/>
      <c r="J108" s="378">
        <f t="shared" ref="J108:K108" si="17">IF(LEFT(I108,5)="00966", RIGHT(I108,LEN(I108)-5),
    IF(LEFT(I108,4)="+966", RIGHT(I108,LEN(I108)-4),
        IF(LEFT(I108,3)="966", RIGHT(I108,LEN(I108)-3),
            IF(LEFT(I108,1)="0", RIGHT(I108,LEN(I108)-1), I108)
        )
    )
)</f>
        <v>0</v>
      </c>
      <c r="K108" s="378" t="str">
        <f t="shared" si="17"/>
        <v/>
      </c>
      <c r="L108" s="378" t="str">
        <f t="shared" si="15"/>
        <v>أجنبي</v>
      </c>
      <c r="M108" s="436" t="str">
        <f t="shared" si="16"/>
        <v/>
      </c>
      <c r="N108" s="436"/>
      <c r="O108" s="378"/>
      <c r="P108" s="378"/>
      <c r="Q108" s="378"/>
      <c r="R108" s="378"/>
      <c r="S108" s="378"/>
      <c r="T108" s="378"/>
      <c r="U108" s="378">
        <v>106</v>
      </c>
      <c r="V108" s="378"/>
      <c r="W108" s="378"/>
      <c r="X108" s="378"/>
      <c r="Y108" s="378"/>
      <c r="Z108" s="378"/>
      <c r="AA108" s="378"/>
      <c r="AB108" s="378"/>
      <c r="AC108" s="378"/>
      <c r="AD108" s="378"/>
      <c r="AE108" s="378"/>
      <c r="AF108" s="378"/>
      <c r="AG108" s="378"/>
      <c r="AH108" s="378"/>
      <c r="AI108" s="378"/>
      <c r="AJ108" s="378"/>
      <c r="AK108" s="378"/>
      <c r="AL108" s="378"/>
      <c r="AM108" s="378"/>
      <c r="AN108" s="378"/>
      <c r="AO108" s="378"/>
      <c r="AP108" s="378"/>
      <c r="AQ108" s="378"/>
    </row>
    <row r="109" spans="2:43">
      <c r="B109" s="378">
        <v>107</v>
      </c>
      <c r="C109" s="378"/>
      <c r="D109" s="378"/>
      <c r="E109" s="378"/>
      <c r="F109" s="378"/>
      <c r="G109" s="378"/>
      <c r="H109" s="378" t="str">
        <f t="array" aca="1" ref="H109" ca="1">_xlfn.TEXTJOIN("", TRUE, IF(ISNUMBER(--MID(C109, ROW(INDIRECT("1:"&amp;LEN(C109))), 1)), MID(C109, ROW(INDIRECT("1:"&amp;LEN(C109))), 1), ""))</f>
        <v/>
      </c>
      <c r="I109" s="378"/>
      <c r="J109" s="378">
        <f t="shared" ref="J109:K109" si="18">IF(LEFT(I109,5)="00966", RIGHT(I109,LEN(I109)-5),
    IF(LEFT(I109,4)="+966", RIGHT(I109,LEN(I109)-4),
        IF(LEFT(I109,3)="966", RIGHT(I109,LEN(I109)-3),
            IF(LEFT(I109,1)="0", RIGHT(I109,LEN(I109)-1), I109)
        )
    )
)</f>
        <v>0</v>
      </c>
      <c r="K109" s="378" t="str">
        <f t="shared" si="18"/>
        <v/>
      </c>
      <c r="L109" s="378" t="str">
        <f t="shared" si="15"/>
        <v>أجنبي</v>
      </c>
      <c r="M109" s="436" t="str">
        <f t="shared" si="16"/>
        <v/>
      </c>
      <c r="N109" s="436"/>
      <c r="O109" s="378"/>
      <c r="P109" s="378"/>
      <c r="Q109" s="378"/>
      <c r="R109" s="378"/>
      <c r="S109" s="378"/>
      <c r="T109" s="378"/>
      <c r="U109" s="378">
        <v>107</v>
      </c>
      <c r="V109" s="378"/>
      <c r="W109" s="378"/>
      <c r="X109" s="378"/>
      <c r="Y109" s="378"/>
      <c r="Z109" s="378"/>
      <c r="AA109" s="378"/>
      <c r="AB109" s="378"/>
      <c r="AC109" s="378"/>
      <c r="AD109" s="378"/>
      <c r="AE109" s="378"/>
      <c r="AF109" s="378"/>
      <c r="AG109" s="378"/>
      <c r="AH109" s="378"/>
      <c r="AI109" s="378"/>
      <c r="AJ109" s="378"/>
      <c r="AK109" s="378"/>
      <c r="AL109" s="378"/>
      <c r="AM109" s="378"/>
      <c r="AN109" s="378"/>
      <c r="AO109" s="378"/>
      <c r="AP109" s="378"/>
      <c r="AQ109" s="378"/>
    </row>
    <row r="110" spans="2:43">
      <c r="B110" s="378">
        <v>108</v>
      </c>
      <c r="C110" s="378"/>
      <c r="D110" s="378"/>
      <c r="E110" s="378"/>
      <c r="F110" s="378"/>
      <c r="G110" s="378"/>
      <c r="H110" s="378" t="str">
        <f t="array" aca="1" ref="H110" ca="1">_xlfn.TEXTJOIN("", TRUE, IF(ISNUMBER(--MID(C110, ROW(INDIRECT("1:"&amp;LEN(C110))), 1)), MID(C110, ROW(INDIRECT("1:"&amp;LEN(C110))), 1), ""))</f>
        <v/>
      </c>
      <c r="I110" s="378"/>
      <c r="J110" s="378">
        <f t="shared" ref="J110:K110" si="19">IF(LEFT(I110,5)="00966", RIGHT(I110,LEN(I110)-5),
    IF(LEFT(I110,4)="+966", RIGHT(I110,LEN(I110)-4),
        IF(LEFT(I110,3)="966", RIGHT(I110,LEN(I110)-3),
            IF(LEFT(I110,1)="0", RIGHT(I110,LEN(I110)-1), I110)
        )
    )
)</f>
        <v>0</v>
      </c>
      <c r="K110" s="378" t="str">
        <f t="shared" si="19"/>
        <v/>
      </c>
      <c r="L110" s="378" t="str">
        <f t="shared" si="15"/>
        <v>أجنبي</v>
      </c>
      <c r="M110" s="436" t="str">
        <f t="shared" si="16"/>
        <v/>
      </c>
      <c r="N110" s="436"/>
      <c r="O110" s="378"/>
      <c r="P110" s="378"/>
      <c r="Q110" s="378"/>
      <c r="R110" s="91"/>
      <c r="S110" s="378"/>
      <c r="T110" s="378"/>
      <c r="U110" s="378">
        <v>108</v>
      </c>
      <c r="V110" s="378"/>
      <c r="W110" s="378"/>
      <c r="X110" s="378"/>
      <c r="Y110" s="378"/>
      <c r="Z110" s="378"/>
      <c r="AA110" s="378"/>
      <c r="AB110" s="378"/>
      <c r="AC110" s="378"/>
      <c r="AD110" s="378"/>
      <c r="AE110" s="378"/>
      <c r="AF110" s="378"/>
      <c r="AG110" s="378"/>
      <c r="AH110" s="378"/>
      <c r="AI110" s="378"/>
      <c r="AJ110" s="378"/>
      <c r="AK110" s="378"/>
      <c r="AL110" s="378"/>
      <c r="AM110" s="378"/>
      <c r="AN110" s="378"/>
      <c r="AO110" s="378"/>
      <c r="AP110" s="378"/>
      <c r="AQ110" s="378"/>
    </row>
    <row r="111" spans="2:43">
      <c r="B111" s="378">
        <v>109</v>
      </c>
      <c r="C111" s="378"/>
      <c r="D111" s="378"/>
      <c r="E111" s="378"/>
      <c r="F111" s="378"/>
      <c r="G111" s="378"/>
      <c r="H111" s="378" t="str">
        <f t="array" aca="1" ref="H111" ca="1">_xlfn.TEXTJOIN("", TRUE, IF(ISNUMBER(--MID(C111, ROW(INDIRECT("1:"&amp;LEN(C111))), 1)), MID(C111, ROW(INDIRECT("1:"&amp;LEN(C111))), 1), ""))</f>
        <v/>
      </c>
      <c r="I111" s="378"/>
      <c r="J111" s="378">
        <f t="shared" ref="J111:K111" si="20">IF(LEFT(I111,5)="00966", RIGHT(I111,LEN(I111)-5),
    IF(LEFT(I111,4)="+966", RIGHT(I111,LEN(I111)-4),
        IF(LEFT(I111,3)="966", RIGHT(I111,LEN(I111)-3),
            IF(LEFT(I111,1)="0", RIGHT(I111,LEN(I111)-1), I111)
        )
    )
)</f>
        <v>0</v>
      </c>
      <c r="K111" s="378" t="str">
        <f t="shared" si="20"/>
        <v/>
      </c>
      <c r="L111" s="378" t="str">
        <f t="shared" si="15"/>
        <v>أجنبي</v>
      </c>
      <c r="M111" s="436" t="str">
        <f t="shared" si="16"/>
        <v/>
      </c>
      <c r="N111" s="436"/>
      <c r="O111" s="378"/>
      <c r="P111" s="378"/>
      <c r="Q111" s="378"/>
      <c r="R111" s="378"/>
      <c r="S111" s="378"/>
      <c r="T111" s="378"/>
      <c r="U111" s="378">
        <v>109</v>
      </c>
      <c r="V111" s="378"/>
      <c r="W111" s="378"/>
      <c r="X111" s="378"/>
      <c r="Y111" s="378"/>
      <c r="Z111" s="378"/>
      <c r="AA111" s="378"/>
      <c r="AB111" s="378"/>
      <c r="AC111" s="378"/>
      <c r="AD111" s="378"/>
      <c r="AE111" s="378"/>
      <c r="AF111" s="378"/>
      <c r="AG111" s="378"/>
      <c r="AH111" s="378"/>
      <c r="AI111" s="378"/>
      <c r="AJ111" s="378"/>
      <c r="AK111" s="378"/>
      <c r="AL111" s="378"/>
      <c r="AM111" s="378"/>
      <c r="AN111" s="378"/>
      <c r="AO111" s="378"/>
      <c r="AP111" s="378"/>
      <c r="AQ111" s="378"/>
    </row>
    <row r="112" spans="2:43">
      <c r="B112" s="378">
        <v>110</v>
      </c>
      <c r="C112" s="378"/>
      <c r="D112" s="378"/>
      <c r="E112" s="378"/>
      <c r="F112" s="378"/>
      <c r="G112" s="378"/>
      <c r="H112" s="378" t="str">
        <f t="array" aca="1" ref="H112" ca="1">_xlfn.TEXTJOIN("", TRUE, IF(ISNUMBER(--MID(C112, ROW(INDIRECT("1:"&amp;LEN(C112))), 1)), MID(C112, ROW(INDIRECT("1:"&amp;LEN(C112))), 1), ""))</f>
        <v/>
      </c>
      <c r="I112" s="378"/>
      <c r="J112" s="378">
        <f t="shared" ref="J112:K112" si="21">IF(LEFT(I112,5)="00966", RIGHT(I112,LEN(I112)-5),
    IF(LEFT(I112,4)="+966", RIGHT(I112,LEN(I112)-4),
        IF(LEFT(I112,3)="966", RIGHT(I112,LEN(I112)-3),
            IF(LEFT(I112,1)="0", RIGHT(I112,LEN(I112)-1), I112)
        )
    )
)</f>
        <v>0</v>
      </c>
      <c r="K112" s="378" t="str">
        <f t="shared" si="21"/>
        <v/>
      </c>
      <c r="L112" s="378" t="str">
        <f t="shared" si="15"/>
        <v>أجنبي</v>
      </c>
      <c r="M112" s="436" t="str">
        <f t="shared" si="16"/>
        <v/>
      </c>
      <c r="N112" s="436"/>
      <c r="O112" s="378"/>
      <c r="P112" s="378"/>
      <c r="Q112" s="378"/>
      <c r="R112" s="378"/>
      <c r="S112" s="378"/>
      <c r="T112" s="378"/>
      <c r="U112" s="378">
        <v>110</v>
      </c>
      <c r="V112" s="378"/>
      <c r="W112" s="378"/>
      <c r="X112" s="378"/>
      <c r="Y112" s="378"/>
      <c r="Z112" s="378"/>
      <c r="AA112" s="378"/>
      <c r="AB112" s="378"/>
      <c r="AC112" s="378"/>
      <c r="AD112" s="378"/>
      <c r="AE112" s="378"/>
      <c r="AF112" s="378"/>
      <c r="AG112" s="378"/>
      <c r="AH112" s="378"/>
      <c r="AI112" s="378"/>
      <c r="AJ112" s="378"/>
      <c r="AK112" s="378"/>
      <c r="AL112" s="378"/>
      <c r="AM112" s="378"/>
      <c r="AN112" s="378"/>
      <c r="AO112" s="378"/>
      <c r="AP112" s="378"/>
      <c r="AQ112" s="378"/>
    </row>
    <row r="113" spans="2:43">
      <c r="B113" s="378">
        <v>111</v>
      </c>
      <c r="C113" s="378"/>
      <c r="D113" s="378"/>
      <c r="E113" s="378"/>
      <c r="F113" s="378"/>
      <c r="G113" s="378"/>
      <c r="H113" s="378" t="str">
        <f t="array" aca="1" ref="H113" ca="1">_xlfn.TEXTJOIN("", TRUE, IF(ISNUMBER(--MID(C113, ROW(INDIRECT("1:"&amp;LEN(C113))), 1)), MID(C113, ROW(INDIRECT("1:"&amp;LEN(C113))), 1), ""))</f>
        <v/>
      </c>
      <c r="I113" s="378"/>
      <c r="J113" s="378">
        <f t="shared" ref="J113:K113" si="22">IF(LEFT(I113,5)="00966", RIGHT(I113,LEN(I113)-5),
    IF(LEFT(I113,4)="+966", RIGHT(I113,LEN(I113)-4),
        IF(LEFT(I113,3)="966", RIGHT(I113,LEN(I113)-3),
            IF(LEFT(I113,1)="0", RIGHT(I113,LEN(I113)-1), I113)
        )
    )
)</f>
        <v>0</v>
      </c>
      <c r="K113" s="378" t="str">
        <f t="shared" si="22"/>
        <v/>
      </c>
      <c r="L113" s="378" t="str">
        <f t="shared" si="15"/>
        <v>أجنبي</v>
      </c>
      <c r="M113" s="436" t="str">
        <f t="shared" si="16"/>
        <v/>
      </c>
      <c r="N113" s="436"/>
      <c r="O113" s="378"/>
      <c r="P113" s="378"/>
      <c r="Q113" s="378"/>
      <c r="R113" s="378"/>
      <c r="S113" s="378"/>
      <c r="T113" s="378"/>
      <c r="U113" s="378">
        <v>111</v>
      </c>
      <c r="V113" s="378"/>
      <c r="W113" s="378"/>
      <c r="X113" s="378"/>
      <c r="Y113" s="378"/>
      <c r="Z113" s="378"/>
      <c r="AA113" s="378"/>
      <c r="AB113" s="378"/>
      <c r="AC113" s="378"/>
      <c r="AD113" s="378"/>
      <c r="AE113" s="378"/>
      <c r="AF113" s="378"/>
      <c r="AG113" s="378"/>
      <c r="AH113" s="378"/>
      <c r="AI113" s="378"/>
      <c r="AJ113" s="378"/>
      <c r="AK113" s="378"/>
      <c r="AL113" s="378"/>
      <c r="AM113" s="378"/>
      <c r="AN113" s="378"/>
      <c r="AO113" s="378"/>
      <c r="AP113" s="378"/>
      <c r="AQ113" s="378"/>
    </row>
    <row r="114" spans="2:43">
      <c r="B114" s="378">
        <v>112</v>
      </c>
      <c r="C114" s="378"/>
      <c r="D114" s="378"/>
      <c r="E114" s="378"/>
      <c r="F114" s="378"/>
      <c r="G114" s="378"/>
      <c r="H114" s="378" t="str">
        <f t="array" aca="1" ref="H114" ca="1">_xlfn.TEXTJOIN("", TRUE, IF(ISNUMBER(--MID(C114, ROW(INDIRECT("1:"&amp;LEN(C114))), 1)), MID(C114, ROW(INDIRECT("1:"&amp;LEN(C114))), 1), ""))</f>
        <v/>
      </c>
      <c r="I114" s="378"/>
      <c r="J114" s="378">
        <f t="shared" ref="J114:K114" si="23">IF(LEFT(I114,5)="00966", RIGHT(I114,LEN(I114)-5),
    IF(LEFT(I114,4)="+966", RIGHT(I114,LEN(I114)-4),
        IF(LEFT(I114,3)="966", RIGHT(I114,LEN(I114)-3),
            IF(LEFT(I114,1)="0", RIGHT(I114,LEN(I114)-1), I114)
        )
    )
)</f>
        <v>0</v>
      </c>
      <c r="K114" s="378" t="str">
        <f t="shared" si="23"/>
        <v/>
      </c>
      <c r="L114" s="378" t="str">
        <f t="shared" si="15"/>
        <v>أجنبي</v>
      </c>
      <c r="M114" s="436" t="str">
        <f t="shared" si="16"/>
        <v/>
      </c>
      <c r="N114" s="436"/>
      <c r="O114" s="378"/>
      <c r="P114" s="378"/>
      <c r="Q114" s="378"/>
      <c r="R114" s="378"/>
      <c r="S114" s="378"/>
      <c r="T114" s="378"/>
      <c r="U114" s="378">
        <v>112</v>
      </c>
      <c r="V114" s="378"/>
      <c r="W114" s="378"/>
      <c r="X114" s="378"/>
      <c r="Y114" s="378"/>
      <c r="Z114" s="378"/>
      <c r="AA114" s="378"/>
      <c r="AB114" s="378"/>
      <c r="AC114" s="378"/>
      <c r="AD114" s="378"/>
      <c r="AE114" s="378"/>
      <c r="AF114" s="378"/>
      <c r="AG114" s="378"/>
      <c r="AH114" s="378"/>
      <c r="AI114" s="378"/>
      <c r="AJ114" s="378"/>
      <c r="AK114" s="378"/>
      <c r="AL114" s="378"/>
      <c r="AM114" s="378"/>
      <c r="AN114" s="378"/>
      <c r="AO114" s="378"/>
      <c r="AP114" s="378"/>
      <c r="AQ114" s="378"/>
    </row>
    <row r="115" spans="2:43">
      <c r="B115" s="378">
        <v>113</v>
      </c>
      <c r="C115" s="378"/>
      <c r="D115" s="378"/>
      <c r="E115" s="378"/>
      <c r="F115" s="378"/>
      <c r="G115" s="378"/>
      <c r="H115" s="378" t="str">
        <f t="array" aca="1" ref="H115" ca="1">_xlfn.TEXTJOIN("", TRUE, IF(ISNUMBER(--MID(C115, ROW(INDIRECT("1:"&amp;LEN(C115))), 1)), MID(C115, ROW(INDIRECT("1:"&amp;LEN(C115))), 1), ""))</f>
        <v/>
      </c>
      <c r="I115" s="378"/>
      <c r="J115" s="378">
        <f t="shared" ref="J115:K115" si="24">IF(LEFT(I115,5)="00966", RIGHT(I115,LEN(I115)-5),
    IF(LEFT(I115,4)="+966", RIGHT(I115,LEN(I115)-4),
        IF(LEFT(I115,3)="966", RIGHT(I115,LEN(I115)-3),
            IF(LEFT(I115,1)="0", RIGHT(I115,LEN(I115)-1), I115)
        )
    )
)</f>
        <v>0</v>
      </c>
      <c r="K115" s="378" t="str">
        <f t="shared" si="24"/>
        <v/>
      </c>
      <c r="L115" s="378" t="str">
        <f t="shared" si="15"/>
        <v>أجنبي</v>
      </c>
      <c r="M115" s="436" t="str">
        <f t="shared" si="16"/>
        <v/>
      </c>
      <c r="N115" s="436"/>
      <c r="O115" s="378"/>
      <c r="P115" s="378"/>
      <c r="Q115" s="378"/>
      <c r="R115" s="378"/>
      <c r="S115" s="378"/>
      <c r="T115" s="378"/>
      <c r="U115" s="378">
        <v>113</v>
      </c>
      <c r="V115" s="378"/>
      <c r="W115" s="378"/>
      <c r="X115" s="378"/>
      <c r="Y115" s="378"/>
      <c r="Z115" s="378"/>
      <c r="AA115" s="378"/>
      <c r="AB115" s="378"/>
      <c r="AC115" s="378"/>
      <c r="AD115" s="378"/>
      <c r="AE115" s="378"/>
      <c r="AF115" s="378"/>
      <c r="AG115" s="378"/>
      <c r="AH115" s="378"/>
      <c r="AI115" s="378"/>
      <c r="AJ115" s="378"/>
      <c r="AK115" s="378"/>
      <c r="AL115" s="378"/>
      <c r="AM115" s="378"/>
      <c r="AN115" s="378"/>
      <c r="AO115" s="378"/>
      <c r="AP115" s="378"/>
      <c r="AQ115" s="378"/>
    </row>
    <row r="116" spans="2:43">
      <c r="B116" s="378">
        <v>114</v>
      </c>
      <c r="C116" s="378"/>
      <c r="D116" s="378"/>
      <c r="E116" s="378"/>
      <c r="F116" s="378"/>
      <c r="G116" s="378"/>
      <c r="H116" s="378" t="str">
        <f t="array" aca="1" ref="H116" ca="1">_xlfn.TEXTJOIN("", TRUE, IF(ISNUMBER(--MID(C116, ROW(INDIRECT("1:"&amp;LEN(C116))), 1)), MID(C116, ROW(INDIRECT("1:"&amp;LEN(C116))), 1), ""))</f>
        <v/>
      </c>
      <c r="I116" s="378"/>
      <c r="J116" s="378">
        <f t="shared" ref="J116:K116" si="25">IF(LEFT(I116,5)="00966", RIGHT(I116,LEN(I116)-5),
    IF(LEFT(I116,4)="+966", RIGHT(I116,LEN(I116)-4),
        IF(LEFT(I116,3)="966", RIGHT(I116,LEN(I116)-3),
            IF(LEFT(I116,1)="0", RIGHT(I116,LEN(I116)-1), I116)
        )
    )
)</f>
        <v>0</v>
      </c>
      <c r="K116" s="378" t="str">
        <f t="shared" si="25"/>
        <v/>
      </c>
      <c r="L116" s="378" t="str">
        <f t="shared" si="15"/>
        <v>أجنبي</v>
      </c>
      <c r="M116" s="436" t="str">
        <f t="shared" si="16"/>
        <v/>
      </c>
      <c r="N116" s="436"/>
      <c r="O116" s="378"/>
      <c r="P116" s="378"/>
      <c r="Q116" s="378"/>
      <c r="R116" s="378"/>
      <c r="S116" s="378"/>
      <c r="T116" s="378"/>
      <c r="U116" s="378">
        <v>114</v>
      </c>
      <c r="V116" s="378"/>
      <c r="W116" s="378"/>
      <c r="X116" s="378"/>
      <c r="Y116" s="378"/>
      <c r="Z116" s="378"/>
      <c r="AA116" s="378"/>
      <c r="AB116" s="378"/>
      <c r="AC116" s="378"/>
      <c r="AD116" s="378"/>
      <c r="AE116" s="378"/>
      <c r="AF116" s="378"/>
      <c r="AG116" s="378"/>
      <c r="AH116" s="378"/>
      <c r="AI116" s="378"/>
      <c r="AJ116" s="378"/>
      <c r="AK116" s="378"/>
      <c r="AL116" s="378"/>
      <c r="AM116" s="378"/>
      <c r="AN116" s="378"/>
      <c r="AO116" s="378"/>
      <c r="AP116" s="378"/>
      <c r="AQ116" s="378"/>
    </row>
    <row r="117" spans="2:43">
      <c r="B117" s="378">
        <v>115</v>
      </c>
      <c r="C117" s="378"/>
      <c r="D117" s="378"/>
      <c r="E117" s="378"/>
      <c r="F117" s="378"/>
      <c r="G117" s="378"/>
      <c r="H117" s="378" t="str">
        <f t="array" aca="1" ref="H117" ca="1">_xlfn.TEXTJOIN("", TRUE, IF(ISNUMBER(--MID(C117, ROW(INDIRECT("1:"&amp;LEN(C117))), 1)), MID(C117, ROW(INDIRECT("1:"&amp;LEN(C117))), 1), ""))</f>
        <v/>
      </c>
      <c r="I117" s="378"/>
      <c r="J117" s="378">
        <f t="shared" ref="J117:K117" si="26">IF(LEFT(I117,5)="00966", RIGHT(I117,LEN(I117)-5),
    IF(LEFT(I117,4)="+966", RIGHT(I117,LEN(I117)-4),
        IF(LEFT(I117,3)="966", RIGHT(I117,LEN(I117)-3),
            IF(LEFT(I117,1)="0", RIGHT(I117,LEN(I117)-1), I117)
        )
    )
)</f>
        <v>0</v>
      </c>
      <c r="K117" s="378" t="str">
        <f t="shared" si="26"/>
        <v/>
      </c>
      <c r="L117" s="378" t="str">
        <f t="shared" si="15"/>
        <v>أجنبي</v>
      </c>
      <c r="M117" s="436" t="str">
        <f t="shared" si="16"/>
        <v/>
      </c>
      <c r="N117" s="436"/>
      <c r="O117" s="378"/>
      <c r="P117" s="378"/>
      <c r="Q117" s="378"/>
      <c r="R117" s="378"/>
      <c r="S117" s="378"/>
      <c r="T117" s="378"/>
      <c r="U117" s="378">
        <v>115</v>
      </c>
      <c r="V117" s="378"/>
      <c r="W117" s="378"/>
      <c r="X117" s="378"/>
      <c r="Y117" s="378"/>
      <c r="Z117" s="378"/>
      <c r="AA117" s="378"/>
      <c r="AB117" s="378"/>
      <c r="AC117" s="378"/>
      <c r="AD117" s="378"/>
      <c r="AE117" s="378"/>
      <c r="AF117" s="378"/>
      <c r="AG117" s="378"/>
      <c r="AH117" s="378"/>
      <c r="AI117" s="378"/>
      <c r="AJ117" s="378"/>
      <c r="AK117" s="378"/>
      <c r="AL117" s="378"/>
      <c r="AM117" s="378"/>
      <c r="AN117" s="378"/>
      <c r="AO117" s="378"/>
      <c r="AP117" s="378"/>
      <c r="AQ117" s="378"/>
    </row>
    <row r="118" spans="2:43">
      <c r="B118" s="378">
        <v>116</v>
      </c>
      <c r="C118" s="378"/>
      <c r="D118" s="378"/>
      <c r="E118" s="378"/>
      <c r="F118" s="378"/>
      <c r="G118" s="378"/>
      <c r="H118" s="378" t="str">
        <f t="array" aca="1" ref="H118" ca="1">_xlfn.TEXTJOIN("", TRUE, IF(ISNUMBER(--MID(C118, ROW(INDIRECT("1:"&amp;LEN(C118))), 1)), MID(C118, ROW(INDIRECT("1:"&amp;LEN(C118))), 1), ""))</f>
        <v/>
      </c>
      <c r="I118" s="378"/>
      <c r="J118" s="378">
        <f t="shared" ref="J118:K118" si="27">IF(LEFT(I118,5)="00966", RIGHT(I118,LEN(I118)-5),
    IF(LEFT(I118,4)="+966", RIGHT(I118,LEN(I118)-4),
        IF(LEFT(I118,3)="966", RIGHT(I118,LEN(I118)-3),
            IF(LEFT(I118,1)="0", RIGHT(I118,LEN(I118)-1), I118)
        )
    )
)</f>
        <v>0</v>
      </c>
      <c r="K118" s="378" t="str">
        <f t="shared" si="27"/>
        <v/>
      </c>
      <c r="L118" s="378" t="str">
        <f t="shared" si="15"/>
        <v>أجنبي</v>
      </c>
      <c r="M118" s="436" t="str">
        <f t="shared" si="16"/>
        <v/>
      </c>
      <c r="N118" s="436"/>
      <c r="O118" s="378"/>
      <c r="P118" s="378"/>
      <c r="Q118" s="378"/>
      <c r="R118" s="378"/>
      <c r="S118" s="378"/>
      <c r="T118" s="378"/>
      <c r="U118" s="378">
        <v>116</v>
      </c>
      <c r="V118" s="378"/>
      <c r="W118" s="378"/>
      <c r="X118" s="378"/>
      <c r="Y118" s="378"/>
      <c r="Z118" s="378"/>
      <c r="AA118" s="378"/>
      <c r="AB118" s="378"/>
      <c r="AC118" s="378"/>
      <c r="AD118" s="378"/>
      <c r="AE118" s="378"/>
      <c r="AF118" s="378"/>
      <c r="AG118" s="378"/>
      <c r="AH118" s="378"/>
      <c r="AI118" s="378"/>
      <c r="AJ118" s="378"/>
      <c r="AK118" s="378"/>
      <c r="AL118" s="378"/>
      <c r="AM118" s="378"/>
      <c r="AN118" s="378"/>
      <c r="AO118" s="378"/>
      <c r="AP118" s="378"/>
      <c r="AQ118" s="378"/>
    </row>
    <row r="119" spans="2:43">
      <c r="B119" s="378">
        <v>117</v>
      </c>
      <c r="C119" s="378"/>
      <c r="D119" s="378"/>
      <c r="E119" s="378"/>
      <c r="F119" s="378"/>
      <c r="G119" s="378"/>
      <c r="H119" s="378" t="str">
        <f t="array" aca="1" ref="H119" ca="1">_xlfn.TEXTJOIN("", TRUE, IF(ISNUMBER(--MID(C119, ROW(INDIRECT("1:"&amp;LEN(C119))), 1)), MID(C119, ROW(INDIRECT("1:"&amp;LEN(C119))), 1), ""))</f>
        <v/>
      </c>
      <c r="I119" s="378"/>
      <c r="J119" s="378">
        <f t="shared" ref="J119:K119" si="28">IF(LEFT(I119,5)="00966", RIGHT(I119,LEN(I119)-5),
    IF(LEFT(I119,4)="+966", RIGHT(I119,LEN(I119)-4),
        IF(LEFT(I119,3)="966", RIGHT(I119,LEN(I119)-3),
            IF(LEFT(I119,1)="0", RIGHT(I119,LEN(I119)-1), I119)
        )
    )
)</f>
        <v>0</v>
      </c>
      <c r="K119" s="378" t="str">
        <f t="shared" si="28"/>
        <v/>
      </c>
      <c r="L119" s="378" t="str">
        <f t="shared" si="15"/>
        <v>أجنبي</v>
      </c>
      <c r="M119" s="436" t="str">
        <f t="shared" si="16"/>
        <v/>
      </c>
      <c r="N119" s="436"/>
      <c r="O119" s="378"/>
      <c r="P119" s="378"/>
      <c r="Q119" s="378"/>
      <c r="R119" s="378"/>
      <c r="S119" s="378"/>
      <c r="T119" s="378"/>
      <c r="U119" s="378">
        <v>117</v>
      </c>
      <c r="V119" s="378"/>
      <c r="W119" s="378"/>
      <c r="X119" s="378"/>
      <c r="Y119" s="378"/>
      <c r="Z119" s="378"/>
      <c r="AA119" s="378"/>
      <c r="AB119" s="378"/>
      <c r="AC119" s="378"/>
      <c r="AD119" s="378"/>
      <c r="AE119" s="378"/>
      <c r="AF119" s="378"/>
      <c r="AG119" s="378"/>
      <c r="AH119" s="378"/>
      <c r="AI119" s="378"/>
      <c r="AJ119" s="378"/>
      <c r="AK119" s="378"/>
      <c r="AL119" s="378"/>
      <c r="AM119" s="378"/>
      <c r="AN119" s="378"/>
      <c r="AO119" s="378"/>
      <c r="AP119" s="378"/>
      <c r="AQ119" s="378"/>
    </row>
    <row r="120" spans="2:43">
      <c r="B120" s="378">
        <v>118</v>
      </c>
      <c r="C120" s="378"/>
      <c r="D120" s="378"/>
      <c r="E120" s="378"/>
      <c r="F120" s="378"/>
      <c r="G120" s="378"/>
      <c r="H120" s="378" t="str">
        <f t="array" aca="1" ref="H120" ca="1">_xlfn.TEXTJOIN("", TRUE, IF(ISNUMBER(--MID(C120, ROW(INDIRECT("1:"&amp;LEN(C120))), 1)), MID(C120, ROW(INDIRECT("1:"&amp;LEN(C120))), 1), ""))</f>
        <v/>
      </c>
      <c r="I120" s="378"/>
      <c r="J120" s="378">
        <f t="shared" ref="J120:K120" si="29">IF(LEFT(I120,5)="00966", RIGHT(I120,LEN(I120)-5),
    IF(LEFT(I120,4)="+966", RIGHT(I120,LEN(I120)-4),
        IF(LEFT(I120,3)="966", RIGHT(I120,LEN(I120)-3),
            IF(LEFT(I120,1)="0", RIGHT(I120,LEN(I120)-1), I120)
        )
    )
)</f>
        <v>0</v>
      </c>
      <c r="K120" s="378" t="str">
        <f t="shared" si="29"/>
        <v/>
      </c>
      <c r="L120" s="378" t="str">
        <f t="shared" si="15"/>
        <v>أجنبي</v>
      </c>
      <c r="M120" s="436" t="str">
        <f t="shared" si="16"/>
        <v/>
      </c>
      <c r="N120" s="436"/>
      <c r="O120" s="378"/>
      <c r="P120" s="378"/>
      <c r="Q120" s="378"/>
      <c r="R120" s="378"/>
      <c r="S120" s="378"/>
      <c r="T120" s="378"/>
      <c r="U120" s="378">
        <v>118</v>
      </c>
      <c r="V120" s="378"/>
      <c r="W120" s="378"/>
      <c r="X120" s="378"/>
      <c r="Y120" s="378"/>
      <c r="Z120" s="378"/>
      <c r="AA120" s="378"/>
      <c r="AB120" s="378"/>
      <c r="AC120" s="378"/>
      <c r="AD120" s="378"/>
      <c r="AE120" s="378"/>
      <c r="AF120" s="378"/>
      <c r="AG120" s="378"/>
      <c r="AH120" s="378"/>
      <c r="AI120" s="378"/>
      <c r="AJ120" s="378"/>
      <c r="AK120" s="378"/>
      <c r="AL120" s="378"/>
      <c r="AM120" s="378"/>
      <c r="AN120" s="378"/>
      <c r="AO120" s="378"/>
      <c r="AP120" s="378"/>
      <c r="AQ120" s="378"/>
    </row>
    <row r="121" spans="2:43">
      <c r="B121" s="378">
        <v>119</v>
      </c>
      <c r="C121" s="378"/>
      <c r="D121" s="378"/>
      <c r="E121" s="378"/>
      <c r="F121" s="378"/>
      <c r="G121" s="378"/>
      <c r="H121" s="378" t="str">
        <f t="array" aca="1" ref="H121" ca="1">_xlfn.TEXTJOIN("", TRUE, IF(ISNUMBER(--MID(C121, ROW(INDIRECT("1:"&amp;LEN(C121))), 1)), MID(C121, ROW(INDIRECT("1:"&amp;LEN(C121))), 1), ""))</f>
        <v/>
      </c>
      <c r="I121" s="378"/>
      <c r="J121" s="378">
        <f t="shared" ref="J121:K121" si="30">IF(LEFT(I121,5)="00966", RIGHT(I121,LEN(I121)-5),
    IF(LEFT(I121,4)="+966", RIGHT(I121,LEN(I121)-4),
        IF(LEFT(I121,3)="966", RIGHT(I121,LEN(I121)-3),
            IF(LEFT(I121,1)="0", RIGHT(I121,LEN(I121)-1), I121)
        )
    )
)</f>
        <v>0</v>
      </c>
      <c r="K121" s="378" t="str">
        <f t="shared" si="30"/>
        <v/>
      </c>
      <c r="L121" s="378" t="str">
        <f t="shared" si="15"/>
        <v>أجنبي</v>
      </c>
      <c r="M121" s="436" t="str">
        <f t="shared" si="16"/>
        <v/>
      </c>
      <c r="N121" s="436"/>
      <c r="O121" s="378"/>
      <c r="P121" s="378"/>
      <c r="Q121" s="378"/>
      <c r="R121" s="378"/>
      <c r="S121" s="378"/>
      <c r="T121" s="378"/>
      <c r="U121" s="378">
        <v>119</v>
      </c>
      <c r="V121" s="378"/>
      <c r="W121" s="378"/>
      <c r="X121" s="378"/>
      <c r="Y121" s="378"/>
      <c r="Z121" s="378"/>
      <c r="AA121" s="378"/>
      <c r="AB121" s="378"/>
      <c r="AC121" s="378"/>
      <c r="AD121" s="378"/>
      <c r="AE121" s="378"/>
      <c r="AF121" s="378"/>
      <c r="AG121" s="378"/>
      <c r="AH121" s="378"/>
      <c r="AI121" s="378"/>
      <c r="AJ121" s="378"/>
      <c r="AK121" s="378"/>
      <c r="AL121" s="378"/>
      <c r="AM121" s="378"/>
      <c r="AN121" s="378"/>
      <c r="AO121" s="378"/>
      <c r="AP121" s="378"/>
      <c r="AQ121" s="378"/>
    </row>
    <row r="122" spans="2:43">
      <c r="B122" s="378">
        <v>120</v>
      </c>
      <c r="C122" s="378"/>
      <c r="D122" s="378"/>
      <c r="E122" s="378"/>
      <c r="F122" s="378"/>
      <c r="G122" s="378"/>
      <c r="H122" s="378" t="str">
        <f t="array" aca="1" ref="H122" ca="1">_xlfn.TEXTJOIN("", TRUE, IF(ISNUMBER(--MID(C122, ROW(INDIRECT("1:"&amp;LEN(C122))), 1)), MID(C122, ROW(INDIRECT("1:"&amp;LEN(C122))), 1), ""))</f>
        <v/>
      </c>
      <c r="I122" s="378"/>
      <c r="J122" s="378">
        <f t="shared" ref="J122:K122" si="31">IF(LEFT(I122,5)="00966", RIGHT(I122,LEN(I122)-5),
    IF(LEFT(I122,4)="+966", RIGHT(I122,LEN(I122)-4),
        IF(LEFT(I122,3)="966", RIGHT(I122,LEN(I122)-3),
            IF(LEFT(I122,1)="0", RIGHT(I122,LEN(I122)-1), I122)
        )
    )
)</f>
        <v>0</v>
      </c>
      <c r="K122" s="378" t="str">
        <f t="shared" si="31"/>
        <v/>
      </c>
      <c r="L122" s="378" t="str">
        <f t="shared" si="15"/>
        <v>أجنبي</v>
      </c>
      <c r="M122" s="436" t="str">
        <f t="shared" si="16"/>
        <v/>
      </c>
      <c r="N122" s="436"/>
      <c r="O122" s="378"/>
      <c r="P122" s="378"/>
      <c r="Q122" s="378"/>
      <c r="R122" s="378"/>
      <c r="S122" s="378"/>
      <c r="T122" s="378"/>
      <c r="U122" s="378">
        <v>120</v>
      </c>
      <c r="V122" s="378"/>
      <c r="W122" s="378"/>
      <c r="X122" s="378"/>
      <c r="Y122" s="378"/>
      <c r="Z122" s="378"/>
      <c r="AA122" s="378"/>
      <c r="AB122" s="378"/>
      <c r="AC122" s="378"/>
      <c r="AD122" s="378"/>
      <c r="AE122" s="378"/>
      <c r="AF122" s="378"/>
      <c r="AG122" s="378"/>
      <c r="AH122" s="378"/>
      <c r="AI122" s="378"/>
      <c r="AJ122" s="378"/>
      <c r="AK122" s="378"/>
      <c r="AL122" s="378"/>
      <c r="AM122" s="378"/>
      <c r="AN122" s="378"/>
      <c r="AO122" s="378"/>
      <c r="AP122" s="378"/>
      <c r="AQ122" s="378"/>
    </row>
    <row r="123" spans="2:43">
      <c r="B123" s="378">
        <v>121</v>
      </c>
      <c r="C123" s="378"/>
      <c r="D123" s="378"/>
      <c r="E123" s="378"/>
      <c r="F123" s="378"/>
      <c r="G123" s="378"/>
      <c r="H123" s="378" t="str">
        <f t="array" aca="1" ref="H123" ca="1">_xlfn.TEXTJOIN("", TRUE, IF(ISNUMBER(--MID(C123, ROW(INDIRECT("1:"&amp;LEN(C123))), 1)), MID(C123, ROW(INDIRECT("1:"&amp;LEN(C123))), 1), ""))</f>
        <v/>
      </c>
      <c r="I123" s="378"/>
      <c r="J123" s="378">
        <f t="shared" ref="J123:K123" si="32">IF(LEFT(I123,5)="00966", RIGHT(I123,LEN(I123)-5),
    IF(LEFT(I123,4)="+966", RIGHT(I123,LEN(I123)-4),
        IF(LEFT(I123,3)="966", RIGHT(I123,LEN(I123)-3),
            IF(LEFT(I123,1)="0", RIGHT(I123,LEN(I123)-1), I123)
        )
    )
)</f>
        <v>0</v>
      </c>
      <c r="K123" s="378" t="str">
        <f t="shared" si="32"/>
        <v/>
      </c>
      <c r="L123" s="378" t="str">
        <f t="shared" si="15"/>
        <v>أجنبي</v>
      </c>
      <c r="M123" s="436" t="str">
        <f t="shared" si="16"/>
        <v/>
      </c>
      <c r="N123" s="436"/>
      <c r="O123" s="378"/>
      <c r="P123" s="378"/>
      <c r="Q123" s="378"/>
      <c r="R123" s="378"/>
      <c r="S123" s="378"/>
      <c r="T123" s="378"/>
      <c r="U123" s="378">
        <v>121</v>
      </c>
      <c r="V123" s="378"/>
      <c r="W123" s="378"/>
      <c r="X123" s="378"/>
      <c r="Y123" s="378"/>
      <c r="Z123" s="378"/>
      <c r="AA123" s="378"/>
      <c r="AB123" s="378"/>
      <c r="AC123" s="378"/>
      <c r="AD123" s="378"/>
      <c r="AE123" s="378"/>
      <c r="AF123" s="378"/>
      <c r="AG123" s="378"/>
      <c r="AH123" s="378"/>
      <c r="AI123" s="378"/>
      <c r="AJ123" s="378"/>
      <c r="AK123" s="378"/>
      <c r="AL123" s="378"/>
      <c r="AM123" s="378"/>
      <c r="AN123" s="378"/>
      <c r="AO123" s="378"/>
      <c r="AP123" s="378"/>
      <c r="AQ123" s="378"/>
    </row>
    <row r="124" spans="2:43">
      <c r="B124" s="378">
        <v>122</v>
      </c>
      <c r="C124" s="444"/>
      <c r="D124" s="378"/>
      <c r="E124" s="378"/>
      <c r="F124" s="378"/>
      <c r="G124" s="378"/>
      <c r="H124" s="378" t="str">
        <f t="array" aca="1" ref="H124" ca="1">_xlfn.TEXTJOIN("", TRUE, IF(ISNUMBER(--MID(C124, ROW(INDIRECT("1:"&amp;LEN(C124))), 1)), MID(C124, ROW(INDIRECT("1:"&amp;LEN(C124))), 1), ""))</f>
        <v/>
      </c>
      <c r="I124" s="378"/>
      <c r="J124" s="378">
        <f t="shared" ref="J124:K124" si="33">IF(LEFT(I124,5)="00966", RIGHT(I124,LEN(I124)-5),
    IF(LEFT(I124,4)="+966", RIGHT(I124,LEN(I124)-4),
        IF(LEFT(I124,3)="966", RIGHT(I124,LEN(I124)-3),
            IF(LEFT(I124,1)="0", RIGHT(I124,LEN(I124)-1), I124)
        )
    )
)</f>
        <v>0</v>
      </c>
      <c r="K124" s="378" t="str">
        <f t="shared" si="33"/>
        <v/>
      </c>
      <c r="L124" s="378" t="str">
        <f t="shared" si="15"/>
        <v>أجنبي</v>
      </c>
      <c r="M124" s="436" t="str">
        <f t="shared" si="16"/>
        <v/>
      </c>
      <c r="N124" s="436"/>
      <c r="O124" s="378"/>
      <c r="P124" s="378"/>
      <c r="Q124" s="378"/>
      <c r="R124" s="378"/>
      <c r="S124" s="378"/>
      <c r="T124" s="378"/>
      <c r="U124" s="378">
        <v>122</v>
      </c>
      <c r="V124" s="378"/>
      <c r="W124" s="378"/>
      <c r="X124" s="378"/>
      <c r="Y124" s="378"/>
      <c r="Z124" s="378"/>
      <c r="AA124" s="378"/>
      <c r="AB124" s="378"/>
      <c r="AC124" s="378"/>
      <c r="AD124" s="378"/>
      <c r="AE124" s="378"/>
      <c r="AF124" s="378"/>
      <c r="AG124" s="378"/>
      <c r="AH124" s="378"/>
      <c r="AI124" s="378"/>
      <c r="AJ124" s="378"/>
      <c r="AK124" s="378"/>
      <c r="AL124" s="378"/>
      <c r="AM124" s="378"/>
      <c r="AN124" s="378"/>
      <c r="AO124" s="378"/>
      <c r="AP124" s="378"/>
      <c r="AQ124" s="378"/>
    </row>
    <row r="125" spans="2:43">
      <c r="B125" s="378">
        <v>123</v>
      </c>
      <c r="C125" s="378"/>
      <c r="D125" s="378"/>
      <c r="E125" s="378"/>
      <c r="F125" s="378"/>
      <c r="G125" s="378"/>
      <c r="H125" s="378" t="str">
        <f t="array" aca="1" ref="H125" ca="1">_xlfn.TEXTJOIN("", TRUE, IF(ISNUMBER(--MID(C125, ROW(INDIRECT("1:"&amp;LEN(C125))), 1)), MID(C125, ROW(INDIRECT("1:"&amp;LEN(C125))), 1), ""))</f>
        <v/>
      </c>
      <c r="I125" s="378"/>
      <c r="J125" s="378">
        <f t="shared" ref="J125:K125" si="34">IF(LEFT(I125,5)="00966", RIGHT(I125,LEN(I125)-5),
    IF(LEFT(I125,4)="+966", RIGHT(I125,LEN(I125)-4),
        IF(LEFT(I125,3)="966", RIGHT(I125,LEN(I125)-3),
            IF(LEFT(I125,1)="0", RIGHT(I125,LEN(I125)-1), I125)
        )
    )
)</f>
        <v>0</v>
      </c>
      <c r="K125" s="378" t="str">
        <f t="shared" si="34"/>
        <v/>
      </c>
      <c r="L125" s="378" t="str">
        <f t="shared" si="15"/>
        <v>أجنبي</v>
      </c>
      <c r="M125" s="436" t="str">
        <f t="shared" si="16"/>
        <v/>
      </c>
      <c r="N125" s="436"/>
      <c r="O125" s="378"/>
      <c r="P125" s="378"/>
      <c r="Q125" s="378"/>
      <c r="R125" s="378"/>
      <c r="S125" s="378"/>
      <c r="T125" s="378"/>
      <c r="U125" s="378">
        <v>123</v>
      </c>
      <c r="V125" s="378"/>
      <c r="W125" s="378"/>
      <c r="X125" s="378"/>
      <c r="Y125" s="378"/>
      <c r="Z125" s="378"/>
      <c r="AA125" s="378"/>
      <c r="AB125" s="378"/>
      <c r="AC125" s="378"/>
      <c r="AD125" s="378"/>
      <c r="AE125" s="378"/>
      <c r="AF125" s="378"/>
      <c r="AG125" s="378"/>
      <c r="AH125" s="378"/>
      <c r="AI125" s="378"/>
      <c r="AJ125" s="378"/>
      <c r="AK125" s="378"/>
      <c r="AL125" s="378"/>
      <c r="AM125" s="378"/>
      <c r="AN125" s="378"/>
      <c r="AO125" s="378"/>
      <c r="AP125" s="378"/>
      <c r="AQ125" s="378"/>
    </row>
    <row r="126" spans="2:43">
      <c r="B126" s="378">
        <v>124</v>
      </c>
      <c r="C126" s="378"/>
      <c r="D126" s="378"/>
      <c r="E126" s="378"/>
      <c r="F126" s="378"/>
      <c r="G126" s="378"/>
      <c r="H126" s="378" t="str">
        <f t="array" aca="1" ref="H126" ca="1">_xlfn.TEXTJOIN("", TRUE, IF(ISNUMBER(--MID(C126, ROW(INDIRECT("1:"&amp;LEN(C126))), 1)), MID(C126, ROW(INDIRECT("1:"&amp;LEN(C126))), 1), ""))</f>
        <v/>
      </c>
      <c r="I126" s="378"/>
      <c r="J126" s="378">
        <f t="shared" ref="J126:K126" si="35">IF(LEFT(I126,5)="00966", RIGHT(I126,LEN(I126)-5),
    IF(LEFT(I126,4)="+966", RIGHT(I126,LEN(I126)-4),
        IF(LEFT(I126,3)="966", RIGHT(I126,LEN(I126)-3),
            IF(LEFT(I126,1)="0", RIGHT(I126,LEN(I126)-1), I126)
        )
    )
)</f>
        <v>0</v>
      </c>
      <c r="K126" s="378" t="str">
        <f t="shared" si="35"/>
        <v/>
      </c>
      <c r="L126" s="378" t="str">
        <f t="shared" si="15"/>
        <v>أجنبي</v>
      </c>
      <c r="M126" s="436" t="str">
        <f t="shared" si="16"/>
        <v/>
      </c>
      <c r="N126" s="436"/>
      <c r="O126" s="378"/>
      <c r="P126" s="378"/>
      <c r="Q126" s="378"/>
      <c r="R126" s="378"/>
      <c r="S126" s="378"/>
      <c r="T126" s="378"/>
      <c r="U126" s="378">
        <v>124</v>
      </c>
      <c r="V126" s="378"/>
      <c r="W126" s="378"/>
      <c r="X126" s="378"/>
      <c r="Y126" s="378"/>
      <c r="Z126" s="378"/>
      <c r="AA126" s="378"/>
      <c r="AB126" s="378"/>
      <c r="AC126" s="378"/>
      <c r="AD126" s="378"/>
      <c r="AE126" s="378"/>
      <c r="AF126" s="378"/>
      <c r="AG126" s="378"/>
      <c r="AH126" s="378"/>
      <c r="AI126" s="378"/>
      <c r="AJ126" s="378"/>
      <c r="AK126" s="378"/>
      <c r="AL126" s="378"/>
      <c r="AM126" s="378"/>
      <c r="AN126" s="378"/>
      <c r="AO126" s="378"/>
      <c r="AP126" s="378"/>
      <c r="AQ126" s="378"/>
    </row>
    <row r="127" spans="2:43">
      <c r="B127" s="378">
        <v>125</v>
      </c>
      <c r="C127" s="378"/>
      <c r="D127" s="378"/>
      <c r="E127" s="378"/>
      <c r="F127" s="378"/>
      <c r="G127" s="378"/>
      <c r="H127" s="378" t="str">
        <f t="array" aca="1" ref="H127" ca="1">_xlfn.TEXTJOIN("", TRUE, IF(ISNUMBER(--MID(C127, ROW(INDIRECT("1:"&amp;LEN(C127))), 1)), MID(C127, ROW(INDIRECT("1:"&amp;LEN(C127))), 1), ""))</f>
        <v/>
      </c>
      <c r="I127" s="378"/>
      <c r="J127" s="378">
        <f t="shared" ref="J127:K127" si="36">IF(LEFT(I127,5)="00966", RIGHT(I127,LEN(I127)-5),
    IF(LEFT(I127,4)="+966", RIGHT(I127,LEN(I127)-4),
        IF(LEFT(I127,3)="966", RIGHT(I127,LEN(I127)-3),
            IF(LEFT(I127,1)="0", RIGHT(I127,LEN(I127)-1), I127)
        )
    )
)</f>
        <v>0</v>
      </c>
      <c r="K127" s="378" t="str">
        <f t="shared" si="36"/>
        <v/>
      </c>
      <c r="L127" s="378" t="str">
        <f t="shared" si="15"/>
        <v>أجنبي</v>
      </c>
      <c r="M127" s="436" t="str">
        <f t="shared" si="16"/>
        <v/>
      </c>
      <c r="N127" s="436"/>
      <c r="O127" s="378"/>
      <c r="P127" s="378"/>
      <c r="Q127" s="378"/>
      <c r="R127" s="378"/>
      <c r="S127" s="378"/>
      <c r="T127" s="378"/>
      <c r="U127" s="378">
        <v>125</v>
      </c>
      <c r="V127" s="378"/>
      <c r="W127" s="378"/>
      <c r="X127" s="378"/>
      <c r="Y127" s="378"/>
      <c r="Z127" s="378"/>
      <c r="AA127" s="378"/>
      <c r="AB127" s="378"/>
      <c r="AC127" s="378"/>
      <c r="AD127" s="378"/>
      <c r="AE127" s="378"/>
      <c r="AF127" s="378"/>
      <c r="AG127" s="378"/>
      <c r="AH127" s="378"/>
      <c r="AI127" s="378"/>
      <c r="AJ127" s="378"/>
      <c r="AK127" s="378"/>
      <c r="AL127" s="378"/>
      <c r="AM127" s="378"/>
      <c r="AN127" s="378"/>
      <c r="AO127" s="378"/>
      <c r="AP127" s="378"/>
      <c r="AQ127" s="378"/>
    </row>
    <row r="128" spans="2:43">
      <c r="B128" s="378">
        <v>126</v>
      </c>
      <c r="C128" s="378"/>
      <c r="D128" s="378"/>
      <c r="E128" s="378"/>
      <c r="F128" s="378"/>
      <c r="G128" s="378"/>
      <c r="H128" s="378" t="str">
        <f t="array" aca="1" ref="H128" ca="1">_xlfn.TEXTJOIN("", TRUE, IF(ISNUMBER(--MID(C128, ROW(INDIRECT("1:"&amp;LEN(C128))), 1)), MID(C128, ROW(INDIRECT("1:"&amp;LEN(C128))), 1), ""))</f>
        <v/>
      </c>
      <c r="I128" s="378"/>
      <c r="J128" s="378">
        <f t="shared" ref="J128:K128" si="37">IF(LEFT(I128,5)="00966", RIGHT(I128,LEN(I128)-5),
    IF(LEFT(I128,4)="+966", RIGHT(I128,LEN(I128)-4),
        IF(LEFT(I128,3)="966", RIGHT(I128,LEN(I128)-3),
            IF(LEFT(I128,1)="0", RIGHT(I128,LEN(I128)-1), I128)
        )
    )
)</f>
        <v>0</v>
      </c>
      <c r="K128" s="378" t="str">
        <f t="shared" si="37"/>
        <v/>
      </c>
      <c r="L128" s="378" t="str">
        <f t="shared" si="15"/>
        <v>أجنبي</v>
      </c>
      <c r="M128" s="436" t="str">
        <f t="shared" si="16"/>
        <v/>
      </c>
      <c r="N128" s="436"/>
      <c r="O128" s="378"/>
      <c r="P128" s="378"/>
      <c r="Q128" s="378"/>
      <c r="R128" s="91"/>
      <c r="S128" s="378"/>
      <c r="T128" s="378"/>
      <c r="U128" s="378">
        <v>126</v>
      </c>
      <c r="V128" s="378"/>
      <c r="W128" s="378"/>
      <c r="X128" s="378"/>
      <c r="Y128" s="378"/>
      <c r="Z128" s="378"/>
      <c r="AA128" s="378"/>
      <c r="AB128" s="378"/>
      <c r="AC128" s="378"/>
      <c r="AD128" s="378"/>
      <c r="AE128" s="378"/>
      <c r="AF128" s="378"/>
      <c r="AG128" s="378"/>
      <c r="AH128" s="378"/>
      <c r="AI128" s="378"/>
      <c r="AJ128" s="378"/>
      <c r="AK128" s="378"/>
      <c r="AL128" s="378"/>
      <c r="AM128" s="378"/>
      <c r="AN128" s="378"/>
      <c r="AO128" s="378"/>
      <c r="AP128" s="378"/>
      <c r="AQ128" s="378"/>
    </row>
    <row r="129" spans="2:43">
      <c r="B129" s="378">
        <v>127</v>
      </c>
      <c r="C129" s="378"/>
      <c r="D129" s="378"/>
      <c r="E129" s="378"/>
      <c r="F129" s="378"/>
      <c r="G129" s="378"/>
      <c r="H129" s="378" t="str">
        <f t="array" aca="1" ref="H129" ca="1">_xlfn.TEXTJOIN("", TRUE, IF(ISNUMBER(--MID(C129, ROW(INDIRECT("1:"&amp;LEN(C129))), 1)), MID(C129, ROW(INDIRECT("1:"&amp;LEN(C129))), 1), ""))</f>
        <v/>
      </c>
      <c r="I129" s="378"/>
      <c r="J129" s="378">
        <f t="shared" ref="J129:K129" si="38">IF(LEFT(I129,5)="00966", RIGHT(I129,LEN(I129)-5),
    IF(LEFT(I129,4)="+966", RIGHT(I129,LEN(I129)-4),
        IF(LEFT(I129,3)="966", RIGHT(I129,LEN(I129)-3),
            IF(LEFT(I129,1)="0", RIGHT(I129,LEN(I129)-1), I129)
        )
    )
)</f>
        <v>0</v>
      </c>
      <c r="K129" s="378" t="str">
        <f t="shared" si="38"/>
        <v/>
      </c>
      <c r="L129" s="378" t="str">
        <f t="shared" si="15"/>
        <v>أجنبي</v>
      </c>
      <c r="M129" s="436" t="str">
        <f t="shared" si="16"/>
        <v/>
      </c>
      <c r="N129" s="436"/>
      <c r="O129" s="378"/>
      <c r="P129" s="378"/>
      <c r="Q129" s="378"/>
      <c r="R129" s="378"/>
      <c r="S129" s="378"/>
      <c r="T129" s="378"/>
      <c r="U129" s="378">
        <v>127</v>
      </c>
      <c r="V129" s="378"/>
      <c r="W129" s="378"/>
      <c r="X129" s="378"/>
      <c r="Y129" s="378"/>
      <c r="Z129" s="378"/>
      <c r="AA129" s="378"/>
      <c r="AB129" s="378"/>
      <c r="AC129" s="378"/>
      <c r="AD129" s="378"/>
      <c r="AE129" s="378"/>
      <c r="AF129" s="378"/>
      <c r="AG129" s="378"/>
      <c r="AH129" s="378"/>
      <c r="AI129" s="378"/>
      <c r="AJ129" s="378"/>
      <c r="AK129" s="378"/>
      <c r="AL129" s="378"/>
      <c r="AM129" s="378"/>
      <c r="AN129" s="378"/>
      <c r="AO129" s="378"/>
      <c r="AP129" s="378"/>
      <c r="AQ129" s="378"/>
    </row>
    <row r="130" spans="2:43">
      <c r="B130" s="378">
        <v>128</v>
      </c>
      <c r="C130" s="378"/>
      <c r="D130" s="378"/>
      <c r="E130" s="378"/>
      <c r="F130" s="378"/>
      <c r="G130" s="378"/>
      <c r="H130" s="378" t="str">
        <f t="array" aca="1" ref="H130" ca="1">_xlfn.TEXTJOIN("", TRUE, IF(ISNUMBER(--MID(C130, ROW(INDIRECT("1:"&amp;LEN(C130))), 1)), MID(C130, ROW(INDIRECT("1:"&amp;LEN(C130))), 1), ""))</f>
        <v/>
      </c>
      <c r="I130" s="378"/>
      <c r="J130" s="378">
        <f t="shared" ref="J130:K130" si="39">IF(LEFT(I130,5)="00966", RIGHT(I130,LEN(I130)-5),
    IF(LEFT(I130,4)="+966", RIGHT(I130,LEN(I130)-4),
        IF(LEFT(I130,3)="966", RIGHT(I130,LEN(I130)-3),
            IF(LEFT(I130,1)="0", RIGHT(I130,LEN(I130)-1), I130)
        )
    )
)</f>
        <v>0</v>
      </c>
      <c r="K130" s="378" t="str">
        <f t="shared" si="39"/>
        <v/>
      </c>
      <c r="L130" s="378" t="str">
        <f t="shared" si="15"/>
        <v>أجنبي</v>
      </c>
      <c r="M130" s="436" t="str">
        <f t="shared" si="16"/>
        <v/>
      </c>
      <c r="N130" s="436"/>
      <c r="O130" s="378"/>
      <c r="P130" s="378"/>
      <c r="Q130" s="378"/>
      <c r="R130" s="378"/>
      <c r="S130" s="378"/>
      <c r="T130" s="378"/>
      <c r="U130" s="378">
        <v>128</v>
      </c>
      <c r="V130" s="378"/>
      <c r="W130" s="378"/>
      <c r="X130" s="378"/>
      <c r="Y130" s="378"/>
      <c r="Z130" s="378"/>
      <c r="AA130" s="378"/>
      <c r="AB130" s="378"/>
      <c r="AC130" s="378"/>
      <c r="AD130" s="378"/>
      <c r="AE130" s="378"/>
      <c r="AF130" s="378"/>
      <c r="AG130" s="378"/>
      <c r="AH130" s="378"/>
      <c r="AI130" s="378"/>
      <c r="AJ130" s="378"/>
      <c r="AK130" s="378"/>
      <c r="AL130" s="378"/>
      <c r="AM130" s="378"/>
      <c r="AN130" s="378"/>
      <c r="AO130" s="378"/>
      <c r="AP130" s="378"/>
      <c r="AQ130" s="378"/>
    </row>
    <row r="131" spans="2:43">
      <c r="B131" s="378">
        <v>129</v>
      </c>
      <c r="C131" s="378"/>
      <c r="D131" s="378"/>
      <c r="E131" s="378"/>
      <c r="F131" s="378"/>
      <c r="G131" s="378"/>
      <c r="H131" s="378" t="str">
        <f t="array" aca="1" ref="H131" ca="1">_xlfn.TEXTJOIN("", TRUE, IF(ISNUMBER(--MID(C131, ROW(INDIRECT("1:"&amp;LEN(C131))), 1)), MID(C131, ROW(INDIRECT("1:"&amp;LEN(C131))), 1), ""))</f>
        <v/>
      </c>
      <c r="I131" s="378"/>
      <c r="J131" s="378">
        <f t="shared" ref="J131:K131" si="40">IF(LEFT(I131,5)="00966", RIGHT(I131,LEN(I131)-5),
    IF(LEFT(I131,4)="+966", RIGHT(I131,LEN(I131)-4),
        IF(LEFT(I131,3)="966", RIGHT(I131,LEN(I131)-3),
            IF(LEFT(I131,1)="0", RIGHT(I131,LEN(I131)-1), I131)
        )
    )
)</f>
        <v>0</v>
      </c>
      <c r="K131" s="378" t="str">
        <f t="shared" si="40"/>
        <v/>
      </c>
      <c r="L131" s="378" t="str">
        <f t="shared" si="15"/>
        <v>أجنبي</v>
      </c>
      <c r="M131" s="436" t="str">
        <f t="shared" si="16"/>
        <v/>
      </c>
      <c r="N131" s="436"/>
      <c r="O131" s="378"/>
      <c r="P131" s="378"/>
      <c r="Q131" s="378"/>
      <c r="R131" s="378"/>
      <c r="S131" s="378"/>
      <c r="T131" s="378"/>
      <c r="U131" s="378">
        <v>129</v>
      </c>
      <c r="V131" s="378"/>
      <c r="W131" s="378"/>
      <c r="X131" s="378"/>
      <c r="Y131" s="378"/>
      <c r="Z131" s="378"/>
      <c r="AA131" s="378"/>
      <c r="AB131" s="378"/>
      <c r="AC131" s="378"/>
      <c r="AD131" s="378"/>
      <c r="AE131" s="378"/>
      <c r="AF131" s="378"/>
      <c r="AG131" s="378"/>
      <c r="AH131" s="378"/>
      <c r="AI131" s="378"/>
      <c r="AJ131" s="378"/>
      <c r="AK131" s="378"/>
      <c r="AL131" s="378"/>
      <c r="AM131" s="378"/>
      <c r="AN131" s="378"/>
      <c r="AO131" s="378"/>
      <c r="AP131" s="378"/>
      <c r="AQ131" s="378"/>
    </row>
    <row r="132" spans="2:43">
      <c r="B132" s="378">
        <v>130</v>
      </c>
      <c r="C132" s="378"/>
      <c r="D132" s="378"/>
      <c r="E132" s="378"/>
      <c r="F132" s="378"/>
      <c r="G132" s="378"/>
      <c r="H132" s="378" t="str">
        <f t="array" aca="1" ref="H132" ca="1">_xlfn.TEXTJOIN("", TRUE, IF(ISNUMBER(--MID(C132, ROW(INDIRECT("1:"&amp;LEN(C132))), 1)), MID(C132, ROW(INDIRECT("1:"&amp;LEN(C132))), 1), ""))</f>
        <v/>
      </c>
      <c r="I132" s="378"/>
      <c r="J132" s="378">
        <f t="shared" ref="J132:K132" si="41">IF(LEFT(I132,5)="00966", RIGHT(I132,LEN(I132)-5),
    IF(LEFT(I132,4)="+966", RIGHT(I132,LEN(I132)-4),
        IF(LEFT(I132,3)="966", RIGHT(I132,LEN(I132)-3),
            IF(LEFT(I132,1)="0", RIGHT(I132,LEN(I132)-1), I132)
        )
    )
)</f>
        <v>0</v>
      </c>
      <c r="K132" s="378" t="str">
        <f t="shared" si="41"/>
        <v/>
      </c>
      <c r="L132" s="378" t="str">
        <f t="shared" si="15"/>
        <v>أجنبي</v>
      </c>
      <c r="M132" s="436" t="str">
        <f t="shared" si="16"/>
        <v/>
      </c>
      <c r="N132" s="436"/>
      <c r="O132" s="378"/>
      <c r="P132" s="378"/>
      <c r="Q132" s="378"/>
      <c r="R132" s="91"/>
      <c r="S132" s="378"/>
      <c r="T132" s="378"/>
      <c r="U132" s="378">
        <v>130</v>
      </c>
      <c r="V132" s="378"/>
      <c r="W132" s="378"/>
      <c r="X132" s="378"/>
      <c r="Y132" s="378"/>
      <c r="Z132" s="378"/>
      <c r="AA132" s="378"/>
      <c r="AB132" s="378"/>
      <c r="AC132" s="378"/>
      <c r="AD132" s="378"/>
      <c r="AE132" s="378"/>
      <c r="AF132" s="378"/>
      <c r="AG132" s="378"/>
      <c r="AH132" s="378"/>
      <c r="AI132" s="378"/>
      <c r="AJ132" s="378"/>
      <c r="AK132" s="378"/>
      <c r="AL132" s="378"/>
      <c r="AM132" s="378"/>
      <c r="AN132" s="378"/>
      <c r="AO132" s="378"/>
      <c r="AP132" s="378"/>
      <c r="AQ132" s="378"/>
    </row>
    <row r="133" spans="2:43">
      <c r="B133" s="378">
        <v>131</v>
      </c>
      <c r="C133" s="378"/>
      <c r="D133" s="378"/>
      <c r="E133" s="378"/>
      <c r="F133" s="378"/>
      <c r="G133" s="378"/>
      <c r="H133" s="378" t="str">
        <f t="array" aca="1" ref="H133" ca="1">_xlfn.TEXTJOIN("", TRUE, IF(ISNUMBER(--MID(C133, ROW(INDIRECT("1:"&amp;LEN(C133))), 1)), MID(C133, ROW(INDIRECT("1:"&amp;LEN(C133))), 1), ""))</f>
        <v/>
      </c>
      <c r="I133" s="378"/>
      <c r="J133" s="378">
        <f t="shared" ref="J133:K133" si="42">IF(LEFT(I133,5)="00966", RIGHT(I133,LEN(I133)-5),
    IF(LEFT(I133,4)="+966", RIGHT(I133,LEN(I133)-4),
        IF(LEFT(I133,3)="966", RIGHT(I133,LEN(I133)-3),
            IF(LEFT(I133,1)="0", RIGHT(I133,LEN(I133)-1), I133)
        )
    )
)</f>
        <v>0</v>
      </c>
      <c r="K133" s="378" t="str">
        <f t="shared" si="42"/>
        <v/>
      </c>
      <c r="L133" s="378" t="str">
        <f t="shared" si="15"/>
        <v>أجنبي</v>
      </c>
      <c r="M133" s="436" t="str">
        <f t="shared" si="16"/>
        <v/>
      </c>
      <c r="N133" s="436"/>
      <c r="O133" s="378"/>
      <c r="P133" s="378"/>
      <c r="Q133" s="378"/>
      <c r="R133" s="378"/>
      <c r="S133" s="378"/>
      <c r="T133" s="378"/>
      <c r="U133" s="378">
        <v>131</v>
      </c>
      <c r="V133" s="378"/>
      <c r="W133" s="378"/>
      <c r="X133" s="378"/>
      <c r="Y133" s="378"/>
      <c r="Z133" s="378"/>
      <c r="AA133" s="378"/>
      <c r="AB133" s="378"/>
      <c r="AC133" s="378"/>
      <c r="AD133" s="378"/>
      <c r="AE133" s="378"/>
      <c r="AF133" s="378"/>
      <c r="AG133" s="378"/>
      <c r="AH133" s="378"/>
      <c r="AI133" s="378"/>
      <c r="AJ133" s="378"/>
      <c r="AK133" s="378"/>
      <c r="AL133" s="378"/>
      <c r="AM133" s="378"/>
      <c r="AN133" s="378"/>
      <c r="AO133" s="378"/>
      <c r="AP133" s="378"/>
      <c r="AQ133" s="378"/>
    </row>
    <row r="134" spans="2:43">
      <c r="B134" s="378">
        <v>132</v>
      </c>
      <c r="C134" s="378"/>
      <c r="D134" s="378"/>
      <c r="E134" s="378"/>
      <c r="F134" s="378"/>
      <c r="G134" s="378"/>
      <c r="H134" s="378" t="str">
        <f t="array" aca="1" ref="H134" ca="1">_xlfn.TEXTJOIN("", TRUE, IF(ISNUMBER(--MID(C134, ROW(INDIRECT("1:"&amp;LEN(C134))), 1)), MID(C134, ROW(INDIRECT("1:"&amp;LEN(C134))), 1), ""))</f>
        <v/>
      </c>
      <c r="I134" s="378"/>
      <c r="J134" s="378">
        <f t="shared" ref="J134:K134" si="43">IF(LEFT(I134,5)="00966", RIGHT(I134,LEN(I134)-5),
    IF(LEFT(I134,4)="+966", RIGHT(I134,LEN(I134)-4),
        IF(LEFT(I134,3)="966", RIGHT(I134,LEN(I134)-3),
            IF(LEFT(I134,1)="0", RIGHT(I134,LEN(I134)-1), I134)
        )
    )
)</f>
        <v>0</v>
      </c>
      <c r="K134" s="378" t="str">
        <f t="shared" si="43"/>
        <v/>
      </c>
      <c r="L134" s="378" t="str">
        <f t="shared" si="15"/>
        <v>أجنبي</v>
      </c>
      <c r="M134" s="436" t="str">
        <f t="shared" si="16"/>
        <v/>
      </c>
      <c r="N134" s="436"/>
      <c r="O134" s="378"/>
      <c r="P134" s="378"/>
      <c r="Q134" s="378"/>
      <c r="R134" s="378"/>
      <c r="S134" s="378"/>
      <c r="T134" s="378"/>
      <c r="U134" s="378">
        <v>132</v>
      </c>
      <c r="V134" s="378"/>
      <c r="W134" s="378"/>
      <c r="X134" s="378"/>
      <c r="Y134" s="378"/>
      <c r="Z134" s="378"/>
      <c r="AA134" s="378"/>
      <c r="AB134" s="378"/>
      <c r="AC134" s="378"/>
      <c r="AD134" s="378"/>
      <c r="AE134" s="378"/>
      <c r="AF134" s="378"/>
      <c r="AG134" s="378"/>
      <c r="AH134" s="378"/>
      <c r="AI134" s="378"/>
      <c r="AJ134" s="378"/>
      <c r="AK134" s="378"/>
      <c r="AL134" s="378"/>
      <c r="AM134" s="378"/>
      <c r="AN134" s="378"/>
      <c r="AO134" s="378"/>
      <c r="AP134" s="378"/>
      <c r="AQ134" s="378"/>
    </row>
    <row r="135" spans="2:43">
      <c r="B135" s="378">
        <v>133</v>
      </c>
      <c r="C135" s="378"/>
      <c r="D135" s="378"/>
      <c r="E135" s="378"/>
      <c r="F135" s="378"/>
      <c r="G135" s="378"/>
      <c r="H135" s="378" t="str">
        <f t="array" aca="1" ref="H135" ca="1">_xlfn.TEXTJOIN("", TRUE, IF(ISNUMBER(--MID(C135, ROW(INDIRECT("1:"&amp;LEN(C135))), 1)), MID(C135, ROW(INDIRECT("1:"&amp;LEN(C135))), 1), ""))</f>
        <v/>
      </c>
      <c r="I135" s="378"/>
      <c r="J135" s="378">
        <f t="shared" ref="J135:K135" si="44">IF(LEFT(I135,5)="00966", RIGHT(I135,LEN(I135)-5),
    IF(LEFT(I135,4)="+966", RIGHT(I135,LEN(I135)-4),
        IF(LEFT(I135,3)="966", RIGHT(I135,LEN(I135)-3),
            IF(LEFT(I135,1)="0", RIGHT(I135,LEN(I135)-1), I135)
        )
    )
)</f>
        <v>0</v>
      </c>
      <c r="K135" s="378" t="str">
        <f t="shared" si="44"/>
        <v/>
      </c>
      <c r="L135" s="378" t="str">
        <f t="shared" si="15"/>
        <v>أجنبي</v>
      </c>
      <c r="M135" s="436" t="str">
        <f t="shared" si="16"/>
        <v/>
      </c>
      <c r="N135" s="436"/>
      <c r="O135" s="378"/>
      <c r="P135" s="378"/>
      <c r="Q135" s="378"/>
      <c r="R135" s="378"/>
      <c r="S135" s="378"/>
      <c r="T135" s="378"/>
      <c r="U135" s="378">
        <v>133</v>
      </c>
      <c r="V135" s="378"/>
      <c r="W135" s="378"/>
      <c r="X135" s="378"/>
      <c r="Y135" s="378"/>
      <c r="Z135" s="378"/>
      <c r="AA135" s="378"/>
      <c r="AB135" s="378"/>
      <c r="AC135" s="378"/>
      <c r="AD135" s="378"/>
      <c r="AE135" s="378"/>
      <c r="AF135" s="378"/>
      <c r="AG135" s="378"/>
      <c r="AH135" s="378"/>
      <c r="AI135" s="378"/>
      <c r="AJ135" s="378"/>
      <c r="AK135" s="378"/>
      <c r="AL135" s="378"/>
      <c r="AM135" s="378"/>
      <c r="AN135" s="378"/>
      <c r="AO135" s="378"/>
      <c r="AP135" s="378"/>
      <c r="AQ135" s="378"/>
    </row>
    <row r="136" spans="2:43">
      <c r="B136" s="378">
        <v>134</v>
      </c>
      <c r="C136" s="378"/>
      <c r="D136" s="378"/>
      <c r="E136" s="378"/>
      <c r="F136" s="378"/>
      <c r="G136" s="378"/>
      <c r="H136" s="378" t="str">
        <f t="array" aca="1" ref="H136" ca="1">_xlfn.TEXTJOIN("", TRUE, IF(ISNUMBER(--MID(C136, ROW(INDIRECT("1:"&amp;LEN(C136))), 1)), MID(C136, ROW(INDIRECT("1:"&amp;LEN(C136))), 1), ""))</f>
        <v/>
      </c>
      <c r="I136" s="378"/>
      <c r="J136" s="378">
        <f t="shared" ref="J136:K136" si="45">IF(LEFT(I136,5)="00966", RIGHT(I136,LEN(I136)-5),
    IF(LEFT(I136,4)="+966", RIGHT(I136,LEN(I136)-4),
        IF(LEFT(I136,3)="966", RIGHT(I136,LEN(I136)-3),
            IF(LEFT(I136,1)="0", RIGHT(I136,LEN(I136)-1), I136)
        )
    )
)</f>
        <v>0</v>
      </c>
      <c r="K136" s="378" t="str">
        <f t="shared" si="45"/>
        <v/>
      </c>
      <c r="L136" s="378" t="str">
        <f t="shared" si="15"/>
        <v>أجنبي</v>
      </c>
      <c r="M136" s="436" t="str">
        <f t="shared" si="16"/>
        <v/>
      </c>
      <c r="N136" s="436"/>
      <c r="O136" s="378"/>
      <c r="P136" s="378"/>
      <c r="Q136" s="378"/>
      <c r="R136" s="378"/>
      <c r="S136" s="378"/>
      <c r="T136" s="378"/>
      <c r="U136" s="378">
        <v>134</v>
      </c>
      <c r="V136" s="378"/>
      <c r="W136" s="378"/>
      <c r="X136" s="378"/>
      <c r="Y136" s="378"/>
      <c r="Z136" s="378"/>
      <c r="AA136" s="378"/>
      <c r="AB136" s="378"/>
      <c r="AC136" s="378"/>
      <c r="AD136" s="378"/>
      <c r="AE136" s="378"/>
      <c r="AF136" s="378"/>
      <c r="AG136" s="378"/>
      <c r="AH136" s="378"/>
      <c r="AI136" s="378"/>
      <c r="AJ136" s="378"/>
      <c r="AK136" s="378"/>
      <c r="AL136" s="378"/>
      <c r="AM136" s="378"/>
      <c r="AN136" s="378"/>
      <c r="AO136" s="378"/>
      <c r="AP136" s="378"/>
      <c r="AQ136" s="378"/>
    </row>
    <row r="137" spans="2:43">
      <c r="B137" s="378">
        <v>135</v>
      </c>
      <c r="C137" s="378"/>
      <c r="D137" s="378"/>
      <c r="E137" s="378"/>
      <c r="F137" s="378"/>
      <c r="G137" s="378"/>
      <c r="H137" s="378" t="str">
        <f t="array" aca="1" ref="H137" ca="1">_xlfn.TEXTJOIN("", TRUE, IF(ISNUMBER(--MID(C137, ROW(INDIRECT("1:"&amp;LEN(C137))), 1)), MID(C137, ROW(INDIRECT("1:"&amp;LEN(C137))), 1), ""))</f>
        <v/>
      </c>
      <c r="I137" s="378"/>
      <c r="J137" s="378">
        <f t="shared" ref="J137:K137" si="46">IF(LEFT(I137,5)="00966", RIGHT(I137,LEN(I137)-5),
    IF(LEFT(I137,4)="+966", RIGHT(I137,LEN(I137)-4),
        IF(LEFT(I137,3)="966", RIGHT(I137,LEN(I137)-3),
            IF(LEFT(I137,1)="0", RIGHT(I137,LEN(I137)-1), I137)
        )
    )
)</f>
        <v>0</v>
      </c>
      <c r="K137" s="378" t="str">
        <f t="shared" si="46"/>
        <v/>
      </c>
      <c r="L137" s="378" t="str">
        <f t="shared" si="15"/>
        <v>أجنبي</v>
      </c>
      <c r="M137" s="436" t="str">
        <f t="shared" si="16"/>
        <v/>
      </c>
      <c r="N137" s="436"/>
      <c r="O137" s="378"/>
      <c r="P137" s="378"/>
      <c r="Q137" s="378"/>
      <c r="R137" s="378"/>
      <c r="S137" s="378"/>
      <c r="T137" s="378"/>
      <c r="U137" s="378">
        <v>135</v>
      </c>
      <c r="V137" s="378"/>
      <c r="W137" s="378"/>
      <c r="X137" s="378"/>
      <c r="Y137" s="378"/>
      <c r="Z137" s="378"/>
      <c r="AA137" s="378"/>
      <c r="AB137" s="378"/>
      <c r="AC137" s="378"/>
      <c r="AD137" s="378"/>
      <c r="AE137" s="378"/>
      <c r="AF137" s="378"/>
      <c r="AG137" s="378"/>
      <c r="AH137" s="378"/>
      <c r="AI137" s="378"/>
      <c r="AJ137" s="378"/>
      <c r="AK137" s="378"/>
      <c r="AL137" s="378"/>
      <c r="AM137" s="378"/>
      <c r="AN137" s="378"/>
      <c r="AO137" s="378"/>
      <c r="AP137" s="378"/>
      <c r="AQ137" s="378"/>
    </row>
    <row r="138" spans="2:43">
      <c r="B138" s="378">
        <v>136</v>
      </c>
      <c r="C138" s="378"/>
      <c r="D138" s="378"/>
      <c r="E138" s="378"/>
      <c r="F138" s="378"/>
      <c r="G138" s="378"/>
      <c r="H138" s="378" t="str">
        <f t="array" aca="1" ref="H138" ca="1">_xlfn.TEXTJOIN("", TRUE, IF(ISNUMBER(--MID(C138, ROW(INDIRECT("1:"&amp;LEN(C138))), 1)), MID(C138, ROW(INDIRECT("1:"&amp;LEN(C138))), 1), ""))</f>
        <v/>
      </c>
      <c r="I138" s="378"/>
      <c r="J138" s="378">
        <f t="shared" ref="J138:K138" si="47">IF(LEFT(I138,5)="00966", RIGHT(I138,LEN(I138)-5),
    IF(LEFT(I138,4)="+966", RIGHT(I138,LEN(I138)-4),
        IF(LEFT(I138,3)="966", RIGHT(I138,LEN(I138)-3),
            IF(LEFT(I138,1)="0", RIGHT(I138,LEN(I138)-1), I138)
        )
    )
)</f>
        <v>0</v>
      </c>
      <c r="K138" s="378" t="str">
        <f t="shared" si="47"/>
        <v/>
      </c>
      <c r="L138" s="378" t="str">
        <f t="shared" si="15"/>
        <v>أجنبي</v>
      </c>
      <c r="M138" s="436" t="str">
        <f t="shared" si="16"/>
        <v/>
      </c>
      <c r="N138" s="436"/>
      <c r="O138" s="378"/>
      <c r="P138" s="378"/>
      <c r="Q138" s="378"/>
      <c r="R138" s="378"/>
      <c r="S138" s="378"/>
      <c r="T138" s="378"/>
      <c r="U138" s="378">
        <v>136</v>
      </c>
      <c r="V138" s="378"/>
      <c r="W138" s="378"/>
      <c r="X138" s="378"/>
      <c r="Y138" s="378"/>
      <c r="Z138" s="378"/>
      <c r="AA138" s="378"/>
      <c r="AB138" s="378"/>
      <c r="AC138" s="378"/>
      <c r="AD138" s="378"/>
      <c r="AE138" s="378"/>
      <c r="AF138" s="378"/>
      <c r="AG138" s="378"/>
      <c r="AH138" s="378"/>
      <c r="AI138" s="378"/>
      <c r="AJ138" s="378"/>
      <c r="AK138" s="378"/>
      <c r="AL138" s="378"/>
      <c r="AM138" s="378"/>
      <c r="AN138" s="378"/>
      <c r="AO138" s="378"/>
      <c r="AP138" s="378"/>
      <c r="AQ138" s="378"/>
    </row>
    <row r="139" spans="2:43">
      <c r="B139" s="378">
        <v>137</v>
      </c>
      <c r="C139" s="378"/>
      <c r="D139" s="378"/>
      <c r="E139" s="378"/>
      <c r="F139" s="378"/>
      <c r="G139" s="378"/>
      <c r="H139" s="378" t="str">
        <f t="array" aca="1" ref="H139" ca="1">_xlfn.TEXTJOIN("", TRUE, IF(ISNUMBER(--MID(C139, ROW(INDIRECT("1:"&amp;LEN(C139))), 1)), MID(C139, ROW(INDIRECT("1:"&amp;LEN(C139))), 1), ""))</f>
        <v/>
      </c>
      <c r="I139" s="378"/>
      <c r="J139" s="378">
        <f t="shared" ref="J139:K139" si="48">IF(LEFT(I139,5)="00966", RIGHT(I139,LEN(I139)-5),
    IF(LEFT(I139,4)="+966", RIGHT(I139,LEN(I139)-4),
        IF(LEFT(I139,3)="966", RIGHT(I139,LEN(I139)-3),
            IF(LEFT(I139,1)="0", RIGHT(I139,LEN(I139)-1), I139)
        )
    )
)</f>
        <v>0</v>
      </c>
      <c r="K139" s="378" t="str">
        <f t="shared" si="48"/>
        <v/>
      </c>
      <c r="L139" s="378" t="str">
        <f t="shared" si="15"/>
        <v>أجنبي</v>
      </c>
      <c r="M139" s="436" t="str">
        <f t="shared" si="16"/>
        <v/>
      </c>
      <c r="N139" s="436"/>
      <c r="O139" s="378"/>
      <c r="P139" s="378"/>
      <c r="Q139" s="378"/>
      <c r="R139" s="378"/>
      <c r="S139" s="378"/>
      <c r="T139" s="378"/>
      <c r="U139" s="378">
        <v>137</v>
      </c>
      <c r="V139" s="378"/>
      <c r="W139" s="378"/>
      <c r="X139" s="378"/>
      <c r="Y139" s="378"/>
      <c r="Z139" s="378"/>
      <c r="AA139" s="378"/>
      <c r="AB139" s="378"/>
      <c r="AC139" s="378"/>
      <c r="AD139" s="378"/>
      <c r="AE139" s="378"/>
      <c r="AF139" s="378"/>
      <c r="AG139" s="378"/>
      <c r="AH139" s="378"/>
      <c r="AI139" s="378"/>
      <c r="AJ139" s="378"/>
      <c r="AK139" s="378"/>
      <c r="AL139" s="378"/>
      <c r="AM139" s="378"/>
      <c r="AN139" s="378"/>
      <c r="AO139" s="378"/>
      <c r="AP139" s="378"/>
      <c r="AQ139" s="378"/>
    </row>
    <row r="140" spans="2:43">
      <c r="B140" s="378">
        <v>138</v>
      </c>
      <c r="C140" s="378"/>
      <c r="D140" s="378"/>
      <c r="E140" s="378"/>
      <c r="F140" s="378"/>
      <c r="G140" s="378"/>
      <c r="H140" s="378" t="str">
        <f t="array" aca="1" ref="H140" ca="1">_xlfn.TEXTJOIN("", TRUE, IF(ISNUMBER(--MID(C140, ROW(INDIRECT("1:"&amp;LEN(C140))), 1)), MID(C140, ROW(INDIRECT("1:"&amp;LEN(C140))), 1), ""))</f>
        <v/>
      </c>
      <c r="I140" s="378"/>
      <c r="J140" s="378">
        <f t="shared" ref="J140:K140" si="49">IF(LEFT(I140,5)="00966", RIGHT(I140,LEN(I140)-5),
    IF(LEFT(I140,4)="+966", RIGHT(I140,LEN(I140)-4),
        IF(LEFT(I140,3)="966", RIGHT(I140,LEN(I140)-3),
            IF(LEFT(I140,1)="0", RIGHT(I140,LEN(I140)-1), I140)
        )
    )
)</f>
        <v>0</v>
      </c>
      <c r="K140" s="378" t="str">
        <f t="shared" si="49"/>
        <v/>
      </c>
      <c r="L140" s="378" t="str">
        <f t="shared" si="15"/>
        <v>أجنبي</v>
      </c>
      <c r="M140" s="436" t="str">
        <f t="shared" si="16"/>
        <v/>
      </c>
      <c r="N140" s="436"/>
      <c r="O140" s="378"/>
      <c r="P140" s="378"/>
      <c r="Q140" s="378"/>
      <c r="R140" s="91"/>
      <c r="S140" s="378"/>
      <c r="T140" s="378"/>
      <c r="U140" s="378">
        <v>138</v>
      </c>
      <c r="V140" s="378"/>
      <c r="W140" s="378"/>
      <c r="X140" s="378"/>
      <c r="Y140" s="378"/>
      <c r="Z140" s="378"/>
      <c r="AA140" s="378"/>
      <c r="AB140" s="378"/>
      <c r="AC140" s="378"/>
      <c r="AD140" s="378"/>
      <c r="AE140" s="378"/>
      <c r="AF140" s="378"/>
      <c r="AG140" s="378"/>
      <c r="AH140" s="378"/>
      <c r="AI140" s="378"/>
      <c r="AJ140" s="378"/>
      <c r="AK140" s="378"/>
      <c r="AL140" s="378"/>
      <c r="AM140" s="378"/>
      <c r="AN140" s="378"/>
      <c r="AO140" s="378"/>
      <c r="AP140" s="378"/>
      <c r="AQ140" s="378"/>
    </row>
    <row r="141" spans="2:43">
      <c r="B141" s="378">
        <v>139</v>
      </c>
      <c r="C141" s="378"/>
      <c r="D141" s="378"/>
      <c r="E141" s="378"/>
      <c r="F141" s="378"/>
      <c r="G141" s="378"/>
      <c r="H141" s="378" t="str">
        <f t="array" aca="1" ref="H141" ca="1">_xlfn.TEXTJOIN("", TRUE, IF(ISNUMBER(--MID(C141, ROW(INDIRECT("1:"&amp;LEN(C141))), 1)), MID(C141, ROW(INDIRECT("1:"&amp;LEN(C141))), 1), ""))</f>
        <v/>
      </c>
      <c r="I141" s="378"/>
      <c r="J141" s="378">
        <f t="shared" ref="J141:K141" si="50">IF(LEFT(I141,5)="00966", RIGHT(I141,LEN(I141)-5),
    IF(LEFT(I141,4)="+966", RIGHT(I141,LEN(I141)-4),
        IF(LEFT(I141,3)="966", RIGHT(I141,LEN(I141)-3),
            IF(LEFT(I141,1)="0", RIGHT(I141,LEN(I141)-1), I141)
        )
    )
)</f>
        <v>0</v>
      </c>
      <c r="K141" s="378" t="str">
        <f t="shared" si="50"/>
        <v/>
      </c>
      <c r="L141" s="378" t="str">
        <f t="shared" si="15"/>
        <v>أجنبي</v>
      </c>
      <c r="M141" s="436" t="str">
        <f t="shared" si="16"/>
        <v/>
      </c>
      <c r="N141" s="436"/>
      <c r="O141" s="378"/>
      <c r="P141" s="378"/>
      <c r="Q141" s="378"/>
      <c r="R141" s="378"/>
      <c r="S141" s="378"/>
      <c r="T141" s="378"/>
      <c r="U141" s="378">
        <v>139</v>
      </c>
      <c r="V141" s="378"/>
      <c r="W141" s="378"/>
      <c r="X141" s="378"/>
      <c r="Y141" s="378"/>
      <c r="Z141" s="378"/>
      <c r="AA141" s="378"/>
      <c r="AB141" s="378"/>
      <c r="AC141" s="378"/>
      <c r="AD141" s="378"/>
      <c r="AE141" s="378"/>
      <c r="AF141" s="378"/>
      <c r="AG141" s="378"/>
      <c r="AH141" s="378"/>
      <c r="AI141" s="378"/>
      <c r="AJ141" s="378"/>
      <c r="AK141" s="378"/>
      <c r="AL141" s="378"/>
      <c r="AM141" s="378"/>
      <c r="AN141" s="378"/>
      <c r="AO141" s="378"/>
      <c r="AP141" s="378"/>
      <c r="AQ141" s="378"/>
    </row>
    <row r="142" spans="2:43">
      <c r="B142" s="378">
        <v>140</v>
      </c>
      <c r="C142" s="378"/>
      <c r="D142" s="378"/>
      <c r="E142" s="378"/>
      <c r="F142" s="378"/>
      <c r="G142" s="378"/>
      <c r="H142" s="378" t="str">
        <f t="array" aca="1" ref="H142" ca="1">_xlfn.TEXTJOIN("", TRUE, IF(ISNUMBER(--MID(C142, ROW(INDIRECT("1:"&amp;LEN(C142))), 1)), MID(C142, ROW(INDIRECT("1:"&amp;LEN(C142))), 1), ""))</f>
        <v/>
      </c>
      <c r="I142" s="378"/>
      <c r="J142" s="378">
        <f t="shared" ref="J142:K142" si="51">IF(LEFT(I142,5)="00966", RIGHT(I142,LEN(I142)-5),
    IF(LEFT(I142,4)="+966", RIGHT(I142,LEN(I142)-4),
        IF(LEFT(I142,3)="966", RIGHT(I142,LEN(I142)-3),
            IF(LEFT(I142,1)="0", RIGHT(I142,LEN(I142)-1), I142)
        )
    )
)</f>
        <v>0</v>
      </c>
      <c r="K142" s="378" t="str">
        <f t="shared" si="51"/>
        <v/>
      </c>
      <c r="L142" s="378" t="str">
        <f t="shared" si="15"/>
        <v>أجنبي</v>
      </c>
      <c r="M142" s="436" t="str">
        <f t="shared" si="16"/>
        <v/>
      </c>
      <c r="N142" s="436"/>
      <c r="O142" s="378"/>
      <c r="P142" s="378"/>
      <c r="Q142" s="378"/>
      <c r="R142" s="378"/>
      <c r="S142" s="378"/>
      <c r="T142" s="378"/>
      <c r="U142" s="378">
        <v>140</v>
      </c>
      <c r="V142" s="378"/>
      <c r="W142" s="378"/>
      <c r="X142" s="378"/>
      <c r="Y142" s="378"/>
      <c r="Z142" s="378"/>
      <c r="AA142" s="378"/>
      <c r="AB142" s="378"/>
      <c r="AC142" s="378"/>
      <c r="AD142" s="378"/>
      <c r="AE142" s="378"/>
      <c r="AF142" s="378"/>
      <c r="AG142" s="378"/>
      <c r="AH142" s="378"/>
      <c r="AI142" s="378"/>
      <c r="AJ142" s="378"/>
      <c r="AK142" s="378"/>
      <c r="AL142" s="378"/>
      <c r="AM142" s="378"/>
      <c r="AN142" s="378"/>
      <c r="AO142" s="378"/>
      <c r="AP142" s="378"/>
      <c r="AQ142" s="378"/>
    </row>
    <row r="143" spans="2:43">
      <c r="B143" s="378">
        <v>141</v>
      </c>
      <c r="C143" s="378"/>
      <c r="D143" s="378"/>
      <c r="E143" s="378"/>
      <c r="F143" s="378"/>
      <c r="G143" s="378"/>
      <c r="H143" s="378" t="str">
        <f t="array" aca="1" ref="H143" ca="1">_xlfn.TEXTJOIN("", TRUE, IF(ISNUMBER(--MID(C143, ROW(INDIRECT("1:"&amp;LEN(C143))), 1)), MID(C143, ROW(INDIRECT("1:"&amp;LEN(C143))), 1), ""))</f>
        <v/>
      </c>
      <c r="I143" s="378"/>
      <c r="J143" s="378">
        <f t="shared" ref="J143:K143" si="52">IF(LEFT(I143,5)="00966", RIGHT(I143,LEN(I143)-5),
    IF(LEFT(I143,4)="+966", RIGHT(I143,LEN(I143)-4),
        IF(LEFT(I143,3)="966", RIGHT(I143,LEN(I143)-3),
            IF(LEFT(I143,1)="0", RIGHT(I143,LEN(I143)-1), I143)
        )
    )
)</f>
        <v>0</v>
      </c>
      <c r="K143" s="378" t="str">
        <f t="shared" si="52"/>
        <v/>
      </c>
      <c r="L143" s="378" t="str">
        <f t="shared" si="15"/>
        <v>أجنبي</v>
      </c>
      <c r="M143" s="436" t="str">
        <f t="shared" si="16"/>
        <v/>
      </c>
      <c r="N143" s="436"/>
      <c r="O143" s="378"/>
      <c r="P143" s="378"/>
      <c r="Q143" s="378"/>
      <c r="R143" s="378"/>
      <c r="S143" s="378"/>
      <c r="T143" s="378"/>
      <c r="U143" s="378">
        <v>141</v>
      </c>
      <c r="V143" s="378"/>
      <c r="W143" s="378"/>
      <c r="X143" s="378"/>
      <c r="Y143" s="378"/>
      <c r="Z143" s="378"/>
      <c r="AA143" s="378"/>
      <c r="AB143" s="378"/>
      <c r="AC143" s="378"/>
      <c r="AD143" s="378"/>
      <c r="AE143" s="378"/>
      <c r="AF143" s="378"/>
      <c r="AG143" s="378"/>
      <c r="AH143" s="378"/>
      <c r="AI143" s="378"/>
      <c r="AJ143" s="378"/>
      <c r="AK143" s="378"/>
      <c r="AL143" s="378"/>
      <c r="AM143" s="378"/>
      <c r="AN143" s="378"/>
      <c r="AO143" s="378"/>
      <c r="AP143" s="378"/>
      <c r="AQ143" s="378"/>
    </row>
    <row r="144" spans="2:43">
      <c r="B144" s="378">
        <v>142</v>
      </c>
      <c r="C144" s="378"/>
      <c r="D144" s="378"/>
      <c r="E144" s="378"/>
      <c r="F144" s="378"/>
      <c r="G144" s="378"/>
      <c r="H144" s="378" t="str">
        <f t="array" aca="1" ref="H144" ca="1">_xlfn.TEXTJOIN("", TRUE, IF(ISNUMBER(--MID(C144, ROW(INDIRECT("1:"&amp;LEN(C144))), 1)), MID(C144, ROW(INDIRECT("1:"&amp;LEN(C144))), 1), ""))</f>
        <v/>
      </c>
      <c r="I144" s="378"/>
      <c r="J144" s="378">
        <f t="shared" ref="J144:K144" si="53">IF(LEFT(I144,5)="00966", RIGHT(I144,LEN(I144)-5),
    IF(LEFT(I144,4)="+966", RIGHT(I144,LEN(I144)-4),
        IF(LEFT(I144,3)="966", RIGHT(I144,LEN(I144)-3),
            IF(LEFT(I144,1)="0", RIGHT(I144,LEN(I144)-1), I144)
        )
    )
)</f>
        <v>0</v>
      </c>
      <c r="K144" s="378" t="str">
        <f t="shared" si="53"/>
        <v/>
      </c>
      <c r="L144" s="378" t="str">
        <f t="shared" si="15"/>
        <v>أجنبي</v>
      </c>
      <c r="M144" s="436" t="str">
        <f t="shared" si="16"/>
        <v/>
      </c>
      <c r="N144" s="436"/>
      <c r="O144" s="378"/>
      <c r="P144" s="378"/>
      <c r="Q144" s="378"/>
      <c r="R144" s="378"/>
      <c r="S144" s="378"/>
      <c r="T144" s="378"/>
      <c r="U144" s="378">
        <v>142</v>
      </c>
      <c r="V144" s="378"/>
      <c r="W144" s="378"/>
      <c r="X144" s="378"/>
      <c r="Y144" s="378"/>
      <c r="Z144" s="378"/>
      <c r="AA144" s="378"/>
      <c r="AB144" s="378"/>
      <c r="AC144" s="378"/>
      <c r="AD144" s="378"/>
      <c r="AE144" s="378"/>
      <c r="AF144" s="378"/>
      <c r="AG144" s="378"/>
      <c r="AH144" s="378"/>
      <c r="AI144" s="378"/>
      <c r="AJ144" s="378"/>
      <c r="AK144" s="378"/>
      <c r="AL144" s="378"/>
      <c r="AM144" s="378"/>
      <c r="AN144" s="378"/>
      <c r="AO144" s="378"/>
      <c r="AP144" s="378"/>
      <c r="AQ144" s="378"/>
    </row>
    <row r="145" spans="2:43">
      <c r="B145" s="378">
        <v>143</v>
      </c>
      <c r="C145" s="378"/>
      <c r="D145" s="378"/>
      <c r="E145" s="378"/>
      <c r="F145" s="378"/>
      <c r="G145" s="378"/>
      <c r="H145" s="378" t="str">
        <f t="array" aca="1" ref="H145" ca="1">_xlfn.TEXTJOIN("", TRUE, IF(ISNUMBER(--MID(C145, ROW(INDIRECT("1:"&amp;LEN(C145))), 1)), MID(C145, ROW(INDIRECT("1:"&amp;LEN(C145))), 1), ""))</f>
        <v/>
      </c>
      <c r="I145" s="378"/>
      <c r="J145" s="378">
        <f t="shared" ref="J145:K145" si="54">IF(LEFT(I145,5)="00966", RIGHT(I145,LEN(I145)-5),
    IF(LEFT(I145,4)="+966", RIGHT(I145,LEN(I145)-4),
        IF(LEFT(I145,3)="966", RIGHT(I145,LEN(I145)-3),
            IF(LEFT(I145,1)="0", RIGHT(I145,LEN(I145)-1), I145)
        )
    )
)</f>
        <v>0</v>
      </c>
      <c r="K145" s="378" t="str">
        <f t="shared" si="54"/>
        <v/>
      </c>
      <c r="L145" s="378" t="str">
        <f t="shared" si="15"/>
        <v>أجنبي</v>
      </c>
      <c r="M145" s="436" t="str">
        <f t="shared" si="16"/>
        <v/>
      </c>
      <c r="N145" s="436"/>
      <c r="O145" s="378"/>
      <c r="P145" s="378"/>
      <c r="Q145" s="378"/>
      <c r="R145" s="378"/>
      <c r="S145" s="378"/>
      <c r="T145" s="378"/>
      <c r="U145" s="378">
        <v>143</v>
      </c>
      <c r="V145" s="378"/>
      <c r="W145" s="378"/>
      <c r="X145" s="378"/>
      <c r="Y145" s="378"/>
      <c r="Z145" s="378"/>
      <c r="AA145" s="378"/>
      <c r="AB145" s="378"/>
      <c r="AC145" s="378"/>
      <c r="AD145" s="378"/>
      <c r="AE145" s="378"/>
      <c r="AF145" s="378"/>
      <c r="AG145" s="378"/>
      <c r="AH145" s="378"/>
      <c r="AI145" s="378"/>
      <c r="AJ145" s="378"/>
      <c r="AK145" s="378"/>
      <c r="AL145" s="378"/>
      <c r="AM145" s="378"/>
      <c r="AN145" s="378"/>
      <c r="AO145" s="378"/>
      <c r="AP145" s="378"/>
      <c r="AQ145" s="378"/>
    </row>
    <row r="146" spans="2:43">
      <c r="B146" s="378">
        <v>144</v>
      </c>
      <c r="C146" s="378"/>
      <c r="D146" s="378"/>
      <c r="E146" s="378"/>
      <c r="F146" s="378"/>
      <c r="G146" s="378"/>
      <c r="H146" s="378" t="str">
        <f t="array" aca="1" ref="H146" ca="1">_xlfn.TEXTJOIN("", TRUE, IF(ISNUMBER(--MID(C146, ROW(INDIRECT("1:"&amp;LEN(C146))), 1)), MID(C146, ROW(INDIRECT("1:"&amp;LEN(C146))), 1), ""))</f>
        <v/>
      </c>
      <c r="I146" s="378"/>
      <c r="J146" s="378">
        <f t="shared" ref="J146:K146" si="55">IF(LEFT(I146,5)="00966", RIGHT(I146,LEN(I146)-5),
    IF(LEFT(I146,4)="+966", RIGHT(I146,LEN(I146)-4),
        IF(LEFT(I146,3)="966", RIGHT(I146,LEN(I146)-3),
            IF(LEFT(I146,1)="0", RIGHT(I146,LEN(I146)-1), I146)
        )
    )
)</f>
        <v>0</v>
      </c>
      <c r="K146" s="378" t="str">
        <f t="shared" si="55"/>
        <v/>
      </c>
      <c r="L146" s="378" t="str">
        <f t="shared" si="15"/>
        <v>أجنبي</v>
      </c>
      <c r="M146" s="436" t="str">
        <f t="shared" si="16"/>
        <v/>
      </c>
      <c r="N146" s="436"/>
      <c r="O146" s="378"/>
      <c r="P146" s="378"/>
      <c r="Q146" s="378"/>
      <c r="R146" s="378"/>
      <c r="S146" s="378"/>
      <c r="T146" s="378"/>
      <c r="U146" s="378">
        <v>144</v>
      </c>
      <c r="V146" s="378"/>
      <c r="W146" s="378"/>
      <c r="X146" s="378"/>
      <c r="Y146" s="378"/>
      <c r="Z146" s="378"/>
      <c r="AA146" s="378"/>
      <c r="AB146" s="378"/>
      <c r="AC146" s="378"/>
      <c r="AD146" s="378"/>
      <c r="AE146" s="378"/>
      <c r="AF146" s="378"/>
      <c r="AG146" s="378"/>
      <c r="AH146" s="378"/>
      <c r="AI146" s="378"/>
      <c r="AJ146" s="378"/>
      <c r="AK146" s="378"/>
      <c r="AL146" s="378"/>
      <c r="AM146" s="378"/>
      <c r="AN146" s="378"/>
      <c r="AO146" s="378"/>
      <c r="AP146" s="378"/>
      <c r="AQ146" s="378"/>
    </row>
    <row r="147" spans="2:43">
      <c r="B147" s="378">
        <v>145</v>
      </c>
      <c r="C147" s="378"/>
      <c r="D147" s="378"/>
      <c r="E147" s="378"/>
      <c r="F147" s="378"/>
      <c r="G147" s="378"/>
      <c r="H147" s="378" t="str">
        <f t="array" aca="1" ref="H147" ca="1">_xlfn.TEXTJOIN("", TRUE, IF(ISNUMBER(--MID(C147, ROW(INDIRECT("1:"&amp;LEN(C147))), 1)), MID(C147, ROW(INDIRECT("1:"&amp;LEN(C147))), 1), ""))</f>
        <v/>
      </c>
      <c r="I147" s="378"/>
      <c r="J147" s="378">
        <f t="shared" ref="J147:K147" si="56">IF(LEFT(I147,5)="00966", RIGHT(I147,LEN(I147)-5),
    IF(LEFT(I147,4)="+966", RIGHT(I147,LEN(I147)-4),
        IF(LEFT(I147,3)="966", RIGHT(I147,LEN(I147)-3),
            IF(LEFT(I147,1)="0", RIGHT(I147,LEN(I147)-1), I147)
        )
    )
)</f>
        <v>0</v>
      </c>
      <c r="K147" s="378" t="str">
        <f t="shared" si="56"/>
        <v/>
      </c>
      <c r="L147" s="378" t="str">
        <f t="shared" si="15"/>
        <v>أجنبي</v>
      </c>
      <c r="M147" s="436" t="str">
        <f t="shared" si="16"/>
        <v/>
      </c>
      <c r="N147" s="436"/>
      <c r="O147" s="378"/>
      <c r="P147" s="378"/>
      <c r="Q147" s="378"/>
      <c r="R147" s="378"/>
      <c r="S147" s="378"/>
      <c r="T147" s="378"/>
      <c r="U147" s="378">
        <v>145</v>
      </c>
      <c r="V147" s="378"/>
      <c r="W147" s="378"/>
      <c r="X147" s="378"/>
      <c r="Y147" s="378"/>
      <c r="Z147" s="378"/>
      <c r="AA147" s="378"/>
      <c r="AB147" s="378"/>
      <c r="AC147" s="378"/>
      <c r="AD147" s="378"/>
      <c r="AE147" s="378"/>
      <c r="AF147" s="378"/>
      <c r="AG147" s="378"/>
      <c r="AH147" s="378"/>
      <c r="AI147" s="378"/>
      <c r="AJ147" s="378"/>
      <c r="AK147" s="378"/>
      <c r="AL147" s="378"/>
      <c r="AM147" s="378"/>
      <c r="AN147" s="378"/>
      <c r="AO147" s="378"/>
      <c r="AP147" s="378"/>
      <c r="AQ147" s="378"/>
    </row>
    <row r="148" spans="2:43">
      <c r="B148" s="378">
        <v>146</v>
      </c>
      <c r="C148" s="378"/>
      <c r="D148" s="378"/>
      <c r="E148" s="378"/>
      <c r="F148" s="378"/>
      <c r="G148" s="378"/>
      <c r="H148" s="378" t="str">
        <f t="array" aca="1" ref="H148" ca="1">_xlfn.TEXTJOIN("", TRUE, IF(ISNUMBER(--MID(C148, ROW(INDIRECT("1:"&amp;LEN(C148))), 1)), MID(C148, ROW(INDIRECT("1:"&amp;LEN(C148))), 1), ""))</f>
        <v/>
      </c>
      <c r="I148" s="378"/>
      <c r="J148" s="378">
        <f t="shared" ref="J148:K148" si="57">IF(LEFT(I148,5)="00966", RIGHT(I148,LEN(I148)-5),
    IF(LEFT(I148,4)="+966", RIGHT(I148,LEN(I148)-4),
        IF(LEFT(I148,3)="966", RIGHT(I148,LEN(I148)-3),
            IF(LEFT(I148,1)="0", RIGHT(I148,LEN(I148)-1), I148)
        )
    )
)</f>
        <v>0</v>
      </c>
      <c r="K148" s="378" t="str">
        <f t="shared" si="57"/>
        <v/>
      </c>
      <c r="L148" s="378" t="str">
        <f t="shared" si="15"/>
        <v>أجنبي</v>
      </c>
      <c r="M148" s="436" t="str">
        <f t="shared" si="16"/>
        <v/>
      </c>
      <c r="N148" s="436"/>
      <c r="O148" s="378"/>
      <c r="P148" s="378"/>
      <c r="Q148" s="378"/>
      <c r="R148" s="378"/>
      <c r="S148" s="378"/>
      <c r="T148" s="378"/>
      <c r="U148" s="378">
        <v>146</v>
      </c>
      <c r="V148" s="378"/>
      <c r="W148" s="378"/>
      <c r="X148" s="378"/>
      <c r="Y148" s="378"/>
      <c r="Z148" s="378"/>
      <c r="AA148" s="378"/>
      <c r="AB148" s="378"/>
      <c r="AC148" s="378"/>
      <c r="AD148" s="378"/>
      <c r="AE148" s="378"/>
      <c r="AF148" s="378"/>
      <c r="AG148" s="378"/>
      <c r="AH148" s="378"/>
      <c r="AI148" s="378"/>
      <c r="AJ148" s="378"/>
      <c r="AK148" s="378"/>
      <c r="AL148" s="378"/>
      <c r="AM148" s="378"/>
      <c r="AN148" s="378"/>
      <c r="AO148" s="378"/>
      <c r="AP148" s="378"/>
      <c r="AQ148" s="378"/>
    </row>
    <row r="149" spans="2:43">
      <c r="B149" s="378">
        <v>147</v>
      </c>
      <c r="C149" s="378"/>
      <c r="D149" s="378"/>
      <c r="E149" s="378"/>
      <c r="F149" s="378"/>
      <c r="G149" s="378"/>
      <c r="H149" s="378" t="str">
        <f t="array" aca="1" ref="H149" ca="1">_xlfn.TEXTJOIN("", TRUE, IF(ISNUMBER(--MID(C149, ROW(INDIRECT("1:"&amp;LEN(C149))), 1)), MID(C149, ROW(INDIRECT("1:"&amp;LEN(C149))), 1), ""))</f>
        <v/>
      </c>
      <c r="I149" s="378"/>
      <c r="J149" s="378">
        <f t="shared" ref="J149:K149" si="58">IF(LEFT(I149,5)="00966", RIGHT(I149,LEN(I149)-5),
    IF(LEFT(I149,4)="+966", RIGHT(I149,LEN(I149)-4),
        IF(LEFT(I149,3)="966", RIGHT(I149,LEN(I149)-3),
            IF(LEFT(I149,1)="0", RIGHT(I149,LEN(I149)-1), I149)
        )
    )
)</f>
        <v>0</v>
      </c>
      <c r="K149" s="378" t="str">
        <f t="shared" si="58"/>
        <v/>
      </c>
      <c r="L149" s="378" t="str">
        <f t="shared" si="15"/>
        <v>أجنبي</v>
      </c>
      <c r="M149" s="436" t="str">
        <f t="shared" si="16"/>
        <v/>
      </c>
      <c r="N149" s="436"/>
      <c r="O149" s="378"/>
      <c r="P149" s="378"/>
      <c r="Q149" s="378"/>
      <c r="R149" s="378"/>
      <c r="S149" s="378"/>
      <c r="T149" s="378"/>
      <c r="U149" s="378">
        <v>147</v>
      </c>
      <c r="V149" s="378"/>
      <c r="W149" s="378"/>
      <c r="X149" s="378"/>
      <c r="Y149" s="378"/>
      <c r="Z149" s="378"/>
      <c r="AA149" s="378"/>
      <c r="AB149" s="378"/>
      <c r="AC149" s="378"/>
      <c r="AD149" s="378"/>
      <c r="AE149" s="378"/>
      <c r="AF149" s="378"/>
      <c r="AG149" s="378"/>
      <c r="AH149" s="378"/>
      <c r="AI149" s="378"/>
      <c r="AJ149" s="378"/>
      <c r="AK149" s="378"/>
      <c r="AL149" s="378"/>
      <c r="AM149" s="378"/>
      <c r="AN149" s="378"/>
      <c r="AO149" s="378"/>
      <c r="AP149" s="378"/>
      <c r="AQ149" s="378"/>
    </row>
    <row r="150" spans="2:43">
      <c r="B150" s="378">
        <v>148</v>
      </c>
      <c r="C150" s="378"/>
      <c r="D150" s="378"/>
      <c r="E150" s="378"/>
      <c r="F150" s="378"/>
      <c r="G150" s="378"/>
      <c r="H150" s="378" t="str">
        <f t="array" aca="1" ref="H150" ca="1">_xlfn.TEXTJOIN("", TRUE, IF(ISNUMBER(--MID(C150, ROW(INDIRECT("1:"&amp;LEN(C150))), 1)), MID(C150, ROW(INDIRECT("1:"&amp;LEN(C150))), 1), ""))</f>
        <v/>
      </c>
      <c r="I150" s="378"/>
      <c r="J150" s="378">
        <f t="shared" ref="J150:K150" si="59">IF(LEFT(I150,5)="00966", RIGHT(I150,LEN(I150)-5),
    IF(LEFT(I150,4)="+966", RIGHT(I150,LEN(I150)-4),
        IF(LEFT(I150,3)="966", RIGHT(I150,LEN(I150)-3),
            IF(LEFT(I150,1)="0", RIGHT(I150,LEN(I150)-1), I150)
        )
    )
)</f>
        <v>0</v>
      </c>
      <c r="K150" s="378" t="str">
        <f t="shared" si="59"/>
        <v/>
      </c>
      <c r="L150" s="378" t="str">
        <f t="shared" si="15"/>
        <v>أجنبي</v>
      </c>
      <c r="M150" s="436" t="str">
        <f t="shared" si="16"/>
        <v/>
      </c>
      <c r="N150" s="436"/>
      <c r="O150" s="378"/>
      <c r="P150" s="378"/>
      <c r="Q150" s="378"/>
      <c r="R150" s="378"/>
      <c r="S150" s="378"/>
      <c r="T150" s="378"/>
      <c r="U150" s="378">
        <v>148</v>
      </c>
      <c r="V150" s="378"/>
      <c r="W150" s="378"/>
      <c r="X150" s="378"/>
      <c r="Y150" s="378"/>
      <c r="Z150" s="378"/>
      <c r="AA150" s="378"/>
      <c r="AB150" s="378"/>
      <c r="AC150" s="378"/>
      <c r="AD150" s="378"/>
      <c r="AE150" s="378"/>
      <c r="AF150" s="378"/>
      <c r="AG150" s="378"/>
      <c r="AH150" s="378"/>
      <c r="AI150" s="378"/>
      <c r="AJ150" s="378"/>
      <c r="AK150" s="378"/>
      <c r="AL150" s="378"/>
      <c r="AM150" s="378"/>
      <c r="AN150" s="378"/>
      <c r="AO150" s="378"/>
      <c r="AP150" s="378"/>
      <c r="AQ150" s="378"/>
    </row>
    <row r="151" spans="2:43">
      <c r="B151" s="378">
        <v>149</v>
      </c>
      <c r="C151" s="378"/>
      <c r="D151" s="378"/>
      <c r="E151" s="378"/>
      <c r="F151" s="378"/>
      <c r="G151" s="378"/>
      <c r="H151" s="378" t="str">
        <f t="array" aca="1" ref="H151" ca="1">_xlfn.TEXTJOIN("", TRUE, IF(ISNUMBER(--MID(C151, ROW(INDIRECT("1:"&amp;LEN(C151))), 1)), MID(C151, ROW(INDIRECT("1:"&amp;LEN(C151))), 1), ""))</f>
        <v/>
      </c>
      <c r="I151" s="378"/>
      <c r="J151" s="378">
        <f t="shared" ref="J151:K151" si="60">IF(LEFT(I151,5)="00966", RIGHT(I151,LEN(I151)-5),
    IF(LEFT(I151,4)="+966", RIGHT(I151,LEN(I151)-4),
        IF(LEFT(I151,3)="966", RIGHT(I151,LEN(I151)-3),
            IF(LEFT(I151,1)="0", RIGHT(I151,LEN(I151)-1), I151)
        )
    )
)</f>
        <v>0</v>
      </c>
      <c r="K151" s="378" t="str">
        <f t="shared" si="60"/>
        <v/>
      </c>
      <c r="L151" s="378" t="str">
        <f t="shared" si="15"/>
        <v>أجنبي</v>
      </c>
      <c r="M151" s="436" t="str">
        <f t="shared" si="16"/>
        <v/>
      </c>
      <c r="N151" s="436"/>
      <c r="O151" s="378"/>
      <c r="P151" s="378"/>
      <c r="Q151" s="378"/>
      <c r="R151" s="378"/>
      <c r="S151" s="378"/>
      <c r="T151" s="378"/>
      <c r="U151" s="378">
        <v>149</v>
      </c>
      <c r="V151" s="378"/>
      <c r="W151" s="378"/>
      <c r="X151" s="378"/>
      <c r="Y151" s="378"/>
      <c r="Z151" s="378"/>
      <c r="AA151" s="378"/>
      <c r="AB151" s="378"/>
      <c r="AC151" s="378"/>
      <c r="AD151" s="378"/>
      <c r="AE151" s="378"/>
      <c r="AF151" s="378"/>
      <c r="AG151" s="378"/>
      <c r="AH151" s="378"/>
      <c r="AI151" s="378"/>
      <c r="AJ151" s="378"/>
      <c r="AK151" s="378"/>
      <c r="AL151" s="378"/>
      <c r="AM151" s="378"/>
      <c r="AN151" s="378"/>
      <c r="AO151" s="378"/>
      <c r="AP151" s="378"/>
      <c r="AQ151" s="378"/>
    </row>
    <row r="152" spans="2:43">
      <c r="B152" s="378">
        <v>150</v>
      </c>
      <c r="C152" s="378"/>
      <c r="D152" s="378"/>
      <c r="E152" s="378"/>
      <c r="F152" s="378"/>
      <c r="G152" s="378"/>
      <c r="H152" s="378" t="str">
        <f t="array" aca="1" ref="H152" ca="1">_xlfn.TEXTJOIN("", TRUE, IF(ISNUMBER(--MID(C152, ROW(INDIRECT("1:"&amp;LEN(C152))), 1)), MID(C152, ROW(INDIRECT("1:"&amp;LEN(C152))), 1), ""))</f>
        <v/>
      </c>
      <c r="I152" s="378"/>
      <c r="J152" s="378">
        <f t="shared" ref="J152:K152" si="61">IF(LEFT(I152,5)="00966", RIGHT(I152,LEN(I152)-5),
    IF(LEFT(I152,4)="+966", RIGHT(I152,LEN(I152)-4),
        IF(LEFT(I152,3)="966", RIGHT(I152,LEN(I152)-3),
            IF(LEFT(I152,1)="0", RIGHT(I152,LEN(I152)-1), I152)
        )
    )
)</f>
        <v>0</v>
      </c>
      <c r="K152" s="378" t="str">
        <f t="shared" si="61"/>
        <v/>
      </c>
      <c r="L152" s="378" t="str">
        <f t="shared" si="15"/>
        <v>أجنبي</v>
      </c>
      <c r="M152" s="436" t="str">
        <f t="shared" si="16"/>
        <v/>
      </c>
      <c r="N152" s="436"/>
      <c r="O152" s="378"/>
      <c r="P152" s="378"/>
      <c r="Q152" s="378"/>
      <c r="R152" s="378"/>
      <c r="S152" s="378"/>
      <c r="T152" s="378"/>
      <c r="U152" s="378">
        <v>150</v>
      </c>
      <c r="V152" s="378"/>
      <c r="W152" s="378"/>
      <c r="X152" s="378"/>
      <c r="Y152" s="378"/>
      <c r="Z152" s="378"/>
      <c r="AA152" s="378"/>
      <c r="AB152" s="378"/>
      <c r="AC152" s="378"/>
      <c r="AD152" s="378"/>
      <c r="AE152" s="378"/>
      <c r="AF152" s="378"/>
      <c r="AG152" s="378"/>
      <c r="AH152" s="378"/>
      <c r="AI152" s="378"/>
      <c r="AJ152" s="378"/>
      <c r="AK152" s="378"/>
      <c r="AL152" s="378"/>
      <c r="AM152" s="378"/>
      <c r="AN152" s="378"/>
      <c r="AO152" s="378"/>
      <c r="AP152" s="378"/>
      <c r="AQ152" s="378"/>
    </row>
    <row r="153" spans="2:43">
      <c r="B153" s="378">
        <v>151</v>
      </c>
      <c r="C153" s="378"/>
      <c r="D153" s="378"/>
      <c r="E153" s="378"/>
      <c r="F153" s="378"/>
      <c r="G153" s="378"/>
      <c r="H153" s="378" t="str">
        <f t="array" aca="1" ref="H153" ca="1">_xlfn.TEXTJOIN("", TRUE, IF(ISNUMBER(--MID(C153, ROW(INDIRECT("1:"&amp;LEN(C153))), 1)), MID(C153, ROW(INDIRECT("1:"&amp;LEN(C153))), 1), ""))</f>
        <v/>
      </c>
      <c r="I153" s="378"/>
      <c r="J153" s="378">
        <f t="shared" ref="J153:K153" si="62">IF(LEFT(I153,5)="00966", RIGHT(I153,LEN(I153)-5),
    IF(LEFT(I153,4)="+966", RIGHT(I153,LEN(I153)-4),
        IF(LEFT(I153,3)="966", RIGHT(I153,LEN(I153)-3),
            IF(LEFT(I153,1)="0", RIGHT(I153,LEN(I153)-1), I153)
        )
    )
)</f>
        <v>0</v>
      </c>
      <c r="K153" s="378" t="str">
        <f t="shared" si="62"/>
        <v/>
      </c>
      <c r="L153" s="378" t="str">
        <f t="shared" si="15"/>
        <v>أجنبي</v>
      </c>
      <c r="M153" s="436" t="str">
        <f t="shared" si="16"/>
        <v/>
      </c>
      <c r="N153" s="436"/>
      <c r="O153" s="378"/>
      <c r="P153" s="378"/>
      <c r="Q153" s="378"/>
      <c r="R153" s="378"/>
      <c r="S153" s="378"/>
      <c r="T153" s="378"/>
      <c r="U153" s="378">
        <v>151</v>
      </c>
      <c r="V153" s="378"/>
      <c r="W153" s="378"/>
      <c r="X153" s="378"/>
      <c r="Y153" s="378"/>
      <c r="Z153" s="378"/>
      <c r="AA153" s="378"/>
      <c r="AB153" s="378"/>
      <c r="AC153" s="378"/>
      <c r="AD153" s="378"/>
      <c r="AE153" s="378"/>
      <c r="AF153" s="378"/>
      <c r="AG153" s="378"/>
      <c r="AH153" s="378"/>
      <c r="AI153" s="378"/>
      <c r="AJ153" s="378"/>
      <c r="AK153" s="378"/>
      <c r="AL153" s="378"/>
      <c r="AM153" s="378"/>
      <c r="AN153" s="378"/>
      <c r="AO153" s="378"/>
      <c r="AP153" s="378"/>
      <c r="AQ153" s="378"/>
    </row>
    <row r="154" spans="2:43">
      <c r="B154" s="378">
        <v>152</v>
      </c>
      <c r="C154" s="378"/>
      <c r="D154" s="378"/>
      <c r="E154" s="378"/>
      <c r="F154" s="378"/>
      <c r="G154" s="378"/>
      <c r="H154" s="378" t="str">
        <f t="array" aca="1" ref="H154" ca="1">_xlfn.TEXTJOIN("", TRUE, IF(ISNUMBER(--MID(C154, ROW(INDIRECT("1:"&amp;LEN(C154))), 1)), MID(C154, ROW(INDIRECT("1:"&amp;LEN(C154))), 1), ""))</f>
        <v/>
      </c>
      <c r="I154" s="378"/>
      <c r="J154" s="378">
        <f t="shared" ref="J154:K154" si="63">IF(LEFT(I154,5)="00966", RIGHT(I154,LEN(I154)-5),
    IF(LEFT(I154,4)="+966", RIGHT(I154,LEN(I154)-4),
        IF(LEFT(I154,3)="966", RIGHT(I154,LEN(I154)-3),
            IF(LEFT(I154,1)="0", RIGHT(I154,LEN(I154)-1), I154)
        )
    )
)</f>
        <v>0</v>
      </c>
      <c r="K154" s="378" t="str">
        <f t="shared" si="63"/>
        <v/>
      </c>
      <c r="L154" s="378" t="str">
        <f t="shared" si="15"/>
        <v>أجنبي</v>
      </c>
      <c r="M154" s="436" t="str">
        <f t="shared" si="16"/>
        <v/>
      </c>
      <c r="N154" s="436"/>
      <c r="O154" s="378"/>
      <c r="P154" s="378"/>
      <c r="Q154" s="378"/>
      <c r="R154" s="378"/>
      <c r="S154" s="378"/>
      <c r="T154" s="378"/>
      <c r="U154" s="378">
        <v>152</v>
      </c>
      <c r="V154" s="378"/>
      <c r="W154" s="378"/>
      <c r="X154" s="378"/>
      <c r="Y154" s="378"/>
      <c r="Z154" s="378"/>
      <c r="AA154" s="378"/>
      <c r="AB154" s="378"/>
      <c r="AC154" s="378"/>
      <c r="AD154" s="378"/>
      <c r="AE154" s="378"/>
      <c r="AF154" s="378"/>
      <c r="AG154" s="378"/>
      <c r="AH154" s="378"/>
      <c r="AI154" s="378"/>
      <c r="AJ154" s="378"/>
      <c r="AK154" s="378"/>
      <c r="AL154" s="378"/>
      <c r="AM154" s="378"/>
      <c r="AN154" s="378"/>
      <c r="AO154" s="378"/>
      <c r="AP154" s="378"/>
      <c r="AQ154" s="378"/>
    </row>
    <row r="155" spans="2:43">
      <c r="B155" s="378">
        <v>153</v>
      </c>
      <c r="C155" s="378"/>
      <c r="D155" s="378"/>
      <c r="E155" s="378"/>
      <c r="F155" s="378"/>
      <c r="G155" s="378"/>
      <c r="H155" s="378" t="str">
        <f t="array" aca="1" ref="H155" ca="1">_xlfn.TEXTJOIN("", TRUE, IF(ISNUMBER(--MID(C155, ROW(INDIRECT("1:"&amp;LEN(C155))), 1)), MID(C155, ROW(INDIRECT("1:"&amp;LEN(C155))), 1), ""))</f>
        <v/>
      </c>
      <c r="I155" s="378"/>
      <c r="J155" s="378">
        <f t="shared" ref="J155:K155" si="64">IF(LEFT(I155,5)="00966", RIGHT(I155,LEN(I155)-5),
    IF(LEFT(I155,4)="+966", RIGHT(I155,LEN(I155)-4),
        IF(LEFT(I155,3)="966", RIGHT(I155,LEN(I155)-3),
            IF(LEFT(I155,1)="0", RIGHT(I155,LEN(I155)-1), I155)
        )
    )
)</f>
        <v>0</v>
      </c>
      <c r="K155" s="378" t="str">
        <f t="shared" si="64"/>
        <v/>
      </c>
      <c r="L155" s="378" t="str">
        <f t="shared" si="15"/>
        <v>أجنبي</v>
      </c>
      <c r="M155" s="436" t="str">
        <f t="shared" si="16"/>
        <v/>
      </c>
      <c r="N155" s="436"/>
      <c r="O155" s="378"/>
      <c r="P155" s="378"/>
      <c r="Q155" s="378"/>
      <c r="R155" s="378"/>
      <c r="S155" s="378"/>
      <c r="T155" s="378"/>
      <c r="U155" s="378">
        <v>153</v>
      </c>
      <c r="V155" s="378"/>
      <c r="W155" s="378"/>
      <c r="X155" s="378"/>
      <c r="Y155" s="378"/>
      <c r="Z155" s="378"/>
      <c r="AA155" s="378"/>
      <c r="AB155" s="378"/>
      <c r="AC155" s="378"/>
      <c r="AD155" s="378"/>
      <c r="AE155" s="378"/>
      <c r="AF155" s="378"/>
      <c r="AG155" s="378"/>
      <c r="AH155" s="378"/>
      <c r="AI155" s="378"/>
      <c r="AJ155" s="378"/>
      <c r="AK155" s="378"/>
      <c r="AL155" s="378"/>
      <c r="AM155" s="378"/>
      <c r="AN155" s="378"/>
      <c r="AO155" s="378"/>
      <c r="AP155" s="378"/>
      <c r="AQ155" s="378"/>
    </row>
    <row r="156" spans="2:43">
      <c r="B156" s="378">
        <v>154</v>
      </c>
      <c r="C156" s="378"/>
      <c r="D156" s="378"/>
      <c r="E156" s="378"/>
      <c r="F156" s="378"/>
      <c r="G156" s="378"/>
      <c r="H156" s="378" t="str">
        <f t="array" aca="1" ref="H156" ca="1">_xlfn.TEXTJOIN("", TRUE, IF(ISNUMBER(--MID(C156, ROW(INDIRECT("1:"&amp;LEN(C156))), 1)), MID(C156, ROW(INDIRECT("1:"&amp;LEN(C156))), 1), ""))</f>
        <v/>
      </c>
      <c r="I156" s="378"/>
      <c r="J156" s="378">
        <f t="shared" ref="J156:K156" si="65">IF(LEFT(I156,5)="00966", RIGHT(I156,LEN(I156)-5),
    IF(LEFT(I156,4)="+966", RIGHT(I156,LEN(I156)-4),
        IF(LEFT(I156,3)="966", RIGHT(I156,LEN(I156)-3),
            IF(LEFT(I156,1)="0", RIGHT(I156,LEN(I156)-1), I156)
        )
    )
)</f>
        <v>0</v>
      </c>
      <c r="K156" s="378" t="str">
        <f t="shared" si="65"/>
        <v/>
      </c>
      <c r="L156" s="378" t="str">
        <f t="shared" ref="L156:L219" si="66">IF(LEFT(K156,1)="5",
    IF(LEN(K156)=9,"سعودي - صحيح",
        IF(LEN(K156)&lt;9,"سعودي - ناقص "&amp;(9-LEN(K156)),"سعودي - زائد "&amp;(LEN(K156)-9))
    ),
"أجنبي")</f>
        <v>أجنبي</v>
      </c>
      <c r="M156" s="436" t="str">
        <f t="shared" ref="M156:M219" si="67">IF(LEFT(K156,1)="5","966"&amp;K156,K156)</f>
        <v/>
      </c>
      <c r="N156" s="436"/>
      <c r="O156" s="378"/>
      <c r="P156" s="378"/>
      <c r="Q156" s="378"/>
      <c r="R156" s="378"/>
      <c r="S156" s="378"/>
      <c r="T156" s="378"/>
      <c r="U156" s="378">
        <v>154</v>
      </c>
      <c r="V156" s="378"/>
      <c r="W156" s="378"/>
      <c r="X156" s="378"/>
      <c r="Y156" s="378"/>
      <c r="Z156" s="378"/>
      <c r="AA156" s="378"/>
      <c r="AB156" s="378"/>
      <c r="AC156" s="378"/>
      <c r="AD156" s="378"/>
      <c r="AE156" s="378"/>
      <c r="AF156" s="378"/>
      <c r="AG156" s="378"/>
      <c r="AH156" s="378"/>
      <c r="AI156" s="378"/>
      <c r="AJ156" s="378"/>
      <c r="AK156" s="378"/>
      <c r="AL156" s="378"/>
      <c r="AM156" s="378"/>
      <c r="AN156" s="378"/>
      <c r="AO156" s="378"/>
      <c r="AP156" s="378"/>
      <c r="AQ156" s="378"/>
    </row>
    <row r="157" spans="2:43">
      <c r="B157" s="378">
        <v>155</v>
      </c>
      <c r="C157" s="378"/>
      <c r="D157" s="378"/>
      <c r="E157" s="378"/>
      <c r="F157" s="378"/>
      <c r="G157" s="378"/>
      <c r="H157" s="378" t="str">
        <f t="array" aca="1" ref="H157" ca="1">_xlfn.TEXTJOIN("", TRUE, IF(ISNUMBER(--MID(C157, ROW(INDIRECT("1:"&amp;LEN(C157))), 1)), MID(C157, ROW(INDIRECT("1:"&amp;LEN(C157))), 1), ""))</f>
        <v/>
      </c>
      <c r="I157" s="378"/>
      <c r="J157" s="378">
        <f t="shared" ref="J157:K157" si="68">IF(LEFT(I157,5)="00966", RIGHT(I157,LEN(I157)-5),
    IF(LEFT(I157,4)="+966", RIGHT(I157,LEN(I157)-4),
        IF(LEFT(I157,3)="966", RIGHT(I157,LEN(I157)-3),
            IF(LEFT(I157,1)="0", RIGHT(I157,LEN(I157)-1), I157)
        )
    )
)</f>
        <v>0</v>
      </c>
      <c r="K157" s="378" t="str">
        <f t="shared" si="68"/>
        <v/>
      </c>
      <c r="L157" s="378" t="str">
        <f t="shared" si="66"/>
        <v>أجنبي</v>
      </c>
      <c r="M157" s="436" t="str">
        <f t="shared" si="67"/>
        <v/>
      </c>
      <c r="N157" s="436"/>
      <c r="O157" s="378"/>
      <c r="P157" s="378"/>
      <c r="Q157" s="378"/>
      <c r="R157" s="378"/>
      <c r="S157" s="378"/>
      <c r="T157" s="378"/>
      <c r="U157" s="378">
        <v>155</v>
      </c>
      <c r="V157" s="378"/>
      <c r="W157" s="378"/>
      <c r="X157" s="378"/>
      <c r="Y157" s="378"/>
      <c r="Z157" s="378"/>
      <c r="AA157" s="378"/>
      <c r="AB157" s="378"/>
      <c r="AC157" s="378"/>
      <c r="AD157" s="378"/>
      <c r="AE157" s="378"/>
      <c r="AF157" s="378"/>
      <c r="AG157" s="378"/>
      <c r="AH157" s="378"/>
      <c r="AI157" s="378"/>
      <c r="AJ157" s="378"/>
      <c r="AK157" s="378"/>
      <c r="AL157" s="378"/>
      <c r="AM157" s="378"/>
      <c r="AN157" s="378"/>
      <c r="AO157" s="378"/>
      <c r="AP157" s="378"/>
      <c r="AQ157" s="378"/>
    </row>
    <row r="158" spans="2:43">
      <c r="B158" s="378">
        <v>156</v>
      </c>
      <c r="C158" s="378"/>
      <c r="D158" s="378"/>
      <c r="E158" s="378"/>
      <c r="F158" s="378"/>
      <c r="G158" s="378"/>
      <c r="H158" s="378" t="str">
        <f t="array" aca="1" ref="H158" ca="1">_xlfn.TEXTJOIN("", TRUE, IF(ISNUMBER(--MID(C158, ROW(INDIRECT("1:"&amp;LEN(C158))), 1)), MID(C158, ROW(INDIRECT("1:"&amp;LEN(C158))), 1), ""))</f>
        <v/>
      </c>
      <c r="I158" s="378"/>
      <c r="J158" s="378">
        <f t="shared" ref="J158:K158" si="69">IF(LEFT(I158,5)="00966", RIGHT(I158,LEN(I158)-5),
    IF(LEFT(I158,4)="+966", RIGHT(I158,LEN(I158)-4),
        IF(LEFT(I158,3)="966", RIGHT(I158,LEN(I158)-3),
            IF(LEFT(I158,1)="0", RIGHT(I158,LEN(I158)-1), I158)
        )
    )
)</f>
        <v>0</v>
      </c>
      <c r="K158" s="378" t="str">
        <f t="shared" si="69"/>
        <v/>
      </c>
      <c r="L158" s="378" t="str">
        <f t="shared" si="66"/>
        <v>أجنبي</v>
      </c>
      <c r="M158" s="436" t="str">
        <f t="shared" si="67"/>
        <v/>
      </c>
      <c r="N158" s="436"/>
      <c r="O158" s="378"/>
      <c r="P158" s="378"/>
      <c r="Q158" s="378"/>
      <c r="R158" s="378"/>
      <c r="S158" s="378"/>
      <c r="T158" s="378"/>
      <c r="U158" s="378">
        <v>156</v>
      </c>
      <c r="V158" s="378"/>
      <c r="W158" s="378"/>
      <c r="X158" s="378"/>
      <c r="Y158" s="378"/>
      <c r="Z158" s="378"/>
      <c r="AA158" s="378"/>
      <c r="AB158" s="378"/>
      <c r="AC158" s="378"/>
      <c r="AD158" s="378"/>
      <c r="AE158" s="378"/>
      <c r="AF158" s="378"/>
      <c r="AG158" s="378"/>
      <c r="AH158" s="378"/>
      <c r="AI158" s="378"/>
      <c r="AJ158" s="378"/>
      <c r="AK158" s="378"/>
      <c r="AL158" s="378"/>
      <c r="AM158" s="378"/>
      <c r="AN158" s="378"/>
      <c r="AO158" s="378"/>
      <c r="AP158" s="378"/>
      <c r="AQ158" s="378"/>
    </row>
    <row r="159" spans="2:43">
      <c r="B159" s="378">
        <v>157</v>
      </c>
      <c r="C159" s="378"/>
      <c r="D159" s="378"/>
      <c r="E159" s="378"/>
      <c r="F159" s="378"/>
      <c r="G159" s="378"/>
      <c r="H159" s="378" t="str">
        <f t="array" aca="1" ref="H159" ca="1">_xlfn.TEXTJOIN("", TRUE, IF(ISNUMBER(--MID(C159, ROW(INDIRECT("1:"&amp;LEN(C159))), 1)), MID(C159, ROW(INDIRECT("1:"&amp;LEN(C159))), 1), ""))</f>
        <v/>
      </c>
      <c r="I159" s="378"/>
      <c r="J159" s="378">
        <f t="shared" ref="J159:K159" si="70">IF(LEFT(I159,5)="00966", RIGHT(I159,LEN(I159)-5),
    IF(LEFT(I159,4)="+966", RIGHT(I159,LEN(I159)-4),
        IF(LEFT(I159,3)="966", RIGHT(I159,LEN(I159)-3),
            IF(LEFT(I159,1)="0", RIGHT(I159,LEN(I159)-1), I159)
        )
    )
)</f>
        <v>0</v>
      </c>
      <c r="K159" s="378" t="str">
        <f t="shared" si="70"/>
        <v/>
      </c>
      <c r="L159" s="378" t="str">
        <f t="shared" si="66"/>
        <v>أجنبي</v>
      </c>
      <c r="M159" s="436" t="str">
        <f t="shared" si="67"/>
        <v/>
      </c>
      <c r="N159" s="436"/>
      <c r="O159" s="378"/>
      <c r="P159" s="378"/>
      <c r="Q159" s="378"/>
      <c r="R159" s="378"/>
      <c r="S159" s="378"/>
      <c r="T159" s="378"/>
      <c r="U159" s="378">
        <v>157</v>
      </c>
      <c r="V159" s="378"/>
      <c r="W159" s="378"/>
      <c r="X159" s="378"/>
      <c r="Y159" s="378"/>
      <c r="Z159" s="378"/>
      <c r="AA159" s="378"/>
      <c r="AB159" s="378"/>
      <c r="AC159" s="378"/>
      <c r="AD159" s="378"/>
      <c r="AE159" s="378"/>
      <c r="AF159" s="378"/>
      <c r="AG159" s="378"/>
      <c r="AH159" s="378"/>
      <c r="AI159" s="378"/>
      <c r="AJ159" s="378"/>
      <c r="AK159" s="378"/>
      <c r="AL159" s="378"/>
      <c r="AM159" s="378"/>
      <c r="AN159" s="378"/>
      <c r="AO159" s="378"/>
      <c r="AP159" s="378"/>
      <c r="AQ159" s="378"/>
    </row>
    <row r="160" spans="2:43">
      <c r="B160" s="378">
        <v>158</v>
      </c>
      <c r="C160" s="378"/>
      <c r="D160" s="378"/>
      <c r="E160" s="378"/>
      <c r="F160" s="378"/>
      <c r="G160" s="378"/>
      <c r="H160" s="378" t="str">
        <f t="array" aca="1" ref="H160" ca="1">_xlfn.TEXTJOIN("", TRUE, IF(ISNUMBER(--MID(C160, ROW(INDIRECT("1:"&amp;LEN(C160))), 1)), MID(C160, ROW(INDIRECT("1:"&amp;LEN(C160))), 1), ""))</f>
        <v/>
      </c>
      <c r="I160" s="378"/>
      <c r="J160" s="378">
        <f t="shared" ref="J160:K160" si="71">IF(LEFT(I160,5)="00966", RIGHT(I160,LEN(I160)-5),
    IF(LEFT(I160,4)="+966", RIGHT(I160,LEN(I160)-4),
        IF(LEFT(I160,3)="966", RIGHT(I160,LEN(I160)-3),
            IF(LEFT(I160,1)="0", RIGHT(I160,LEN(I160)-1), I160)
        )
    )
)</f>
        <v>0</v>
      </c>
      <c r="K160" s="378" t="str">
        <f t="shared" si="71"/>
        <v/>
      </c>
      <c r="L160" s="378" t="str">
        <f t="shared" si="66"/>
        <v>أجنبي</v>
      </c>
      <c r="M160" s="436" t="str">
        <f t="shared" si="67"/>
        <v/>
      </c>
      <c r="N160" s="436"/>
      <c r="O160" s="378"/>
      <c r="P160" s="378"/>
      <c r="Q160" s="378"/>
      <c r="R160" s="378"/>
      <c r="S160" s="378"/>
      <c r="T160" s="378"/>
      <c r="U160" s="378">
        <v>158</v>
      </c>
      <c r="V160" s="378"/>
      <c r="W160" s="378"/>
      <c r="X160" s="378"/>
      <c r="Y160" s="378"/>
      <c r="Z160" s="378"/>
      <c r="AA160" s="378"/>
      <c r="AB160" s="378"/>
      <c r="AC160" s="378"/>
      <c r="AD160" s="378"/>
      <c r="AE160" s="378"/>
      <c r="AF160" s="378"/>
      <c r="AG160" s="378"/>
      <c r="AH160" s="378"/>
      <c r="AI160" s="378"/>
      <c r="AJ160" s="378"/>
      <c r="AK160" s="378"/>
      <c r="AL160" s="378"/>
      <c r="AM160" s="378"/>
      <c r="AN160" s="378"/>
      <c r="AO160" s="378"/>
      <c r="AP160" s="378"/>
      <c r="AQ160" s="378"/>
    </row>
    <row r="161" spans="2:43">
      <c r="B161" s="378">
        <v>159</v>
      </c>
      <c r="C161" s="378"/>
      <c r="D161" s="378"/>
      <c r="E161" s="378"/>
      <c r="F161" s="378"/>
      <c r="G161" s="378"/>
      <c r="H161" s="378" t="str">
        <f t="array" aca="1" ref="H161" ca="1">_xlfn.TEXTJOIN("", TRUE, IF(ISNUMBER(--MID(C161, ROW(INDIRECT("1:"&amp;LEN(C161))), 1)), MID(C161, ROW(INDIRECT("1:"&amp;LEN(C161))), 1), ""))</f>
        <v/>
      </c>
      <c r="I161" s="378"/>
      <c r="J161" s="378">
        <f t="shared" ref="J161:K161" si="72">IF(LEFT(I161,5)="00966", RIGHT(I161,LEN(I161)-5),
    IF(LEFT(I161,4)="+966", RIGHT(I161,LEN(I161)-4),
        IF(LEFT(I161,3)="966", RIGHT(I161,LEN(I161)-3),
            IF(LEFT(I161,1)="0", RIGHT(I161,LEN(I161)-1), I161)
        )
    )
)</f>
        <v>0</v>
      </c>
      <c r="K161" s="378" t="str">
        <f t="shared" si="72"/>
        <v/>
      </c>
      <c r="L161" s="378" t="str">
        <f t="shared" si="66"/>
        <v>أجنبي</v>
      </c>
      <c r="M161" s="436" t="str">
        <f t="shared" si="67"/>
        <v/>
      </c>
      <c r="N161" s="436"/>
      <c r="O161" s="378"/>
      <c r="P161" s="378"/>
      <c r="Q161" s="378"/>
      <c r="R161" s="378"/>
      <c r="S161" s="378"/>
      <c r="T161" s="378"/>
      <c r="U161" s="378">
        <v>159</v>
      </c>
      <c r="V161" s="378"/>
      <c r="W161" s="378"/>
      <c r="X161" s="378"/>
      <c r="Y161" s="378"/>
      <c r="Z161" s="378"/>
      <c r="AA161" s="378"/>
      <c r="AB161" s="378"/>
      <c r="AC161" s="378"/>
      <c r="AD161" s="378"/>
      <c r="AE161" s="378"/>
      <c r="AF161" s="378"/>
      <c r="AG161" s="378"/>
      <c r="AH161" s="378"/>
      <c r="AI161" s="378"/>
      <c r="AJ161" s="378"/>
      <c r="AK161" s="378"/>
      <c r="AL161" s="378"/>
      <c r="AM161" s="378"/>
      <c r="AN161" s="378"/>
      <c r="AO161" s="378"/>
      <c r="AP161" s="378"/>
      <c r="AQ161" s="378"/>
    </row>
    <row r="162" spans="2:43">
      <c r="B162" s="378">
        <v>160</v>
      </c>
      <c r="C162" s="378"/>
      <c r="D162" s="378"/>
      <c r="E162" s="378"/>
      <c r="F162" s="378"/>
      <c r="G162" s="378"/>
      <c r="H162" s="378" t="str">
        <f t="array" aca="1" ref="H162" ca="1">_xlfn.TEXTJOIN("", TRUE, IF(ISNUMBER(--MID(C162, ROW(INDIRECT("1:"&amp;LEN(C162))), 1)), MID(C162, ROW(INDIRECT("1:"&amp;LEN(C162))), 1), ""))</f>
        <v/>
      </c>
      <c r="I162" s="378"/>
      <c r="J162" s="378">
        <f t="shared" ref="J162:K162" si="73">IF(LEFT(I162,5)="00966", RIGHT(I162,LEN(I162)-5),
    IF(LEFT(I162,4)="+966", RIGHT(I162,LEN(I162)-4),
        IF(LEFT(I162,3)="966", RIGHT(I162,LEN(I162)-3),
            IF(LEFT(I162,1)="0", RIGHT(I162,LEN(I162)-1), I162)
        )
    )
)</f>
        <v>0</v>
      </c>
      <c r="K162" s="378" t="str">
        <f t="shared" si="73"/>
        <v/>
      </c>
      <c r="L162" s="378" t="str">
        <f t="shared" si="66"/>
        <v>أجنبي</v>
      </c>
      <c r="M162" s="436" t="str">
        <f t="shared" si="67"/>
        <v/>
      </c>
      <c r="N162" s="436"/>
      <c r="O162" s="378"/>
      <c r="P162" s="378"/>
      <c r="Q162" s="378"/>
      <c r="R162" s="378"/>
      <c r="S162" s="378"/>
      <c r="T162" s="378"/>
      <c r="U162" s="378">
        <v>160</v>
      </c>
      <c r="V162" s="378"/>
      <c r="W162" s="378"/>
      <c r="X162" s="378"/>
      <c r="Y162" s="378"/>
      <c r="Z162" s="378"/>
      <c r="AA162" s="378"/>
      <c r="AB162" s="378"/>
      <c r="AC162" s="378"/>
      <c r="AD162" s="378"/>
      <c r="AE162" s="378"/>
      <c r="AF162" s="378"/>
      <c r="AG162" s="378"/>
      <c r="AH162" s="378"/>
      <c r="AI162" s="378"/>
      <c r="AJ162" s="378"/>
      <c r="AK162" s="378"/>
      <c r="AL162" s="378"/>
      <c r="AM162" s="378"/>
      <c r="AN162" s="378"/>
      <c r="AO162" s="378"/>
      <c r="AP162" s="378"/>
      <c r="AQ162" s="378"/>
    </row>
    <row r="163" spans="2:43">
      <c r="B163" s="378">
        <v>161</v>
      </c>
      <c r="C163" s="378"/>
      <c r="D163" s="378"/>
      <c r="E163" s="378"/>
      <c r="F163" s="378"/>
      <c r="G163" s="378"/>
      <c r="H163" s="378" t="str">
        <f t="array" aca="1" ref="H163" ca="1">_xlfn.TEXTJOIN("", TRUE, IF(ISNUMBER(--MID(C163, ROW(INDIRECT("1:"&amp;LEN(C163))), 1)), MID(C163, ROW(INDIRECT("1:"&amp;LEN(C163))), 1), ""))</f>
        <v/>
      </c>
      <c r="I163" s="378"/>
      <c r="J163" s="378">
        <f t="shared" ref="J163:K163" si="74">IF(LEFT(I163,5)="00966", RIGHT(I163,LEN(I163)-5),
    IF(LEFT(I163,4)="+966", RIGHT(I163,LEN(I163)-4),
        IF(LEFT(I163,3)="966", RIGHT(I163,LEN(I163)-3),
            IF(LEFT(I163,1)="0", RIGHT(I163,LEN(I163)-1), I163)
        )
    )
)</f>
        <v>0</v>
      </c>
      <c r="K163" s="378" t="str">
        <f t="shared" si="74"/>
        <v/>
      </c>
      <c r="L163" s="378" t="str">
        <f t="shared" si="66"/>
        <v>أجنبي</v>
      </c>
      <c r="M163" s="436" t="str">
        <f t="shared" si="67"/>
        <v/>
      </c>
      <c r="N163" s="436"/>
      <c r="O163" s="378"/>
      <c r="P163" s="378"/>
      <c r="Q163" s="378"/>
      <c r="R163" s="378"/>
      <c r="S163" s="378"/>
      <c r="T163" s="378"/>
      <c r="U163" s="378">
        <v>161</v>
      </c>
      <c r="V163" s="378"/>
      <c r="W163" s="378"/>
      <c r="X163" s="378"/>
      <c r="Y163" s="378"/>
      <c r="Z163" s="378"/>
      <c r="AA163" s="378"/>
      <c r="AB163" s="378"/>
      <c r="AC163" s="378"/>
      <c r="AD163" s="378"/>
      <c r="AE163" s="378"/>
      <c r="AF163" s="378"/>
      <c r="AG163" s="378"/>
      <c r="AH163" s="378"/>
      <c r="AI163" s="378"/>
      <c r="AJ163" s="378"/>
      <c r="AK163" s="378"/>
      <c r="AL163" s="378"/>
      <c r="AM163" s="378"/>
      <c r="AN163" s="378"/>
      <c r="AO163" s="378"/>
      <c r="AP163" s="378"/>
      <c r="AQ163" s="378"/>
    </row>
    <row r="164" spans="2:43">
      <c r="B164" s="378">
        <v>162</v>
      </c>
      <c r="C164" s="378"/>
      <c r="D164" s="378"/>
      <c r="E164" s="378"/>
      <c r="F164" s="378"/>
      <c r="G164" s="378"/>
      <c r="H164" s="378" t="str">
        <f t="array" aca="1" ref="H164" ca="1">_xlfn.TEXTJOIN("", TRUE, IF(ISNUMBER(--MID(C164, ROW(INDIRECT("1:"&amp;LEN(C164))), 1)), MID(C164, ROW(INDIRECT("1:"&amp;LEN(C164))), 1), ""))</f>
        <v/>
      </c>
      <c r="I164" s="378"/>
      <c r="J164" s="378">
        <f t="shared" ref="J164:K164" si="75">IF(LEFT(I164,5)="00966", RIGHT(I164,LEN(I164)-5),
    IF(LEFT(I164,4)="+966", RIGHT(I164,LEN(I164)-4),
        IF(LEFT(I164,3)="966", RIGHT(I164,LEN(I164)-3),
            IF(LEFT(I164,1)="0", RIGHT(I164,LEN(I164)-1), I164)
        )
    )
)</f>
        <v>0</v>
      </c>
      <c r="K164" s="378" t="str">
        <f t="shared" si="75"/>
        <v/>
      </c>
      <c r="L164" s="378" t="str">
        <f t="shared" si="66"/>
        <v>أجنبي</v>
      </c>
      <c r="M164" s="436" t="str">
        <f t="shared" si="67"/>
        <v/>
      </c>
      <c r="N164" s="436"/>
      <c r="O164" s="378"/>
      <c r="P164" s="378"/>
      <c r="Q164" s="378"/>
      <c r="R164" s="378"/>
      <c r="S164" s="378"/>
      <c r="T164" s="378"/>
      <c r="U164" s="378">
        <v>162</v>
      </c>
      <c r="V164" s="378"/>
      <c r="W164" s="378"/>
      <c r="X164" s="378"/>
      <c r="Y164" s="378"/>
      <c r="Z164" s="378"/>
      <c r="AA164" s="378"/>
      <c r="AB164" s="378"/>
      <c r="AC164" s="378"/>
      <c r="AD164" s="378"/>
      <c r="AE164" s="378"/>
      <c r="AF164" s="378"/>
      <c r="AG164" s="378"/>
      <c r="AH164" s="378"/>
      <c r="AI164" s="378"/>
      <c r="AJ164" s="378"/>
      <c r="AK164" s="378"/>
      <c r="AL164" s="378"/>
      <c r="AM164" s="378"/>
      <c r="AN164" s="378"/>
      <c r="AO164" s="378"/>
      <c r="AP164" s="378"/>
      <c r="AQ164" s="378"/>
    </row>
    <row r="165" spans="2:43">
      <c r="B165" s="378">
        <v>163</v>
      </c>
      <c r="C165" s="378"/>
      <c r="D165" s="378"/>
      <c r="E165" s="378"/>
      <c r="F165" s="378"/>
      <c r="G165" s="378"/>
      <c r="H165" s="378" t="str">
        <f t="array" aca="1" ref="H165" ca="1">_xlfn.TEXTJOIN("", TRUE, IF(ISNUMBER(--MID(C165, ROW(INDIRECT("1:"&amp;LEN(C165))), 1)), MID(C165, ROW(INDIRECT("1:"&amp;LEN(C165))), 1), ""))</f>
        <v/>
      </c>
      <c r="I165" s="378"/>
      <c r="J165" s="378">
        <f t="shared" ref="J165:K165" si="76">IF(LEFT(I165,5)="00966", RIGHT(I165,LEN(I165)-5),
    IF(LEFT(I165,4)="+966", RIGHT(I165,LEN(I165)-4),
        IF(LEFT(I165,3)="966", RIGHT(I165,LEN(I165)-3),
            IF(LEFT(I165,1)="0", RIGHT(I165,LEN(I165)-1), I165)
        )
    )
)</f>
        <v>0</v>
      </c>
      <c r="K165" s="378" t="str">
        <f t="shared" si="76"/>
        <v/>
      </c>
      <c r="L165" s="378" t="str">
        <f t="shared" si="66"/>
        <v>أجنبي</v>
      </c>
      <c r="M165" s="436" t="str">
        <f t="shared" si="67"/>
        <v/>
      </c>
      <c r="N165" s="436"/>
      <c r="O165" s="378"/>
      <c r="P165" s="378"/>
      <c r="Q165" s="378"/>
      <c r="R165" s="378"/>
      <c r="S165" s="378"/>
      <c r="T165" s="378"/>
      <c r="U165" s="378">
        <v>163</v>
      </c>
      <c r="V165" s="378"/>
      <c r="W165" s="378"/>
      <c r="X165" s="378"/>
      <c r="Y165" s="378"/>
      <c r="Z165" s="378"/>
      <c r="AA165" s="378"/>
      <c r="AB165" s="378"/>
      <c r="AC165" s="378"/>
      <c r="AD165" s="378"/>
      <c r="AE165" s="378"/>
      <c r="AF165" s="378"/>
      <c r="AG165" s="378"/>
      <c r="AH165" s="378"/>
      <c r="AI165" s="378"/>
      <c r="AJ165" s="378"/>
      <c r="AK165" s="378"/>
      <c r="AL165" s="378"/>
      <c r="AM165" s="378"/>
      <c r="AN165" s="378"/>
      <c r="AO165" s="378"/>
      <c r="AP165" s="378"/>
      <c r="AQ165" s="378"/>
    </row>
    <row r="166" spans="2:43">
      <c r="B166" s="378">
        <v>164</v>
      </c>
      <c r="C166" s="378"/>
      <c r="D166" s="378"/>
      <c r="E166" s="378"/>
      <c r="F166" s="378"/>
      <c r="G166" s="378"/>
      <c r="H166" s="378" t="str">
        <f t="array" aca="1" ref="H166" ca="1">_xlfn.TEXTJOIN("", TRUE, IF(ISNUMBER(--MID(C166, ROW(INDIRECT("1:"&amp;LEN(C166))), 1)), MID(C166, ROW(INDIRECT("1:"&amp;LEN(C166))), 1), ""))</f>
        <v/>
      </c>
      <c r="I166" s="378"/>
      <c r="J166" s="378">
        <f t="shared" ref="J166:K166" si="77">IF(LEFT(I166,5)="00966", RIGHT(I166,LEN(I166)-5),
    IF(LEFT(I166,4)="+966", RIGHT(I166,LEN(I166)-4),
        IF(LEFT(I166,3)="966", RIGHT(I166,LEN(I166)-3),
            IF(LEFT(I166,1)="0", RIGHT(I166,LEN(I166)-1), I166)
        )
    )
)</f>
        <v>0</v>
      </c>
      <c r="K166" s="378" t="str">
        <f t="shared" si="77"/>
        <v/>
      </c>
      <c r="L166" s="378" t="str">
        <f t="shared" si="66"/>
        <v>أجنبي</v>
      </c>
      <c r="M166" s="436" t="str">
        <f t="shared" si="67"/>
        <v/>
      </c>
      <c r="N166" s="436"/>
      <c r="O166" s="378"/>
      <c r="P166" s="378"/>
      <c r="Q166" s="378"/>
      <c r="R166" s="378"/>
      <c r="S166" s="378"/>
      <c r="T166" s="378"/>
      <c r="U166" s="378">
        <v>164</v>
      </c>
      <c r="V166" s="378"/>
      <c r="W166" s="378"/>
      <c r="X166" s="378"/>
      <c r="Y166" s="378"/>
      <c r="Z166" s="378"/>
      <c r="AA166" s="378"/>
      <c r="AB166" s="378"/>
      <c r="AC166" s="378"/>
      <c r="AD166" s="378"/>
      <c r="AE166" s="378"/>
      <c r="AF166" s="378"/>
      <c r="AG166" s="378"/>
      <c r="AH166" s="378"/>
      <c r="AI166" s="378"/>
      <c r="AJ166" s="378"/>
      <c r="AK166" s="378"/>
      <c r="AL166" s="378"/>
      <c r="AM166" s="378"/>
      <c r="AN166" s="378"/>
      <c r="AO166" s="378"/>
      <c r="AP166" s="378"/>
      <c r="AQ166" s="378"/>
    </row>
    <row r="167" spans="2:43">
      <c r="B167" s="378">
        <v>165</v>
      </c>
      <c r="C167" s="378"/>
      <c r="D167" s="378"/>
      <c r="E167" s="378"/>
      <c r="F167" s="378"/>
      <c r="G167" s="378"/>
      <c r="H167" s="378" t="str">
        <f t="array" aca="1" ref="H167" ca="1">_xlfn.TEXTJOIN("", TRUE, IF(ISNUMBER(--MID(C167, ROW(INDIRECT("1:"&amp;LEN(C167))), 1)), MID(C167, ROW(INDIRECT("1:"&amp;LEN(C167))), 1), ""))</f>
        <v/>
      </c>
      <c r="I167" s="378"/>
      <c r="J167" s="378">
        <f t="shared" ref="J167:K167" si="78">IF(LEFT(I167,5)="00966", RIGHT(I167,LEN(I167)-5),
    IF(LEFT(I167,4)="+966", RIGHT(I167,LEN(I167)-4),
        IF(LEFT(I167,3)="966", RIGHT(I167,LEN(I167)-3),
            IF(LEFT(I167,1)="0", RIGHT(I167,LEN(I167)-1), I167)
        )
    )
)</f>
        <v>0</v>
      </c>
      <c r="K167" s="378" t="str">
        <f t="shared" si="78"/>
        <v/>
      </c>
      <c r="L167" s="378" t="str">
        <f t="shared" si="66"/>
        <v>أجنبي</v>
      </c>
      <c r="M167" s="436" t="str">
        <f t="shared" si="67"/>
        <v/>
      </c>
      <c r="N167" s="436"/>
      <c r="O167" s="378"/>
      <c r="P167" s="378"/>
      <c r="Q167" s="378"/>
      <c r="R167" s="378"/>
      <c r="S167" s="378"/>
      <c r="T167" s="378"/>
      <c r="U167" s="378">
        <v>165</v>
      </c>
      <c r="V167" s="378"/>
      <c r="W167" s="378"/>
      <c r="X167" s="378"/>
      <c r="Y167" s="378"/>
      <c r="Z167" s="378"/>
      <c r="AA167" s="378"/>
      <c r="AB167" s="378"/>
      <c r="AC167" s="378"/>
      <c r="AD167" s="378"/>
      <c r="AE167" s="378"/>
      <c r="AF167" s="378"/>
      <c r="AG167" s="378"/>
      <c r="AH167" s="378"/>
      <c r="AI167" s="378"/>
      <c r="AJ167" s="378"/>
      <c r="AK167" s="378"/>
      <c r="AL167" s="378"/>
      <c r="AM167" s="378"/>
      <c r="AN167" s="378"/>
      <c r="AO167" s="378"/>
      <c r="AP167" s="378"/>
      <c r="AQ167" s="378"/>
    </row>
    <row r="168" spans="2:43">
      <c r="B168" s="378">
        <v>166</v>
      </c>
      <c r="C168" s="378"/>
      <c r="D168" s="378"/>
      <c r="E168" s="378"/>
      <c r="F168" s="378"/>
      <c r="G168" s="378"/>
      <c r="H168" s="378" t="str">
        <f t="array" aca="1" ref="H168" ca="1">_xlfn.TEXTJOIN("", TRUE, IF(ISNUMBER(--MID(C168, ROW(INDIRECT("1:"&amp;LEN(C168))), 1)), MID(C168, ROW(INDIRECT("1:"&amp;LEN(C168))), 1), ""))</f>
        <v/>
      </c>
      <c r="I168" s="378"/>
      <c r="J168" s="378">
        <f t="shared" ref="J168:K168" si="79">IF(LEFT(I168,5)="00966", RIGHT(I168,LEN(I168)-5),
    IF(LEFT(I168,4)="+966", RIGHT(I168,LEN(I168)-4),
        IF(LEFT(I168,3)="966", RIGHT(I168,LEN(I168)-3),
            IF(LEFT(I168,1)="0", RIGHT(I168,LEN(I168)-1), I168)
        )
    )
)</f>
        <v>0</v>
      </c>
      <c r="K168" s="378" t="str">
        <f t="shared" si="79"/>
        <v/>
      </c>
      <c r="L168" s="378" t="str">
        <f t="shared" si="66"/>
        <v>أجنبي</v>
      </c>
      <c r="M168" s="436" t="str">
        <f t="shared" si="67"/>
        <v/>
      </c>
      <c r="N168" s="436"/>
      <c r="O168" s="378"/>
      <c r="P168" s="378"/>
      <c r="Q168" s="378"/>
      <c r="R168" s="91"/>
      <c r="S168" s="378"/>
      <c r="T168" s="378"/>
      <c r="U168" s="378">
        <v>166</v>
      </c>
      <c r="V168" s="378"/>
      <c r="W168" s="378"/>
      <c r="X168" s="378"/>
      <c r="Y168" s="378"/>
      <c r="Z168" s="378"/>
      <c r="AA168" s="378"/>
      <c r="AB168" s="378"/>
      <c r="AC168" s="378"/>
      <c r="AD168" s="378"/>
      <c r="AE168" s="378"/>
      <c r="AF168" s="378"/>
      <c r="AG168" s="378"/>
      <c r="AH168" s="378"/>
      <c r="AI168" s="378"/>
      <c r="AJ168" s="378"/>
      <c r="AK168" s="378"/>
      <c r="AL168" s="378"/>
      <c r="AM168" s="378"/>
      <c r="AN168" s="378"/>
      <c r="AO168" s="378"/>
      <c r="AP168" s="378"/>
      <c r="AQ168" s="378"/>
    </row>
    <row r="169" spans="2:43">
      <c r="B169" s="378">
        <v>167</v>
      </c>
      <c r="C169" s="378"/>
      <c r="D169" s="378"/>
      <c r="E169" s="378"/>
      <c r="F169" s="378"/>
      <c r="G169" s="378"/>
      <c r="H169" s="378" t="str">
        <f t="array" aca="1" ref="H169" ca="1">_xlfn.TEXTJOIN("", TRUE, IF(ISNUMBER(--MID(C169, ROW(INDIRECT("1:"&amp;LEN(C169))), 1)), MID(C169, ROW(INDIRECT("1:"&amp;LEN(C169))), 1), ""))</f>
        <v/>
      </c>
      <c r="I169" s="378"/>
      <c r="J169" s="378">
        <f t="shared" ref="J169:K169" si="80">IF(LEFT(I169,5)="00966", RIGHT(I169,LEN(I169)-5),
    IF(LEFT(I169,4)="+966", RIGHT(I169,LEN(I169)-4),
        IF(LEFT(I169,3)="966", RIGHT(I169,LEN(I169)-3),
            IF(LEFT(I169,1)="0", RIGHT(I169,LEN(I169)-1), I169)
        )
    )
)</f>
        <v>0</v>
      </c>
      <c r="K169" s="378" t="str">
        <f t="shared" si="80"/>
        <v/>
      </c>
      <c r="L169" s="378" t="str">
        <f t="shared" si="66"/>
        <v>أجنبي</v>
      </c>
      <c r="M169" s="436" t="str">
        <f t="shared" si="67"/>
        <v/>
      </c>
      <c r="N169" s="436"/>
      <c r="O169" s="378"/>
      <c r="P169" s="378"/>
      <c r="Q169" s="378"/>
      <c r="R169" s="91"/>
      <c r="S169" s="378"/>
      <c r="T169" s="378"/>
      <c r="U169" s="378">
        <v>167</v>
      </c>
      <c r="V169" s="378"/>
      <c r="W169" s="378"/>
      <c r="X169" s="378"/>
      <c r="Y169" s="378"/>
      <c r="Z169" s="378"/>
      <c r="AA169" s="378"/>
      <c r="AB169" s="378"/>
      <c r="AC169" s="378"/>
      <c r="AD169" s="378"/>
      <c r="AE169" s="378"/>
      <c r="AF169" s="378"/>
      <c r="AG169" s="378"/>
      <c r="AH169" s="378"/>
      <c r="AI169" s="378"/>
      <c r="AJ169" s="378"/>
      <c r="AK169" s="378"/>
      <c r="AL169" s="378"/>
      <c r="AM169" s="378"/>
      <c r="AN169" s="378"/>
      <c r="AO169" s="378"/>
      <c r="AP169" s="378"/>
      <c r="AQ169" s="378"/>
    </row>
    <row r="170" spans="2:43">
      <c r="B170" s="378">
        <v>168</v>
      </c>
      <c r="C170" s="378"/>
      <c r="D170" s="378"/>
      <c r="E170" s="378"/>
      <c r="F170" s="378"/>
      <c r="G170" s="378"/>
      <c r="H170" s="378" t="str">
        <f t="array" aca="1" ref="H170" ca="1">_xlfn.TEXTJOIN("", TRUE, IF(ISNUMBER(--MID(C170, ROW(INDIRECT("1:"&amp;LEN(C170))), 1)), MID(C170, ROW(INDIRECT("1:"&amp;LEN(C170))), 1), ""))</f>
        <v/>
      </c>
      <c r="I170" s="378"/>
      <c r="J170" s="378">
        <f t="shared" ref="J170:K170" si="81">IF(LEFT(I170,5)="00966", RIGHT(I170,LEN(I170)-5),
    IF(LEFT(I170,4)="+966", RIGHT(I170,LEN(I170)-4),
        IF(LEFT(I170,3)="966", RIGHT(I170,LEN(I170)-3),
            IF(LEFT(I170,1)="0", RIGHT(I170,LEN(I170)-1), I170)
        )
    )
)</f>
        <v>0</v>
      </c>
      <c r="K170" s="378" t="str">
        <f t="shared" si="81"/>
        <v/>
      </c>
      <c r="L170" s="378" t="str">
        <f t="shared" si="66"/>
        <v>أجنبي</v>
      </c>
      <c r="M170" s="436" t="str">
        <f t="shared" si="67"/>
        <v/>
      </c>
      <c r="N170" s="436"/>
      <c r="O170" s="378"/>
      <c r="P170" s="378"/>
      <c r="Q170" s="378"/>
      <c r="R170" s="378"/>
      <c r="S170" s="378"/>
      <c r="T170" s="378"/>
      <c r="U170" s="378">
        <v>168</v>
      </c>
      <c r="V170" s="378"/>
      <c r="W170" s="378"/>
      <c r="X170" s="378"/>
      <c r="Y170" s="378"/>
      <c r="Z170" s="378"/>
      <c r="AA170" s="378"/>
      <c r="AB170" s="378"/>
      <c r="AC170" s="378"/>
      <c r="AD170" s="378"/>
      <c r="AE170" s="378"/>
      <c r="AF170" s="378"/>
      <c r="AG170" s="378"/>
      <c r="AH170" s="378"/>
      <c r="AI170" s="378"/>
      <c r="AJ170" s="378"/>
      <c r="AK170" s="378"/>
      <c r="AL170" s="378"/>
      <c r="AM170" s="378"/>
      <c r="AN170" s="378"/>
      <c r="AO170" s="378"/>
      <c r="AP170" s="378"/>
      <c r="AQ170" s="378"/>
    </row>
    <row r="171" spans="2:43">
      <c r="B171" s="378">
        <v>169</v>
      </c>
      <c r="C171" s="378"/>
      <c r="D171" s="378"/>
      <c r="E171" s="378"/>
      <c r="F171" s="378"/>
      <c r="G171" s="378"/>
      <c r="H171" s="378" t="str">
        <f t="array" aca="1" ref="H171" ca="1">_xlfn.TEXTJOIN("", TRUE, IF(ISNUMBER(--MID(C171, ROW(INDIRECT("1:"&amp;LEN(C171))), 1)), MID(C171, ROW(INDIRECT("1:"&amp;LEN(C171))), 1), ""))</f>
        <v/>
      </c>
      <c r="I171" s="378"/>
      <c r="J171" s="378">
        <f t="shared" ref="J171:K171" si="82">IF(LEFT(I171,5)="00966", RIGHT(I171,LEN(I171)-5),
    IF(LEFT(I171,4)="+966", RIGHT(I171,LEN(I171)-4),
        IF(LEFT(I171,3)="966", RIGHT(I171,LEN(I171)-3),
            IF(LEFT(I171,1)="0", RIGHT(I171,LEN(I171)-1), I171)
        )
    )
)</f>
        <v>0</v>
      </c>
      <c r="K171" s="378" t="str">
        <f t="shared" si="82"/>
        <v/>
      </c>
      <c r="L171" s="378" t="str">
        <f t="shared" si="66"/>
        <v>أجنبي</v>
      </c>
      <c r="M171" s="436" t="str">
        <f t="shared" si="67"/>
        <v/>
      </c>
      <c r="N171" s="436"/>
      <c r="O171" s="378"/>
      <c r="P171" s="378"/>
      <c r="Q171" s="378"/>
      <c r="R171" s="378"/>
      <c r="S171" s="378"/>
      <c r="T171" s="378"/>
      <c r="U171" s="378">
        <v>169</v>
      </c>
      <c r="V171" s="378"/>
      <c r="W171" s="378"/>
      <c r="X171" s="378"/>
      <c r="Y171" s="378"/>
      <c r="Z171" s="378"/>
      <c r="AA171" s="378"/>
      <c r="AB171" s="378"/>
      <c r="AC171" s="378"/>
      <c r="AD171" s="378"/>
      <c r="AE171" s="378"/>
      <c r="AF171" s="378"/>
      <c r="AG171" s="378"/>
      <c r="AH171" s="378"/>
      <c r="AI171" s="378"/>
      <c r="AJ171" s="378"/>
      <c r="AK171" s="378"/>
      <c r="AL171" s="378"/>
      <c r="AM171" s="378"/>
      <c r="AN171" s="378"/>
      <c r="AO171" s="378"/>
      <c r="AP171" s="378"/>
      <c r="AQ171" s="378"/>
    </row>
    <row r="172" spans="2:43">
      <c r="B172" s="378">
        <v>170</v>
      </c>
      <c r="C172" s="378"/>
      <c r="D172" s="378"/>
      <c r="E172" s="378"/>
      <c r="F172" s="378"/>
      <c r="G172" s="378"/>
      <c r="H172" s="378" t="str">
        <f t="array" aca="1" ref="H172" ca="1">_xlfn.TEXTJOIN("", TRUE, IF(ISNUMBER(--MID(C172, ROW(INDIRECT("1:"&amp;LEN(C172))), 1)), MID(C172, ROW(INDIRECT("1:"&amp;LEN(C172))), 1), ""))</f>
        <v/>
      </c>
      <c r="I172" s="378"/>
      <c r="J172" s="378">
        <f t="shared" ref="J172:K172" si="83">IF(LEFT(I172,5)="00966", RIGHT(I172,LEN(I172)-5),
    IF(LEFT(I172,4)="+966", RIGHT(I172,LEN(I172)-4),
        IF(LEFT(I172,3)="966", RIGHT(I172,LEN(I172)-3),
            IF(LEFT(I172,1)="0", RIGHT(I172,LEN(I172)-1), I172)
        )
    )
)</f>
        <v>0</v>
      </c>
      <c r="K172" s="378" t="str">
        <f t="shared" si="83"/>
        <v/>
      </c>
      <c r="L172" s="378" t="str">
        <f t="shared" si="66"/>
        <v>أجنبي</v>
      </c>
      <c r="M172" s="436" t="str">
        <f t="shared" si="67"/>
        <v/>
      </c>
      <c r="N172" s="436"/>
      <c r="O172" s="378"/>
      <c r="P172" s="378"/>
      <c r="Q172" s="378"/>
      <c r="R172" s="378"/>
      <c r="S172" s="378"/>
      <c r="T172" s="378"/>
      <c r="U172" s="378">
        <v>170</v>
      </c>
      <c r="V172" s="378"/>
      <c r="W172" s="378"/>
      <c r="X172" s="378"/>
      <c r="Y172" s="378"/>
      <c r="Z172" s="378"/>
      <c r="AA172" s="378"/>
      <c r="AB172" s="378"/>
      <c r="AC172" s="378"/>
      <c r="AD172" s="378"/>
      <c r="AE172" s="378"/>
      <c r="AF172" s="378"/>
      <c r="AG172" s="378"/>
      <c r="AH172" s="378"/>
      <c r="AI172" s="378"/>
      <c r="AJ172" s="378"/>
      <c r="AK172" s="378"/>
      <c r="AL172" s="378"/>
      <c r="AM172" s="378"/>
      <c r="AN172" s="378"/>
      <c r="AO172" s="378"/>
      <c r="AP172" s="378"/>
      <c r="AQ172" s="378"/>
    </row>
    <row r="173" spans="2:43">
      <c r="B173" s="378">
        <v>171</v>
      </c>
      <c r="C173" s="378"/>
      <c r="D173" s="378"/>
      <c r="E173" s="378"/>
      <c r="F173" s="378"/>
      <c r="G173" s="378"/>
      <c r="H173" s="378" t="str">
        <f t="array" aca="1" ref="H173" ca="1">_xlfn.TEXTJOIN("", TRUE, IF(ISNUMBER(--MID(C173, ROW(INDIRECT("1:"&amp;LEN(C173))), 1)), MID(C173, ROW(INDIRECT("1:"&amp;LEN(C173))), 1), ""))</f>
        <v/>
      </c>
      <c r="I173" s="378"/>
      <c r="J173" s="378">
        <f t="shared" ref="J173:K173" si="84">IF(LEFT(I173,5)="00966", RIGHT(I173,LEN(I173)-5),
    IF(LEFT(I173,4)="+966", RIGHT(I173,LEN(I173)-4),
        IF(LEFT(I173,3)="966", RIGHT(I173,LEN(I173)-3),
            IF(LEFT(I173,1)="0", RIGHT(I173,LEN(I173)-1), I173)
        )
    )
)</f>
        <v>0</v>
      </c>
      <c r="K173" s="378" t="str">
        <f t="shared" si="84"/>
        <v/>
      </c>
      <c r="L173" s="378" t="str">
        <f t="shared" si="66"/>
        <v>أجنبي</v>
      </c>
      <c r="M173" s="436" t="str">
        <f t="shared" si="67"/>
        <v/>
      </c>
      <c r="N173" s="436"/>
      <c r="O173" s="378"/>
      <c r="P173" s="378"/>
      <c r="Q173" s="378"/>
      <c r="R173" s="378"/>
      <c r="S173" s="378"/>
      <c r="T173" s="378"/>
      <c r="U173" s="378">
        <v>171</v>
      </c>
      <c r="V173" s="378"/>
      <c r="W173" s="378"/>
      <c r="X173" s="378"/>
      <c r="Y173" s="378"/>
      <c r="Z173" s="378"/>
      <c r="AA173" s="378"/>
      <c r="AB173" s="378"/>
      <c r="AC173" s="378"/>
      <c r="AD173" s="378"/>
      <c r="AE173" s="378"/>
      <c r="AF173" s="378"/>
      <c r="AG173" s="378"/>
      <c r="AH173" s="378"/>
      <c r="AI173" s="378"/>
      <c r="AJ173" s="378"/>
      <c r="AK173" s="378"/>
      <c r="AL173" s="378"/>
      <c r="AM173" s="378"/>
      <c r="AN173" s="378"/>
      <c r="AO173" s="378"/>
      <c r="AP173" s="378"/>
      <c r="AQ173" s="378"/>
    </row>
    <row r="174" spans="2:43">
      <c r="B174" s="378">
        <v>172</v>
      </c>
      <c r="C174" s="378"/>
      <c r="D174" s="378"/>
      <c r="E174" s="378"/>
      <c r="F174" s="378"/>
      <c r="G174" s="378"/>
      <c r="H174" s="378" t="str">
        <f t="array" aca="1" ref="H174" ca="1">_xlfn.TEXTJOIN("", TRUE, IF(ISNUMBER(--MID(C174, ROW(INDIRECT("1:"&amp;LEN(C174))), 1)), MID(C174, ROW(INDIRECT("1:"&amp;LEN(C174))), 1), ""))</f>
        <v/>
      </c>
      <c r="I174" s="378"/>
      <c r="J174" s="378">
        <f t="shared" ref="J174:K174" si="85">IF(LEFT(I174,5)="00966", RIGHT(I174,LEN(I174)-5),
    IF(LEFT(I174,4)="+966", RIGHT(I174,LEN(I174)-4),
        IF(LEFT(I174,3)="966", RIGHT(I174,LEN(I174)-3),
            IF(LEFT(I174,1)="0", RIGHT(I174,LEN(I174)-1), I174)
        )
    )
)</f>
        <v>0</v>
      </c>
      <c r="K174" s="378" t="str">
        <f t="shared" si="85"/>
        <v/>
      </c>
      <c r="L174" s="378" t="str">
        <f t="shared" si="66"/>
        <v>أجنبي</v>
      </c>
      <c r="M174" s="436" t="str">
        <f t="shared" si="67"/>
        <v/>
      </c>
      <c r="N174" s="436"/>
      <c r="O174" s="378"/>
      <c r="P174" s="378"/>
      <c r="Q174" s="378"/>
      <c r="R174" s="378"/>
      <c r="S174" s="378"/>
      <c r="T174" s="378"/>
      <c r="U174" s="378">
        <v>172</v>
      </c>
      <c r="V174" s="378"/>
      <c r="W174" s="378"/>
      <c r="X174" s="378"/>
      <c r="Y174" s="378"/>
      <c r="Z174" s="378"/>
      <c r="AA174" s="378"/>
      <c r="AB174" s="378"/>
      <c r="AC174" s="378"/>
      <c r="AD174" s="378"/>
      <c r="AE174" s="378"/>
      <c r="AF174" s="378"/>
      <c r="AG174" s="378"/>
      <c r="AH174" s="378"/>
      <c r="AI174" s="378"/>
      <c r="AJ174" s="378"/>
      <c r="AK174" s="378"/>
      <c r="AL174" s="378"/>
      <c r="AM174" s="378"/>
      <c r="AN174" s="378"/>
      <c r="AO174" s="378"/>
      <c r="AP174" s="378"/>
      <c r="AQ174" s="378"/>
    </row>
    <row r="175" spans="2:43">
      <c r="B175" s="378">
        <v>173</v>
      </c>
      <c r="C175" s="378"/>
      <c r="D175" s="378"/>
      <c r="E175" s="378"/>
      <c r="F175" s="378"/>
      <c r="G175" s="378"/>
      <c r="H175" s="378" t="str">
        <f t="array" aca="1" ref="H175" ca="1">_xlfn.TEXTJOIN("", TRUE, IF(ISNUMBER(--MID(C175, ROW(INDIRECT("1:"&amp;LEN(C175))), 1)), MID(C175, ROW(INDIRECT("1:"&amp;LEN(C175))), 1), ""))</f>
        <v/>
      </c>
      <c r="I175" s="378"/>
      <c r="J175" s="378">
        <f t="shared" ref="J175:K175" si="86">IF(LEFT(I175,5)="00966", RIGHT(I175,LEN(I175)-5),
    IF(LEFT(I175,4)="+966", RIGHT(I175,LEN(I175)-4),
        IF(LEFT(I175,3)="966", RIGHT(I175,LEN(I175)-3),
            IF(LEFT(I175,1)="0", RIGHT(I175,LEN(I175)-1), I175)
        )
    )
)</f>
        <v>0</v>
      </c>
      <c r="K175" s="378" t="str">
        <f t="shared" si="86"/>
        <v/>
      </c>
      <c r="L175" s="378" t="str">
        <f t="shared" si="66"/>
        <v>أجنبي</v>
      </c>
      <c r="M175" s="436" t="str">
        <f t="shared" si="67"/>
        <v/>
      </c>
      <c r="N175" s="436"/>
      <c r="O175" s="378"/>
      <c r="P175" s="378"/>
      <c r="Q175" s="378"/>
      <c r="R175" s="378"/>
      <c r="S175" s="378"/>
      <c r="T175" s="378"/>
      <c r="U175" s="378">
        <v>173</v>
      </c>
      <c r="V175" s="378"/>
      <c r="W175" s="378"/>
      <c r="X175" s="378"/>
      <c r="Y175" s="378"/>
      <c r="Z175" s="378"/>
      <c r="AA175" s="378"/>
      <c r="AB175" s="378"/>
      <c r="AC175" s="378"/>
      <c r="AD175" s="378"/>
      <c r="AE175" s="378"/>
      <c r="AF175" s="378"/>
      <c r="AG175" s="378"/>
      <c r="AH175" s="378"/>
      <c r="AI175" s="378"/>
      <c r="AJ175" s="378"/>
      <c r="AK175" s="378"/>
      <c r="AL175" s="378"/>
      <c r="AM175" s="378"/>
      <c r="AN175" s="378"/>
      <c r="AO175" s="378"/>
      <c r="AP175" s="378"/>
      <c r="AQ175" s="378"/>
    </row>
    <row r="176" spans="2:43">
      <c r="B176" s="378">
        <v>174</v>
      </c>
      <c r="C176" s="378"/>
      <c r="D176" s="378"/>
      <c r="E176" s="378"/>
      <c r="F176" s="378"/>
      <c r="G176" s="378"/>
      <c r="H176" s="378" t="str">
        <f t="array" aca="1" ref="H176" ca="1">_xlfn.TEXTJOIN("", TRUE, IF(ISNUMBER(--MID(C176, ROW(INDIRECT("1:"&amp;LEN(C176))), 1)), MID(C176, ROW(INDIRECT("1:"&amp;LEN(C176))), 1), ""))</f>
        <v/>
      </c>
      <c r="I176" s="378"/>
      <c r="J176" s="378">
        <f t="shared" ref="J176:K176" si="87">IF(LEFT(I176,5)="00966", RIGHT(I176,LEN(I176)-5),
    IF(LEFT(I176,4)="+966", RIGHT(I176,LEN(I176)-4),
        IF(LEFT(I176,3)="966", RIGHT(I176,LEN(I176)-3),
            IF(LEFT(I176,1)="0", RIGHT(I176,LEN(I176)-1), I176)
        )
    )
)</f>
        <v>0</v>
      </c>
      <c r="K176" s="378" t="str">
        <f t="shared" si="87"/>
        <v/>
      </c>
      <c r="L176" s="378" t="str">
        <f t="shared" si="66"/>
        <v>أجنبي</v>
      </c>
      <c r="M176" s="436" t="str">
        <f t="shared" si="67"/>
        <v/>
      </c>
      <c r="N176" s="436"/>
      <c r="O176" s="378"/>
      <c r="P176" s="378"/>
      <c r="Q176" s="378"/>
      <c r="R176" s="378"/>
      <c r="S176" s="378"/>
      <c r="T176" s="378"/>
      <c r="U176" s="378">
        <v>174</v>
      </c>
      <c r="V176" s="378"/>
      <c r="W176" s="378"/>
      <c r="X176" s="378"/>
      <c r="Y176" s="378"/>
      <c r="Z176" s="378"/>
      <c r="AA176" s="378"/>
      <c r="AB176" s="378"/>
      <c r="AC176" s="378"/>
      <c r="AD176" s="378"/>
      <c r="AE176" s="378"/>
      <c r="AF176" s="378"/>
      <c r="AG176" s="378"/>
      <c r="AH176" s="378"/>
      <c r="AI176" s="378"/>
      <c r="AJ176" s="378"/>
      <c r="AK176" s="378"/>
      <c r="AL176" s="378"/>
      <c r="AM176" s="378"/>
      <c r="AN176" s="378"/>
      <c r="AO176" s="378"/>
      <c r="AP176" s="378"/>
      <c r="AQ176" s="378"/>
    </row>
    <row r="177" spans="2:43">
      <c r="B177" s="378">
        <v>175</v>
      </c>
      <c r="C177" s="378"/>
      <c r="D177" s="378"/>
      <c r="E177" s="378"/>
      <c r="F177" s="378"/>
      <c r="G177" s="378"/>
      <c r="H177" s="378" t="str">
        <f t="array" aca="1" ref="H177" ca="1">_xlfn.TEXTJOIN("", TRUE, IF(ISNUMBER(--MID(C177, ROW(INDIRECT("1:"&amp;LEN(C177))), 1)), MID(C177, ROW(INDIRECT("1:"&amp;LEN(C177))), 1), ""))</f>
        <v/>
      </c>
      <c r="I177" s="378"/>
      <c r="J177" s="378">
        <f t="shared" ref="J177:K177" si="88">IF(LEFT(I177,5)="00966", RIGHT(I177,LEN(I177)-5),
    IF(LEFT(I177,4)="+966", RIGHT(I177,LEN(I177)-4),
        IF(LEFT(I177,3)="966", RIGHT(I177,LEN(I177)-3),
            IF(LEFT(I177,1)="0", RIGHT(I177,LEN(I177)-1), I177)
        )
    )
)</f>
        <v>0</v>
      </c>
      <c r="K177" s="378" t="str">
        <f t="shared" si="88"/>
        <v/>
      </c>
      <c r="L177" s="378" t="str">
        <f t="shared" si="66"/>
        <v>أجنبي</v>
      </c>
      <c r="M177" s="436" t="str">
        <f t="shared" si="67"/>
        <v/>
      </c>
      <c r="N177" s="436"/>
      <c r="O177" s="378"/>
      <c r="P177" s="378"/>
      <c r="Q177" s="378"/>
      <c r="R177" s="378"/>
      <c r="S177" s="378"/>
      <c r="T177" s="378"/>
      <c r="U177" s="378">
        <v>175</v>
      </c>
      <c r="V177" s="378"/>
      <c r="W177" s="378"/>
      <c r="X177" s="378"/>
      <c r="Y177" s="378"/>
      <c r="Z177" s="378"/>
      <c r="AA177" s="378"/>
      <c r="AB177" s="378"/>
      <c r="AC177" s="378"/>
      <c r="AD177" s="378"/>
      <c r="AE177" s="378"/>
      <c r="AF177" s="378"/>
      <c r="AG177" s="378"/>
      <c r="AH177" s="378"/>
      <c r="AI177" s="378"/>
      <c r="AJ177" s="378"/>
      <c r="AK177" s="378"/>
      <c r="AL177" s="378"/>
      <c r="AM177" s="378"/>
      <c r="AN177" s="378"/>
      <c r="AO177" s="378"/>
      <c r="AP177" s="378"/>
      <c r="AQ177" s="378"/>
    </row>
    <row r="178" spans="2:43">
      <c r="B178" s="378">
        <v>176</v>
      </c>
      <c r="C178" s="378"/>
      <c r="D178" s="378"/>
      <c r="E178" s="378"/>
      <c r="F178" s="378"/>
      <c r="G178" s="378"/>
      <c r="H178" s="378" t="str">
        <f t="array" aca="1" ref="H178" ca="1">_xlfn.TEXTJOIN("", TRUE, IF(ISNUMBER(--MID(C178, ROW(INDIRECT("1:"&amp;LEN(C178))), 1)), MID(C178, ROW(INDIRECT("1:"&amp;LEN(C178))), 1), ""))</f>
        <v/>
      </c>
      <c r="I178" s="378"/>
      <c r="J178" s="378">
        <f t="shared" ref="J178:K178" si="89">IF(LEFT(I178,5)="00966", RIGHT(I178,LEN(I178)-5),
    IF(LEFT(I178,4)="+966", RIGHT(I178,LEN(I178)-4),
        IF(LEFT(I178,3)="966", RIGHT(I178,LEN(I178)-3),
            IF(LEFT(I178,1)="0", RIGHT(I178,LEN(I178)-1), I178)
        )
    )
)</f>
        <v>0</v>
      </c>
      <c r="K178" s="378" t="str">
        <f t="shared" si="89"/>
        <v/>
      </c>
      <c r="L178" s="378" t="str">
        <f t="shared" si="66"/>
        <v>أجنبي</v>
      </c>
      <c r="M178" s="436" t="str">
        <f t="shared" si="67"/>
        <v/>
      </c>
      <c r="N178" s="436"/>
      <c r="O178" s="378"/>
      <c r="P178" s="378"/>
      <c r="Q178" s="378"/>
      <c r="R178" s="378"/>
      <c r="S178" s="378"/>
      <c r="T178" s="378"/>
      <c r="U178" s="378">
        <v>176</v>
      </c>
      <c r="V178" s="378"/>
      <c r="W178" s="378"/>
      <c r="X178" s="378"/>
      <c r="Y178" s="378"/>
      <c r="Z178" s="378"/>
      <c r="AA178" s="378"/>
      <c r="AB178" s="378"/>
      <c r="AC178" s="378"/>
      <c r="AD178" s="378"/>
      <c r="AE178" s="378"/>
      <c r="AF178" s="378"/>
      <c r="AG178" s="378"/>
      <c r="AH178" s="378"/>
      <c r="AI178" s="378"/>
      <c r="AJ178" s="378"/>
      <c r="AK178" s="378"/>
      <c r="AL178" s="378"/>
      <c r="AM178" s="378"/>
      <c r="AN178" s="378"/>
      <c r="AO178" s="378"/>
      <c r="AP178" s="378"/>
      <c r="AQ178" s="378"/>
    </row>
    <row r="179" spans="2:43">
      <c r="B179" s="378">
        <v>177</v>
      </c>
      <c r="C179" s="378"/>
      <c r="D179" s="378"/>
      <c r="E179" s="378"/>
      <c r="F179" s="378"/>
      <c r="G179" s="378"/>
      <c r="H179" s="378" t="str">
        <f t="array" aca="1" ref="H179" ca="1">_xlfn.TEXTJOIN("", TRUE, IF(ISNUMBER(--MID(C179, ROW(INDIRECT("1:"&amp;LEN(C179))), 1)), MID(C179, ROW(INDIRECT("1:"&amp;LEN(C179))), 1), ""))</f>
        <v/>
      </c>
      <c r="I179" s="378"/>
      <c r="J179" s="378">
        <f t="shared" ref="J179:K179" si="90">IF(LEFT(I179,5)="00966", RIGHT(I179,LEN(I179)-5),
    IF(LEFT(I179,4)="+966", RIGHT(I179,LEN(I179)-4),
        IF(LEFT(I179,3)="966", RIGHT(I179,LEN(I179)-3),
            IF(LEFT(I179,1)="0", RIGHT(I179,LEN(I179)-1), I179)
        )
    )
)</f>
        <v>0</v>
      </c>
      <c r="K179" s="378" t="str">
        <f t="shared" si="90"/>
        <v/>
      </c>
      <c r="L179" s="378" t="str">
        <f t="shared" si="66"/>
        <v>أجنبي</v>
      </c>
      <c r="M179" s="436" t="str">
        <f t="shared" si="67"/>
        <v/>
      </c>
      <c r="N179" s="436"/>
      <c r="O179" s="378"/>
      <c r="P179" s="378"/>
      <c r="Q179" s="378"/>
      <c r="R179" s="378"/>
      <c r="S179" s="378"/>
      <c r="T179" s="378"/>
      <c r="U179" s="378">
        <v>177</v>
      </c>
      <c r="V179" s="378"/>
      <c r="W179" s="378"/>
      <c r="X179" s="378"/>
      <c r="Y179" s="378"/>
      <c r="Z179" s="378"/>
      <c r="AA179" s="378"/>
      <c r="AB179" s="378"/>
      <c r="AC179" s="378"/>
      <c r="AD179" s="378"/>
      <c r="AE179" s="378"/>
      <c r="AF179" s="378"/>
      <c r="AG179" s="378"/>
      <c r="AH179" s="378"/>
      <c r="AI179" s="378"/>
      <c r="AJ179" s="378"/>
      <c r="AK179" s="378"/>
      <c r="AL179" s="378"/>
      <c r="AM179" s="378"/>
      <c r="AN179" s="378"/>
      <c r="AO179" s="378"/>
      <c r="AP179" s="378"/>
      <c r="AQ179" s="378"/>
    </row>
    <row r="180" spans="2:43">
      <c r="B180" s="378">
        <v>178</v>
      </c>
      <c r="C180" s="378"/>
      <c r="D180" s="378"/>
      <c r="E180" s="378"/>
      <c r="F180" s="378"/>
      <c r="G180" s="378"/>
      <c r="H180" s="378" t="str">
        <f t="array" aca="1" ref="H180" ca="1">_xlfn.TEXTJOIN("", TRUE, IF(ISNUMBER(--MID(C180, ROW(INDIRECT("1:"&amp;LEN(C180))), 1)), MID(C180, ROW(INDIRECT("1:"&amp;LEN(C180))), 1), ""))</f>
        <v/>
      </c>
      <c r="I180" s="378"/>
      <c r="J180" s="378">
        <f t="shared" ref="J180:K180" si="91">IF(LEFT(I180,5)="00966", RIGHT(I180,LEN(I180)-5),
    IF(LEFT(I180,4)="+966", RIGHT(I180,LEN(I180)-4),
        IF(LEFT(I180,3)="966", RIGHT(I180,LEN(I180)-3),
            IF(LEFT(I180,1)="0", RIGHT(I180,LEN(I180)-1), I180)
        )
    )
)</f>
        <v>0</v>
      </c>
      <c r="K180" s="378" t="str">
        <f t="shared" si="91"/>
        <v/>
      </c>
      <c r="L180" s="378" t="str">
        <f t="shared" si="66"/>
        <v>أجنبي</v>
      </c>
      <c r="M180" s="436" t="str">
        <f t="shared" si="67"/>
        <v/>
      </c>
      <c r="N180" s="436"/>
      <c r="O180" s="378"/>
      <c r="P180" s="378"/>
      <c r="Q180" s="378"/>
      <c r="R180" s="378"/>
      <c r="S180" s="378"/>
      <c r="T180" s="378"/>
      <c r="U180" s="378">
        <v>178</v>
      </c>
      <c r="V180" s="378"/>
      <c r="W180" s="378"/>
      <c r="X180" s="378"/>
      <c r="Y180" s="378"/>
      <c r="Z180" s="378"/>
      <c r="AA180" s="378"/>
      <c r="AB180" s="378"/>
      <c r="AC180" s="378"/>
      <c r="AD180" s="378"/>
      <c r="AE180" s="378"/>
      <c r="AF180" s="378"/>
      <c r="AG180" s="378"/>
      <c r="AH180" s="378"/>
      <c r="AI180" s="378"/>
      <c r="AJ180" s="378"/>
      <c r="AK180" s="378"/>
      <c r="AL180" s="378"/>
      <c r="AM180" s="378"/>
      <c r="AN180" s="378"/>
      <c r="AO180" s="378"/>
      <c r="AP180" s="378"/>
      <c r="AQ180" s="378"/>
    </row>
    <row r="181" spans="2:43">
      <c r="B181" s="378">
        <v>179</v>
      </c>
      <c r="C181" s="378"/>
      <c r="D181" s="378"/>
      <c r="E181" s="378"/>
      <c r="F181" s="378"/>
      <c r="G181" s="378"/>
      <c r="H181" s="378" t="str">
        <f t="array" aca="1" ref="H181" ca="1">_xlfn.TEXTJOIN("", TRUE, IF(ISNUMBER(--MID(C181, ROW(INDIRECT("1:"&amp;LEN(C181))), 1)), MID(C181, ROW(INDIRECT("1:"&amp;LEN(C181))), 1), ""))</f>
        <v/>
      </c>
      <c r="I181" s="378"/>
      <c r="J181" s="378">
        <f t="shared" ref="J181:K181" si="92">IF(LEFT(I181,5)="00966", RIGHT(I181,LEN(I181)-5),
    IF(LEFT(I181,4)="+966", RIGHT(I181,LEN(I181)-4),
        IF(LEFT(I181,3)="966", RIGHT(I181,LEN(I181)-3),
            IF(LEFT(I181,1)="0", RIGHT(I181,LEN(I181)-1), I181)
        )
    )
)</f>
        <v>0</v>
      </c>
      <c r="K181" s="378" t="str">
        <f t="shared" si="92"/>
        <v/>
      </c>
      <c r="L181" s="378" t="str">
        <f t="shared" si="66"/>
        <v>أجنبي</v>
      </c>
      <c r="M181" s="436" t="str">
        <f t="shared" si="67"/>
        <v/>
      </c>
      <c r="N181" s="436"/>
      <c r="O181" s="378"/>
      <c r="P181" s="378"/>
      <c r="Q181" s="378"/>
      <c r="R181" s="378"/>
      <c r="S181" s="378"/>
      <c r="T181" s="378"/>
      <c r="U181" s="378">
        <v>179</v>
      </c>
      <c r="V181" s="378"/>
      <c r="W181" s="378"/>
      <c r="X181" s="378"/>
      <c r="Y181" s="378"/>
      <c r="Z181" s="378"/>
      <c r="AA181" s="378"/>
      <c r="AB181" s="378"/>
      <c r="AC181" s="378"/>
      <c r="AD181" s="378"/>
      <c r="AE181" s="378"/>
      <c r="AF181" s="378"/>
      <c r="AG181" s="378"/>
      <c r="AH181" s="378"/>
      <c r="AI181" s="378"/>
      <c r="AJ181" s="378"/>
      <c r="AK181" s="378"/>
      <c r="AL181" s="378"/>
      <c r="AM181" s="378"/>
      <c r="AN181" s="378"/>
      <c r="AO181" s="378"/>
      <c r="AP181" s="378"/>
      <c r="AQ181" s="378"/>
    </row>
    <row r="182" spans="2:43">
      <c r="B182" s="378">
        <v>180</v>
      </c>
      <c r="C182" s="378"/>
      <c r="D182" s="378"/>
      <c r="E182" s="378"/>
      <c r="F182" s="378"/>
      <c r="G182" s="378"/>
      <c r="H182" s="378" t="str">
        <f t="array" aca="1" ref="H182" ca="1">_xlfn.TEXTJOIN("", TRUE, IF(ISNUMBER(--MID(C182, ROW(INDIRECT("1:"&amp;LEN(C182))), 1)), MID(C182, ROW(INDIRECT("1:"&amp;LEN(C182))), 1), ""))</f>
        <v/>
      </c>
      <c r="I182" s="378"/>
      <c r="J182" s="378">
        <f t="shared" ref="J182:K182" si="93">IF(LEFT(I182,5)="00966", RIGHT(I182,LEN(I182)-5),
    IF(LEFT(I182,4)="+966", RIGHT(I182,LEN(I182)-4),
        IF(LEFT(I182,3)="966", RIGHT(I182,LEN(I182)-3),
            IF(LEFT(I182,1)="0", RIGHT(I182,LEN(I182)-1), I182)
        )
    )
)</f>
        <v>0</v>
      </c>
      <c r="K182" s="378" t="str">
        <f t="shared" si="93"/>
        <v/>
      </c>
      <c r="L182" s="378" t="str">
        <f t="shared" si="66"/>
        <v>أجنبي</v>
      </c>
      <c r="M182" s="436" t="str">
        <f t="shared" si="67"/>
        <v/>
      </c>
      <c r="N182" s="436"/>
      <c r="O182" s="378"/>
      <c r="P182" s="378"/>
      <c r="Q182" s="378"/>
      <c r="R182" s="378"/>
      <c r="S182" s="378"/>
      <c r="T182" s="378"/>
      <c r="U182" s="378">
        <v>180</v>
      </c>
      <c r="V182" s="378"/>
      <c r="W182" s="378"/>
      <c r="X182" s="378"/>
      <c r="Y182" s="378"/>
      <c r="Z182" s="378"/>
      <c r="AA182" s="378"/>
      <c r="AB182" s="378"/>
      <c r="AC182" s="378"/>
      <c r="AD182" s="378"/>
      <c r="AE182" s="378"/>
      <c r="AF182" s="378"/>
      <c r="AG182" s="378"/>
      <c r="AH182" s="378"/>
      <c r="AI182" s="378"/>
      <c r="AJ182" s="378"/>
      <c r="AK182" s="378"/>
      <c r="AL182" s="378"/>
      <c r="AM182" s="378"/>
      <c r="AN182" s="378"/>
      <c r="AO182" s="378"/>
      <c r="AP182" s="378"/>
      <c r="AQ182" s="378"/>
    </row>
    <row r="183" spans="2:43">
      <c r="B183" s="378">
        <v>181</v>
      </c>
      <c r="C183" s="378"/>
      <c r="D183" s="378"/>
      <c r="E183" s="378"/>
      <c r="F183" s="378"/>
      <c r="G183" s="378"/>
      <c r="H183" s="378" t="str">
        <f t="array" aca="1" ref="H183" ca="1">_xlfn.TEXTJOIN("", TRUE, IF(ISNUMBER(--MID(C183, ROW(INDIRECT("1:"&amp;LEN(C183))), 1)), MID(C183, ROW(INDIRECT("1:"&amp;LEN(C183))), 1), ""))</f>
        <v/>
      </c>
      <c r="I183" s="378"/>
      <c r="J183" s="378">
        <f t="shared" ref="J183:K183" si="94">IF(LEFT(I183,5)="00966", RIGHT(I183,LEN(I183)-5),
    IF(LEFT(I183,4)="+966", RIGHT(I183,LEN(I183)-4),
        IF(LEFT(I183,3)="966", RIGHT(I183,LEN(I183)-3),
            IF(LEFT(I183,1)="0", RIGHT(I183,LEN(I183)-1), I183)
        )
    )
)</f>
        <v>0</v>
      </c>
      <c r="K183" s="378" t="str">
        <f t="shared" si="94"/>
        <v/>
      </c>
      <c r="L183" s="378" t="str">
        <f t="shared" si="66"/>
        <v>أجنبي</v>
      </c>
      <c r="M183" s="436" t="str">
        <f t="shared" si="67"/>
        <v/>
      </c>
      <c r="N183" s="436"/>
      <c r="O183" s="378"/>
      <c r="P183" s="378"/>
      <c r="Q183" s="378"/>
      <c r="R183" s="91"/>
      <c r="S183" s="378"/>
      <c r="T183" s="378"/>
      <c r="U183" s="378">
        <v>181</v>
      </c>
      <c r="V183" s="378"/>
      <c r="W183" s="378"/>
      <c r="X183" s="378"/>
      <c r="Y183" s="378"/>
      <c r="Z183" s="378"/>
      <c r="AA183" s="378"/>
      <c r="AB183" s="378"/>
      <c r="AC183" s="378"/>
      <c r="AD183" s="378"/>
      <c r="AE183" s="378"/>
      <c r="AF183" s="378"/>
      <c r="AG183" s="378"/>
      <c r="AH183" s="378"/>
      <c r="AI183" s="378"/>
      <c r="AJ183" s="378"/>
      <c r="AK183" s="378"/>
      <c r="AL183" s="378"/>
      <c r="AM183" s="378"/>
      <c r="AN183" s="378"/>
      <c r="AO183" s="378"/>
      <c r="AP183" s="378"/>
      <c r="AQ183" s="378"/>
    </row>
    <row r="184" spans="2:43">
      <c r="B184" s="378">
        <v>182</v>
      </c>
      <c r="C184" s="378"/>
      <c r="D184" s="378"/>
      <c r="E184" s="378"/>
      <c r="F184" s="378"/>
      <c r="G184" s="378"/>
      <c r="H184" s="378" t="str">
        <f t="array" aca="1" ref="H184" ca="1">_xlfn.TEXTJOIN("", TRUE, IF(ISNUMBER(--MID(C184, ROW(INDIRECT("1:"&amp;LEN(C184))), 1)), MID(C184, ROW(INDIRECT("1:"&amp;LEN(C184))), 1), ""))</f>
        <v/>
      </c>
      <c r="I184" s="378"/>
      <c r="J184" s="378">
        <f t="shared" ref="J184:K184" si="95">IF(LEFT(I184,5)="00966", RIGHT(I184,LEN(I184)-5),
    IF(LEFT(I184,4)="+966", RIGHT(I184,LEN(I184)-4),
        IF(LEFT(I184,3)="966", RIGHT(I184,LEN(I184)-3),
            IF(LEFT(I184,1)="0", RIGHT(I184,LEN(I184)-1), I184)
        )
    )
)</f>
        <v>0</v>
      </c>
      <c r="K184" s="378" t="str">
        <f t="shared" si="95"/>
        <v/>
      </c>
      <c r="L184" s="378" t="str">
        <f t="shared" si="66"/>
        <v>أجنبي</v>
      </c>
      <c r="M184" s="436" t="str">
        <f t="shared" si="67"/>
        <v/>
      </c>
      <c r="N184" s="436"/>
      <c r="O184" s="378"/>
      <c r="P184" s="378"/>
      <c r="Q184" s="378"/>
      <c r="R184" s="378"/>
      <c r="S184" s="378"/>
      <c r="T184" s="378"/>
      <c r="U184" s="378">
        <v>182</v>
      </c>
      <c r="V184" s="378"/>
      <c r="W184" s="378"/>
      <c r="X184" s="378"/>
      <c r="Y184" s="378"/>
      <c r="Z184" s="378"/>
      <c r="AA184" s="378"/>
      <c r="AB184" s="378"/>
      <c r="AC184" s="378"/>
      <c r="AD184" s="378"/>
      <c r="AE184" s="378"/>
      <c r="AF184" s="378"/>
      <c r="AG184" s="378"/>
      <c r="AH184" s="378"/>
      <c r="AI184" s="378"/>
      <c r="AJ184" s="378"/>
      <c r="AK184" s="378"/>
      <c r="AL184" s="378"/>
      <c r="AM184" s="378"/>
      <c r="AN184" s="378"/>
      <c r="AO184" s="378"/>
      <c r="AP184" s="378"/>
      <c r="AQ184" s="378"/>
    </row>
    <row r="185" spans="2:43">
      <c r="B185" s="378">
        <v>183</v>
      </c>
      <c r="C185" s="422"/>
      <c r="D185" s="378"/>
      <c r="E185" s="378"/>
      <c r="F185" s="378"/>
      <c r="G185" s="378"/>
      <c r="H185" s="378" t="str">
        <f t="array" aca="1" ref="H185" ca="1">_xlfn.TEXTJOIN("", TRUE, IF(ISNUMBER(--MID(C185, ROW(INDIRECT("1:"&amp;LEN(C185))), 1)), MID(C185, ROW(INDIRECT("1:"&amp;LEN(C185))), 1), ""))</f>
        <v/>
      </c>
      <c r="I185" s="378"/>
      <c r="J185" s="378">
        <f t="shared" ref="J185:K185" si="96">IF(LEFT(I185,5)="00966", RIGHT(I185,LEN(I185)-5),
    IF(LEFT(I185,4)="+966", RIGHT(I185,LEN(I185)-4),
        IF(LEFT(I185,3)="966", RIGHT(I185,LEN(I185)-3),
            IF(LEFT(I185,1)="0", RIGHT(I185,LEN(I185)-1), I185)
        )
    )
)</f>
        <v>0</v>
      </c>
      <c r="K185" s="378" t="str">
        <f t="shared" si="96"/>
        <v/>
      </c>
      <c r="L185" s="378" t="str">
        <f t="shared" si="66"/>
        <v>أجنبي</v>
      </c>
      <c r="M185" s="436" t="str">
        <f t="shared" si="67"/>
        <v/>
      </c>
      <c r="N185" s="436"/>
      <c r="O185" s="378"/>
      <c r="P185" s="378"/>
      <c r="Q185" s="378"/>
      <c r="R185" s="378"/>
      <c r="S185" s="378"/>
      <c r="T185" s="378"/>
      <c r="U185" s="378">
        <v>183</v>
      </c>
      <c r="V185" s="378"/>
      <c r="W185" s="378"/>
      <c r="X185" s="378"/>
      <c r="Y185" s="378"/>
      <c r="Z185" s="378"/>
      <c r="AA185" s="378"/>
      <c r="AB185" s="378"/>
      <c r="AC185" s="378"/>
      <c r="AD185" s="378"/>
      <c r="AE185" s="378"/>
      <c r="AF185" s="378"/>
      <c r="AG185" s="378"/>
      <c r="AH185" s="378"/>
      <c r="AI185" s="378"/>
      <c r="AJ185" s="378"/>
      <c r="AK185" s="378"/>
      <c r="AL185" s="378"/>
      <c r="AM185" s="378"/>
      <c r="AN185" s="378"/>
      <c r="AO185" s="378"/>
      <c r="AP185" s="378"/>
      <c r="AQ185" s="378"/>
    </row>
    <row r="186" spans="2:43">
      <c r="B186" s="378">
        <v>184</v>
      </c>
      <c r="C186" s="378"/>
      <c r="D186" s="378"/>
      <c r="E186" s="378"/>
      <c r="F186" s="378"/>
      <c r="G186" s="378"/>
      <c r="H186" s="378" t="str">
        <f t="array" aca="1" ref="H186" ca="1">_xlfn.TEXTJOIN("", TRUE, IF(ISNUMBER(--MID(C186, ROW(INDIRECT("1:"&amp;LEN(C186))), 1)), MID(C186, ROW(INDIRECT("1:"&amp;LEN(C186))), 1), ""))</f>
        <v/>
      </c>
      <c r="I186" s="378"/>
      <c r="J186" s="378">
        <f t="shared" ref="J186:K186" si="97">IF(LEFT(I186,5)="00966", RIGHT(I186,LEN(I186)-5),
    IF(LEFT(I186,4)="+966", RIGHT(I186,LEN(I186)-4),
        IF(LEFT(I186,3)="966", RIGHT(I186,LEN(I186)-3),
            IF(LEFT(I186,1)="0", RIGHT(I186,LEN(I186)-1), I186)
        )
    )
)</f>
        <v>0</v>
      </c>
      <c r="K186" s="378" t="str">
        <f t="shared" si="97"/>
        <v/>
      </c>
      <c r="L186" s="378" t="str">
        <f t="shared" si="66"/>
        <v>أجنبي</v>
      </c>
      <c r="M186" s="436" t="str">
        <f t="shared" si="67"/>
        <v/>
      </c>
      <c r="N186" s="436"/>
      <c r="O186" s="378"/>
      <c r="P186" s="378"/>
      <c r="Q186" s="378"/>
      <c r="R186" s="91"/>
      <c r="S186" s="378"/>
      <c r="T186" s="378"/>
      <c r="U186" s="378">
        <v>184</v>
      </c>
      <c r="V186" s="378"/>
      <c r="W186" s="378"/>
      <c r="X186" s="378"/>
      <c r="Y186" s="378"/>
      <c r="Z186" s="378"/>
      <c r="AA186" s="378"/>
      <c r="AB186" s="378"/>
      <c r="AC186" s="378"/>
      <c r="AD186" s="378"/>
      <c r="AE186" s="378"/>
      <c r="AF186" s="378"/>
      <c r="AG186" s="378"/>
      <c r="AH186" s="378"/>
      <c r="AI186" s="378"/>
      <c r="AJ186" s="378"/>
      <c r="AK186" s="378"/>
      <c r="AL186" s="378"/>
      <c r="AM186" s="378"/>
      <c r="AN186" s="378"/>
      <c r="AO186" s="378"/>
      <c r="AP186" s="378"/>
      <c r="AQ186" s="378"/>
    </row>
    <row r="187" spans="2:43">
      <c r="B187" s="378">
        <v>185</v>
      </c>
      <c r="C187" s="378"/>
      <c r="D187" s="378"/>
      <c r="E187" s="378"/>
      <c r="F187" s="378"/>
      <c r="G187" s="378"/>
      <c r="H187" s="378" t="str">
        <f t="array" aca="1" ref="H187" ca="1">_xlfn.TEXTJOIN("", TRUE, IF(ISNUMBER(--MID(C187, ROW(INDIRECT("1:"&amp;LEN(C187))), 1)), MID(C187, ROW(INDIRECT("1:"&amp;LEN(C187))), 1), ""))</f>
        <v/>
      </c>
      <c r="I187" s="378"/>
      <c r="J187" s="378">
        <f t="shared" ref="J187:K187" si="98">IF(LEFT(I187,5)="00966", RIGHT(I187,LEN(I187)-5),
    IF(LEFT(I187,4)="+966", RIGHT(I187,LEN(I187)-4),
        IF(LEFT(I187,3)="966", RIGHT(I187,LEN(I187)-3),
            IF(LEFT(I187,1)="0", RIGHT(I187,LEN(I187)-1), I187)
        )
    )
)</f>
        <v>0</v>
      </c>
      <c r="K187" s="378" t="str">
        <f t="shared" si="98"/>
        <v/>
      </c>
      <c r="L187" s="378" t="str">
        <f t="shared" si="66"/>
        <v>أجنبي</v>
      </c>
      <c r="M187" s="436" t="str">
        <f t="shared" si="67"/>
        <v/>
      </c>
      <c r="N187" s="436"/>
      <c r="O187" s="378"/>
      <c r="P187" s="378"/>
      <c r="Q187" s="378"/>
      <c r="R187" s="378"/>
      <c r="S187" s="378"/>
      <c r="T187" s="378"/>
      <c r="U187" s="378">
        <v>185</v>
      </c>
      <c r="V187" s="378"/>
      <c r="W187" s="378"/>
      <c r="X187" s="378"/>
      <c r="Y187" s="378"/>
      <c r="Z187" s="378"/>
      <c r="AA187" s="378"/>
      <c r="AB187" s="378"/>
      <c r="AC187" s="378"/>
      <c r="AD187" s="378"/>
      <c r="AE187" s="378"/>
      <c r="AF187" s="378"/>
      <c r="AG187" s="378"/>
      <c r="AH187" s="378"/>
      <c r="AI187" s="378"/>
      <c r="AJ187" s="378"/>
      <c r="AK187" s="378"/>
      <c r="AL187" s="378"/>
      <c r="AM187" s="378"/>
      <c r="AN187" s="378"/>
      <c r="AO187" s="378"/>
      <c r="AP187" s="378"/>
      <c r="AQ187" s="378"/>
    </row>
    <row r="188" spans="2:43">
      <c r="B188" s="378">
        <v>186</v>
      </c>
      <c r="C188" s="378"/>
      <c r="D188" s="378"/>
      <c r="E188" s="378"/>
      <c r="F188" s="378"/>
      <c r="G188" s="378"/>
      <c r="H188" s="378" t="str">
        <f t="array" aca="1" ref="H188" ca="1">_xlfn.TEXTJOIN("", TRUE, IF(ISNUMBER(--MID(C188, ROW(INDIRECT("1:"&amp;LEN(C188))), 1)), MID(C188, ROW(INDIRECT("1:"&amp;LEN(C188))), 1), ""))</f>
        <v/>
      </c>
      <c r="I188" s="378"/>
      <c r="J188" s="378">
        <f t="shared" ref="J188:K188" si="99">IF(LEFT(I188,5)="00966", RIGHT(I188,LEN(I188)-5),
    IF(LEFT(I188,4)="+966", RIGHT(I188,LEN(I188)-4),
        IF(LEFT(I188,3)="966", RIGHT(I188,LEN(I188)-3),
            IF(LEFT(I188,1)="0", RIGHT(I188,LEN(I188)-1), I188)
        )
    )
)</f>
        <v>0</v>
      </c>
      <c r="K188" s="378" t="str">
        <f t="shared" si="99"/>
        <v/>
      </c>
      <c r="L188" s="378" t="str">
        <f t="shared" si="66"/>
        <v>أجنبي</v>
      </c>
      <c r="M188" s="436" t="str">
        <f t="shared" si="67"/>
        <v/>
      </c>
      <c r="N188" s="436"/>
      <c r="O188" s="378"/>
      <c r="P188" s="378"/>
      <c r="Q188" s="378"/>
      <c r="R188" s="378"/>
      <c r="S188" s="378"/>
      <c r="T188" s="378"/>
      <c r="U188" s="378">
        <v>186</v>
      </c>
      <c r="V188" s="378"/>
      <c r="W188" s="378"/>
      <c r="X188" s="378"/>
      <c r="Y188" s="378"/>
      <c r="Z188" s="378"/>
      <c r="AA188" s="378"/>
      <c r="AB188" s="378"/>
      <c r="AC188" s="378"/>
      <c r="AD188" s="378"/>
      <c r="AE188" s="378"/>
      <c r="AF188" s="378"/>
      <c r="AG188" s="378"/>
      <c r="AH188" s="378"/>
      <c r="AI188" s="378"/>
      <c r="AJ188" s="378"/>
      <c r="AK188" s="378"/>
      <c r="AL188" s="378"/>
      <c r="AM188" s="378"/>
      <c r="AN188" s="378"/>
      <c r="AO188" s="378"/>
      <c r="AP188" s="378"/>
      <c r="AQ188" s="378"/>
    </row>
    <row r="189" spans="2:43">
      <c r="B189" s="378">
        <v>187</v>
      </c>
      <c r="C189" s="378"/>
      <c r="D189" s="378"/>
      <c r="E189" s="378"/>
      <c r="F189" s="378"/>
      <c r="G189" s="378"/>
      <c r="H189" s="378" t="str">
        <f t="array" aca="1" ref="H189" ca="1">_xlfn.TEXTJOIN("", TRUE, IF(ISNUMBER(--MID(C189, ROW(INDIRECT("1:"&amp;LEN(C189))), 1)), MID(C189, ROW(INDIRECT("1:"&amp;LEN(C189))), 1), ""))</f>
        <v/>
      </c>
      <c r="I189" s="378"/>
      <c r="J189" s="378">
        <f t="shared" ref="J189:K189" si="100">IF(LEFT(I189,5)="00966", RIGHT(I189,LEN(I189)-5),
    IF(LEFT(I189,4)="+966", RIGHT(I189,LEN(I189)-4),
        IF(LEFT(I189,3)="966", RIGHT(I189,LEN(I189)-3),
            IF(LEFT(I189,1)="0", RIGHT(I189,LEN(I189)-1), I189)
        )
    )
)</f>
        <v>0</v>
      </c>
      <c r="K189" s="378" t="str">
        <f t="shared" si="100"/>
        <v/>
      </c>
      <c r="L189" s="378" t="str">
        <f t="shared" si="66"/>
        <v>أجنبي</v>
      </c>
      <c r="M189" s="436" t="str">
        <f t="shared" si="67"/>
        <v/>
      </c>
      <c r="N189" s="436"/>
      <c r="O189" s="378"/>
      <c r="P189" s="378"/>
      <c r="Q189" s="378"/>
      <c r="R189" s="378"/>
      <c r="S189" s="378"/>
      <c r="T189" s="378"/>
      <c r="U189" s="378">
        <v>187</v>
      </c>
      <c r="V189" s="378"/>
      <c r="W189" s="378"/>
      <c r="X189" s="378"/>
      <c r="Y189" s="378"/>
      <c r="Z189" s="378"/>
      <c r="AA189" s="378"/>
      <c r="AB189" s="378"/>
      <c r="AC189" s="378"/>
      <c r="AD189" s="378"/>
      <c r="AE189" s="378"/>
      <c r="AF189" s="378"/>
      <c r="AG189" s="378"/>
      <c r="AH189" s="378"/>
      <c r="AI189" s="378"/>
      <c r="AJ189" s="378"/>
      <c r="AK189" s="378"/>
      <c r="AL189" s="378"/>
      <c r="AM189" s="378"/>
      <c r="AN189" s="378"/>
      <c r="AO189" s="378"/>
      <c r="AP189" s="378"/>
      <c r="AQ189" s="378"/>
    </row>
    <row r="190" spans="2:43">
      <c r="B190" s="378">
        <v>188</v>
      </c>
      <c r="C190" s="378"/>
      <c r="D190" s="378"/>
      <c r="E190" s="378"/>
      <c r="F190" s="378"/>
      <c r="G190" s="378"/>
      <c r="H190" s="378" t="str">
        <f t="array" aca="1" ref="H190" ca="1">_xlfn.TEXTJOIN("", TRUE, IF(ISNUMBER(--MID(C190, ROW(INDIRECT("1:"&amp;LEN(C190))), 1)), MID(C190, ROW(INDIRECT("1:"&amp;LEN(C190))), 1), ""))</f>
        <v/>
      </c>
      <c r="I190" s="378"/>
      <c r="J190" s="378">
        <f t="shared" ref="J190:K190" si="101">IF(LEFT(I190,5)="00966", RIGHT(I190,LEN(I190)-5),
    IF(LEFT(I190,4)="+966", RIGHT(I190,LEN(I190)-4),
        IF(LEFT(I190,3)="966", RIGHT(I190,LEN(I190)-3),
            IF(LEFT(I190,1)="0", RIGHT(I190,LEN(I190)-1), I190)
        )
    )
)</f>
        <v>0</v>
      </c>
      <c r="K190" s="378" t="str">
        <f t="shared" si="101"/>
        <v/>
      </c>
      <c r="L190" s="378" t="str">
        <f t="shared" si="66"/>
        <v>أجنبي</v>
      </c>
      <c r="M190" s="436" t="str">
        <f t="shared" si="67"/>
        <v/>
      </c>
      <c r="N190" s="436"/>
      <c r="O190" s="378"/>
      <c r="P190" s="378"/>
      <c r="Q190" s="378"/>
      <c r="R190" s="378"/>
      <c r="S190" s="378"/>
      <c r="T190" s="378"/>
      <c r="U190" s="378">
        <v>188</v>
      </c>
      <c r="V190" s="378"/>
      <c r="W190" s="378"/>
      <c r="X190" s="378"/>
      <c r="Y190" s="378"/>
      <c r="Z190" s="378"/>
      <c r="AA190" s="378"/>
      <c r="AB190" s="378"/>
      <c r="AC190" s="378"/>
      <c r="AD190" s="378"/>
      <c r="AE190" s="378"/>
      <c r="AF190" s="378"/>
      <c r="AG190" s="378"/>
      <c r="AH190" s="378"/>
      <c r="AI190" s="378"/>
      <c r="AJ190" s="378"/>
      <c r="AK190" s="378"/>
      <c r="AL190" s="378"/>
      <c r="AM190" s="378"/>
      <c r="AN190" s="378"/>
      <c r="AO190" s="378"/>
      <c r="AP190" s="378"/>
      <c r="AQ190" s="378"/>
    </row>
    <row r="191" spans="2:43">
      <c r="B191" s="378">
        <v>189</v>
      </c>
      <c r="C191" s="378"/>
      <c r="D191" s="378"/>
      <c r="E191" s="378"/>
      <c r="F191" s="378"/>
      <c r="G191" s="378"/>
      <c r="H191" s="378" t="str">
        <f t="array" aca="1" ref="H191" ca="1">_xlfn.TEXTJOIN("", TRUE, IF(ISNUMBER(--MID(C191, ROW(INDIRECT("1:"&amp;LEN(C191))), 1)), MID(C191, ROW(INDIRECT("1:"&amp;LEN(C191))), 1), ""))</f>
        <v/>
      </c>
      <c r="I191" s="378"/>
      <c r="J191" s="378">
        <f t="shared" ref="J191:K191" si="102">IF(LEFT(I191,5)="00966", RIGHT(I191,LEN(I191)-5),
    IF(LEFT(I191,4)="+966", RIGHT(I191,LEN(I191)-4),
        IF(LEFT(I191,3)="966", RIGHT(I191,LEN(I191)-3),
            IF(LEFT(I191,1)="0", RIGHT(I191,LEN(I191)-1), I191)
        )
    )
)</f>
        <v>0</v>
      </c>
      <c r="K191" s="378" t="str">
        <f t="shared" si="102"/>
        <v/>
      </c>
      <c r="L191" s="378" t="str">
        <f t="shared" si="66"/>
        <v>أجنبي</v>
      </c>
      <c r="M191" s="436" t="str">
        <f t="shared" si="67"/>
        <v/>
      </c>
      <c r="N191" s="436"/>
      <c r="O191" s="378"/>
      <c r="P191" s="378"/>
      <c r="Q191" s="378"/>
      <c r="R191" s="378"/>
      <c r="S191" s="378"/>
      <c r="T191" s="378"/>
      <c r="U191" s="378">
        <v>189</v>
      </c>
      <c r="V191" s="378"/>
      <c r="W191" s="378"/>
      <c r="X191" s="378"/>
      <c r="Y191" s="378"/>
      <c r="Z191" s="378"/>
      <c r="AA191" s="378"/>
      <c r="AB191" s="378"/>
      <c r="AC191" s="378"/>
      <c r="AD191" s="378"/>
      <c r="AE191" s="378"/>
      <c r="AF191" s="378"/>
      <c r="AG191" s="378"/>
      <c r="AH191" s="378"/>
      <c r="AI191" s="378"/>
      <c r="AJ191" s="378"/>
      <c r="AK191" s="378"/>
      <c r="AL191" s="378"/>
      <c r="AM191" s="378"/>
      <c r="AN191" s="378"/>
      <c r="AO191" s="378"/>
      <c r="AP191" s="378"/>
      <c r="AQ191" s="378"/>
    </row>
    <row r="192" spans="2:43">
      <c r="B192" s="378">
        <v>190</v>
      </c>
      <c r="C192" s="378"/>
      <c r="D192" s="378"/>
      <c r="E192" s="378"/>
      <c r="F192" s="378"/>
      <c r="G192" s="378"/>
      <c r="H192" s="378" t="str">
        <f t="array" aca="1" ref="H192" ca="1">_xlfn.TEXTJOIN("", TRUE, IF(ISNUMBER(--MID(C192, ROW(INDIRECT("1:"&amp;LEN(C192))), 1)), MID(C192, ROW(INDIRECT("1:"&amp;LEN(C192))), 1), ""))</f>
        <v/>
      </c>
      <c r="I192" s="378"/>
      <c r="J192" s="378">
        <f t="shared" ref="J192:K192" si="103">IF(LEFT(I192,5)="00966", RIGHT(I192,LEN(I192)-5),
    IF(LEFT(I192,4)="+966", RIGHT(I192,LEN(I192)-4),
        IF(LEFT(I192,3)="966", RIGHT(I192,LEN(I192)-3),
            IF(LEFT(I192,1)="0", RIGHT(I192,LEN(I192)-1), I192)
        )
    )
)</f>
        <v>0</v>
      </c>
      <c r="K192" s="378" t="str">
        <f t="shared" si="103"/>
        <v/>
      </c>
      <c r="L192" s="378" t="str">
        <f t="shared" si="66"/>
        <v>أجنبي</v>
      </c>
      <c r="M192" s="436" t="str">
        <f t="shared" si="67"/>
        <v/>
      </c>
      <c r="N192" s="436"/>
      <c r="O192" s="378"/>
      <c r="P192" s="378"/>
      <c r="Q192" s="378"/>
      <c r="R192" s="378"/>
      <c r="S192" s="378"/>
      <c r="T192" s="378"/>
      <c r="U192" s="378">
        <v>190</v>
      </c>
      <c r="V192" s="378"/>
      <c r="W192" s="378"/>
      <c r="X192" s="378"/>
      <c r="Y192" s="378"/>
      <c r="Z192" s="378"/>
      <c r="AA192" s="378"/>
      <c r="AB192" s="378"/>
      <c r="AC192" s="378"/>
      <c r="AD192" s="378"/>
      <c r="AE192" s="378"/>
      <c r="AF192" s="378"/>
      <c r="AG192" s="378"/>
      <c r="AH192" s="378"/>
      <c r="AI192" s="378"/>
      <c r="AJ192" s="378"/>
      <c r="AK192" s="378"/>
      <c r="AL192" s="378"/>
      <c r="AM192" s="378"/>
      <c r="AN192" s="378"/>
      <c r="AO192" s="378"/>
      <c r="AP192" s="378"/>
      <c r="AQ192" s="378"/>
    </row>
    <row r="193" spans="2:43">
      <c r="B193" s="378">
        <v>191</v>
      </c>
      <c r="C193" s="378"/>
      <c r="D193" s="378"/>
      <c r="E193" s="378"/>
      <c r="F193" s="378"/>
      <c r="G193" s="378"/>
      <c r="H193" s="378" t="str">
        <f t="array" aca="1" ref="H193" ca="1">_xlfn.TEXTJOIN("", TRUE, IF(ISNUMBER(--MID(C193, ROW(INDIRECT("1:"&amp;LEN(C193))), 1)), MID(C193, ROW(INDIRECT("1:"&amp;LEN(C193))), 1), ""))</f>
        <v/>
      </c>
      <c r="I193" s="378"/>
      <c r="J193" s="378">
        <f t="shared" ref="J193:K193" si="104">IF(LEFT(I193,5)="00966", RIGHT(I193,LEN(I193)-5),
    IF(LEFT(I193,4)="+966", RIGHT(I193,LEN(I193)-4),
        IF(LEFT(I193,3)="966", RIGHT(I193,LEN(I193)-3),
            IF(LEFT(I193,1)="0", RIGHT(I193,LEN(I193)-1), I193)
        )
    )
)</f>
        <v>0</v>
      </c>
      <c r="K193" s="378" t="str">
        <f t="shared" si="104"/>
        <v/>
      </c>
      <c r="L193" s="378" t="str">
        <f t="shared" si="66"/>
        <v>أجنبي</v>
      </c>
      <c r="M193" s="436" t="str">
        <f t="shared" si="67"/>
        <v/>
      </c>
      <c r="N193" s="436"/>
      <c r="O193" s="378"/>
      <c r="P193" s="378"/>
      <c r="Q193" s="378"/>
      <c r="R193" s="378"/>
      <c r="S193" s="378"/>
      <c r="T193" s="378"/>
      <c r="U193" s="378">
        <v>191</v>
      </c>
      <c r="V193" s="378"/>
      <c r="W193" s="378"/>
      <c r="X193" s="378"/>
      <c r="Y193" s="378"/>
      <c r="Z193" s="378"/>
      <c r="AA193" s="378"/>
      <c r="AB193" s="378"/>
      <c r="AC193" s="378"/>
      <c r="AD193" s="378"/>
      <c r="AE193" s="378"/>
      <c r="AF193" s="378"/>
      <c r="AG193" s="378"/>
      <c r="AH193" s="378"/>
      <c r="AI193" s="378"/>
      <c r="AJ193" s="378"/>
      <c r="AK193" s="378"/>
      <c r="AL193" s="378"/>
      <c r="AM193" s="378"/>
      <c r="AN193" s="378"/>
      <c r="AO193" s="378"/>
      <c r="AP193" s="378"/>
      <c r="AQ193" s="378"/>
    </row>
    <row r="194" spans="2:43">
      <c r="B194" s="378">
        <v>192</v>
      </c>
      <c r="C194" s="378"/>
      <c r="D194" s="378"/>
      <c r="E194" s="378"/>
      <c r="F194" s="378"/>
      <c r="G194" s="378"/>
      <c r="H194" s="378" t="str">
        <f t="array" aca="1" ref="H194" ca="1">_xlfn.TEXTJOIN("", TRUE, IF(ISNUMBER(--MID(C194, ROW(INDIRECT("1:"&amp;LEN(C194))), 1)), MID(C194, ROW(INDIRECT("1:"&amp;LEN(C194))), 1), ""))</f>
        <v/>
      </c>
      <c r="I194" s="378"/>
      <c r="J194" s="378">
        <f t="shared" ref="J194:K194" si="105">IF(LEFT(I194,5)="00966", RIGHT(I194,LEN(I194)-5),
    IF(LEFT(I194,4)="+966", RIGHT(I194,LEN(I194)-4),
        IF(LEFT(I194,3)="966", RIGHT(I194,LEN(I194)-3),
            IF(LEFT(I194,1)="0", RIGHT(I194,LEN(I194)-1), I194)
        )
    )
)</f>
        <v>0</v>
      </c>
      <c r="K194" s="378" t="str">
        <f t="shared" si="105"/>
        <v/>
      </c>
      <c r="L194" s="378" t="str">
        <f t="shared" si="66"/>
        <v>أجنبي</v>
      </c>
      <c r="M194" s="436" t="str">
        <f t="shared" si="67"/>
        <v/>
      </c>
      <c r="N194" s="436"/>
      <c r="O194" s="378"/>
      <c r="P194" s="378"/>
      <c r="Q194" s="378"/>
      <c r="R194" s="378"/>
      <c r="S194" s="378"/>
      <c r="T194" s="378"/>
      <c r="U194" s="378">
        <v>192</v>
      </c>
      <c r="V194" s="378"/>
      <c r="W194" s="378"/>
      <c r="X194" s="378"/>
      <c r="Y194" s="378"/>
      <c r="Z194" s="378"/>
      <c r="AA194" s="378"/>
      <c r="AB194" s="378"/>
      <c r="AC194" s="378"/>
      <c r="AD194" s="378"/>
      <c r="AE194" s="378"/>
      <c r="AF194" s="378"/>
      <c r="AG194" s="378"/>
      <c r="AH194" s="378"/>
      <c r="AI194" s="378"/>
      <c r="AJ194" s="378"/>
      <c r="AK194" s="378"/>
      <c r="AL194" s="378"/>
      <c r="AM194" s="378"/>
      <c r="AN194" s="378"/>
      <c r="AO194" s="378"/>
      <c r="AP194" s="378"/>
      <c r="AQ194" s="378"/>
    </row>
    <row r="195" spans="2:43">
      <c r="B195" s="378">
        <v>193</v>
      </c>
      <c r="C195" s="378"/>
      <c r="D195" s="378"/>
      <c r="E195" s="378"/>
      <c r="F195" s="378"/>
      <c r="G195" s="378"/>
      <c r="H195" s="378" t="str">
        <f t="array" aca="1" ref="H195" ca="1">_xlfn.TEXTJOIN("", TRUE, IF(ISNUMBER(--MID(C195, ROW(INDIRECT("1:"&amp;LEN(C195))), 1)), MID(C195, ROW(INDIRECT("1:"&amp;LEN(C195))), 1), ""))</f>
        <v/>
      </c>
      <c r="I195" s="378"/>
      <c r="J195" s="378">
        <f t="shared" ref="J195:K195" si="106">IF(LEFT(I195,5)="00966", RIGHT(I195,LEN(I195)-5),
    IF(LEFT(I195,4)="+966", RIGHT(I195,LEN(I195)-4),
        IF(LEFT(I195,3)="966", RIGHT(I195,LEN(I195)-3),
            IF(LEFT(I195,1)="0", RIGHT(I195,LEN(I195)-1), I195)
        )
    )
)</f>
        <v>0</v>
      </c>
      <c r="K195" s="378" t="str">
        <f t="shared" si="106"/>
        <v/>
      </c>
      <c r="L195" s="378" t="str">
        <f t="shared" si="66"/>
        <v>أجنبي</v>
      </c>
      <c r="M195" s="436" t="str">
        <f t="shared" si="67"/>
        <v/>
      </c>
      <c r="N195" s="436"/>
      <c r="O195" s="378"/>
      <c r="P195" s="378"/>
      <c r="Q195" s="378"/>
      <c r="R195" s="378"/>
      <c r="S195" s="378"/>
      <c r="T195" s="378"/>
      <c r="U195" s="378">
        <v>193</v>
      </c>
      <c r="V195" s="378"/>
      <c r="W195" s="378"/>
      <c r="X195" s="378"/>
      <c r="Y195" s="378"/>
      <c r="Z195" s="378"/>
      <c r="AA195" s="378"/>
      <c r="AB195" s="378"/>
      <c r="AC195" s="378"/>
      <c r="AD195" s="378"/>
      <c r="AE195" s="378"/>
      <c r="AF195" s="378"/>
      <c r="AG195" s="378"/>
      <c r="AH195" s="378"/>
      <c r="AI195" s="378"/>
      <c r="AJ195" s="378"/>
      <c r="AK195" s="378"/>
      <c r="AL195" s="378"/>
      <c r="AM195" s="378"/>
      <c r="AN195" s="378"/>
      <c r="AO195" s="378"/>
      <c r="AP195" s="378"/>
      <c r="AQ195" s="378"/>
    </row>
    <row r="196" spans="2:43">
      <c r="B196" s="378">
        <v>194</v>
      </c>
      <c r="C196" s="378"/>
      <c r="D196" s="378"/>
      <c r="E196" s="378"/>
      <c r="F196" s="378"/>
      <c r="G196" s="378"/>
      <c r="H196" s="378" t="str">
        <f t="array" aca="1" ref="H196" ca="1">_xlfn.TEXTJOIN("", TRUE, IF(ISNUMBER(--MID(C196, ROW(INDIRECT("1:"&amp;LEN(C196))), 1)), MID(C196, ROW(INDIRECT("1:"&amp;LEN(C196))), 1), ""))</f>
        <v/>
      </c>
      <c r="I196" s="378"/>
      <c r="J196" s="378">
        <f t="shared" ref="J196:K196" si="107">IF(LEFT(I196,5)="00966", RIGHT(I196,LEN(I196)-5),
    IF(LEFT(I196,4)="+966", RIGHT(I196,LEN(I196)-4),
        IF(LEFT(I196,3)="966", RIGHT(I196,LEN(I196)-3),
            IF(LEFT(I196,1)="0", RIGHT(I196,LEN(I196)-1), I196)
        )
    )
)</f>
        <v>0</v>
      </c>
      <c r="K196" s="378" t="str">
        <f t="shared" si="107"/>
        <v/>
      </c>
      <c r="L196" s="378" t="str">
        <f t="shared" si="66"/>
        <v>أجنبي</v>
      </c>
      <c r="M196" s="436" t="str">
        <f t="shared" si="67"/>
        <v/>
      </c>
      <c r="N196" s="436"/>
      <c r="O196" s="378"/>
      <c r="P196" s="378"/>
      <c r="Q196" s="378"/>
      <c r="R196" s="378"/>
      <c r="S196" s="378"/>
      <c r="T196" s="378"/>
      <c r="U196" s="378">
        <v>194</v>
      </c>
      <c r="V196" s="378"/>
      <c r="W196" s="378"/>
      <c r="X196" s="378"/>
      <c r="Y196" s="378"/>
      <c r="Z196" s="378"/>
      <c r="AA196" s="378"/>
      <c r="AB196" s="378"/>
      <c r="AC196" s="378"/>
      <c r="AD196" s="378"/>
      <c r="AE196" s="378"/>
      <c r="AF196" s="378"/>
      <c r="AG196" s="378"/>
      <c r="AH196" s="378"/>
      <c r="AI196" s="378"/>
      <c r="AJ196" s="378"/>
      <c r="AK196" s="378"/>
      <c r="AL196" s="378"/>
      <c r="AM196" s="378"/>
      <c r="AN196" s="378"/>
      <c r="AO196" s="378"/>
      <c r="AP196" s="378"/>
      <c r="AQ196" s="378"/>
    </row>
    <row r="197" spans="2:43">
      <c r="B197" s="378">
        <v>195</v>
      </c>
      <c r="C197" s="378"/>
      <c r="D197" s="378"/>
      <c r="E197" s="378"/>
      <c r="F197" s="378"/>
      <c r="G197" s="378"/>
      <c r="H197" s="378" t="str">
        <f t="array" aca="1" ref="H197" ca="1">_xlfn.TEXTJOIN("", TRUE, IF(ISNUMBER(--MID(C197, ROW(INDIRECT("1:"&amp;LEN(C197))), 1)), MID(C197, ROW(INDIRECT("1:"&amp;LEN(C197))), 1), ""))</f>
        <v/>
      </c>
      <c r="I197" s="378"/>
      <c r="J197" s="378">
        <f t="shared" ref="J197:K197" si="108">IF(LEFT(I197,5)="00966", RIGHT(I197,LEN(I197)-5),
    IF(LEFT(I197,4)="+966", RIGHT(I197,LEN(I197)-4),
        IF(LEFT(I197,3)="966", RIGHT(I197,LEN(I197)-3),
            IF(LEFT(I197,1)="0", RIGHT(I197,LEN(I197)-1), I197)
        )
    )
)</f>
        <v>0</v>
      </c>
      <c r="K197" s="378" t="str">
        <f t="shared" si="108"/>
        <v/>
      </c>
      <c r="L197" s="378" t="str">
        <f t="shared" si="66"/>
        <v>أجنبي</v>
      </c>
      <c r="M197" s="436" t="str">
        <f t="shared" si="67"/>
        <v/>
      </c>
      <c r="N197" s="436"/>
      <c r="O197" s="378"/>
      <c r="P197" s="378"/>
      <c r="Q197" s="378"/>
      <c r="R197" s="378"/>
      <c r="S197" s="378"/>
      <c r="T197" s="378"/>
      <c r="U197" s="378">
        <v>195</v>
      </c>
      <c r="V197" s="378"/>
      <c r="W197" s="378"/>
      <c r="X197" s="378"/>
      <c r="Y197" s="378"/>
      <c r="Z197" s="378"/>
      <c r="AA197" s="378"/>
      <c r="AB197" s="378"/>
      <c r="AC197" s="378"/>
      <c r="AD197" s="378"/>
      <c r="AE197" s="378"/>
      <c r="AF197" s="378"/>
      <c r="AG197" s="378"/>
      <c r="AH197" s="378"/>
      <c r="AI197" s="378"/>
      <c r="AJ197" s="378"/>
      <c r="AK197" s="378"/>
      <c r="AL197" s="378"/>
      <c r="AM197" s="378"/>
      <c r="AN197" s="378"/>
      <c r="AO197" s="378"/>
      <c r="AP197" s="378"/>
      <c r="AQ197" s="378"/>
    </row>
    <row r="198" spans="2:43">
      <c r="B198" s="378">
        <v>196</v>
      </c>
      <c r="C198" s="378"/>
      <c r="D198" s="378"/>
      <c r="E198" s="378"/>
      <c r="F198" s="378"/>
      <c r="G198" s="378"/>
      <c r="H198" s="378" t="str">
        <f t="array" aca="1" ref="H198" ca="1">_xlfn.TEXTJOIN("", TRUE, IF(ISNUMBER(--MID(C198, ROW(INDIRECT("1:"&amp;LEN(C198))), 1)), MID(C198, ROW(INDIRECT("1:"&amp;LEN(C198))), 1), ""))</f>
        <v/>
      </c>
      <c r="I198" s="378"/>
      <c r="J198" s="378">
        <f t="shared" ref="J198:K198" si="109">IF(LEFT(I198,5)="00966", RIGHT(I198,LEN(I198)-5),
    IF(LEFT(I198,4)="+966", RIGHT(I198,LEN(I198)-4),
        IF(LEFT(I198,3)="966", RIGHT(I198,LEN(I198)-3),
            IF(LEFT(I198,1)="0", RIGHT(I198,LEN(I198)-1), I198)
        )
    )
)</f>
        <v>0</v>
      </c>
      <c r="K198" s="378" t="str">
        <f t="shared" si="109"/>
        <v/>
      </c>
      <c r="L198" s="378" t="str">
        <f t="shared" si="66"/>
        <v>أجنبي</v>
      </c>
      <c r="M198" s="436" t="str">
        <f t="shared" si="67"/>
        <v/>
      </c>
      <c r="N198" s="436"/>
      <c r="O198" s="378"/>
      <c r="P198" s="378"/>
      <c r="Q198" s="378"/>
      <c r="R198" s="378"/>
      <c r="S198" s="378"/>
      <c r="T198" s="378"/>
      <c r="U198" s="378">
        <v>196</v>
      </c>
      <c r="V198" s="378"/>
      <c r="W198" s="378"/>
      <c r="X198" s="378"/>
      <c r="Y198" s="378"/>
      <c r="Z198" s="378"/>
      <c r="AA198" s="378"/>
      <c r="AB198" s="378"/>
      <c r="AC198" s="378"/>
      <c r="AD198" s="378"/>
      <c r="AE198" s="378"/>
      <c r="AF198" s="378"/>
      <c r="AG198" s="378"/>
      <c r="AH198" s="378"/>
      <c r="AI198" s="378"/>
      <c r="AJ198" s="378"/>
      <c r="AK198" s="378"/>
      <c r="AL198" s="378"/>
      <c r="AM198" s="378"/>
      <c r="AN198" s="378"/>
      <c r="AO198" s="378"/>
      <c r="AP198" s="378"/>
      <c r="AQ198" s="378"/>
    </row>
    <row r="199" spans="2:43">
      <c r="B199" s="378">
        <v>197</v>
      </c>
      <c r="C199" s="378"/>
      <c r="D199" s="378"/>
      <c r="E199" s="378"/>
      <c r="F199" s="378"/>
      <c r="G199" s="378"/>
      <c r="H199" s="378" t="str">
        <f t="array" aca="1" ref="H199" ca="1">_xlfn.TEXTJOIN("", TRUE, IF(ISNUMBER(--MID(C199, ROW(INDIRECT("1:"&amp;LEN(C199))), 1)), MID(C199, ROW(INDIRECT("1:"&amp;LEN(C199))), 1), ""))</f>
        <v/>
      </c>
      <c r="I199" s="378"/>
      <c r="J199" s="378">
        <f t="shared" ref="J199:K199" si="110">IF(LEFT(I199,5)="00966", RIGHT(I199,LEN(I199)-5),
    IF(LEFT(I199,4)="+966", RIGHT(I199,LEN(I199)-4),
        IF(LEFT(I199,3)="966", RIGHT(I199,LEN(I199)-3),
            IF(LEFT(I199,1)="0", RIGHT(I199,LEN(I199)-1), I199)
        )
    )
)</f>
        <v>0</v>
      </c>
      <c r="K199" s="378" t="str">
        <f t="shared" si="110"/>
        <v/>
      </c>
      <c r="L199" s="378" t="str">
        <f t="shared" si="66"/>
        <v>أجنبي</v>
      </c>
      <c r="M199" s="436" t="str">
        <f t="shared" si="67"/>
        <v/>
      </c>
      <c r="N199" s="436"/>
      <c r="O199" s="378"/>
      <c r="P199" s="378"/>
      <c r="Q199" s="378"/>
      <c r="R199" s="378"/>
      <c r="S199" s="378"/>
      <c r="T199" s="378"/>
      <c r="U199" s="378">
        <v>197</v>
      </c>
      <c r="V199" s="378"/>
      <c r="W199" s="378"/>
      <c r="X199" s="378"/>
      <c r="Y199" s="378"/>
      <c r="Z199" s="378"/>
      <c r="AA199" s="378"/>
      <c r="AB199" s="378"/>
      <c r="AC199" s="378"/>
      <c r="AD199" s="378"/>
      <c r="AE199" s="378"/>
      <c r="AF199" s="378"/>
      <c r="AG199" s="378"/>
      <c r="AH199" s="378"/>
      <c r="AI199" s="378"/>
      <c r="AJ199" s="378"/>
      <c r="AK199" s="378"/>
      <c r="AL199" s="378"/>
      <c r="AM199" s="378"/>
      <c r="AN199" s="378"/>
      <c r="AO199" s="378"/>
      <c r="AP199" s="378"/>
      <c r="AQ199" s="378"/>
    </row>
    <row r="200" spans="2:43">
      <c r="B200" s="378">
        <v>198</v>
      </c>
      <c r="C200" s="378"/>
      <c r="D200" s="378"/>
      <c r="E200" s="378"/>
      <c r="F200" s="378"/>
      <c r="G200" s="378"/>
      <c r="H200" s="378" t="str">
        <f t="array" aca="1" ref="H200" ca="1">_xlfn.TEXTJOIN("", TRUE, IF(ISNUMBER(--MID(C200, ROW(INDIRECT("1:"&amp;LEN(C200))), 1)), MID(C200, ROW(INDIRECT("1:"&amp;LEN(C200))), 1), ""))</f>
        <v/>
      </c>
      <c r="I200" s="378"/>
      <c r="J200" s="378">
        <f t="shared" ref="J200:K200" si="111">IF(LEFT(I200,5)="00966", RIGHT(I200,LEN(I200)-5),
    IF(LEFT(I200,4)="+966", RIGHT(I200,LEN(I200)-4),
        IF(LEFT(I200,3)="966", RIGHT(I200,LEN(I200)-3),
            IF(LEFT(I200,1)="0", RIGHT(I200,LEN(I200)-1), I200)
        )
    )
)</f>
        <v>0</v>
      </c>
      <c r="K200" s="378" t="str">
        <f t="shared" si="111"/>
        <v/>
      </c>
      <c r="L200" s="378" t="str">
        <f t="shared" si="66"/>
        <v>أجنبي</v>
      </c>
      <c r="M200" s="436" t="str">
        <f t="shared" si="67"/>
        <v/>
      </c>
      <c r="N200" s="436"/>
      <c r="O200" s="378"/>
      <c r="P200" s="378"/>
      <c r="Q200" s="378"/>
      <c r="R200" s="378"/>
      <c r="S200" s="378"/>
      <c r="T200" s="378"/>
      <c r="U200" s="378">
        <v>198</v>
      </c>
      <c r="V200" s="378"/>
      <c r="W200" s="378"/>
      <c r="X200" s="378"/>
      <c r="Y200" s="378"/>
      <c r="Z200" s="378"/>
      <c r="AA200" s="378"/>
      <c r="AB200" s="378"/>
      <c r="AC200" s="378"/>
      <c r="AD200" s="378"/>
      <c r="AE200" s="378"/>
      <c r="AF200" s="378"/>
      <c r="AG200" s="378"/>
      <c r="AH200" s="378"/>
      <c r="AI200" s="378"/>
      <c r="AJ200" s="378"/>
      <c r="AK200" s="378"/>
      <c r="AL200" s="378"/>
      <c r="AM200" s="378"/>
      <c r="AN200" s="378"/>
      <c r="AO200" s="378"/>
      <c r="AP200" s="378"/>
      <c r="AQ200" s="378"/>
    </row>
    <row r="201" spans="2:43">
      <c r="B201" s="378">
        <v>199</v>
      </c>
      <c r="C201" s="378"/>
      <c r="D201" s="378"/>
      <c r="E201" s="378"/>
      <c r="F201" s="378"/>
      <c r="G201" s="378"/>
      <c r="H201" s="378" t="str">
        <f t="array" aca="1" ref="H201" ca="1">_xlfn.TEXTJOIN("", TRUE, IF(ISNUMBER(--MID(C201, ROW(INDIRECT("1:"&amp;LEN(C201))), 1)), MID(C201, ROW(INDIRECT("1:"&amp;LEN(C201))), 1), ""))</f>
        <v/>
      </c>
      <c r="I201" s="378"/>
      <c r="J201" s="378">
        <f t="shared" ref="J201:K201" si="112">IF(LEFT(I201,5)="00966", RIGHT(I201,LEN(I201)-5),
    IF(LEFT(I201,4)="+966", RIGHT(I201,LEN(I201)-4),
        IF(LEFT(I201,3)="966", RIGHT(I201,LEN(I201)-3),
            IF(LEFT(I201,1)="0", RIGHT(I201,LEN(I201)-1), I201)
        )
    )
)</f>
        <v>0</v>
      </c>
      <c r="K201" s="378" t="str">
        <f t="shared" si="112"/>
        <v/>
      </c>
      <c r="L201" s="378" t="str">
        <f t="shared" si="66"/>
        <v>أجنبي</v>
      </c>
      <c r="M201" s="436" t="str">
        <f t="shared" si="67"/>
        <v/>
      </c>
      <c r="N201" s="436"/>
      <c r="O201" s="378"/>
      <c r="P201" s="378"/>
      <c r="Q201" s="378"/>
      <c r="R201" s="378"/>
      <c r="S201" s="378"/>
      <c r="T201" s="378"/>
      <c r="U201" s="378">
        <v>199</v>
      </c>
      <c r="V201" s="378"/>
      <c r="W201" s="378"/>
      <c r="X201" s="378"/>
      <c r="Y201" s="378"/>
      <c r="Z201" s="378"/>
      <c r="AA201" s="378"/>
      <c r="AB201" s="378"/>
      <c r="AC201" s="378"/>
      <c r="AD201" s="378"/>
      <c r="AE201" s="378"/>
      <c r="AF201" s="378"/>
      <c r="AG201" s="378"/>
      <c r="AH201" s="378"/>
      <c r="AI201" s="378"/>
      <c r="AJ201" s="378"/>
      <c r="AK201" s="378"/>
      <c r="AL201" s="378"/>
      <c r="AM201" s="378"/>
      <c r="AN201" s="378"/>
      <c r="AO201" s="378"/>
      <c r="AP201" s="378"/>
      <c r="AQ201" s="378"/>
    </row>
    <row r="202" spans="2:43">
      <c r="B202" s="378">
        <v>200</v>
      </c>
      <c r="C202" s="378"/>
      <c r="D202" s="378"/>
      <c r="E202" s="378"/>
      <c r="F202" s="378"/>
      <c r="G202" s="378"/>
      <c r="H202" s="378" t="str">
        <f t="array" aca="1" ref="H202" ca="1">_xlfn.TEXTJOIN("", TRUE, IF(ISNUMBER(--MID(C202, ROW(INDIRECT("1:"&amp;LEN(C202))), 1)), MID(C202, ROW(INDIRECT("1:"&amp;LEN(C202))), 1), ""))</f>
        <v/>
      </c>
      <c r="I202" s="378"/>
      <c r="J202" s="378">
        <f t="shared" ref="J202:K202" si="113">IF(LEFT(I202,5)="00966", RIGHT(I202,LEN(I202)-5),
    IF(LEFT(I202,4)="+966", RIGHT(I202,LEN(I202)-4),
        IF(LEFT(I202,3)="966", RIGHT(I202,LEN(I202)-3),
            IF(LEFT(I202,1)="0", RIGHT(I202,LEN(I202)-1), I202)
        )
    )
)</f>
        <v>0</v>
      </c>
      <c r="K202" s="378" t="str">
        <f t="shared" si="113"/>
        <v/>
      </c>
      <c r="L202" s="378" t="str">
        <f t="shared" si="66"/>
        <v>أجنبي</v>
      </c>
      <c r="M202" s="436" t="str">
        <f t="shared" si="67"/>
        <v/>
      </c>
      <c r="N202" s="436"/>
      <c r="O202" s="378"/>
      <c r="P202" s="378"/>
      <c r="Q202" s="378"/>
      <c r="R202" s="378"/>
      <c r="S202" s="378"/>
      <c r="T202" s="378"/>
      <c r="U202" s="378">
        <v>200</v>
      </c>
      <c r="V202" s="378"/>
      <c r="W202" s="378"/>
      <c r="X202" s="378"/>
      <c r="Y202" s="378"/>
      <c r="Z202" s="378"/>
      <c r="AA202" s="378"/>
      <c r="AB202" s="378"/>
      <c r="AC202" s="378"/>
      <c r="AD202" s="378"/>
      <c r="AE202" s="378"/>
      <c r="AF202" s="378"/>
      <c r="AG202" s="378"/>
      <c r="AH202" s="378"/>
      <c r="AI202" s="378"/>
      <c r="AJ202" s="378"/>
      <c r="AK202" s="378"/>
      <c r="AL202" s="378"/>
      <c r="AM202" s="378"/>
      <c r="AN202" s="378"/>
      <c r="AO202" s="378"/>
      <c r="AP202" s="378"/>
      <c r="AQ202" s="378"/>
    </row>
    <row r="203" spans="2:43">
      <c r="B203" s="378">
        <v>201</v>
      </c>
      <c r="C203" s="378"/>
      <c r="D203" s="378"/>
      <c r="E203" s="378"/>
      <c r="F203" s="378"/>
      <c r="G203" s="378"/>
      <c r="H203" s="378" t="str">
        <f t="array" aca="1" ref="H203" ca="1">_xlfn.TEXTJOIN("", TRUE, IF(ISNUMBER(--MID(C203, ROW(INDIRECT("1:"&amp;LEN(C203))), 1)), MID(C203, ROW(INDIRECT("1:"&amp;LEN(C203))), 1), ""))</f>
        <v/>
      </c>
      <c r="I203" s="378"/>
      <c r="J203" s="378">
        <f t="shared" ref="J203:K203" si="114">IF(LEFT(I203,5)="00966", RIGHT(I203,LEN(I203)-5),
    IF(LEFT(I203,4)="+966", RIGHT(I203,LEN(I203)-4),
        IF(LEFT(I203,3)="966", RIGHT(I203,LEN(I203)-3),
            IF(LEFT(I203,1)="0", RIGHT(I203,LEN(I203)-1), I203)
        )
    )
)</f>
        <v>0</v>
      </c>
      <c r="K203" s="378" t="str">
        <f t="shared" si="114"/>
        <v/>
      </c>
      <c r="L203" s="378" t="str">
        <f t="shared" si="66"/>
        <v>أجنبي</v>
      </c>
      <c r="M203" s="436" t="str">
        <f t="shared" si="67"/>
        <v/>
      </c>
      <c r="N203" s="436"/>
      <c r="O203" s="378"/>
      <c r="P203" s="378"/>
      <c r="Q203" s="378"/>
      <c r="R203" s="378"/>
      <c r="S203" s="378"/>
      <c r="T203" s="378"/>
      <c r="U203" s="378">
        <v>201</v>
      </c>
      <c r="V203" s="378"/>
      <c r="W203" s="378"/>
      <c r="X203" s="378"/>
      <c r="Y203" s="378"/>
      <c r="Z203" s="378"/>
      <c r="AA203" s="378"/>
      <c r="AB203" s="378"/>
      <c r="AC203" s="378"/>
      <c r="AD203" s="378"/>
      <c r="AE203" s="378"/>
      <c r="AF203" s="378"/>
      <c r="AG203" s="378"/>
      <c r="AH203" s="378"/>
      <c r="AI203" s="378"/>
      <c r="AJ203" s="378"/>
      <c r="AK203" s="378"/>
      <c r="AL203" s="378"/>
      <c r="AM203" s="378"/>
      <c r="AN203" s="378"/>
      <c r="AO203" s="378"/>
      <c r="AP203" s="378"/>
      <c r="AQ203" s="378"/>
    </row>
    <row r="204" spans="2:43">
      <c r="B204" s="378">
        <v>202</v>
      </c>
      <c r="C204" s="378"/>
      <c r="D204" s="378"/>
      <c r="E204" s="378"/>
      <c r="F204" s="378"/>
      <c r="G204" s="378"/>
      <c r="H204" s="378" t="str">
        <f t="array" aca="1" ref="H204" ca="1">_xlfn.TEXTJOIN("", TRUE, IF(ISNUMBER(--MID(C204, ROW(INDIRECT("1:"&amp;LEN(C204))), 1)), MID(C204, ROW(INDIRECT("1:"&amp;LEN(C204))), 1), ""))</f>
        <v/>
      </c>
      <c r="I204" s="378"/>
      <c r="J204" s="378">
        <f t="shared" ref="J204:K204" si="115">IF(LEFT(I204,5)="00966", RIGHT(I204,LEN(I204)-5),
    IF(LEFT(I204,4)="+966", RIGHT(I204,LEN(I204)-4),
        IF(LEFT(I204,3)="966", RIGHT(I204,LEN(I204)-3),
            IF(LEFT(I204,1)="0", RIGHT(I204,LEN(I204)-1), I204)
        )
    )
)</f>
        <v>0</v>
      </c>
      <c r="K204" s="378" t="str">
        <f t="shared" si="115"/>
        <v/>
      </c>
      <c r="L204" s="378" t="str">
        <f t="shared" si="66"/>
        <v>أجنبي</v>
      </c>
      <c r="M204" s="436" t="str">
        <f t="shared" si="67"/>
        <v/>
      </c>
      <c r="N204" s="436"/>
      <c r="O204" s="378"/>
      <c r="P204" s="378"/>
      <c r="Q204" s="378"/>
      <c r="R204" s="378"/>
      <c r="S204" s="378"/>
      <c r="T204" s="378"/>
      <c r="U204" s="378">
        <v>202</v>
      </c>
      <c r="V204" s="378"/>
      <c r="W204" s="378"/>
      <c r="X204" s="378"/>
      <c r="Y204" s="378"/>
      <c r="Z204" s="378"/>
      <c r="AA204" s="378"/>
      <c r="AB204" s="378"/>
      <c r="AC204" s="378"/>
      <c r="AD204" s="378"/>
      <c r="AE204" s="378"/>
      <c r="AF204" s="378"/>
      <c r="AG204" s="378"/>
      <c r="AH204" s="378"/>
      <c r="AI204" s="378"/>
      <c r="AJ204" s="378"/>
      <c r="AK204" s="378"/>
      <c r="AL204" s="378"/>
      <c r="AM204" s="378"/>
      <c r="AN204" s="378"/>
      <c r="AO204" s="378"/>
      <c r="AP204" s="378"/>
      <c r="AQ204" s="378"/>
    </row>
    <row r="205" spans="2:43">
      <c r="B205" s="378">
        <v>203</v>
      </c>
      <c r="C205" s="378"/>
      <c r="D205" s="378"/>
      <c r="E205" s="378"/>
      <c r="F205" s="378"/>
      <c r="G205" s="378"/>
      <c r="H205" s="378" t="str">
        <f t="array" aca="1" ref="H205" ca="1">_xlfn.TEXTJOIN("", TRUE, IF(ISNUMBER(--MID(C205, ROW(INDIRECT("1:"&amp;LEN(C205))), 1)), MID(C205, ROW(INDIRECT("1:"&amp;LEN(C205))), 1), ""))</f>
        <v/>
      </c>
      <c r="I205" s="378"/>
      <c r="J205" s="378">
        <f t="shared" ref="J205:K205" si="116">IF(LEFT(I205,5)="00966", RIGHT(I205,LEN(I205)-5),
    IF(LEFT(I205,4)="+966", RIGHT(I205,LEN(I205)-4),
        IF(LEFT(I205,3)="966", RIGHT(I205,LEN(I205)-3),
            IF(LEFT(I205,1)="0", RIGHT(I205,LEN(I205)-1), I205)
        )
    )
)</f>
        <v>0</v>
      </c>
      <c r="K205" s="378" t="str">
        <f t="shared" si="116"/>
        <v/>
      </c>
      <c r="L205" s="378" t="str">
        <f t="shared" si="66"/>
        <v>أجنبي</v>
      </c>
      <c r="M205" s="436" t="str">
        <f t="shared" si="67"/>
        <v/>
      </c>
      <c r="N205" s="436"/>
      <c r="O205" s="378"/>
      <c r="P205" s="378"/>
      <c r="Q205" s="378"/>
      <c r="R205" s="378"/>
      <c r="S205" s="378"/>
      <c r="T205" s="378"/>
      <c r="U205" s="378">
        <v>203</v>
      </c>
      <c r="V205" s="378"/>
      <c r="W205" s="378"/>
      <c r="X205" s="378"/>
      <c r="Y205" s="378"/>
      <c r="Z205" s="378"/>
      <c r="AA205" s="378"/>
      <c r="AB205" s="378"/>
      <c r="AC205" s="378"/>
      <c r="AD205" s="378"/>
      <c r="AE205" s="378"/>
      <c r="AF205" s="378"/>
      <c r="AG205" s="378"/>
      <c r="AH205" s="378"/>
      <c r="AI205" s="378"/>
      <c r="AJ205" s="378"/>
      <c r="AK205" s="378"/>
      <c r="AL205" s="378"/>
      <c r="AM205" s="378"/>
      <c r="AN205" s="378"/>
      <c r="AO205" s="378"/>
      <c r="AP205" s="378"/>
      <c r="AQ205" s="378"/>
    </row>
    <row r="206" spans="2:43">
      <c r="B206" s="378">
        <v>204</v>
      </c>
      <c r="C206" s="378"/>
      <c r="D206" s="378"/>
      <c r="E206" s="378"/>
      <c r="F206" s="378"/>
      <c r="G206" s="378"/>
      <c r="H206" s="378" t="str">
        <f t="array" aca="1" ref="H206" ca="1">_xlfn.TEXTJOIN("", TRUE, IF(ISNUMBER(--MID(C206, ROW(INDIRECT("1:"&amp;LEN(C206))), 1)), MID(C206, ROW(INDIRECT("1:"&amp;LEN(C206))), 1), ""))</f>
        <v/>
      </c>
      <c r="I206" s="378"/>
      <c r="J206" s="378">
        <f t="shared" ref="J206:K206" si="117">IF(LEFT(I206,5)="00966", RIGHT(I206,LEN(I206)-5),
    IF(LEFT(I206,4)="+966", RIGHT(I206,LEN(I206)-4),
        IF(LEFT(I206,3)="966", RIGHT(I206,LEN(I206)-3),
            IF(LEFT(I206,1)="0", RIGHT(I206,LEN(I206)-1), I206)
        )
    )
)</f>
        <v>0</v>
      </c>
      <c r="K206" s="378" t="str">
        <f t="shared" si="117"/>
        <v/>
      </c>
      <c r="L206" s="378" t="str">
        <f t="shared" si="66"/>
        <v>أجنبي</v>
      </c>
      <c r="M206" s="436" t="str">
        <f t="shared" si="67"/>
        <v/>
      </c>
      <c r="N206" s="436"/>
      <c r="O206" s="378"/>
      <c r="P206" s="378"/>
      <c r="Q206" s="378"/>
      <c r="R206" s="378"/>
      <c r="S206" s="378"/>
      <c r="T206" s="378"/>
      <c r="U206" s="378">
        <v>204</v>
      </c>
      <c r="V206" s="378"/>
      <c r="W206" s="378"/>
      <c r="X206" s="378"/>
      <c r="Y206" s="378"/>
      <c r="Z206" s="378"/>
      <c r="AA206" s="378"/>
      <c r="AB206" s="378"/>
      <c r="AC206" s="378"/>
      <c r="AD206" s="378"/>
      <c r="AE206" s="378"/>
      <c r="AF206" s="378"/>
      <c r="AG206" s="378"/>
      <c r="AH206" s="378"/>
      <c r="AI206" s="378"/>
      <c r="AJ206" s="378"/>
      <c r="AK206" s="378"/>
      <c r="AL206" s="378"/>
      <c r="AM206" s="378"/>
      <c r="AN206" s="378"/>
      <c r="AO206" s="378"/>
      <c r="AP206" s="378"/>
      <c r="AQ206" s="378"/>
    </row>
    <row r="207" spans="2:43">
      <c r="B207" s="378">
        <v>205</v>
      </c>
      <c r="C207" s="378"/>
      <c r="D207" s="378"/>
      <c r="E207" s="378"/>
      <c r="F207" s="378"/>
      <c r="G207" s="378"/>
      <c r="H207" s="378" t="str">
        <f t="array" aca="1" ref="H207" ca="1">_xlfn.TEXTJOIN("", TRUE, IF(ISNUMBER(--MID(C207, ROW(INDIRECT("1:"&amp;LEN(C207))), 1)), MID(C207, ROW(INDIRECT("1:"&amp;LEN(C207))), 1), ""))</f>
        <v/>
      </c>
      <c r="I207" s="378"/>
      <c r="J207" s="378">
        <f t="shared" ref="J207:K207" si="118">IF(LEFT(I207,5)="00966", RIGHT(I207,LEN(I207)-5),
    IF(LEFT(I207,4)="+966", RIGHT(I207,LEN(I207)-4),
        IF(LEFT(I207,3)="966", RIGHT(I207,LEN(I207)-3),
            IF(LEFT(I207,1)="0", RIGHT(I207,LEN(I207)-1), I207)
        )
    )
)</f>
        <v>0</v>
      </c>
      <c r="K207" s="378" t="str">
        <f t="shared" si="118"/>
        <v/>
      </c>
      <c r="L207" s="378" t="str">
        <f t="shared" si="66"/>
        <v>أجنبي</v>
      </c>
      <c r="M207" s="436" t="str">
        <f t="shared" si="67"/>
        <v/>
      </c>
      <c r="N207" s="436"/>
      <c r="O207" s="378"/>
      <c r="P207" s="378"/>
      <c r="Q207" s="378"/>
      <c r="R207" s="378"/>
      <c r="S207" s="378"/>
      <c r="T207" s="378"/>
      <c r="U207" s="378">
        <v>205</v>
      </c>
      <c r="V207" s="378"/>
      <c r="W207" s="378"/>
      <c r="X207" s="378"/>
      <c r="Y207" s="378"/>
      <c r="Z207" s="378"/>
      <c r="AA207" s="378"/>
      <c r="AB207" s="378"/>
      <c r="AC207" s="378"/>
      <c r="AD207" s="378"/>
      <c r="AE207" s="378"/>
      <c r="AF207" s="378"/>
      <c r="AG207" s="378"/>
      <c r="AH207" s="378"/>
      <c r="AI207" s="378"/>
      <c r="AJ207" s="378"/>
      <c r="AK207" s="378"/>
      <c r="AL207" s="378"/>
      <c r="AM207" s="378"/>
      <c r="AN207" s="378"/>
      <c r="AO207" s="378"/>
      <c r="AP207" s="378"/>
      <c r="AQ207" s="378"/>
    </row>
    <row r="208" spans="2:43">
      <c r="B208" s="378">
        <v>206</v>
      </c>
      <c r="C208" s="378"/>
      <c r="D208" s="378"/>
      <c r="E208" s="378"/>
      <c r="F208" s="378"/>
      <c r="G208" s="378"/>
      <c r="H208" s="378" t="str">
        <f t="array" aca="1" ref="H208" ca="1">_xlfn.TEXTJOIN("", TRUE, IF(ISNUMBER(--MID(C208, ROW(INDIRECT("1:"&amp;LEN(C208))), 1)), MID(C208, ROW(INDIRECT("1:"&amp;LEN(C208))), 1), ""))</f>
        <v/>
      </c>
      <c r="I208" s="378"/>
      <c r="J208" s="378">
        <f t="shared" ref="J208:K208" si="119">IF(LEFT(I208,5)="00966", RIGHT(I208,LEN(I208)-5),
    IF(LEFT(I208,4)="+966", RIGHT(I208,LEN(I208)-4),
        IF(LEFT(I208,3)="966", RIGHT(I208,LEN(I208)-3),
            IF(LEFT(I208,1)="0", RIGHT(I208,LEN(I208)-1), I208)
        )
    )
)</f>
        <v>0</v>
      </c>
      <c r="K208" s="378" t="str">
        <f t="shared" si="119"/>
        <v/>
      </c>
      <c r="L208" s="378" t="str">
        <f t="shared" si="66"/>
        <v>أجنبي</v>
      </c>
      <c r="M208" s="436" t="str">
        <f t="shared" si="67"/>
        <v/>
      </c>
      <c r="N208" s="436"/>
      <c r="O208" s="378"/>
      <c r="P208" s="378"/>
      <c r="Q208" s="378"/>
      <c r="R208" s="378"/>
      <c r="S208" s="378"/>
      <c r="T208" s="378"/>
      <c r="U208" s="378">
        <v>206</v>
      </c>
      <c r="V208" s="378"/>
      <c r="W208" s="378"/>
      <c r="X208" s="378"/>
      <c r="Y208" s="378"/>
      <c r="Z208" s="378"/>
      <c r="AA208" s="378"/>
      <c r="AB208" s="378"/>
      <c r="AC208" s="378"/>
      <c r="AD208" s="378"/>
      <c r="AE208" s="378"/>
      <c r="AF208" s="378"/>
      <c r="AG208" s="378"/>
      <c r="AH208" s="378"/>
      <c r="AI208" s="378"/>
      <c r="AJ208" s="378"/>
      <c r="AK208" s="378"/>
      <c r="AL208" s="378"/>
      <c r="AM208" s="378"/>
      <c r="AN208" s="378"/>
      <c r="AO208" s="378"/>
      <c r="AP208" s="378"/>
      <c r="AQ208" s="378"/>
    </row>
    <row r="209" spans="2:43">
      <c r="B209" s="378">
        <v>207</v>
      </c>
      <c r="C209" s="378"/>
      <c r="D209" s="378"/>
      <c r="E209" s="378"/>
      <c r="F209" s="378"/>
      <c r="G209" s="378"/>
      <c r="H209" s="378" t="str">
        <f t="array" aca="1" ref="H209" ca="1">_xlfn.TEXTJOIN("", TRUE, IF(ISNUMBER(--MID(C209, ROW(INDIRECT("1:"&amp;LEN(C209))), 1)), MID(C209, ROW(INDIRECT("1:"&amp;LEN(C209))), 1), ""))</f>
        <v/>
      </c>
      <c r="I209" s="378"/>
      <c r="J209" s="378">
        <f t="shared" ref="J209:K209" si="120">IF(LEFT(I209,5)="00966", RIGHT(I209,LEN(I209)-5),
    IF(LEFT(I209,4)="+966", RIGHT(I209,LEN(I209)-4),
        IF(LEFT(I209,3)="966", RIGHT(I209,LEN(I209)-3),
            IF(LEFT(I209,1)="0", RIGHT(I209,LEN(I209)-1), I209)
        )
    )
)</f>
        <v>0</v>
      </c>
      <c r="K209" s="378" t="str">
        <f t="shared" si="120"/>
        <v/>
      </c>
      <c r="L209" s="378" t="str">
        <f t="shared" si="66"/>
        <v>أجنبي</v>
      </c>
      <c r="M209" s="436" t="str">
        <f t="shared" si="67"/>
        <v/>
      </c>
      <c r="N209" s="436"/>
      <c r="O209" s="378"/>
      <c r="P209" s="378"/>
      <c r="Q209" s="378"/>
      <c r="R209" s="378"/>
      <c r="S209" s="378"/>
      <c r="T209" s="378"/>
      <c r="U209" s="378">
        <v>207</v>
      </c>
      <c r="V209" s="378"/>
      <c r="W209" s="378"/>
      <c r="X209" s="378"/>
      <c r="Y209" s="378"/>
      <c r="Z209" s="378"/>
      <c r="AA209" s="378"/>
      <c r="AB209" s="378"/>
      <c r="AC209" s="378"/>
      <c r="AD209" s="378"/>
      <c r="AE209" s="378"/>
      <c r="AF209" s="378"/>
      <c r="AG209" s="378"/>
      <c r="AH209" s="378"/>
      <c r="AI209" s="378"/>
      <c r="AJ209" s="378"/>
      <c r="AK209" s="378"/>
      <c r="AL209" s="378"/>
      <c r="AM209" s="378"/>
      <c r="AN209" s="378"/>
      <c r="AO209" s="378"/>
      <c r="AP209" s="378"/>
      <c r="AQ209" s="378"/>
    </row>
    <row r="210" spans="2:43">
      <c r="B210" s="378">
        <v>208</v>
      </c>
      <c r="C210" s="378"/>
      <c r="D210" s="378"/>
      <c r="E210" s="378"/>
      <c r="F210" s="378"/>
      <c r="G210" s="378"/>
      <c r="H210" s="378" t="str">
        <f t="array" aca="1" ref="H210" ca="1">_xlfn.TEXTJOIN("", TRUE, IF(ISNUMBER(--MID(C210, ROW(INDIRECT("1:"&amp;LEN(C210))), 1)), MID(C210, ROW(INDIRECT("1:"&amp;LEN(C210))), 1), ""))</f>
        <v/>
      </c>
      <c r="I210" s="378"/>
      <c r="J210" s="378">
        <f t="shared" ref="J210:K210" si="121">IF(LEFT(I210,5)="00966", RIGHT(I210,LEN(I210)-5),
    IF(LEFT(I210,4)="+966", RIGHT(I210,LEN(I210)-4),
        IF(LEFT(I210,3)="966", RIGHT(I210,LEN(I210)-3),
            IF(LEFT(I210,1)="0", RIGHT(I210,LEN(I210)-1), I210)
        )
    )
)</f>
        <v>0</v>
      </c>
      <c r="K210" s="378" t="str">
        <f t="shared" si="121"/>
        <v/>
      </c>
      <c r="L210" s="378" t="str">
        <f t="shared" si="66"/>
        <v>أجنبي</v>
      </c>
      <c r="M210" s="436" t="str">
        <f t="shared" si="67"/>
        <v/>
      </c>
      <c r="N210" s="436"/>
      <c r="O210" s="378"/>
      <c r="P210" s="378"/>
      <c r="Q210" s="378"/>
      <c r="R210" s="378"/>
      <c r="S210" s="378"/>
      <c r="T210" s="378"/>
      <c r="U210" s="378">
        <v>208</v>
      </c>
      <c r="V210" s="378"/>
      <c r="W210" s="378"/>
      <c r="X210" s="378"/>
      <c r="Y210" s="378"/>
      <c r="Z210" s="378"/>
      <c r="AA210" s="378"/>
      <c r="AB210" s="378"/>
      <c r="AC210" s="378"/>
      <c r="AD210" s="378"/>
      <c r="AE210" s="378"/>
      <c r="AF210" s="378"/>
      <c r="AG210" s="378"/>
      <c r="AH210" s="378"/>
      <c r="AI210" s="378"/>
      <c r="AJ210" s="378"/>
      <c r="AK210" s="378"/>
      <c r="AL210" s="378"/>
      <c r="AM210" s="378"/>
      <c r="AN210" s="378"/>
      <c r="AO210" s="378"/>
      <c r="AP210" s="378"/>
      <c r="AQ210" s="378"/>
    </row>
    <row r="211" spans="2:43">
      <c r="B211" s="378">
        <v>209</v>
      </c>
      <c r="C211" s="378"/>
      <c r="D211" s="378"/>
      <c r="E211" s="378"/>
      <c r="F211" s="378"/>
      <c r="G211" s="378"/>
      <c r="H211" s="378" t="str">
        <f t="array" aca="1" ref="H211" ca="1">_xlfn.TEXTJOIN("", TRUE, IF(ISNUMBER(--MID(C211, ROW(INDIRECT("1:"&amp;LEN(C211))), 1)), MID(C211, ROW(INDIRECT("1:"&amp;LEN(C211))), 1), ""))</f>
        <v/>
      </c>
      <c r="I211" s="378"/>
      <c r="J211" s="378">
        <f t="shared" ref="J211:K211" si="122">IF(LEFT(I211,5)="00966", RIGHT(I211,LEN(I211)-5),
    IF(LEFT(I211,4)="+966", RIGHT(I211,LEN(I211)-4),
        IF(LEFT(I211,3)="966", RIGHT(I211,LEN(I211)-3),
            IF(LEFT(I211,1)="0", RIGHT(I211,LEN(I211)-1), I211)
        )
    )
)</f>
        <v>0</v>
      </c>
      <c r="K211" s="378" t="str">
        <f t="shared" si="122"/>
        <v/>
      </c>
      <c r="L211" s="378" t="str">
        <f t="shared" si="66"/>
        <v>أجنبي</v>
      </c>
      <c r="M211" s="436" t="str">
        <f t="shared" si="67"/>
        <v/>
      </c>
      <c r="N211" s="436"/>
      <c r="O211" s="378"/>
      <c r="P211" s="378"/>
      <c r="Q211" s="378"/>
      <c r="R211" s="378"/>
      <c r="S211" s="378"/>
      <c r="T211" s="378"/>
      <c r="U211" s="378">
        <v>209</v>
      </c>
      <c r="V211" s="378"/>
      <c r="W211" s="378"/>
      <c r="X211" s="378"/>
      <c r="Y211" s="378"/>
      <c r="Z211" s="378"/>
      <c r="AA211" s="378"/>
      <c r="AB211" s="378"/>
      <c r="AC211" s="378"/>
      <c r="AD211" s="378"/>
      <c r="AE211" s="378"/>
      <c r="AF211" s="378"/>
      <c r="AG211" s="378"/>
      <c r="AH211" s="378"/>
      <c r="AI211" s="378"/>
      <c r="AJ211" s="378"/>
      <c r="AK211" s="378"/>
      <c r="AL211" s="378"/>
      <c r="AM211" s="378"/>
      <c r="AN211" s="378"/>
      <c r="AO211" s="378"/>
      <c r="AP211" s="378"/>
      <c r="AQ211" s="378"/>
    </row>
    <row r="212" spans="2:43">
      <c r="B212" s="378">
        <v>210</v>
      </c>
      <c r="C212" s="378"/>
      <c r="D212" s="378"/>
      <c r="E212" s="378"/>
      <c r="F212" s="378"/>
      <c r="G212" s="378"/>
      <c r="H212" s="378" t="str">
        <f t="array" aca="1" ref="H212" ca="1">_xlfn.TEXTJOIN("", TRUE, IF(ISNUMBER(--MID(C212, ROW(INDIRECT("1:"&amp;LEN(C212))), 1)), MID(C212, ROW(INDIRECT("1:"&amp;LEN(C212))), 1), ""))</f>
        <v/>
      </c>
      <c r="I212" s="378"/>
      <c r="J212" s="378">
        <f t="shared" ref="J212:K212" si="123">IF(LEFT(I212,5)="00966", RIGHT(I212,LEN(I212)-5),
    IF(LEFT(I212,4)="+966", RIGHT(I212,LEN(I212)-4),
        IF(LEFT(I212,3)="966", RIGHT(I212,LEN(I212)-3),
            IF(LEFT(I212,1)="0", RIGHT(I212,LEN(I212)-1), I212)
        )
    )
)</f>
        <v>0</v>
      </c>
      <c r="K212" s="378" t="str">
        <f t="shared" si="123"/>
        <v/>
      </c>
      <c r="L212" s="378" t="str">
        <f t="shared" si="66"/>
        <v>أجنبي</v>
      </c>
      <c r="M212" s="436" t="str">
        <f t="shared" si="67"/>
        <v/>
      </c>
      <c r="N212" s="436"/>
      <c r="O212" s="378"/>
      <c r="P212" s="378"/>
      <c r="Q212" s="378"/>
      <c r="R212" s="378"/>
      <c r="S212" s="378"/>
      <c r="T212" s="378"/>
      <c r="U212" s="378">
        <v>210</v>
      </c>
      <c r="V212" s="378"/>
      <c r="W212" s="378"/>
      <c r="X212" s="378"/>
      <c r="Y212" s="378"/>
      <c r="Z212" s="378"/>
      <c r="AA212" s="378"/>
      <c r="AB212" s="378"/>
      <c r="AC212" s="378"/>
      <c r="AD212" s="378"/>
      <c r="AE212" s="378"/>
      <c r="AF212" s="378"/>
      <c r="AG212" s="378"/>
      <c r="AH212" s="378"/>
      <c r="AI212" s="378"/>
      <c r="AJ212" s="378"/>
      <c r="AK212" s="378"/>
      <c r="AL212" s="378"/>
      <c r="AM212" s="378"/>
      <c r="AN212" s="378"/>
      <c r="AO212" s="378"/>
      <c r="AP212" s="378"/>
      <c r="AQ212" s="378"/>
    </row>
    <row r="213" spans="2:43">
      <c r="B213" s="378">
        <v>211</v>
      </c>
      <c r="C213" s="378"/>
      <c r="D213" s="378"/>
      <c r="E213" s="378"/>
      <c r="F213" s="378"/>
      <c r="G213" s="378"/>
      <c r="H213" s="378" t="str">
        <f t="array" aca="1" ref="H213" ca="1">_xlfn.TEXTJOIN("", TRUE, IF(ISNUMBER(--MID(C213, ROW(INDIRECT("1:"&amp;LEN(C213))), 1)), MID(C213, ROW(INDIRECT("1:"&amp;LEN(C213))), 1), ""))</f>
        <v/>
      </c>
      <c r="I213" s="378"/>
      <c r="J213" s="378">
        <f t="shared" ref="J213:K213" si="124">IF(LEFT(I213,5)="00966", RIGHT(I213,LEN(I213)-5),
    IF(LEFT(I213,4)="+966", RIGHT(I213,LEN(I213)-4),
        IF(LEFT(I213,3)="966", RIGHT(I213,LEN(I213)-3),
            IF(LEFT(I213,1)="0", RIGHT(I213,LEN(I213)-1), I213)
        )
    )
)</f>
        <v>0</v>
      </c>
      <c r="K213" s="378" t="str">
        <f t="shared" si="124"/>
        <v/>
      </c>
      <c r="L213" s="378" t="str">
        <f t="shared" si="66"/>
        <v>أجنبي</v>
      </c>
      <c r="M213" s="436" t="str">
        <f t="shared" si="67"/>
        <v/>
      </c>
      <c r="N213" s="436"/>
      <c r="O213" s="378"/>
      <c r="P213" s="378"/>
      <c r="Q213" s="378"/>
      <c r="R213" s="378"/>
      <c r="S213" s="378"/>
      <c r="T213" s="378"/>
      <c r="U213" s="378">
        <v>211</v>
      </c>
      <c r="V213" s="378"/>
      <c r="W213" s="378"/>
      <c r="X213" s="378"/>
      <c r="Y213" s="378"/>
      <c r="Z213" s="378"/>
      <c r="AA213" s="378"/>
      <c r="AB213" s="378"/>
      <c r="AC213" s="378"/>
      <c r="AD213" s="378"/>
      <c r="AE213" s="378"/>
      <c r="AF213" s="378"/>
      <c r="AG213" s="378"/>
      <c r="AH213" s="378"/>
      <c r="AI213" s="378"/>
      <c r="AJ213" s="378"/>
      <c r="AK213" s="378"/>
      <c r="AL213" s="378"/>
      <c r="AM213" s="378"/>
      <c r="AN213" s="378"/>
      <c r="AO213" s="378"/>
      <c r="AP213" s="378"/>
      <c r="AQ213" s="378"/>
    </row>
    <row r="214" spans="2:43">
      <c r="B214" s="378">
        <v>212</v>
      </c>
      <c r="C214" s="378"/>
      <c r="D214" s="378"/>
      <c r="E214" s="378"/>
      <c r="F214" s="378"/>
      <c r="G214" s="378"/>
      <c r="H214" s="378" t="str">
        <f t="array" aca="1" ref="H214" ca="1">_xlfn.TEXTJOIN("", TRUE, IF(ISNUMBER(--MID(C214, ROW(INDIRECT("1:"&amp;LEN(C214))), 1)), MID(C214, ROW(INDIRECT("1:"&amp;LEN(C214))), 1), ""))</f>
        <v/>
      </c>
      <c r="I214" s="378"/>
      <c r="J214" s="378">
        <f t="shared" ref="J214:K214" si="125">IF(LEFT(I214,5)="00966", RIGHT(I214,LEN(I214)-5),
    IF(LEFT(I214,4)="+966", RIGHT(I214,LEN(I214)-4),
        IF(LEFT(I214,3)="966", RIGHT(I214,LEN(I214)-3),
            IF(LEFT(I214,1)="0", RIGHT(I214,LEN(I214)-1), I214)
        )
    )
)</f>
        <v>0</v>
      </c>
      <c r="K214" s="378" t="str">
        <f t="shared" si="125"/>
        <v/>
      </c>
      <c r="L214" s="378" t="str">
        <f t="shared" si="66"/>
        <v>أجنبي</v>
      </c>
      <c r="M214" s="436" t="str">
        <f t="shared" si="67"/>
        <v/>
      </c>
      <c r="N214" s="436"/>
      <c r="O214" s="378"/>
      <c r="P214" s="378"/>
      <c r="Q214" s="378"/>
      <c r="R214" s="378"/>
      <c r="S214" s="378"/>
      <c r="T214" s="378"/>
      <c r="U214" s="378">
        <v>212</v>
      </c>
      <c r="V214" s="378"/>
      <c r="W214" s="378"/>
      <c r="X214" s="378"/>
      <c r="Y214" s="378"/>
      <c r="Z214" s="378"/>
      <c r="AA214" s="378"/>
      <c r="AB214" s="378"/>
      <c r="AC214" s="378"/>
      <c r="AD214" s="378"/>
      <c r="AE214" s="378"/>
      <c r="AF214" s="378"/>
      <c r="AG214" s="378"/>
      <c r="AH214" s="378"/>
      <c r="AI214" s="378"/>
      <c r="AJ214" s="378"/>
      <c r="AK214" s="378"/>
      <c r="AL214" s="378"/>
      <c r="AM214" s="378"/>
      <c r="AN214" s="378"/>
      <c r="AO214" s="378"/>
      <c r="AP214" s="378"/>
      <c r="AQ214" s="378"/>
    </row>
    <row r="215" spans="2:43">
      <c r="B215" s="378">
        <v>213</v>
      </c>
      <c r="C215" s="378"/>
      <c r="D215" s="378"/>
      <c r="E215" s="378"/>
      <c r="F215" s="378"/>
      <c r="G215" s="378"/>
      <c r="H215" s="378" t="str">
        <f t="array" aca="1" ref="H215" ca="1">_xlfn.TEXTJOIN("", TRUE, IF(ISNUMBER(--MID(C215, ROW(INDIRECT("1:"&amp;LEN(C215))), 1)), MID(C215, ROW(INDIRECT("1:"&amp;LEN(C215))), 1), ""))</f>
        <v/>
      </c>
      <c r="I215" s="378"/>
      <c r="J215" s="378">
        <f t="shared" ref="J215:K215" si="126">IF(LEFT(I215,5)="00966", RIGHT(I215,LEN(I215)-5),
    IF(LEFT(I215,4)="+966", RIGHT(I215,LEN(I215)-4),
        IF(LEFT(I215,3)="966", RIGHT(I215,LEN(I215)-3),
            IF(LEFT(I215,1)="0", RIGHT(I215,LEN(I215)-1), I215)
        )
    )
)</f>
        <v>0</v>
      </c>
      <c r="K215" s="378" t="str">
        <f t="shared" si="126"/>
        <v/>
      </c>
      <c r="L215" s="378" t="str">
        <f t="shared" si="66"/>
        <v>أجنبي</v>
      </c>
      <c r="M215" s="436" t="str">
        <f t="shared" si="67"/>
        <v/>
      </c>
      <c r="N215" s="436"/>
      <c r="O215" s="378"/>
      <c r="P215" s="378"/>
      <c r="Q215" s="378"/>
      <c r="R215" s="378"/>
      <c r="S215" s="378"/>
      <c r="T215" s="378"/>
      <c r="U215" s="378">
        <v>213</v>
      </c>
      <c r="V215" s="378"/>
      <c r="W215" s="378"/>
      <c r="X215" s="378"/>
      <c r="Y215" s="378"/>
      <c r="Z215" s="378"/>
      <c r="AA215" s="378"/>
      <c r="AB215" s="378"/>
      <c r="AC215" s="378"/>
      <c r="AD215" s="378"/>
      <c r="AE215" s="378"/>
      <c r="AF215" s="378"/>
      <c r="AG215" s="378"/>
      <c r="AH215" s="378"/>
      <c r="AI215" s="378"/>
      <c r="AJ215" s="378"/>
      <c r="AK215" s="378"/>
      <c r="AL215" s="378"/>
      <c r="AM215" s="378"/>
      <c r="AN215" s="378"/>
      <c r="AO215" s="378"/>
      <c r="AP215" s="378"/>
      <c r="AQ215" s="378"/>
    </row>
    <row r="216" spans="2:43">
      <c r="B216" s="378">
        <v>214</v>
      </c>
      <c r="C216" s="378"/>
      <c r="D216" s="378"/>
      <c r="E216" s="378"/>
      <c r="F216" s="378"/>
      <c r="G216" s="378"/>
      <c r="H216" s="378" t="str">
        <f t="array" aca="1" ref="H216" ca="1">_xlfn.TEXTJOIN("", TRUE, IF(ISNUMBER(--MID(C216, ROW(INDIRECT("1:"&amp;LEN(C216))), 1)), MID(C216, ROW(INDIRECT("1:"&amp;LEN(C216))), 1), ""))</f>
        <v/>
      </c>
      <c r="I216" s="378"/>
      <c r="J216" s="378">
        <f t="shared" ref="J216:K216" si="127">IF(LEFT(I216,5)="00966", RIGHT(I216,LEN(I216)-5),
    IF(LEFT(I216,4)="+966", RIGHT(I216,LEN(I216)-4),
        IF(LEFT(I216,3)="966", RIGHT(I216,LEN(I216)-3),
            IF(LEFT(I216,1)="0", RIGHT(I216,LEN(I216)-1), I216)
        )
    )
)</f>
        <v>0</v>
      </c>
      <c r="K216" s="378" t="str">
        <f t="shared" si="127"/>
        <v/>
      </c>
      <c r="L216" s="378" t="str">
        <f t="shared" si="66"/>
        <v>أجنبي</v>
      </c>
      <c r="M216" s="436" t="str">
        <f t="shared" si="67"/>
        <v/>
      </c>
      <c r="N216" s="436"/>
      <c r="O216" s="378"/>
      <c r="P216" s="378"/>
      <c r="Q216" s="378"/>
      <c r="R216" s="378"/>
      <c r="S216" s="378"/>
      <c r="T216" s="378"/>
      <c r="U216" s="378">
        <v>214</v>
      </c>
      <c r="V216" s="378"/>
      <c r="W216" s="378"/>
      <c r="X216" s="378"/>
      <c r="Y216" s="378"/>
      <c r="Z216" s="378"/>
      <c r="AA216" s="378"/>
      <c r="AB216" s="378"/>
      <c r="AC216" s="378"/>
      <c r="AD216" s="378"/>
      <c r="AE216" s="378"/>
      <c r="AF216" s="378"/>
      <c r="AG216" s="378"/>
      <c r="AH216" s="378"/>
      <c r="AI216" s="378"/>
      <c r="AJ216" s="378"/>
      <c r="AK216" s="378"/>
      <c r="AL216" s="378"/>
      <c r="AM216" s="378"/>
      <c r="AN216" s="378"/>
      <c r="AO216" s="378"/>
      <c r="AP216" s="378"/>
      <c r="AQ216" s="378"/>
    </row>
    <row r="217" spans="2:43">
      <c r="B217" s="378">
        <v>215</v>
      </c>
      <c r="C217" s="378"/>
      <c r="D217" s="378"/>
      <c r="E217" s="378"/>
      <c r="F217" s="378"/>
      <c r="G217" s="378"/>
      <c r="H217" s="378" t="str">
        <f t="array" aca="1" ref="H217" ca="1">_xlfn.TEXTJOIN("", TRUE, IF(ISNUMBER(--MID(C217, ROW(INDIRECT("1:"&amp;LEN(C217))), 1)), MID(C217, ROW(INDIRECT("1:"&amp;LEN(C217))), 1), ""))</f>
        <v/>
      </c>
      <c r="I217" s="378"/>
      <c r="J217" s="378">
        <f t="shared" ref="J217:K217" si="128">IF(LEFT(I217,5)="00966", RIGHT(I217,LEN(I217)-5),
    IF(LEFT(I217,4)="+966", RIGHT(I217,LEN(I217)-4),
        IF(LEFT(I217,3)="966", RIGHT(I217,LEN(I217)-3),
            IF(LEFT(I217,1)="0", RIGHT(I217,LEN(I217)-1), I217)
        )
    )
)</f>
        <v>0</v>
      </c>
      <c r="K217" s="378" t="str">
        <f t="shared" si="128"/>
        <v/>
      </c>
      <c r="L217" s="378" t="str">
        <f t="shared" si="66"/>
        <v>أجنبي</v>
      </c>
      <c r="M217" s="436" t="str">
        <f t="shared" si="67"/>
        <v/>
      </c>
      <c r="N217" s="436"/>
      <c r="O217" s="378"/>
      <c r="P217" s="378"/>
      <c r="Q217" s="378"/>
      <c r="R217" s="378"/>
      <c r="S217" s="378"/>
      <c r="T217" s="378"/>
      <c r="U217" s="378">
        <v>215</v>
      </c>
      <c r="V217" s="378"/>
      <c r="W217" s="378"/>
      <c r="X217" s="378"/>
      <c r="Y217" s="378"/>
      <c r="Z217" s="378"/>
      <c r="AA217" s="378"/>
      <c r="AB217" s="378"/>
      <c r="AC217" s="378"/>
      <c r="AD217" s="378"/>
      <c r="AE217" s="378"/>
      <c r="AF217" s="378"/>
      <c r="AG217" s="378"/>
      <c r="AH217" s="378"/>
      <c r="AI217" s="378"/>
      <c r="AJ217" s="378"/>
      <c r="AK217" s="378"/>
      <c r="AL217" s="378"/>
      <c r="AM217" s="378"/>
      <c r="AN217" s="378"/>
      <c r="AO217" s="378"/>
      <c r="AP217" s="378"/>
      <c r="AQ217" s="378"/>
    </row>
    <row r="218" spans="2:43">
      <c r="B218" s="378">
        <v>216</v>
      </c>
      <c r="C218" s="378"/>
      <c r="D218" s="378"/>
      <c r="E218" s="378"/>
      <c r="F218" s="378"/>
      <c r="G218" s="378"/>
      <c r="H218" s="378" t="str">
        <f t="array" aca="1" ref="H218" ca="1">_xlfn.TEXTJOIN("", TRUE, IF(ISNUMBER(--MID(C218, ROW(INDIRECT("1:"&amp;LEN(C218))), 1)), MID(C218, ROW(INDIRECT("1:"&amp;LEN(C218))), 1), ""))</f>
        <v/>
      </c>
      <c r="I218" s="378"/>
      <c r="J218" s="378">
        <f t="shared" ref="J218:K218" si="129">IF(LEFT(I218,5)="00966", RIGHT(I218,LEN(I218)-5),
    IF(LEFT(I218,4)="+966", RIGHT(I218,LEN(I218)-4),
        IF(LEFT(I218,3)="966", RIGHT(I218,LEN(I218)-3),
            IF(LEFT(I218,1)="0", RIGHT(I218,LEN(I218)-1), I218)
        )
    )
)</f>
        <v>0</v>
      </c>
      <c r="K218" s="378" t="str">
        <f t="shared" si="129"/>
        <v/>
      </c>
      <c r="L218" s="378" t="str">
        <f t="shared" si="66"/>
        <v>أجنبي</v>
      </c>
      <c r="M218" s="436" t="str">
        <f t="shared" si="67"/>
        <v/>
      </c>
      <c r="N218" s="436"/>
      <c r="O218" s="378"/>
      <c r="P218" s="378"/>
      <c r="Q218" s="378"/>
      <c r="R218" s="378"/>
      <c r="S218" s="378"/>
      <c r="T218" s="378"/>
      <c r="U218" s="378">
        <v>216</v>
      </c>
      <c r="V218" s="378"/>
      <c r="W218" s="378"/>
      <c r="X218" s="378"/>
      <c r="Y218" s="378"/>
      <c r="Z218" s="378"/>
      <c r="AA218" s="378"/>
      <c r="AB218" s="378"/>
      <c r="AC218" s="378"/>
      <c r="AD218" s="378"/>
      <c r="AE218" s="378"/>
      <c r="AF218" s="378"/>
      <c r="AG218" s="378"/>
      <c r="AH218" s="378"/>
      <c r="AI218" s="378"/>
      <c r="AJ218" s="378"/>
      <c r="AK218" s="378"/>
      <c r="AL218" s="378"/>
      <c r="AM218" s="378"/>
      <c r="AN218" s="378"/>
      <c r="AO218" s="378"/>
      <c r="AP218" s="378"/>
      <c r="AQ218" s="378"/>
    </row>
    <row r="219" spans="2:43">
      <c r="B219" s="378">
        <v>217</v>
      </c>
      <c r="C219" s="378"/>
      <c r="D219" s="378"/>
      <c r="E219" s="378"/>
      <c r="F219" s="378"/>
      <c r="G219" s="378"/>
      <c r="H219" s="378" t="str">
        <f t="array" aca="1" ref="H219" ca="1">_xlfn.TEXTJOIN("", TRUE, IF(ISNUMBER(--MID(C219, ROW(INDIRECT("1:"&amp;LEN(C219))), 1)), MID(C219, ROW(INDIRECT("1:"&amp;LEN(C219))), 1), ""))</f>
        <v/>
      </c>
      <c r="I219" s="378"/>
      <c r="J219" s="378">
        <f t="shared" ref="J219:K219" si="130">IF(LEFT(I219,5)="00966", RIGHT(I219,LEN(I219)-5),
    IF(LEFT(I219,4)="+966", RIGHT(I219,LEN(I219)-4),
        IF(LEFT(I219,3)="966", RIGHT(I219,LEN(I219)-3),
            IF(LEFT(I219,1)="0", RIGHT(I219,LEN(I219)-1), I219)
        )
    )
)</f>
        <v>0</v>
      </c>
      <c r="K219" s="378" t="str">
        <f t="shared" si="130"/>
        <v/>
      </c>
      <c r="L219" s="378" t="str">
        <f t="shared" si="66"/>
        <v>أجنبي</v>
      </c>
      <c r="M219" s="436" t="str">
        <f t="shared" si="67"/>
        <v/>
      </c>
      <c r="N219" s="436"/>
      <c r="O219" s="378"/>
      <c r="P219" s="378"/>
      <c r="Q219" s="378"/>
      <c r="R219" s="378"/>
      <c r="S219" s="378"/>
      <c r="T219" s="378"/>
      <c r="U219" s="378">
        <v>217</v>
      </c>
      <c r="V219" s="378"/>
      <c r="W219" s="378"/>
      <c r="X219" s="378"/>
      <c r="Y219" s="378"/>
      <c r="Z219" s="378"/>
      <c r="AA219" s="378"/>
      <c r="AB219" s="378"/>
      <c r="AC219" s="378"/>
      <c r="AD219" s="378"/>
      <c r="AE219" s="378"/>
      <c r="AF219" s="378"/>
      <c r="AG219" s="378"/>
      <c r="AH219" s="378"/>
      <c r="AI219" s="378"/>
      <c r="AJ219" s="378"/>
      <c r="AK219" s="378"/>
      <c r="AL219" s="378"/>
      <c r="AM219" s="378"/>
      <c r="AN219" s="378"/>
      <c r="AO219" s="378"/>
      <c r="AP219" s="378"/>
      <c r="AQ219" s="378"/>
    </row>
    <row r="220" spans="2:43">
      <c r="B220" s="378">
        <v>218</v>
      </c>
      <c r="C220" s="378"/>
      <c r="D220" s="378"/>
      <c r="E220" s="378"/>
      <c r="F220" s="378"/>
      <c r="G220" s="378"/>
      <c r="H220" s="378" t="str">
        <f t="array" aca="1" ref="H220" ca="1">_xlfn.TEXTJOIN("", TRUE, IF(ISNUMBER(--MID(C220, ROW(INDIRECT("1:"&amp;LEN(C220))), 1)), MID(C220, ROW(INDIRECT("1:"&amp;LEN(C220))), 1), ""))</f>
        <v/>
      </c>
      <c r="I220" s="378"/>
      <c r="J220" s="378">
        <f t="shared" ref="J220:K220" si="131">IF(LEFT(I220,5)="00966", RIGHT(I220,LEN(I220)-5),
    IF(LEFT(I220,4)="+966", RIGHT(I220,LEN(I220)-4),
        IF(LEFT(I220,3)="966", RIGHT(I220,LEN(I220)-3),
            IF(LEFT(I220,1)="0", RIGHT(I220,LEN(I220)-1), I220)
        )
    )
)</f>
        <v>0</v>
      </c>
      <c r="K220" s="378" t="str">
        <f t="shared" si="131"/>
        <v/>
      </c>
      <c r="L220" s="378" t="str">
        <f t="shared" ref="L220:L232" si="132">IF(LEFT(K220,1)="5",
    IF(LEN(K220)=9,"سعودي - صحيح",
        IF(LEN(K220)&lt;9,"سعودي - ناقص "&amp;(9-LEN(K220)),"سعودي - زائد "&amp;(LEN(K220)-9))
    ),
"أجنبي")</f>
        <v>أجنبي</v>
      </c>
      <c r="M220" s="436" t="str">
        <f t="shared" ref="M220" si="133">IF(LEFT(K220,1)="5","966"&amp;K220,K220)</f>
        <v/>
      </c>
      <c r="N220" s="436"/>
      <c r="O220" s="378"/>
      <c r="P220" s="378"/>
      <c r="Q220" s="378"/>
      <c r="R220" s="378"/>
      <c r="S220" s="378"/>
      <c r="T220" s="378"/>
      <c r="U220" s="378">
        <v>218</v>
      </c>
      <c r="V220" s="378"/>
      <c r="W220" s="378"/>
      <c r="X220" s="378"/>
      <c r="Y220" s="378"/>
      <c r="Z220" s="378"/>
      <c r="AA220" s="378"/>
      <c r="AB220" s="378"/>
      <c r="AC220" s="378"/>
      <c r="AD220" s="378"/>
      <c r="AE220" s="378"/>
      <c r="AF220" s="378"/>
      <c r="AG220" s="378"/>
      <c r="AH220" s="378"/>
      <c r="AI220" s="378"/>
      <c r="AJ220" s="378"/>
      <c r="AK220" s="378"/>
      <c r="AL220" s="378"/>
      <c r="AM220" s="378"/>
      <c r="AN220" s="378"/>
      <c r="AO220" s="378"/>
      <c r="AP220" s="378"/>
      <c r="AQ220" s="378"/>
    </row>
    <row r="221" spans="2:43">
      <c r="B221" s="378">
        <v>219</v>
      </c>
      <c r="C221" s="378"/>
      <c r="D221" s="378"/>
      <c r="E221" s="378"/>
      <c r="F221" s="378"/>
      <c r="G221" s="378"/>
      <c r="H221" s="378" t="str">
        <f t="array" aca="1" ref="H221" ca="1">_xlfn.TEXTJOIN("", TRUE, IF(ISNUMBER(--MID(C221, ROW(INDIRECT("1:"&amp;LEN(C221))), 1)), MID(C221, ROW(INDIRECT("1:"&amp;LEN(C221))), 1), ""))</f>
        <v/>
      </c>
      <c r="I221" s="378"/>
      <c r="J221" s="378">
        <f t="shared" ref="J221:K221" si="134">IF(LEFT(I221,5)="00966", RIGHT(I221,LEN(I221)-5),
    IF(LEFT(I221,4)="+966", RIGHT(I221,LEN(I221)-4),
        IF(LEFT(I221,3)="966", RIGHT(I221,LEN(I221)-3),
            IF(LEFT(I221,1)="0", RIGHT(I221,LEN(I221)-1), I221)
        )
    )
)</f>
        <v>0</v>
      </c>
      <c r="K221" s="378" t="str">
        <f t="shared" si="134"/>
        <v/>
      </c>
      <c r="L221" s="378" t="str">
        <f t="shared" si="132"/>
        <v>أجنبي</v>
      </c>
      <c r="M221" s="436" t="str">
        <f t="shared" ref="M221:M232" si="135">IF(LEFT(K221,1)="5","966"&amp;K221,K221)</f>
        <v/>
      </c>
      <c r="N221" s="436"/>
      <c r="O221" s="378"/>
      <c r="P221" s="378"/>
      <c r="Q221" s="378"/>
      <c r="R221" s="378"/>
      <c r="S221" s="378"/>
      <c r="T221" s="378"/>
      <c r="U221" s="378">
        <v>219</v>
      </c>
      <c r="V221" s="378"/>
      <c r="W221" s="378"/>
      <c r="X221" s="378"/>
      <c r="Y221" s="378"/>
      <c r="Z221" s="378"/>
      <c r="AA221" s="378"/>
      <c r="AB221" s="378"/>
      <c r="AC221" s="378"/>
      <c r="AD221" s="378"/>
      <c r="AE221" s="378"/>
      <c r="AF221" s="378"/>
      <c r="AG221" s="378"/>
      <c r="AH221" s="378"/>
      <c r="AI221" s="378"/>
      <c r="AJ221" s="378"/>
      <c r="AK221" s="378"/>
      <c r="AL221" s="378"/>
      <c r="AM221" s="378"/>
      <c r="AN221" s="378"/>
      <c r="AO221" s="378"/>
      <c r="AP221" s="378"/>
      <c r="AQ221" s="378"/>
    </row>
    <row r="222" spans="2:43">
      <c r="B222" s="378">
        <v>220</v>
      </c>
      <c r="C222" s="378"/>
      <c r="D222" s="378"/>
      <c r="E222" s="378"/>
      <c r="F222" s="378"/>
      <c r="G222" s="378"/>
      <c r="H222" s="378" t="str">
        <f t="array" aca="1" ref="H222" ca="1">_xlfn.TEXTJOIN("", TRUE, IF(ISNUMBER(--MID(C222, ROW(INDIRECT("1:"&amp;LEN(C222))), 1)), MID(C222, ROW(INDIRECT("1:"&amp;LEN(C222))), 1), ""))</f>
        <v/>
      </c>
      <c r="I222" s="378"/>
      <c r="J222" s="378">
        <f t="shared" ref="J222:K222" si="136">IF(LEFT(I222,5)="00966", RIGHT(I222,LEN(I222)-5),
    IF(LEFT(I222,4)="+966", RIGHT(I222,LEN(I222)-4),
        IF(LEFT(I222,3)="966", RIGHT(I222,LEN(I222)-3),
            IF(LEFT(I222,1)="0", RIGHT(I222,LEN(I222)-1), I222)
        )
    )
)</f>
        <v>0</v>
      </c>
      <c r="K222" s="378" t="str">
        <f t="shared" si="136"/>
        <v/>
      </c>
      <c r="L222" s="378" t="str">
        <f t="shared" si="132"/>
        <v>أجنبي</v>
      </c>
      <c r="M222" s="436" t="str">
        <f t="shared" si="135"/>
        <v/>
      </c>
      <c r="N222" s="436"/>
      <c r="O222" s="378"/>
      <c r="P222" s="378"/>
      <c r="Q222" s="378"/>
      <c r="R222" s="378"/>
      <c r="S222" s="378"/>
      <c r="T222" s="378"/>
      <c r="U222" s="378">
        <v>220</v>
      </c>
      <c r="V222" s="378"/>
      <c r="W222" s="378"/>
      <c r="X222" s="378"/>
      <c r="Y222" s="378"/>
      <c r="Z222" s="378"/>
      <c r="AA222" s="378"/>
      <c r="AB222" s="378"/>
      <c r="AC222" s="378"/>
      <c r="AD222" s="378"/>
      <c r="AE222" s="378"/>
      <c r="AF222" s="378"/>
      <c r="AG222" s="378"/>
      <c r="AH222" s="378"/>
      <c r="AI222" s="378"/>
      <c r="AJ222" s="378"/>
      <c r="AK222" s="378"/>
      <c r="AL222" s="378"/>
      <c r="AM222" s="378"/>
      <c r="AN222" s="378"/>
      <c r="AO222" s="378"/>
      <c r="AP222" s="378"/>
      <c r="AQ222" s="378"/>
    </row>
    <row r="223" spans="2:43">
      <c r="B223" s="378">
        <v>221</v>
      </c>
      <c r="C223" s="378"/>
      <c r="D223" s="378"/>
      <c r="E223" s="378"/>
      <c r="F223" s="378"/>
      <c r="G223" s="378"/>
      <c r="H223" s="378" t="str">
        <f t="array" aca="1" ref="H223" ca="1">_xlfn.TEXTJOIN("", TRUE, IF(ISNUMBER(--MID(C223, ROW(INDIRECT("1:"&amp;LEN(C223))), 1)), MID(C223, ROW(INDIRECT("1:"&amp;LEN(C223))), 1), ""))</f>
        <v/>
      </c>
      <c r="I223" s="378"/>
      <c r="J223" s="378">
        <f t="shared" ref="J223:K223" si="137">IF(LEFT(I223,5)="00966", RIGHT(I223,LEN(I223)-5),
    IF(LEFT(I223,4)="+966", RIGHT(I223,LEN(I223)-4),
        IF(LEFT(I223,3)="966", RIGHT(I223,LEN(I223)-3),
            IF(LEFT(I223,1)="0", RIGHT(I223,LEN(I223)-1), I223)
        )
    )
)</f>
        <v>0</v>
      </c>
      <c r="K223" s="378" t="str">
        <f t="shared" si="137"/>
        <v/>
      </c>
      <c r="L223" s="378" t="str">
        <f t="shared" si="132"/>
        <v>أجنبي</v>
      </c>
      <c r="M223" s="436" t="str">
        <f t="shared" si="135"/>
        <v/>
      </c>
      <c r="N223" s="436"/>
      <c r="O223" s="378"/>
      <c r="P223" s="378"/>
      <c r="Q223" s="378"/>
      <c r="R223" s="378"/>
      <c r="S223" s="378"/>
      <c r="T223" s="378"/>
      <c r="U223" s="378">
        <v>221</v>
      </c>
      <c r="V223" s="378"/>
      <c r="W223" s="378"/>
      <c r="X223" s="378"/>
      <c r="Y223" s="378"/>
      <c r="Z223" s="378"/>
      <c r="AA223" s="378"/>
      <c r="AB223" s="378"/>
      <c r="AC223" s="378"/>
      <c r="AD223" s="378"/>
      <c r="AE223" s="378"/>
      <c r="AF223" s="378"/>
      <c r="AG223" s="378"/>
      <c r="AH223" s="378"/>
      <c r="AI223" s="378"/>
      <c r="AJ223" s="378"/>
      <c r="AK223" s="378"/>
      <c r="AL223" s="378"/>
      <c r="AM223" s="378"/>
      <c r="AN223" s="378"/>
      <c r="AO223" s="378"/>
      <c r="AP223" s="378"/>
      <c r="AQ223" s="378"/>
    </row>
    <row r="224" spans="2:43">
      <c r="B224" s="378">
        <v>222</v>
      </c>
      <c r="C224" s="378"/>
      <c r="D224" s="378"/>
      <c r="E224" s="378"/>
      <c r="F224" s="378"/>
      <c r="G224" s="378"/>
      <c r="H224" s="378" t="str">
        <f t="array" aca="1" ref="H224" ca="1">_xlfn.TEXTJOIN("", TRUE, IF(ISNUMBER(--MID(C224, ROW(INDIRECT("1:"&amp;LEN(C224))), 1)), MID(C224, ROW(INDIRECT("1:"&amp;LEN(C224))), 1), ""))</f>
        <v/>
      </c>
      <c r="I224" s="378"/>
      <c r="J224" s="378">
        <f t="shared" ref="J224:K224" si="138">IF(LEFT(I224,5)="00966", RIGHT(I224,LEN(I224)-5),
    IF(LEFT(I224,4)="+966", RIGHT(I224,LEN(I224)-4),
        IF(LEFT(I224,3)="966", RIGHT(I224,LEN(I224)-3),
            IF(LEFT(I224,1)="0", RIGHT(I224,LEN(I224)-1), I224)
        )
    )
)</f>
        <v>0</v>
      </c>
      <c r="K224" s="378" t="str">
        <f t="shared" si="138"/>
        <v/>
      </c>
      <c r="L224" s="378" t="str">
        <f t="shared" si="132"/>
        <v>أجنبي</v>
      </c>
      <c r="M224" s="436" t="str">
        <f t="shared" si="135"/>
        <v/>
      </c>
      <c r="N224" s="436"/>
      <c r="O224" s="378"/>
      <c r="P224" s="378"/>
      <c r="Q224" s="378"/>
      <c r="R224" s="378"/>
      <c r="S224" s="378"/>
      <c r="T224" s="378"/>
      <c r="U224" s="378">
        <v>222</v>
      </c>
      <c r="V224" s="378"/>
      <c r="W224" s="378"/>
      <c r="X224" s="378"/>
      <c r="Y224" s="378"/>
      <c r="Z224" s="378"/>
      <c r="AA224" s="378"/>
      <c r="AB224" s="378"/>
      <c r="AC224" s="378"/>
      <c r="AD224" s="378"/>
      <c r="AE224" s="378"/>
      <c r="AF224" s="378"/>
      <c r="AG224" s="378"/>
      <c r="AH224" s="378"/>
      <c r="AI224" s="378"/>
      <c r="AJ224" s="378"/>
      <c r="AK224" s="378"/>
      <c r="AL224" s="378"/>
      <c r="AM224" s="378"/>
      <c r="AN224" s="378"/>
      <c r="AO224" s="378"/>
      <c r="AP224" s="378"/>
      <c r="AQ224" s="378"/>
    </row>
    <row r="225" spans="2:43">
      <c r="B225" s="378">
        <v>223</v>
      </c>
      <c r="C225" s="378"/>
      <c r="D225" s="378"/>
      <c r="E225" s="378"/>
      <c r="F225" s="378"/>
      <c r="G225" s="378"/>
      <c r="H225" s="378" t="str">
        <f t="array" aca="1" ref="H225" ca="1">_xlfn.TEXTJOIN("", TRUE, IF(ISNUMBER(--MID(C225, ROW(INDIRECT("1:"&amp;LEN(C225))), 1)), MID(C225, ROW(INDIRECT("1:"&amp;LEN(C225))), 1), ""))</f>
        <v/>
      </c>
      <c r="I225" s="378"/>
      <c r="J225" s="378">
        <f t="shared" ref="J225:K225" si="139">IF(LEFT(I225,5)="00966", RIGHT(I225,LEN(I225)-5),
    IF(LEFT(I225,4)="+966", RIGHT(I225,LEN(I225)-4),
        IF(LEFT(I225,3)="966", RIGHT(I225,LEN(I225)-3),
            IF(LEFT(I225,1)="0", RIGHT(I225,LEN(I225)-1), I225)
        )
    )
)</f>
        <v>0</v>
      </c>
      <c r="K225" s="378" t="str">
        <f t="shared" si="139"/>
        <v/>
      </c>
      <c r="L225" s="378" t="str">
        <f t="shared" si="132"/>
        <v>أجنبي</v>
      </c>
      <c r="M225" s="436" t="str">
        <f t="shared" si="135"/>
        <v/>
      </c>
      <c r="N225" s="436"/>
      <c r="O225" s="378"/>
      <c r="P225" s="378"/>
      <c r="Q225" s="378"/>
      <c r="R225" s="378"/>
      <c r="S225" s="378"/>
      <c r="T225" s="378"/>
      <c r="U225" s="378">
        <v>223</v>
      </c>
      <c r="V225" s="378"/>
      <c r="W225" s="378"/>
      <c r="X225" s="378"/>
      <c r="Y225" s="378"/>
      <c r="Z225" s="378"/>
      <c r="AA225" s="378"/>
      <c r="AB225" s="378"/>
      <c r="AC225" s="378"/>
      <c r="AD225" s="378"/>
      <c r="AE225" s="378"/>
      <c r="AF225" s="378"/>
      <c r="AG225" s="378"/>
      <c r="AH225" s="378"/>
      <c r="AI225" s="378"/>
      <c r="AJ225" s="378"/>
      <c r="AK225" s="378"/>
      <c r="AL225" s="378"/>
      <c r="AM225" s="378"/>
      <c r="AN225" s="378"/>
      <c r="AO225" s="378"/>
      <c r="AP225" s="378"/>
      <c r="AQ225" s="378"/>
    </row>
    <row r="226" spans="2:43">
      <c r="B226" s="378">
        <v>224</v>
      </c>
      <c r="C226" s="378"/>
      <c r="D226" s="378"/>
      <c r="E226" s="378"/>
      <c r="F226" s="378"/>
      <c r="G226" s="378"/>
      <c r="H226" s="378" t="str">
        <f t="array" aca="1" ref="H226" ca="1">_xlfn.TEXTJOIN("", TRUE, IF(ISNUMBER(--MID(C226, ROW(INDIRECT("1:"&amp;LEN(C226))), 1)), MID(C226, ROW(INDIRECT("1:"&amp;LEN(C226))), 1), ""))</f>
        <v/>
      </c>
      <c r="I226" s="378"/>
      <c r="J226" s="378">
        <f t="shared" ref="J226:K226" si="140">IF(LEFT(I226,5)="00966", RIGHT(I226,LEN(I226)-5),
    IF(LEFT(I226,4)="+966", RIGHT(I226,LEN(I226)-4),
        IF(LEFT(I226,3)="966", RIGHT(I226,LEN(I226)-3),
            IF(LEFT(I226,1)="0", RIGHT(I226,LEN(I226)-1), I226)
        )
    )
)</f>
        <v>0</v>
      </c>
      <c r="K226" s="378" t="str">
        <f t="shared" si="140"/>
        <v/>
      </c>
      <c r="L226" s="378" t="str">
        <f t="shared" si="132"/>
        <v>أجنبي</v>
      </c>
      <c r="M226" s="436" t="str">
        <f t="shared" si="135"/>
        <v/>
      </c>
      <c r="N226" s="436"/>
      <c r="O226" s="378"/>
      <c r="P226" s="378"/>
      <c r="Q226" s="378"/>
      <c r="R226" s="378"/>
      <c r="S226" s="378"/>
      <c r="T226" s="378"/>
      <c r="U226" s="378">
        <v>224</v>
      </c>
      <c r="V226" s="378"/>
      <c r="W226" s="378"/>
      <c r="X226" s="378"/>
      <c r="Y226" s="378"/>
      <c r="Z226" s="378"/>
      <c r="AA226" s="378"/>
      <c r="AB226" s="378"/>
      <c r="AC226" s="378"/>
      <c r="AD226" s="378"/>
      <c r="AE226" s="378"/>
      <c r="AF226" s="378"/>
      <c r="AG226" s="378"/>
      <c r="AH226" s="378"/>
      <c r="AI226" s="378"/>
      <c r="AJ226" s="378"/>
      <c r="AK226" s="378"/>
      <c r="AL226" s="378"/>
      <c r="AM226" s="378"/>
      <c r="AN226" s="378"/>
      <c r="AO226" s="378"/>
      <c r="AP226" s="378"/>
      <c r="AQ226" s="378"/>
    </row>
    <row r="227" spans="2:43">
      <c r="B227" s="378">
        <v>225</v>
      </c>
      <c r="C227" s="378"/>
      <c r="D227" s="378"/>
      <c r="E227" s="378"/>
      <c r="F227" s="378"/>
      <c r="G227" s="378"/>
      <c r="H227" s="378" t="str">
        <f t="array" aca="1" ref="H227" ca="1">_xlfn.TEXTJOIN("", TRUE, IF(ISNUMBER(--MID(C227, ROW(INDIRECT("1:"&amp;LEN(C227))), 1)), MID(C227, ROW(INDIRECT("1:"&amp;LEN(C227))), 1), ""))</f>
        <v/>
      </c>
      <c r="I227" s="378"/>
      <c r="J227" s="378">
        <f t="shared" ref="J227:K227" si="141">IF(LEFT(I227,5)="00966", RIGHT(I227,LEN(I227)-5),
    IF(LEFT(I227,4)="+966", RIGHT(I227,LEN(I227)-4),
        IF(LEFT(I227,3)="966", RIGHT(I227,LEN(I227)-3),
            IF(LEFT(I227,1)="0", RIGHT(I227,LEN(I227)-1), I227)
        )
    )
)</f>
        <v>0</v>
      </c>
      <c r="K227" s="378" t="str">
        <f t="shared" si="141"/>
        <v/>
      </c>
      <c r="L227" s="378" t="str">
        <f t="shared" si="132"/>
        <v>أجنبي</v>
      </c>
      <c r="M227" s="436" t="str">
        <f t="shared" si="135"/>
        <v/>
      </c>
      <c r="N227" s="436"/>
      <c r="O227" s="378"/>
      <c r="P227" s="378"/>
      <c r="Q227" s="378"/>
      <c r="R227" s="91"/>
      <c r="S227" s="378"/>
      <c r="T227" s="378"/>
      <c r="U227" s="378">
        <v>225</v>
      </c>
      <c r="V227" s="378"/>
      <c r="W227" s="378"/>
      <c r="X227" s="378"/>
      <c r="Y227" s="378"/>
      <c r="Z227" s="378"/>
      <c r="AA227" s="378"/>
      <c r="AB227" s="378"/>
      <c r="AC227" s="378"/>
      <c r="AD227" s="378"/>
      <c r="AE227" s="378"/>
      <c r="AF227" s="378"/>
      <c r="AG227" s="378"/>
      <c r="AH227" s="378"/>
      <c r="AI227" s="378"/>
      <c r="AJ227" s="378"/>
      <c r="AK227" s="378"/>
      <c r="AL227" s="378"/>
      <c r="AM227" s="378"/>
      <c r="AN227" s="378"/>
      <c r="AO227" s="378"/>
      <c r="AP227" s="378"/>
      <c r="AQ227" s="378"/>
    </row>
    <row r="228" spans="2:43">
      <c r="B228" s="378">
        <v>226</v>
      </c>
      <c r="C228" s="378"/>
      <c r="D228" s="378"/>
      <c r="E228" s="378"/>
      <c r="F228" s="378"/>
      <c r="G228" s="378"/>
      <c r="H228" s="378" t="str">
        <f t="array" aca="1" ref="H228" ca="1">_xlfn.TEXTJOIN("", TRUE, IF(ISNUMBER(--MID(C228, ROW(INDIRECT("1:"&amp;LEN(C228))), 1)), MID(C228, ROW(INDIRECT("1:"&amp;LEN(C228))), 1), ""))</f>
        <v/>
      </c>
      <c r="I228" s="378"/>
      <c r="J228" s="378">
        <f t="shared" ref="J228:K228" si="142">IF(LEFT(I228,5)="00966", RIGHT(I228,LEN(I228)-5),
    IF(LEFT(I228,4)="+966", RIGHT(I228,LEN(I228)-4),
        IF(LEFT(I228,3)="966", RIGHT(I228,LEN(I228)-3),
            IF(LEFT(I228,1)="0", RIGHT(I228,LEN(I228)-1), I228)
        )
    )
)</f>
        <v>0</v>
      </c>
      <c r="K228" s="378" t="str">
        <f t="shared" si="142"/>
        <v/>
      </c>
      <c r="L228" s="378" t="str">
        <f t="shared" si="132"/>
        <v>أجنبي</v>
      </c>
      <c r="M228" s="436" t="str">
        <f t="shared" si="135"/>
        <v/>
      </c>
      <c r="N228" s="436"/>
      <c r="O228" s="378"/>
      <c r="P228" s="378"/>
      <c r="Q228" s="378"/>
      <c r="R228" s="91"/>
      <c r="S228" s="378"/>
      <c r="T228" s="378"/>
      <c r="U228" s="378">
        <v>226</v>
      </c>
      <c r="V228" s="378"/>
      <c r="W228" s="378"/>
      <c r="X228" s="378"/>
      <c r="Y228" s="378"/>
      <c r="Z228" s="378"/>
      <c r="AA228" s="378"/>
      <c r="AB228" s="378"/>
      <c r="AC228" s="378"/>
      <c r="AD228" s="378"/>
      <c r="AE228" s="378"/>
      <c r="AF228" s="378"/>
      <c r="AG228" s="378"/>
      <c r="AH228" s="378"/>
      <c r="AI228" s="378"/>
      <c r="AJ228" s="378"/>
      <c r="AK228" s="378"/>
      <c r="AL228" s="378"/>
      <c r="AM228" s="378"/>
      <c r="AN228" s="378"/>
      <c r="AO228" s="378"/>
      <c r="AP228" s="378"/>
      <c r="AQ228" s="378"/>
    </row>
    <row r="229" spans="2:43">
      <c r="B229" s="378">
        <v>227</v>
      </c>
      <c r="C229" s="378"/>
      <c r="D229" s="378"/>
      <c r="E229" s="378"/>
      <c r="F229" s="378"/>
      <c r="G229" s="378"/>
      <c r="H229" s="378" t="str">
        <f t="array" aca="1" ref="H229" ca="1">_xlfn.TEXTJOIN("", TRUE, IF(ISNUMBER(--MID(C229, ROW(INDIRECT("1:"&amp;LEN(C229))), 1)), MID(C229, ROW(INDIRECT("1:"&amp;LEN(C229))), 1), ""))</f>
        <v/>
      </c>
      <c r="I229" s="378"/>
      <c r="J229" s="378">
        <f t="shared" ref="J229:K229" si="143">IF(LEFT(I229,5)="00966", RIGHT(I229,LEN(I229)-5),
    IF(LEFT(I229,4)="+966", RIGHT(I229,LEN(I229)-4),
        IF(LEFT(I229,3)="966", RIGHT(I229,LEN(I229)-3),
            IF(LEFT(I229,1)="0", RIGHT(I229,LEN(I229)-1), I229)
        )
    )
)</f>
        <v>0</v>
      </c>
      <c r="K229" s="378" t="str">
        <f t="shared" si="143"/>
        <v/>
      </c>
      <c r="L229" s="378" t="str">
        <f t="shared" si="132"/>
        <v>أجنبي</v>
      </c>
      <c r="M229" s="436" t="str">
        <f t="shared" si="135"/>
        <v/>
      </c>
      <c r="N229" s="436"/>
      <c r="O229" s="378"/>
      <c r="P229" s="378"/>
      <c r="Q229" s="378"/>
      <c r="R229" s="378"/>
      <c r="S229" s="378"/>
      <c r="T229" s="378"/>
      <c r="U229" s="378">
        <v>227</v>
      </c>
      <c r="V229" s="378"/>
      <c r="W229" s="378"/>
      <c r="X229" s="378"/>
      <c r="Y229" s="378"/>
      <c r="Z229" s="378"/>
      <c r="AA229" s="378"/>
      <c r="AB229" s="378"/>
      <c r="AC229" s="378"/>
      <c r="AD229" s="378"/>
      <c r="AE229" s="378"/>
      <c r="AF229" s="378"/>
      <c r="AG229" s="378"/>
      <c r="AH229" s="378"/>
      <c r="AI229" s="378"/>
      <c r="AJ229" s="378"/>
      <c r="AK229" s="378"/>
      <c r="AL229" s="378"/>
      <c r="AM229" s="378"/>
      <c r="AN229" s="378"/>
      <c r="AO229" s="378"/>
      <c r="AP229" s="378"/>
      <c r="AQ229" s="378"/>
    </row>
    <row r="230" spans="2:43">
      <c r="B230" s="378">
        <v>228</v>
      </c>
      <c r="C230" s="378"/>
      <c r="D230" s="378"/>
      <c r="E230" s="378"/>
      <c r="F230" s="378"/>
      <c r="G230" s="378"/>
      <c r="H230" s="378" t="str">
        <f t="array" aca="1" ref="H230" ca="1">_xlfn.TEXTJOIN("", TRUE, IF(ISNUMBER(--MID(C230, ROW(INDIRECT("1:"&amp;LEN(C230))), 1)), MID(C230, ROW(INDIRECT("1:"&amp;LEN(C230))), 1), ""))</f>
        <v/>
      </c>
      <c r="I230" s="378"/>
      <c r="J230" s="378">
        <f t="shared" ref="J230:K230" si="144">IF(LEFT(I230,5)="00966", RIGHT(I230,LEN(I230)-5),
    IF(LEFT(I230,4)="+966", RIGHT(I230,LEN(I230)-4),
        IF(LEFT(I230,3)="966", RIGHT(I230,LEN(I230)-3),
            IF(LEFT(I230,1)="0", RIGHT(I230,LEN(I230)-1), I230)
        )
    )
)</f>
        <v>0</v>
      </c>
      <c r="K230" s="378" t="str">
        <f t="shared" si="144"/>
        <v/>
      </c>
      <c r="L230" s="378" t="str">
        <f t="shared" si="132"/>
        <v>أجنبي</v>
      </c>
      <c r="M230" s="436" t="str">
        <f t="shared" si="135"/>
        <v/>
      </c>
      <c r="N230" s="436"/>
      <c r="O230" s="378"/>
      <c r="P230" s="378"/>
      <c r="Q230" s="378"/>
      <c r="R230" s="91"/>
      <c r="S230" s="378"/>
      <c r="T230" s="378"/>
      <c r="U230" s="378">
        <v>228</v>
      </c>
      <c r="V230" s="378"/>
      <c r="W230" s="378"/>
      <c r="X230" s="378"/>
      <c r="Y230" s="378"/>
      <c r="Z230" s="378"/>
      <c r="AA230" s="378"/>
      <c r="AB230" s="378"/>
      <c r="AC230" s="378"/>
      <c r="AD230" s="378"/>
      <c r="AE230" s="378"/>
      <c r="AF230" s="378"/>
      <c r="AG230" s="378"/>
      <c r="AH230" s="378"/>
      <c r="AI230" s="378"/>
      <c r="AJ230" s="378"/>
      <c r="AK230" s="378"/>
      <c r="AL230" s="378"/>
      <c r="AM230" s="378"/>
      <c r="AN230" s="378"/>
      <c r="AO230" s="378"/>
      <c r="AP230" s="378"/>
      <c r="AQ230" s="378"/>
    </row>
    <row r="231" spans="2:43">
      <c r="B231" s="378">
        <v>229</v>
      </c>
      <c r="C231" s="378"/>
      <c r="D231" s="378"/>
      <c r="E231" s="378"/>
      <c r="F231" s="378"/>
      <c r="G231" s="378"/>
      <c r="H231" s="378" t="str">
        <f t="array" aca="1" ref="H231" ca="1">_xlfn.TEXTJOIN("", TRUE, IF(ISNUMBER(--MID(C231, ROW(INDIRECT("1:"&amp;LEN(C231))), 1)), MID(C231, ROW(INDIRECT("1:"&amp;LEN(C231))), 1), ""))</f>
        <v/>
      </c>
      <c r="I231" s="378"/>
      <c r="J231" s="378">
        <f t="shared" ref="J231:K231" si="145">IF(LEFT(I231,5)="00966", RIGHT(I231,LEN(I231)-5),
    IF(LEFT(I231,4)="+966", RIGHT(I231,LEN(I231)-4),
        IF(LEFT(I231,3)="966", RIGHT(I231,LEN(I231)-3),
            IF(LEFT(I231,1)="0", RIGHT(I231,LEN(I231)-1), I231)
        )
    )
)</f>
        <v>0</v>
      </c>
      <c r="K231" s="378" t="str">
        <f t="shared" si="145"/>
        <v/>
      </c>
      <c r="L231" s="378" t="str">
        <f t="shared" si="132"/>
        <v>أجنبي</v>
      </c>
      <c r="M231" s="436" t="str">
        <f t="shared" si="135"/>
        <v/>
      </c>
      <c r="N231" s="436"/>
      <c r="O231" s="378"/>
      <c r="P231" s="378"/>
      <c r="Q231" s="378"/>
      <c r="R231" s="378"/>
      <c r="S231" s="378"/>
      <c r="T231" s="378"/>
      <c r="U231" s="378">
        <v>229</v>
      </c>
      <c r="V231" s="378"/>
      <c r="W231" s="378"/>
      <c r="X231" s="378"/>
      <c r="Y231" s="378"/>
      <c r="Z231" s="378"/>
      <c r="AA231" s="378"/>
      <c r="AB231" s="378"/>
      <c r="AC231" s="378"/>
      <c r="AD231" s="378"/>
      <c r="AE231" s="378"/>
      <c r="AF231" s="378"/>
      <c r="AG231" s="378"/>
      <c r="AH231" s="378"/>
      <c r="AI231" s="378"/>
      <c r="AJ231" s="378"/>
      <c r="AK231" s="378"/>
      <c r="AL231" s="378"/>
      <c r="AM231" s="378"/>
      <c r="AN231" s="378"/>
      <c r="AO231" s="378"/>
      <c r="AP231" s="378"/>
      <c r="AQ231" s="378"/>
    </row>
    <row r="232" spans="2:43">
      <c r="B232" s="378">
        <v>230</v>
      </c>
      <c r="C232" s="378"/>
      <c r="D232" s="378"/>
      <c r="E232" s="378"/>
      <c r="F232" s="378"/>
      <c r="G232" s="378"/>
      <c r="H232" s="378" t="str">
        <f t="array" aca="1" ref="H232" ca="1">_xlfn.TEXTJOIN("", TRUE, IF(ISNUMBER(--MID(C232, ROW(INDIRECT("1:"&amp;LEN(C232))), 1)), MID(C232, ROW(INDIRECT("1:"&amp;LEN(C232))), 1), ""))</f>
        <v/>
      </c>
      <c r="I232" s="378"/>
      <c r="J232" s="378">
        <f t="shared" ref="J232:K232" si="146">IF(LEFT(I232,5)="00966", RIGHT(I232,LEN(I232)-5),
    IF(LEFT(I232,4)="+966", RIGHT(I232,LEN(I232)-4),
        IF(LEFT(I232,3)="966", RIGHT(I232,LEN(I232)-3),
            IF(LEFT(I232,1)="0", RIGHT(I232,LEN(I232)-1), I232)
        )
    )
)</f>
        <v>0</v>
      </c>
      <c r="K232" s="378" t="str">
        <f t="shared" si="146"/>
        <v/>
      </c>
      <c r="L232" s="378" t="str">
        <f t="shared" si="132"/>
        <v>أجنبي</v>
      </c>
      <c r="M232" s="436" t="str">
        <f t="shared" si="135"/>
        <v/>
      </c>
      <c r="N232" s="436"/>
      <c r="O232" s="378"/>
      <c r="P232" s="378"/>
      <c r="Q232" s="378"/>
      <c r="R232" s="378"/>
      <c r="S232" s="378"/>
      <c r="T232" s="378"/>
      <c r="U232" s="378">
        <v>230</v>
      </c>
      <c r="V232" s="378"/>
      <c r="W232" s="378"/>
      <c r="X232" s="378"/>
      <c r="Y232" s="378"/>
      <c r="Z232" s="378"/>
      <c r="AA232" s="378"/>
      <c r="AB232" s="378"/>
      <c r="AC232" s="378"/>
      <c r="AD232" s="378"/>
      <c r="AE232" s="378"/>
      <c r="AF232" s="378"/>
      <c r="AG232" s="378"/>
      <c r="AH232" s="378"/>
      <c r="AI232" s="378"/>
      <c r="AJ232" s="378"/>
      <c r="AK232" s="378"/>
      <c r="AL232" s="378"/>
      <c r="AM232" s="378"/>
      <c r="AN232" s="378"/>
      <c r="AO232" s="378"/>
      <c r="AP232" s="378"/>
      <c r="AQ232" s="378"/>
    </row>
    <row r="233" spans="2:43">
      <c r="B233" s="378">
        <v>231</v>
      </c>
      <c r="C233" s="378"/>
      <c r="D233" s="378"/>
      <c r="E233" s="378"/>
      <c r="F233" s="378"/>
      <c r="G233" s="378"/>
      <c r="H233" s="378" t="str">
        <f t="array" aca="1" ref="H233" ca="1">_xlfn.TEXTJOIN("", TRUE, IF(ISNUMBER(--MID(C233, ROW(INDIRECT("1:"&amp;LEN(C233))), 1)), MID(C233, ROW(INDIRECT("1:"&amp;LEN(C233))), 1), ""))</f>
        <v/>
      </c>
      <c r="I233" s="378"/>
      <c r="J233" s="378">
        <f t="shared" ref="J233:J280" si="147">IF(LEFT(I233,5)="00966", RIGHT(I233,LEN(I233)-5),
    IF(LEFT(I233,4)="+966", RIGHT(I233,LEN(I233)-4),
        IF(LEFT(I233,3)="966", RIGHT(I233,LEN(I233)-3),
            IF(LEFT(I233,1)="0", RIGHT(I233,LEN(I233)-1), I233)
        )
    )
)</f>
        <v>0</v>
      </c>
      <c r="K233" s="378" t="str">
        <f t="shared" ref="K233:K280" si="148">IF(LEFT(J233,5)="00966", RIGHT(J233,LEN(J233)-5),
    IF(LEFT(J233,4)="+966", RIGHT(J233,LEN(J233)-4),
        IF(LEFT(J233,3)="966", RIGHT(J233,LEN(J233)-3),
            IF(LEFT(J233,1)="0", RIGHT(J233,LEN(J233)-1), J233)
        )
    )
)</f>
        <v/>
      </c>
      <c r="L233" s="378" t="str">
        <f t="shared" ref="L233:L280" si="149">IF(LEFT(K233,1)="5",
    IF(LEN(K233)=9,"سعودي - صحيح",
        IF(LEN(K233)&lt;9,"سعودي - ناقص "&amp;(9-LEN(K233)),"سعودي - زائد "&amp;(LEN(K233)-9))
    ),
"أجنبي")</f>
        <v>أجنبي</v>
      </c>
      <c r="M233" s="436" t="str">
        <f t="shared" ref="M233:M280" si="150">IF(LEFT(K233,1)="5","966"&amp;K233,K233)</f>
        <v/>
      </c>
      <c r="N233" s="436"/>
      <c r="O233" s="378"/>
      <c r="P233" s="378"/>
      <c r="Q233" s="378"/>
      <c r="R233" s="378"/>
      <c r="S233" s="378"/>
      <c r="T233" s="378"/>
      <c r="U233" s="378">
        <v>231</v>
      </c>
      <c r="V233" s="378"/>
      <c r="W233" s="378"/>
      <c r="X233" s="378"/>
      <c r="Y233" s="378"/>
      <c r="Z233" s="378"/>
      <c r="AA233" s="378"/>
      <c r="AB233" s="378"/>
      <c r="AC233" s="378"/>
      <c r="AD233" s="378"/>
      <c r="AE233" s="378"/>
      <c r="AF233" s="378"/>
      <c r="AG233" s="378"/>
      <c r="AH233" s="378"/>
      <c r="AI233" s="378"/>
      <c r="AJ233" s="378"/>
      <c r="AK233" s="378"/>
      <c r="AL233" s="378"/>
      <c r="AM233" s="378"/>
      <c r="AN233" s="378"/>
      <c r="AO233" s="378"/>
      <c r="AP233" s="378"/>
      <c r="AQ233" s="378"/>
    </row>
    <row r="234" spans="2:43">
      <c r="B234" s="378">
        <v>232</v>
      </c>
      <c r="C234" s="378"/>
      <c r="D234" s="378"/>
      <c r="E234" s="378"/>
      <c r="F234" s="378"/>
      <c r="G234" s="378"/>
      <c r="H234" s="378" t="str">
        <f t="array" aca="1" ref="H234" ca="1">_xlfn.TEXTJOIN("", TRUE, IF(ISNUMBER(--MID(C234, ROW(INDIRECT("1:"&amp;LEN(C234))), 1)), MID(C234, ROW(INDIRECT("1:"&amp;LEN(C234))), 1), ""))</f>
        <v/>
      </c>
      <c r="I234" s="378"/>
      <c r="J234" s="378">
        <f t="shared" si="147"/>
        <v>0</v>
      </c>
      <c r="K234" s="378" t="str">
        <f t="shared" si="148"/>
        <v/>
      </c>
      <c r="L234" s="378" t="str">
        <f t="shared" si="149"/>
        <v>أجنبي</v>
      </c>
      <c r="M234" s="436" t="str">
        <f t="shared" si="150"/>
        <v/>
      </c>
      <c r="N234" s="436"/>
      <c r="O234" s="378"/>
      <c r="P234" s="378"/>
      <c r="Q234" s="378"/>
      <c r="R234" s="378"/>
      <c r="S234" s="378"/>
      <c r="T234" s="378"/>
      <c r="U234" s="378">
        <v>232</v>
      </c>
      <c r="V234" s="378"/>
      <c r="W234" s="378"/>
      <c r="X234" s="378"/>
      <c r="Y234" s="378"/>
      <c r="Z234" s="378"/>
      <c r="AA234" s="378"/>
      <c r="AB234" s="378"/>
      <c r="AC234" s="378"/>
      <c r="AD234" s="378"/>
      <c r="AE234" s="378"/>
      <c r="AF234" s="378"/>
      <c r="AG234" s="378"/>
      <c r="AH234" s="378"/>
      <c r="AI234" s="378"/>
      <c r="AJ234" s="378"/>
      <c r="AK234" s="378"/>
      <c r="AL234" s="378"/>
      <c r="AM234" s="378"/>
      <c r="AN234" s="378"/>
      <c r="AO234" s="378"/>
      <c r="AP234" s="378"/>
      <c r="AQ234" s="378"/>
    </row>
    <row r="235" spans="2:43">
      <c r="B235" s="378">
        <v>233</v>
      </c>
      <c r="C235" s="378"/>
      <c r="D235" s="378"/>
      <c r="E235" s="378"/>
      <c r="F235" s="378"/>
      <c r="G235" s="378"/>
      <c r="H235" s="378" t="str">
        <f t="array" aca="1" ref="H235" ca="1">_xlfn.TEXTJOIN("", TRUE, IF(ISNUMBER(--MID(C235, ROW(INDIRECT("1:"&amp;LEN(C235))), 1)), MID(C235, ROW(INDIRECT("1:"&amp;LEN(C235))), 1), ""))</f>
        <v/>
      </c>
      <c r="I235" s="378"/>
      <c r="J235" s="378">
        <f t="shared" si="147"/>
        <v>0</v>
      </c>
      <c r="K235" s="378" t="str">
        <f t="shared" si="148"/>
        <v/>
      </c>
      <c r="L235" s="378" t="str">
        <f t="shared" si="149"/>
        <v>أجنبي</v>
      </c>
      <c r="M235" s="436" t="str">
        <f t="shared" si="150"/>
        <v/>
      </c>
      <c r="N235" s="436"/>
      <c r="O235" s="378"/>
      <c r="P235" s="378"/>
      <c r="Q235" s="378"/>
      <c r="R235" s="378"/>
      <c r="S235" s="378"/>
      <c r="T235" s="378"/>
      <c r="U235" s="378">
        <v>233</v>
      </c>
      <c r="V235" s="378"/>
      <c r="W235" s="378"/>
      <c r="X235" s="378"/>
      <c r="Y235" s="378"/>
      <c r="Z235" s="378"/>
      <c r="AA235" s="378"/>
      <c r="AB235" s="378"/>
      <c r="AC235" s="378"/>
      <c r="AD235" s="378"/>
      <c r="AE235" s="378"/>
      <c r="AF235" s="378"/>
      <c r="AG235" s="378"/>
      <c r="AH235" s="378"/>
      <c r="AI235" s="378"/>
      <c r="AJ235" s="378"/>
      <c r="AK235" s="378"/>
      <c r="AL235" s="378"/>
      <c r="AM235" s="378"/>
      <c r="AN235" s="378"/>
      <c r="AO235" s="378"/>
      <c r="AP235" s="378"/>
      <c r="AQ235" s="378"/>
    </row>
    <row r="236" spans="2:43">
      <c r="B236" s="378">
        <v>234</v>
      </c>
      <c r="C236" s="378"/>
      <c r="D236" s="378"/>
      <c r="E236" s="378"/>
      <c r="F236" s="378"/>
      <c r="G236" s="378"/>
      <c r="H236" s="378" t="str">
        <f t="array" aca="1" ref="H236" ca="1">_xlfn.TEXTJOIN("", TRUE, IF(ISNUMBER(--MID(C236, ROW(INDIRECT("1:"&amp;LEN(C236))), 1)), MID(C236, ROW(INDIRECT("1:"&amp;LEN(C236))), 1), ""))</f>
        <v/>
      </c>
      <c r="I236" s="378"/>
      <c r="J236" s="378">
        <f t="shared" si="147"/>
        <v>0</v>
      </c>
      <c r="K236" s="378" t="str">
        <f t="shared" si="148"/>
        <v/>
      </c>
      <c r="L236" s="378" t="str">
        <f t="shared" si="149"/>
        <v>أجنبي</v>
      </c>
      <c r="M236" s="436" t="str">
        <f t="shared" si="150"/>
        <v/>
      </c>
      <c r="N236" s="436"/>
      <c r="O236" s="378"/>
      <c r="P236" s="378"/>
      <c r="Q236" s="378"/>
      <c r="R236" s="378"/>
      <c r="S236" s="378"/>
      <c r="T236" s="378"/>
      <c r="U236" s="378">
        <v>234</v>
      </c>
      <c r="V236" s="378"/>
      <c r="W236" s="378"/>
      <c r="X236" s="378"/>
      <c r="Y236" s="378"/>
      <c r="Z236" s="378"/>
      <c r="AA236" s="378"/>
      <c r="AB236" s="378"/>
      <c r="AC236" s="378"/>
      <c r="AD236" s="378"/>
      <c r="AE236" s="378"/>
      <c r="AF236" s="378"/>
      <c r="AG236" s="378"/>
      <c r="AH236" s="378"/>
      <c r="AI236" s="378"/>
      <c r="AJ236" s="378"/>
      <c r="AK236" s="378"/>
      <c r="AL236" s="378"/>
      <c r="AM236" s="378"/>
      <c r="AN236" s="378"/>
      <c r="AO236" s="378"/>
      <c r="AP236" s="378"/>
      <c r="AQ236" s="378"/>
    </row>
    <row r="237" spans="2:43">
      <c r="B237" s="378">
        <v>235</v>
      </c>
      <c r="C237" s="378"/>
      <c r="D237" s="378"/>
      <c r="E237" s="378"/>
      <c r="F237" s="378"/>
      <c r="G237" s="378"/>
      <c r="H237" s="378" t="str">
        <f t="array" aca="1" ref="H237" ca="1">_xlfn.TEXTJOIN("", TRUE, IF(ISNUMBER(--MID(C237, ROW(INDIRECT("1:"&amp;LEN(C237))), 1)), MID(C237, ROW(INDIRECT("1:"&amp;LEN(C237))), 1), ""))</f>
        <v/>
      </c>
      <c r="I237" s="378"/>
      <c r="J237" s="378">
        <f t="shared" si="147"/>
        <v>0</v>
      </c>
      <c r="K237" s="378" t="str">
        <f t="shared" si="148"/>
        <v/>
      </c>
      <c r="L237" s="378" t="str">
        <f t="shared" si="149"/>
        <v>أجنبي</v>
      </c>
      <c r="M237" s="436" t="str">
        <f t="shared" si="150"/>
        <v/>
      </c>
      <c r="N237" s="436"/>
      <c r="O237" s="378"/>
      <c r="P237" s="378"/>
      <c r="Q237" s="378"/>
      <c r="R237" s="91"/>
      <c r="S237" s="378"/>
      <c r="T237" s="378"/>
      <c r="U237" s="378">
        <v>235</v>
      </c>
      <c r="V237" s="378"/>
      <c r="W237" s="378"/>
      <c r="X237" s="378"/>
      <c r="Y237" s="378"/>
      <c r="Z237" s="378"/>
      <c r="AA237" s="378"/>
      <c r="AB237" s="378"/>
      <c r="AC237" s="378"/>
      <c r="AD237" s="378"/>
      <c r="AE237" s="378"/>
      <c r="AF237" s="378"/>
      <c r="AG237" s="378"/>
      <c r="AH237" s="378"/>
      <c r="AI237" s="378"/>
      <c r="AJ237" s="378"/>
      <c r="AK237" s="378"/>
      <c r="AL237" s="378"/>
      <c r="AM237" s="378"/>
      <c r="AN237" s="378"/>
      <c r="AO237" s="378"/>
      <c r="AP237" s="378"/>
      <c r="AQ237" s="378"/>
    </row>
    <row r="238" spans="2:43">
      <c r="B238" s="378">
        <v>236</v>
      </c>
      <c r="C238" s="378"/>
      <c r="D238" s="378"/>
      <c r="E238" s="378"/>
      <c r="F238" s="378"/>
      <c r="G238" s="378"/>
      <c r="H238" s="378" t="str">
        <f t="array" aca="1" ref="H238" ca="1">_xlfn.TEXTJOIN("", TRUE, IF(ISNUMBER(--MID(C238, ROW(INDIRECT("1:"&amp;LEN(C238))), 1)), MID(C238, ROW(INDIRECT("1:"&amp;LEN(C238))), 1), ""))</f>
        <v/>
      </c>
      <c r="I238" s="378"/>
      <c r="J238" s="378">
        <f t="shared" si="147"/>
        <v>0</v>
      </c>
      <c r="K238" s="378" t="str">
        <f t="shared" si="148"/>
        <v/>
      </c>
      <c r="L238" s="378" t="str">
        <f t="shared" si="149"/>
        <v>أجنبي</v>
      </c>
      <c r="M238" s="436" t="str">
        <f t="shared" si="150"/>
        <v/>
      </c>
      <c r="N238" s="436"/>
      <c r="O238" s="378"/>
      <c r="P238" s="378"/>
      <c r="Q238" s="378"/>
      <c r="R238" s="378"/>
      <c r="S238" s="378"/>
      <c r="T238" s="378"/>
      <c r="U238" s="378">
        <v>236</v>
      </c>
      <c r="V238" s="378"/>
      <c r="W238" s="378"/>
      <c r="X238" s="378"/>
      <c r="Y238" s="378"/>
      <c r="Z238" s="378"/>
      <c r="AA238" s="378"/>
      <c r="AB238" s="378"/>
      <c r="AC238" s="378"/>
      <c r="AD238" s="378"/>
      <c r="AE238" s="378"/>
      <c r="AF238" s="378"/>
      <c r="AG238" s="378"/>
      <c r="AH238" s="378"/>
      <c r="AI238" s="378"/>
      <c r="AJ238" s="378"/>
      <c r="AK238" s="378"/>
      <c r="AL238" s="378"/>
      <c r="AM238" s="378"/>
      <c r="AN238" s="378"/>
      <c r="AO238" s="378"/>
      <c r="AP238" s="378"/>
      <c r="AQ238" s="378"/>
    </row>
    <row r="239" spans="2:43">
      <c r="B239" s="378">
        <v>237</v>
      </c>
      <c r="C239" s="378"/>
      <c r="D239" s="378"/>
      <c r="E239" s="378"/>
      <c r="F239" s="378"/>
      <c r="G239" s="378"/>
      <c r="H239" s="378" t="str">
        <f t="array" aca="1" ref="H239" ca="1">_xlfn.TEXTJOIN("", TRUE, IF(ISNUMBER(--MID(C239, ROW(INDIRECT("1:"&amp;LEN(C239))), 1)), MID(C239, ROW(INDIRECT("1:"&amp;LEN(C239))), 1), ""))</f>
        <v/>
      </c>
      <c r="I239" s="378"/>
      <c r="J239" s="378">
        <f t="shared" si="147"/>
        <v>0</v>
      </c>
      <c r="K239" s="378" t="str">
        <f t="shared" si="148"/>
        <v/>
      </c>
      <c r="L239" s="378" t="str">
        <f t="shared" si="149"/>
        <v>أجنبي</v>
      </c>
      <c r="M239" s="436" t="str">
        <f t="shared" si="150"/>
        <v/>
      </c>
      <c r="N239" s="436"/>
      <c r="O239" s="378"/>
      <c r="P239" s="378"/>
      <c r="Q239" s="378"/>
      <c r="R239" s="378"/>
      <c r="S239" s="378"/>
      <c r="T239" s="378"/>
      <c r="U239" s="378">
        <v>237</v>
      </c>
      <c r="V239" s="378"/>
      <c r="W239" s="378"/>
      <c r="X239" s="378"/>
      <c r="Y239" s="378"/>
      <c r="Z239" s="378"/>
      <c r="AA239" s="378"/>
      <c r="AB239" s="378"/>
      <c r="AC239" s="378"/>
      <c r="AD239" s="378"/>
      <c r="AE239" s="378"/>
      <c r="AF239" s="378"/>
      <c r="AG239" s="378"/>
      <c r="AH239" s="378"/>
      <c r="AI239" s="378"/>
      <c r="AJ239" s="378"/>
      <c r="AK239" s="378"/>
      <c r="AL239" s="378"/>
      <c r="AM239" s="378"/>
      <c r="AN239" s="378"/>
      <c r="AO239" s="378"/>
      <c r="AP239" s="378"/>
      <c r="AQ239" s="378"/>
    </row>
    <row r="240" spans="2:43">
      <c r="B240" s="378">
        <v>238</v>
      </c>
      <c r="C240" s="378"/>
      <c r="D240" s="378"/>
      <c r="E240" s="378"/>
      <c r="F240" s="378"/>
      <c r="G240" s="378"/>
      <c r="H240" s="378" t="str">
        <f t="array" aca="1" ref="H240" ca="1">_xlfn.TEXTJOIN("", TRUE, IF(ISNUMBER(--MID(C240, ROW(INDIRECT("1:"&amp;LEN(C240))), 1)), MID(C240, ROW(INDIRECT("1:"&amp;LEN(C240))), 1), ""))</f>
        <v/>
      </c>
      <c r="I240" s="378"/>
      <c r="J240" s="378">
        <f t="shared" si="147"/>
        <v>0</v>
      </c>
      <c r="K240" s="378" t="str">
        <f t="shared" si="148"/>
        <v/>
      </c>
      <c r="L240" s="378" t="str">
        <f t="shared" si="149"/>
        <v>أجنبي</v>
      </c>
      <c r="M240" s="436" t="str">
        <f t="shared" si="150"/>
        <v/>
      </c>
      <c r="N240" s="436"/>
      <c r="O240" s="378"/>
      <c r="P240" s="378"/>
      <c r="Q240" s="378"/>
      <c r="R240" s="378"/>
      <c r="S240" s="378"/>
      <c r="T240" s="378"/>
      <c r="U240" s="378">
        <v>238</v>
      </c>
      <c r="V240" s="378"/>
      <c r="W240" s="378"/>
      <c r="X240" s="378"/>
      <c r="Y240" s="378"/>
      <c r="Z240" s="378"/>
      <c r="AA240" s="378"/>
      <c r="AB240" s="378"/>
      <c r="AC240" s="378"/>
      <c r="AD240" s="378"/>
      <c r="AE240" s="378"/>
      <c r="AF240" s="378"/>
      <c r="AG240" s="378"/>
      <c r="AH240" s="378"/>
      <c r="AI240" s="378"/>
      <c r="AJ240" s="378"/>
      <c r="AK240" s="378"/>
      <c r="AL240" s="378"/>
      <c r="AM240" s="378"/>
      <c r="AN240" s="378"/>
      <c r="AO240" s="378"/>
      <c r="AP240" s="378"/>
      <c r="AQ240" s="378"/>
    </row>
    <row r="241" spans="2:43">
      <c r="B241" s="378">
        <v>239</v>
      </c>
      <c r="C241" s="378"/>
      <c r="D241" s="378"/>
      <c r="E241" s="378"/>
      <c r="F241" s="378"/>
      <c r="G241" s="378"/>
      <c r="H241" s="378" t="str">
        <f t="array" aca="1" ref="H241" ca="1">_xlfn.TEXTJOIN("", TRUE, IF(ISNUMBER(--MID(C241, ROW(INDIRECT("1:"&amp;LEN(C241))), 1)), MID(C241, ROW(INDIRECT("1:"&amp;LEN(C241))), 1), ""))</f>
        <v/>
      </c>
      <c r="I241" s="378"/>
      <c r="J241" s="378">
        <f t="shared" si="147"/>
        <v>0</v>
      </c>
      <c r="K241" s="378" t="str">
        <f t="shared" si="148"/>
        <v/>
      </c>
      <c r="L241" s="378" t="str">
        <f t="shared" si="149"/>
        <v>أجنبي</v>
      </c>
      <c r="M241" s="436" t="str">
        <f t="shared" si="150"/>
        <v/>
      </c>
      <c r="N241" s="436"/>
      <c r="O241" s="378"/>
      <c r="P241" s="378"/>
      <c r="Q241" s="378"/>
      <c r="R241" s="378"/>
      <c r="S241" s="378"/>
      <c r="T241" s="378"/>
      <c r="U241" s="378">
        <v>239</v>
      </c>
      <c r="V241" s="378"/>
      <c r="W241" s="378"/>
      <c r="X241" s="378"/>
      <c r="Y241" s="378"/>
      <c r="Z241" s="378"/>
      <c r="AA241" s="378"/>
      <c r="AB241" s="378"/>
      <c r="AC241" s="378"/>
      <c r="AD241" s="378"/>
      <c r="AE241" s="378"/>
      <c r="AF241" s="378"/>
      <c r="AG241" s="378"/>
      <c r="AH241" s="378"/>
      <c r="AI241" s="378"/>
      <c r="AJ241" s="378"/>
      <c r="AK241" s="378"/>
      <c r="AL241" s="378"/>
      <c r="AM241" s="378"/>
      <c r="AN241" s="378"/>
      <c r="AO241" s="378"/>
      <c r="AP241" s="378"/>
      <c r="AQ241" s="378"/>
    </row>
    <row r="242" spans="2:43">
      <c r="B242" s="378">
        <v>240</v>
      </c>
      <c r="C242" s="378"/>
      <c r="D242" s="378"/>
      <c r="E242" s="378"/>
      <c r="F242" s="378"/>
      <c r="G242" s="378"/>
      <c r="H242" s="378" t="str">
        <f t="array" aca="1" ref="H242" ca="1">_xlfn.TEXTJOIN("", TRUE, IF(ISNUMBER(--MID(C242, ROW(INDIRECT("1:"&amp;LEN(C242))), 1)), MID(C242, ROW(INDIRECT("1:"&amp;LEN(C242))), 1), ""))</f>
        <v/>
      </c>
      <c r="I242" s="378"/>
      <c r="J242" s="378">
        <f t="shared" si="147"/>
        <v>0</v>
      </c>
      <c r="K242" s="378" t="str">
        <f t="shared" si="148"/>
        <v/>
      </c>
      <c r="L242" s="378" t="str">
        <f t="shared" si="149"/>
        <v>أجنبي</v>
      </c>
      <c r="M242" s="436" t="str">
        <f t="shared" si="150"/>
        <v/>
      </c>
      <c r="N242" s="436"/>
      <c r="O242" s="378"/>
      <c r="P242" s="378"/>
      <c r="Q242" s="378"/>
      <c r="R242" s="378"/>
      <c r="S242" s="378"/>
      <c r="T242" s="378"/>
      <c r="U242" s="378">
        <v>240</v>
      </c>
      <c r="V242" s="378"/>
      <c r="W242" s="378"/>
      <c r="X242" s="378"/>
      <c r="Y242" s="378"/>
      <c r="Z242" s="378"/>
      <c r="AA242" s="378"/>
      <c r="AB242" s="378"/>
      <c r="AC242" s="378"/>
      <c r="AD242" s="378"/>
      <c r="AE242" s="378"/>
      <c r="AF242" s="378"/>
      <c r="AG242" s="378"/>
      <c r="AH242" s="378"/>
      <c r="AI242" s="378"/>
      <c r="AJ242" s="378"/>
      <c r="AK242" s="378"/>
      <c r="AL242" s="378"/>
      <c r="AM242" s="378"/>
      <c r="AN242" s="378"/>
      <c r="AO242" s="378"/>
      <c r="AP242" s="378"/>
      <c r="AQ242" s="378"/>
    </row>
    <row r="243" spans="2:43">
      <c r="B243" s="378">
        <v>241</v>
      </c>
      <c r="C243" s="378"/>
      <c r="D243" s="378"/>
      <c r="E243" s="378"/>
      <c r="F243" s="378"/>
      <c r="G243" s="378"/>
      <c r="H243" s="378" t="str">
        <f t="array" aca="1" ref="H243" ca="1">_xlfn.TEXTJOIN("", TRUE, IF(ISNUMBER(--MID(C243, ROW(INDIRECT("1:"&amp;LEN(C243))), 1)), MID(C243, ROW(INDIRECT("1:"&amp;LEN(C243))), 1), ""))</f>
        <v/>
      </c>
      <c r="I243" s="378"/>
      <c r="J243" s="378">
        <f t="shared" si="147"/>
        <v>0</v>
      </c>
      <c r="K243" s="378" t="str">
        <f t="shared" si="148"/>
        <v/>
      </c>
      <c r="L243" s="378" t="str">
        <f t="shared" si="149"/>
        <v>أجنبي</v>
      </c>
      <c r="M243" s="436" t="str">
        <f t="shared" si="150"/>
        <v/>
      </c>
      <c r="N243" s="436"/>
      <c r="O243" s="378"/>
      <c r="P243" s="378"/>
      <c r="Q243" s="378"/>
      <c r="R243" s="378"/>
      <c r="S243" s="378"/>
      <c r="T243" s="378"/>
      <c r="U243" s="378">
        <v>241</v>
      </c>
      <c r="V243" s="378"/>
      <c r="W243" s="378"/>
      <c r="X243" s="378"/>
      <c r="Y243" s="378"/>
      <c r="Z243" s="378"/>
      <c r="AA243" s="378"/>
      <c r="AB243" s="378"/>
      <c r="AC243" s="378"/>
      <c r="AD243" s="378"/>
      <c r="AE243" s="378"/>
      <c r="AF243" s="378"/>
      <c r="AG243" s="378"/>
      <c r="AH243" s="378"/>
      <c r="AI243" s="378"/>
      <c r="AJ243" s="378"/>
      <c r="AK243" s="378"/>
      <c r="AL243" s="378"/>
      <c r="AM243" s="378"/>
      <c r="AN243" s="378"/>
      <c r="AO243" s="378"/>
      <c r="AP243" s="378"/>
      <c r="AQ243" s="378"/>
    </row>
    <row r="244" spans="2:43">
      <c r="B244" s="378">
        <v>242</v>
      </c>
      <c r="C244" s="378"/>
      <c r="D244" s="378"/>
      <c r="E244" s="378"/>
      <c r="F244" s="378"/>
      <c r="G244" s="378"/>
      <c r="H244" s="378" t="str">
        <f t="array" aca="1" ref="H244" ca="1">_xlfn.TEXTJOIN("", TRUE, IF(ISNUMBER(--MID(C244, ROW(INDIRECT("1:"&amp;LEN(C244))), 1)), MID(C244, ROW(INDIRECT("1:"&amp;LEN(C244))), 1), ""))</f>
        <v/>
      </c>
      <c r="I244" s="378"/>
      <c r="J244" s="378">
        <f t="shared" si="147"/>
        <v>0</v>
      </c>
      <c r="K244" s="378" t="str">
        <f t="shared" si="148"/>
        <v/>
      </c>
      <c r="L244" s="378" t="str">
        <f t="shared" si="149"/>
        <v>أجنبي</v>
      </c>
      <c r="M244" s="436" t="str">
        <f t="shared" si="150"/>
        <v/>
      </c>
      <c r="N244" s="436"/>
      <c r="O244" s="378"/>
      <c r="P244" s="378"/>
      <c r="Q244" s="378"/>
      <c r="R244" s="378"/>
      <c r="S244" s="378"/>
      <c r="T244" s="378"/>
      <c r="U244" s="378">
        <v>242</v>
      </c>
      <c r="V244" s="378"/>
      <c r="W244" s="378"/>
      <c r="X244" s="378"/>
      <c r="Y244" s="378"/>
      <c r="Z244" s="378"/>
      <c r="AA244" s="378"/>
      <c r="AB244" s="378"/>
      <c r="AC244" s="378"/>
      <c r="AD244" s="378"/>
      <c r="AE244" s="378"/>
      <c r="AF244" s="378"/>
      <c r="AG244" s="378"/>
      <c r="AH244" s="378"/>
      <c r="AI244" s="378"/>
      <c r="AJ244" s="378"/>
      <c r="AK244" s="378"/>
      <c r="AL244" s="378"/>
      <c r="AM244" s="378"/>
      <c r="AN244" s="378"/>
      <c r="AO244" s="378"/>
      <c r="AP244" s="378"/>
      <c r="AQ244" s="378"/>
    </row>
    <row r="245" spans="2:43">
      <c r="B245" s="378">
        <v>243</v>
      </c>
      <c r="C245" s="378"/>
      <c r="D245" s="378"/>
      <c r="E245" s="378"/>
      <c r="F245" s="378"/>
      <c r="G245" s="378"/>
      <c r="H245" s="378" t="str">
        <f t="array" aca="1" ref="H245" ca="1">_xlfn.TEXTJOIN("", TRUE, IF(ISNUMBER(--MID(C245, ROW(INDIRECT("1:"&amp;LEN(C245))), 1)), MID(C245, ROW(INDIRECT("1:"&amp;LEN(C245))), 1), ""))</f>
        <v/>
      </c>
      <c r="I245" s="378"/>
      <c r="J245" s="378">
        <f t="shared" si="147"/>
        <v>0</v>
      </c>
      <c r="K245" s="378" t="str">
        <f t="shared" si="148"/>
        <v/>
      </c>
      <c r="L245" s="378" t="str">
        <f t="shared" si="149"/>
        <v>أجنبي</v>
      </c>
      <c r="M245" s="436" t="str">
        <f t="shared" si="150"/>
        <v/>
      </c>
      <c r="N245" s="436"/>
      <c r="O245" s="378"/>
      <c r="P245" s="378"/>
      <c r="Q245" s="378"/>
      <c r="R245" s="378"/>
      <c r="S245" s="378"/>
      <c r="T245" s="378"/>
      <c r="U245" s="378">
        <v>243</v>
      </c>
      <c r="V245" s="378"/>
      <c r="W245" s="378"/>
      <c r="X245" s="378"/>
      <c r="Y245" s="378"/>
      <c r="Z245" s="378"/>
      <c r="AA245" s="378"/>
      <c r="AB245" s="378"/>
      <c r="AC245" s="378"/>
      <c r="AD245" s="378"/>
      <c r="AE245" s="378"/>
      <c r="AF245" s="378"/>
      <c r="AG245" s="378"/>
      <c r="AH245" s="378"/>
      <c r="AI245" s="378"/>
      <c r="AJ245" s="378"/>
      <c r="AK245" s="378"/>
      <c r="AL245" s="378"/>
      <c r="AM245" s="378"/>
      <c r="AN245" s="378"/>
      <c r="AO245" s="378"/>
      <c r="AP245" s="378"/>
      <c r="AQ245" s="378"/>
    </row>
    <row r="246" spans="2:43">
      <c r="B246" s="378">
        <v>244</v>
      </c>
      <c r="C246" s="378"/>
      <c r="D246" s="378"/>
      <c r="E246" s="378"/>
      <c r="F246" s="378"/>
      <c r="G246" s="378"/>
      <c r="H246" s="378" t="str">
        <f t="array" aca="1" ref="H246" ca="1">_xlfn.TEXTJOIN("", TRUE, IF(ISNUMBER(--MID(C246, ROW(INDIRECT("1:"&amp;LEN(C246))), 1)), MID(C246, ROW(INDIRECT("1:"&amp;LEN(C246))), 1), ""))</f>
        <v/>
      </c>
      <c r="I246" s="378"/>
      <c r="J246" s="378">
        <f t="shared" si="147"/>
        <v>0</v>
      </c>
      <c r="K246" s="378" t="str">
        <f t="shared" si="148"/>
        <v/>
      </c>
      <c r="L246" s="378" t="str">
        <f t="shared" si="149"/>
        <v>أجنبي</v>
      </c>
      <c r="M246" s="436" t="str">
        <f t="shared" si="150"/>
        <v/>
      </c>
      <c r="N246" s="436"/>
      <c r="O246" s="378"/>
      <c r="P246" s="378"/>
      <c r="Q246" s="378"/>
      <c r="R246" s="378"/>
      <c r="S246" s="378"/>
      <c r="T246" s="378"/>
      <c r="U246" s="378">
        <v>244</v>
      </c>
      <c r="V246" s="378"/>
      <c r="W246" s="378"/>
      <c r="X246" s="378"/>
      <c r="Y246" s="378"/>
      <c r="Z246" s="378"/>
      <c r="AA246" s="378"/>
      <c r="AB246" s="378"/>
      <c r="AC246" s="378"/>
      <c r="AD246" s="378"/>
      <c r="AE246" s="378"/>
      <c r="AF246" s="378"/>
      <c r="AG246" s="378"/>
      <c r="AH246" s="378"/>
      <c r="AI246" s="378"/>
      <c r="AJ246" s="378"/>
      <c r="AK246" s="378"/>
      <c r="AL246" s="378"/>
      <c r="AM246" s="378"/>
      <c r="AN246" s="378"/>
      <c r="AO246" s="378"/>
      <c r="AP246" s="378"/>
      <c r="AQ246" s="378"/>
    </row>
    <row r="247" spans="2:43">
      <c r="B247" s="378">
        <v>245</v>
      </c>
      <c r="C247" s="378"/>
      <c r="D247" s="378"/>
      <c r="E247" s="378"/>
      <c r="F247" s="378"/>
      <c r="G247" s="378"/>
      <c r="H247" s="378" t="str">
        <f t="array" aca="1" ref="H247" ca="1">_xlfn.TEXTJOIN("", TRUE, IF(ISNUMBER(--MID(C247, ROW(INDIRECT("1:"&amp;LEN(C247))), 1)), MID(C247, ROW(INDIRECT("1:"&amp;LEN(C247))), 1), ""))</f>
        <v/>
      </c>
      <c r="I247" s="378"/>
      <c r="J247" s="378">
        <f t="shared" si="147"/>
        <v>0</v>
      </c>
      <c r="K247" s="378" t="str">
        <f t="shared" si="148"/>
        <v/>
      </c>
      <c r="L247" s="378" t="str">
        <f t="shared" si="149"/>
        <v>أجنبي</v>
      </c>
      <c r="M247" s="436" t="str">
        <f t="shared" si="150"/>
        <v/>
      </c>
      <c r="N247" s="436"/>
      <c r="O247" s="378"/>
      <c r="P247" s="378"/>
      <c r="Q247" s="378"/>
      <c r="R247" s="378"/>
      <c r="S247" s="378"/>
      <c r="T247" s="378"/>
      <c r="U247" s="378">
        <v>245</v>
      </c>
      <c r="V247" s="378"/>
      <c r="W247" s="378"/>
      <c r="X247" s="378"/>
      <c r="Y247" s="378"/>
      <c r="Z247" s="378"/>
      <c r="AA247" s="378"/>
      <c r="AB247" s="378"/>
      <c r="AC247" s="378"/>
      <c r="AD247" s="378"/>
      <c r="AE247" s="378"/>
      <c r="AF247" s="378"/>
      <c r="AG247" s="378"/>
      <c r="AH247" s="378"/>
      <c r="AI247" s="378"/>
      <c r="AJ247" s="378"/>
      <c r="AK247" s="378"/>
      <c r="AL247" s="378"/>
      <c r="AM247" s="378"/>
      <c r="AN247" s="378"/>
      <c r="AO247" s="378"/>
      <c r="AP247" s="378"/>
      <c r="AQ247" s="378"/>
    </row>
    <row r="248" spans="2:43">
      <c r="B248" s="378">
        <v>246</v>
      </c>
      <c r="C248" s="378"/>
      <c r="D248" s="378"/>
      <c r="E248" s="378"/>
      <c r="F248" s="378"/>
      <c r="G248" s="378"/>
      <c r="H248" s="378" t="str">
        <f t="array" aca="1" ref="H248" ca="1">_xlfn.TEXTJOIN("", TRUE, IF(ISNUMBER(--MID(C248, ROW(INDIRECT("1:"&amp;LEN(C248))), 1)), MID(C248, ROW(INDIRECT("1:"&amp;LEN(C248))), 1), ""))</f>
        <v/>
      </c>
      <c r="I248" s="378"/>
      <c r="J248" s="378">
        <f t="shared" si="147"/>
        <v>0</v>
      </c>
      <c r="K248" s="378" t="str">
        <f t="shared" si="148"/>
        <v/>
      </c>
      <c r="L248" s="378" t="str">
        <f t="shared" si="149"/>
        <v>أجنبي</v>
      </c>
      <c r="M248" s="436" t="str">
        <f t="shared" si="150"/>
        <v/>
      </c>
      <c r="N248" s="436"/>
      <c r="O248" s="378"/>
      <c r="P248" s="378"/>
      <c r="Q248" s="378"/>
      <c r="R248" s="378"/>
      <c r="S248" s="378"/>
      <c r="T248" s="378"/>
      <c r="U248" s="378">
        <v>246</v>
      </c>
      <c r="V248" s="378"/>
      <c r="W248" s="378"/>
      <c r="X248" s="378"/>
      <c r="Y248" s="378"/>
      <c r="Z248" s="378"/>
      <c r="AA248" s="378"/>
      <c r="AB248" s="378"/>
      <c r="AC248" s="378"/>
      <c r="AD248" s="378"/>
      <c r="AE248" s="378"/>
      <c r="AF248" s="378"/>
      <c r="AG248" s="378"/>
      <c r="AH248" s="378"/>
      <c r="AI248" s="378"/>
      <c r="AJ248" s="378"/>
      <c r="AK248" s="378"/>
      <c r="AL248" s="378"/>
      <c r="AM248" s="378"/>
      <c r="AN248" s="378"/>
      <c r="AO248" s="378"/>
      <c r="AP248" s="378"/>
      <c r="AQ248" s="378"/>
    </row>
    <row r="249" spans="2:43">
      <c r="B249" s="378">
        <v>247</v>
      </c>
      <c r="C249" s="378"/>
      <c r="D249" s="378"/>
      <c r="E249" s="378"/>
      <c r="F249" s="378"/>
      <c r="G249" s="378"/>
      <c r="H249" s="378" t="str">
        <f t="array" aca="1" ref="H249" ca="1">_xlfn.TEXTJOIN("", TRUE, IF(ISNUMBER(--MID(C249, ROW(INDIRECT("1:"&amp;LEN(C249))), 1)), MID(C249, ROW(INDIRECT("1:"&amp;LEN(C249))), 1), ""))</f>
        <v/>
      </c>
      <c r="I249" s="378"/>
      <c r="J249" s="378">
        <f t="shared" si="147"/>
        <v>0</v>
      </c>
      <c r="K249" s="378" t="str">
        <f t="shared" si="148"/>
        <v/>
      </c>
      <c r="L249" s="378" t="str">
        <f t="shared" si="149"/>
        <v>أجنبي</v>
      </c>
      <c r="M249" s="436" t="str">
        <f t="shared" si="150"/>
        <v/>
      </c>
      <c r="N249" s="436"/>
      <c r="O249" s="378"/>
      <c r="P249" s="378"/>
      <c r="Q249" s="378"/>
      <c r="R249" s="378"/>
      <c r="S249" s="378"/>
      <c r="T249" s="378"/>
      <c r="U249" s="378">
        <v>247</v>
      </c>
      <c r="V249" s="378"/>
      <c r="W249" s="378"/>
      <c r="X249" s="378"/>
      <c r="Y249" s="378"/>
      <c r="Z249" s="378"/>
      <c r="AA249" s="378"/>
      <c r="AB249" s="378"/>
      <c r="AC249" s="378"/>
      <c r="AD249" s="378"/>
      <c r="AE249" s="378"/>
      <c r="AF249" s="378"/>
      <c r="AG249" s="378"/>
      <c r="AH249" s="378"/>
      <c r="AI249" s="378"/>
      <c r="AJ249" s="378"/>
      <c r="AK249" s="378"/>
      <c r="AL249" s="378"/>
      <c r="AM249" s="378"/>
      <c r="AN249" s="378"/>
      <c r="AO249" s="378"/>
      <c r="AP249" s="378"/>
      <c r="AQ249" s="378"/>
    </row>
    <row r="250" spans="2:43">
      <c r="B250" s="378">
        <v>248</v>
      </c>
      <c r="C250" s="378"/>
      <c r="D250" s="378"/>
      <c r="E250" s="378"/>
      <c r="F250" s="378"/>
      <c r="G250" s="378"/>
      <c r="H250" s="378" t="str">
        <f t="array" aca="1" ref="H250" ca="1">_xlfn.TEXTJOIN("", TRUE, IF(ISNUMBER(--MID(C250, ROW(INDIRECT("1:"&amp;LEN(C250))), 1)), MID(C250, ROW(INDIRECT("1:"&amp;LEN(C250))), 1), ""))</f>
        <v/>
      </c>
      <c r="I250" s="378"/>
      <c r="J250" s="378">
        <f t="shared" si="147"/>
        <v>0</v>
      </c>
      <c r="K250" s="378" t="str">
        <f t="shared" si="148"/>
        <v/>
      </c>
      <c r="L250" s="378" t="str">
        <f t="shared" si="149"/>
        <v>أجنبي</v>
      </c>
      <c r="M250" s="436" t="str">
        <f t="shared" si="150"/>
        <v/>
      </c>
      <c r="N250" s="436"/>
      <c r="O250" s="378"/>
      <c r="P250" s="378"/>
      <c r="Q250" s="378"/>
      <c r="R250" s="378"/>
      <c r="S250" s="378"/>
      <c r="T250" s="378"/>
      <c r="U250" s="378">
        <v>248</v>
      </c>
      <c r="V250" s="378"/>
      <c r="W250" s="378"/>
      <c r="X250" s="378"/>
      <c r="Y250" s="378"/>
      <c r="Z250" s="378"/>
      <c r="AA250" s="378"/>
      <c r="AB250" s="378"/>
      <c r="AC250" s="378"/>
      <c r="AD250" s="378"/>
      <c r="AE250" s="378"/>
      <c r="AF250" s="378"/>
      <c r="AG250" s="378"/>
      <c r="AH250" s="378"/>
      <c r="AI250" s="378"/>
      <c r="AJ250" s="378"/>
      <c r="AK250" s="378"/>
      <c r="AL250" s="378"/>
      <c r="AM250" s="378"/>
      <c r="AN250" s="378"/>
      <c r="AO250" s="378"/>
      <c r="AP250" s="378"/>
      <c r="AQ250" s="378"/>
    </row>
    <row r="251" spans="2:43">
      <c r="B251" s="378">
        <v>249</v>
      </c>
      <c r="C251" s="378"/>
      <c r="D251" s="378"/>
      <c r="E251" s="378"/>
      <c r="F251" s="378"/>
      <c r="G251" s="378"/>
      <c r="H251" s="378" t="str">
        <f t="array" aca="1" ref="H251" ca="1">_xlfn.TEXTJOIN("", TRUE, IF(ISNUMBER(--MID(C251, ROW(INDIRECT("1:"&amp;LEN(C251))), 1)), MID(C251, ROW(INDIRECT("1:"&amp;LEN(C251))), 1), ""))</f>
        <v/>
      </c>
      <c r="I251" s="378"/>
      <c r="J251" s="378">
        <f t="shared" si="147"/>
        <v>0</v>
      </c>
      <c r="K251" s="378" t="str">
        <f t="shared" si="148"/>
        <v/>
      </c>
      <c r="L251" s="378" t="str">
        <f t="shared" si="149"/>
        <v>أجنبي</v>
      </c>
      <c r="M251" s="436" t="str">
        <f t="shared" si="150"/>
        <v/>
      </c>
      <c r="N251" s="436"/>
      <c r="O251" s="378"/>
      <c r="P251" s="378"/>
      <c r="Q251" s="378"/>
      <c r="R251" s="91"/>
      <c r="S251" s="378"/>
      <c r="T251" s="378"/>
      <c r="U251" s="378">
        <v>249</v>
      </c>
      <c r="V251" s="378"/>
      <c r="W251" s="378"/>
      <c r="X251" s="378"/>
      <c r="Y251" s="378"/>
      <c r="Z251" s="378"/>
      <c r="AA251" s="378"/>
      <c r="AB251" s="378"/>
      <c r="AC251" s="378"/>
      <c r="AD251" s="378"/>
      <c r="AE251" s="378"/>
      <c r="AF251" s="378"/>
      <c r="AG251" s="378"/>
      <c r="AH251" s="378"/>
      <c r="AI251" s="378"/>
      <c r="AJ251" s="378"/>
      <c r="AK251" s="378"/>
      <c r="AL251" s="378"/>
      <c r="AM251" s="378"/>
      <c r="AN251" s="378"/>
      <c r="AO251" s="378"/>
      <c r="AP251" s="378"/>
      <c r="AQ251" s="378"/>
    </row>
    <row r="252" spans="2:43">
      <c r="B252" s="378">
        <v>250</v>
      </c>
      <c r="C252" s="378"/>
      <c r="D252" s="378"/>
      <c r="E252" s="378"/>
      <c r="F252" s="378"/>
      <c r="G252" s="378"/>
      <c r="H252" s="378" t="str">
        <f t="array" aca="1" ref="H252" ca="1">_xlfn.TEXTJOIN("", TRUE, IF(ISNUMBER(--MID(C252, ROW(INDIRECT("1:"&amp;LEN(C252))), 1)), MID(C252, ROW(INDIRECT("1:"&amp;LEN(C252))), 1), ""))</f>
        <v/>
      </c>
      <c r="I252" s="378"/>
      <c r="J252" s="378">
        <f t="shared" si="147"/>
        <v>0</v>
      </c>
      <c r="K252" s="378" t="str">
        <f t="shared" si="148"/>
        <v/>
      </c>
      <c r="L252" s="378" t="str">
        <f t="shared" si="149"/>
        <v>أجنبي</v>
      </c>
      <c r="M252" s="436" t="str">
        <f t="shared" si="150"/>
        <v/>
      </c>
      <c r="N252" s="436"/>
      <c r="O252" s="378"/>
      <c r="P252" s="378"/>
      <c r="Q252" s="378"/>
      <c r="R252" s="378"/>
      <c r="S252" s="378"/>
      <c r="T252" s="378"/>
      <c r="U252" s="378">
        <v>250</v>
      </c>
      <c r="V252" s="378"/>
      <c r="W252" s="378"/>
      <c r="X252" s="378"/>
      <c r="Y252" s="378"/>
      <c r="Z252" s="378"/>
      <c r="AA252" s="378"/>
      <c r="AB252" s="378"/>
      <c r="AC252" s="378"/>
      <c r="AD252" s="378"/>
      <c r="AE252" s="378"/>
      <c r="AF252" s="378"/>
      <c r="AG252" s="378"/>
      <c r="AH252" s="378"/>
      <c r="AI252" s="378"/>
      <c r="AJ252" s="378"/>
      <c r="AK252" s="378"/>
      <c r="AL252" s="378"/>
      <c r="AM252" s="378"/>
      <c r="AN252" s="378"/>
      <c r="AO252" s="378"/>
      <c r="AP252" s="378"/>
      <c r="AQ252" s="378"/>
    </row>
    <row r="253" spans="2:43">
      <c r="B253" s="378">
        <v>251</v>
      </c>
      <c r="C253" s="378"/>
      <c r="D253" s="378"/>
      <c r="E253" s="378"/>
      <c r="F253" s="378"/>
      <c r="G253" s="378"/>
      <c r="H253" s="378" t="str">
        <f t="array" aca="1" ref="H253" ca="1">_xlfn.TEXTJOIN("", TRUE, IF(ISNUMBER(--MID(C253, ROW(INDIRECT("1:"&amp;LEN(C253))), 1)), MID(C253, ROW(INDIRECT("1:"&amp;LEN(C253))), 1), ""))</f>
        <v/>
      </c>
      <c r="I253" s="378"/>
      <c r="J253" s="378">
        <f t="shared" si="147"/>
        <v>0</v>
      </c>
      <c r="K253" s="378" t="str">
        <f t="shared" si="148"/>
        <v/>
      </c>
      <c r="L253" s="378" t="str">
        <f t="shared" si="149"/>
        <v>أجنبي</v>
      </c>
      <c r="M253" s="436" t="str">
        <f t="shared" si="150"/>
        <v/>
      </c>
      <c r="N253" s="436"/>
      <c r="O253" s="378"/>
      <c r="P253" s="378"/>
      <c r="Q253" s="378"/>
      <c r="R253" s="378"/>
      <c r="S253" s="378"/>
      <c r="T253" s="378"/>
      <c r="U253" s="378">
        <v>251</v>
      </c>
      <c r="V253" s="378"/>
      <c r="W253" s="378"/>
      <c r="X253" s="378"/>
      <c r="Y253" s="378"/>
      <c r="Z253" s="378"/>
      <c r="AA253" s="378"/>
      <c r="AB253" s="378"/>
      <c r="AC253" s="378"/>
      <c r="AD253" s="378"/>
      <c r="AE253" s="378"/>
      <c r="AF253" s="378"/>
      <c r="AG253" s="378"/>
      <c r="AH253" s="378"/>
      <c r="AI253" s="378"/>
      <c r="AJ253" s="378"/>
      <c r="AK253" s="378"/>
      <c r="AL253" s="378"/>
      <c r="AM253" s="378"/>
      <c r="AN253" s="378"/>
      <c r="AO253" s="378"/>
      <c r="AP253" s="378"/>
      <c r="AQ253" s="378"/>
    </row>
    <row r="254" spans="2:43">
      <c r="B254" s="378">
        <v>252</v>
      </c>
      <c r="C254" s="378"/>
      <c r="D254" s="378"/>
      <c r="E254" s="378"/>
      <c r="F254" s="378"/>
      <c r="G254" s="378"/>
      <c r="H254" s="378" t="str">
        <f t="array" aca="1" ref="H254" ca="1">_xlfn.TEXTJOIN("", TRUE, IF(ISNUMBER(--MID(C254, ROW(INDIRECT("1:"&amp;LEN(C254))), 1)), MID(C254, ROW(INDIRECT("1:"&amp;LEN(C254))), 1), ""))</f>
        <v/>
      </c>
      <c r="I254" s="378"/>
      <c r="J254" s="378">
        <f t="shared" si="147"/>
        <v>0</v>
      </c>
      <c r="K254" s="378" t="str">
        <f t="shared" si="148"/>
        <v/>
      </c>
      <c r="L254" s="378" t="str">
        <f t="shared" si="149"/>
        <v>أجنبي</v>
      </c>
      <c r="M254" s="436" t="str">
        <f t="shared" si="150"/>
        <v/>
      </c>
      <c r="N254" s="436"/>
      <c r="O254" s="378"/>
      <c r="P254" s="378"/>
      <c r="Q254" s="378"/>
      <c r="R254" s="378"/>
      <c r="S254" s="378"/>
      <c r="T254" s="378"/>
      <c r="U254" s="378">
        <v>252</v>
      </c>
      <c r="V254" s="378"/>
      <c r="W254" s="378"/>
      <c r="X254" s="378"/>
      <c r="Y254" s="378"/>
      <c r="Z254" s="378"/>
      <c r="AA254" s="378"/>
      <c r="AB254" s="378"/>
      <c r="AC254" s="378"/>
      <c r="AD254" s="378"/>
      <c r="AE254" s="378"/>
      <c r="AF254" s="378"/>
      <c r="AG254" s="378"/>
      <c r="AH254" s="378"/>
      <c r="AI254" s="378"/>
      <c r="AJ254" s="378"/>
      <c r="AK254" s="378"/>
      <c r="AL254" s="378"/>
      <c r="AM254" s="378"/>
      <c r="AN254" s="378"/>
      <c r="AO254" s="378"/>
      <c r="AP254" s="378"/>
      <c r="AQ254" s="378"/>
    </row>
    <row r="255" spans="2:43">
      <c r="B255" s="378">
        <v>253</v>
      </c>
      <c r="C255" s="378"/>
      <c r="D255" s="378"/>
      <c r="E255" s="378"/>
      <c r="F255" s="378"/>
      <c r="G255" s="378"/>
      <c r="H255" s="378" t="str">
        <f t="array" aca="1" ref="H255" ca="1">_xlfn.TEXTJOIN("", TRUE, IF(ISNUMBER(--MID(C255, ROW(INDIRECT("1:"&amp;LEN(C255))), 1)), MID(C255, ROW(INDIRECT("1:"&amp;LEN(C255))), 1), ""))</f>
        <v/>
      </c>
      <c r="I255" s="378"/>
      <c r="J255" s="378">
        <f t="shared" si="147"/>
        <v>0</v>
      </c>
      <c r="K255" s="378" t="str">
        <f t="shared" si="148"/>
        <v/>
      </c>
      <c r="L255" s="378" t="str">
        <f t="shared" si="149"/>
        <v>أجنبي</v>
      </c>
      <c r="M255" s="436" t="str">
        <f t="shared" si="150"/>
        <v/>
      </c>
      <c r="N255" s="436"/>
      <c r="O255" s="378"/>
      <c r="P255" s="378"/>
      <c r="Q255" s="378"/>
      <c r="R255" s="378"/>
      <c r="S255" s="378"/>
      <c r="T255" s="378"/>
      <c r="U255" s="378">
        <v>253</v>
      </c>
      <c r="V255" s="378"/>
      <c r="W255" s="378"/>
      <c r="X255" s="378"/>
      <c r="Y255" s="378"/>
      <c r="Z255" s="378"/>
      <c r="AA255" s="378"/>
      <c r="AB255" s="378"/>
      <c r="AC255" s="378"/>
      <c r="AD255" s="378"/>
      <c r="AE255" s="378"/>
      <c r="AF255" s="378"/>
      <c r="AG255" s="378"/>
      <c r="AH255" s="378"/>
      <c r="AI255" s="378"/>
      <c r="AJ255" s="378"/>
      <c r="AK255" s="378"/>
      <c r="AL255" s="378"/>
      <c r="AM255" s="378"/>
      <c r="AN255" s="378"/>
      <c r="AO255" s="378"/>
      <c r="AP255" s="378"/>
      <c r="AQ255" s="378"/>
    </row>
    <row r="256" spans="2:43">
      <c r="B256" s="378">
        <v>254</v>
      </c>
      <c r="C256" s="378"/>
      <c r="D256" s="378"/>
      <c r="E256" s="378"/>
      <c r="F256" s="378"/>
      <c r="G256" s="378"/>
      <c r="H256" s="378" t="str">
        <f t="array" aca="1" ref="H256" ca="1">_xlfn.TEXTJOIN("", TRUE, IF(ISNUMBER(--MID(C255, ROW(INDIRECT("1:"&amp;LEN(C255))), 1)), MID(C255, ROW(INDIRECT("1:"&amp;LEN(C255))), 1), ""))</f>
        <v/>
      </c>
      <c r="I256" s="378"/>
      <c r="J256" s="378">
        <f t="shared" si="147"/>
        <v>0</v>
      </c>
      <c r="K256" s="378" t="str">
        <f t="shared" si="148"/>
        <v/>
      </c>
      <c r="L256" s="378" t="str">
        <f t="shared" si="149"/>
        <v>أجنبي</v>
      </c>
      <c r="M256" s="436" t="str">
        <f t="shared" si="150"/>
        <v/>
      </c>
      <c r="N256" s="436"/>
      <c r="O256" s="378"/>
      <c r="P256" s="378"/>
      <c r="Q256" s="378"/>
      <c r="R256" s="91"/>
      <c r="S256" s="378"/>
      <c r="T256" s="378"/>
      <c r="U256" s="378">
        <v>254</v>
      </c>
      <c r="V256" s="378"/>
      <c r="W256" s="378"/>
      <c r="X256" s="378"/>
      <c r="Y256" s="378"/>
      <c r="Z256" s="378"/>
      <c r="AA256" s="378"/>
      <c r="AB256" s="378"/>
      <c r="AC256" s="378"/>
      <c r="AD256" s="378"/>
      <c r="AE256" s="378"/>
      <c r="AF256" s="378"/>
      <c r="AG256" s="378"/>
      <c r="AH256" s="378"/>
      <c r="AI256" s="378"/>
      <c r="AJ256" s="378"/>
      <c r="AK256" s="378"/>
      <c r="AL256" s="378"/>
      <c r="AM256" s="378"/>
      <c r="AN256" s="378"/>
      <c r="AO256" s="378"/>
      <c r="AP256" s="378"/>
      <c r="AQ256" s="378"/>
    </row>
    <row r="257" spans="2:43">
      <c r="B257" s="378">
        <v>255</v>
      </c>
      <c r="C257" s="378"/>
      <c r="D257" s="378"/>
      <c r="E257" s="378"/>
      <c r="F257" s="378"/>
      <c r="G257" s="378"/>
      <c r="H257" s="378" t="str">
        <f t="array" aca="1" ref="H257" ca="1">_xlfn.TEXTJOIN("", TRUE, IF(ISNUMBER(--MID(C257, ROW(INDIRECT("1:"&amp;LEN(C257))), 1)), MID(C257, ROW(INDIRECT("1:"&amp;LEN(C257))), 1), ""))</f>
        <v/>
      </c>
      <c r="I257" s="378"/>
      <c r="J257" s="378">
        <f t="shared" si="147"/>
        <v>0</v>
      </c>
      <c r="K257" s="378" t="str">
        <f t="shared" si="148"/>
        <v/>
      </c>
      <c r="L257" s="378" t="str">
        <f t="shared" si="149"/>
        <v>أجنبي</v>
      </c>
      <c r="M257" s="436" t="str">
        <f t="shared" si="150"/>
        <v/>
      </c>
      <c r="N257" s="436"/>
      <c r="O257" s="378"/>
      <c r="P257" s="378"/>
      <c r="Q257" s="378"/>
      <c r="R257" s="378"/>
      <c r="S257" s="378"/>
      <c r="T257" s="378"/>
      <c r="U257" s="378">
        <v>255</v>
      </c>
      <c r="V257" s="378"/>
      <c r="W257" s="378"/>
      <c r="X257" s="378"/>
      <c r="Y257" s="378"/>
      <c r="Z257" s="378"/>
      <c r="AA257" s="378"/>
      <c r="AB257" s="378"/>
      <c r="AC257" s="378"/>
      <c r="AD257" s="378"/>
      <c r="AE257" s="378"/>
      <c r="AF257" s="378"/>
      <c r="AG257" s="378"/>
      <c r="AH257" s="378"/>
      <c r="AI257" s="378"/>
      <c r="AJ257" s="378"/>
      <c r="AK257" s="378"/>
      <c r="AL257" s="378"/>
      <c r="AM257" s="378"/>
      <c r="AN257" s="378"/>
      <c r="AO257" s="378"/>
      <c r="AP257" s="378"/>
      <c r="AQ257" s="378"/>
    </row>
    <row r="258" spans="2:43">
      <c r="B258" s="378">
        <v>256</v>
      </c>
      <c r="C258" s="378"/>
      <c r="D258" s="378"/>
      <c r="E258" s="378"/>
      <c r="F258" s="378"/>
      <c r="G258" s="378"/>
      <c r="H258" s="378" t="str">
        <f t="array" aca="1" ref="H258" ca="1">_xlfn.TEXTJOIN("", TRUE, IF(ISNUMBER(--MID(C258, ROW(INDIRECT("1:"&amp;LEN(C258))), 1)), MID(C258, ROW(INDIRECT("1:"&amp;LEN(C258))), 1), ""))</f>
        <v/>
      </c>
      <c r="I258" s="378"/>
      <c r="J258" s="378">
        <f t="shared" si="147"/>
        <v>0</v>
      </c>
      <c r="K258" s="378" t="str">
        <f t="shared" si="148"/>
        <v/>
      </c>
      <c r="L258" s="378" t="str">
        <f t="shared" si="149"/>
        <v>أجنبي</v>
      </c>
      <c r="M258" s="436" t="str">
        <f t="shared" si="150"/>
        <v/>
      </c>
      <c r="N258" s="436"/>
      <c r="O258" s="378"/>
      <c r="P258" s="378"/>
      <c r="Q258" s="378"/>
      <c r="R258" s="378"/>
      <c r="S258" s="378"/>
      <c r="T258" s="378"/>
      <c r="U258" s="378">
        <v>256</v>
      </c>
      <c r="V258" s="378"/>
      <c r="W258" s="378"/>
      <c r="X258" s="378"/>
      <c r="Y258" s="378"/>
      <c r="Z258" s="378"/>
      <c r="AA258" s="378"/>
      <c r="AB258" s="378"/>
      <c r="AC258" s="378"/>
      <c r="AD258" s="378"/>
      <c r="AE258" s="378"/>
      <c r="AF258" s="378"/>
      <c r="AG258" s="378"/>
      <c r="AH258" s="378"/>
      <c r="AI258" s="378"/>
      <c r="AJ258" s="378"/>
      <c r="AK258" s="378"/>
      <c r="AL258" s="378"/>
      <c r="AM258" s="378"/>
      <c r="AN258" s="378"/>
      <c r="AO258" s="378"/>
      <c r="AP258" s="378"/>
      <c r="AQ258" s="378"/>
    </row>
    <row r="259" spans="2:43">
      <c r="B259" s="378">
        <v>257</v>
      </c>
      <c r="C259" s="378"/>
      <c r="D259" s="378"/>
      <c r="E259" s="378"/>
      <c r="F259" s="378"/>
      <c r="G259" s="378"/>
      <c r="H259" s="378" t="str">
        <f t="array" aca="1" ref="H259" ca="1">_xlfn.TEXTJOIN("", TRUE, IF(ISNUMBER(--MID(C259, ROW(INDIRECT("1:"&amp;LEN(C259))), 1)), MID(C259, ROW(INDIRECT("1:"&amp;LEN(C259))), 1), ""))</f>
        <v/>
      </c>
      <c r="I259" s="378"/>
      <c r="J259" s="378">
        <f t="shared" si="147"/>
        <v>0</v>
      </c>
      <c r="K259" s="378" t="str">
        <f t="shared" si="148"/>
        <v/>
      </c>
      <c r="L259" s="378" t="str">
        <f t="shared" si="149"/>
        <v>أجنبي</v>
      </c>
      <c r="M259" s="436" t="str">
        <f t="shared" si="150"/>
        <v/>
      </c>
      <c r="N259" s="436"/>
      <c r="O259" s="378"/>
      <c r="P259" s="378"/>
      <c r="Q259" s="378"/>
      <c r="R259" s="378"/>
      <c r="S259" s="378"/>
      <c r="T259" s="378"/>
      <c r="U259" s="378">
        <v>257</v>
      </c>
      <c r="V259" s="378"/>
      <c r="W259" s="378"/>
      <c r="X259" s="378"/>
      <c r="Y259" s="378"/>
      <c r="Z259" s="378"/>
      <c r="AA259" s="378"/>
      <c r="AB259" s="378"/>
      <c r="AC259" s="378"/>
      <c r="AD259" s="378"/>
      <c r="AE259" s="378"/>
      <c r="AF259" s="378"/>
      <c r="AG259" s="378"/>
      <c r="AH259" s="378"/>
      <c r="AI259" s="378"/>
      <c r="AJ259" s="378"/>
      <c r="AK259" s="378"/>
      <c r="AL259" s="378"/>
      <c r="AM259" s="378"/>
      <c r="AN259" s="378"/>
      <c r="AO259" s="378"/>
      <c r="AP259" s="378"/>
      <c r="AQ259" s="378"/>
    </row>
    <row r="260" spans="2:43">
      <c r="B260" s="378">
        <v>258</v>
      </c>
      <c r="C260" s="378"/>
      <c r="D260" s="378"/>
      <c r="E260" s="378"/>
      <c r="F260" s="378"/>
      <c r="G260" s="378"/>
      <c r="H260" s="378" t="str">
        <f t="array" aca="1" ref="H260" ca="1">_xlfn.TEXTJOIN("", TRUE, IF(ISNUMBER(--MID(C260, ROW(INDIRECT("1:"&amp;LEN(C260))), 1)), MID(C260, ROW(INDIRECT("1:"&amp;LEN(C260))), 1), ""))</f>
        <v/>
      </c>
      <c r="I260" s="378"/>
      <c r="J260" s="378">
        <f t="shared" si="147"/>
        <v>0</v>
      </c>
      <c r="K260" s="378" t="str">
        <f t="shared" si="148"/>
        <v/>
      </c>
      <c r="L260" s="378" t="str">
        <f t="shared" si="149"/>
        <v>أجنبي</v>
      </c>
      <c r="M260" s="436" t="str">
        <f t="shared" si="150"/>
        <v/>
      </c>
      <c r="N260" s="436"/>
      <c r="O260" s="378"/>
      <c r="P260" s="378"/>
      <c r="Q260" s="378"/>
      <c r="R260" s="378"/>
      <c r="S260" s="378"/>
      <c r="T260" s="378"/>
      <c r="U260" s="378">
        <v>258</v>
      </c>
      <c r="V260" s="378"/>
      <c r="W260" s="378"/>
      <c r="X260" s="378"/>
      <c r="Y260" s="378"/>
      <c r="Z260" s="378"/>
      <c r="AA260" s="378"/>
      <c r="AB260" s="378"/>
      <c r="AC260" s="378"/>
      <c r="AD260" s="378"/>
      <c r="AE260" s="378"/>
      <c r="AF260" s="378"/>
      <c r="AG260" s="378"/>
      <c r="AH260" s="378"/>
      <c r="AI260" s="378"/>
      <c r="AJ260" s="378"/>
      <c r="AK260" s="378"/>
      <c r="AL260" s="378"/>
      <c r="AM260" s="378"/>
      <c r="AN260" s="378"/>
      <c r="AO260" s="378"/>
      <c r="AP260" s="378"/>
      <c r="AQ260" s="378"/>
    </row>
    <row r="261" spans="2:43">
      <c r="B261" s="378">
        <v>259</v>
      </c>
      <c r="C261" s="378"/>
      <c r="D261" s="378"/>
      <c r="E261" s="378"/>
      <c r="F261" s="378"/>
      <c r="G261" s="378"/>
      <c r="H261" s="378" t="str">
        <f t="array" aca="1" ref="H261" ca="1">_xlfn.TEXTJOIN("", TRUE, IF(ISNUMBER(--MID(C261, ROW(INDIRECT("1:"&amp;LEN(C261))), 1)), MID(C261, ROW(INDIRECT("1:"&amp;LEN(C261))), 1), ""))</f>
        <v/>
      </c>
      <c r="I261" s="378"/>
      <c r="J261" s="378">
        <f t="shared" si="147"/>
        <v>0</v>
      </c>
      <c r="K261" s="378" t="str">
        <f t="shared" si="148"/>
        <v/>
      </c>
      <c r="L261" s="378" t="str">
        <f t="shared" si="149"/>
        <v>أجنبي</v>
      </c>
      <c r="M261" s="436" t="str">
        <f t="shared" si="150"/>
        <v/>
      </c>
      <c r="N261" s="436"/>
      <c r="O261" s="378"/>
      <c r="P261" s="378"/>
      <c r="Q261" s="378"/>
      <c r="R261" s="378"/>
      <c r="S261" s="378"/>
      <c r="T261" s="378"/>
      <c r="U261" s="378">
        <v>259</v>
      </c>
      <c r="V261" s="378"/>
      <c r="W261" s="378"/>
      <c r="X261" s="378"/>
      <c r="Y261" s="378"/>
      <c r="Z261" s="378"/>
      <c r="AA261" s="378"/>
      <c r="AB261" s="378"/>
      <c r="AC261" s="378"/>
      <c r="AD261" s="378"/>
      <c r="AE261" s="378"/>
      <c r="AF261" s="378"/>
      <c r="AG261" s="378"/>
      <c r="AH261" s="378"/>
      <c r="AI261" s="378"/>
      <c r="AJ261" s="378"/>
      <c r="AK261" s="378"/>
      <c r="AL261" s="378"/>
      <c r="AM261" s="378"/>
      <c r="AN261" s="378"/>
      <c r="AO261" s="378"/>
      <c r="AP261" s="378"/>
      <c r="AQ261" s="378"/>
    </row>
    <row r="262" spans="2:43">
      <c r="B262" s="378">
        <v>260</v>
      </c>
      <c r="C262" s="378"/>
      <c r="D262" s="378"/>
      <c r="E262" s="378"/>
      <c r="F262" s="378"/>
      <c r="G262" s="378"/>
      <c r="H262" s="378" t="str">
        <f t="array" aca="1" ref="H262" ca="1">_xlfn.TEXTJOIN("", TRUE, IF(ISNUMBER(--MID(C262, ROW(INDIRECT("1:"&amp;LEN(C262))), 1)), MID(C262, ROW(INDIRECT("1:"&amp;LEN(C262))), 1), ""))</f>
        <v/>
      </c>
      <c r="I262" s="378"/>
      <c r="J262" s="378">
        <f t="shared" si="147"/>
        <v>0</v>
      </c>
      <c r="K262" s="378" t="str">
        <f t="shared" si="148"/>
        <v/>
      </c>
      <c r="L262" s="378" t="str">
        <f t="shared" si="149"/>
        <v>أجنبي</v>
      </c>
      <c r="M262" s="436" t="str">
        <f t="shared" si="150"/>
        <v/>
      </c>
      <c r="N262" s="436"/>
      <c r="O262" s="378"/>
      <c r="P262" s="378"/>
      <c r="Q262" s="378"/>
      <c r="R262" s="378"/>
      <c r="S262" s="378"/>
      <c r="T262" s="378"/>
      <c r="U262" s="378">
        <v>260</v>
      </c>
      <c r="V262" s="378"/>
      <c r="W262" s="378"/>
      <c r="X262" s="378"/>
      <c r="Y262" s="378"/>
      <c r="Z262" s="378"/>
      <c r="AA262" s="378"/>
      <c r="AB262" s="378"/>
      <c r="AC262" s="378"/>
      <c r="AD262" s="378"/>
      <c r="AE262" s="378"/>
      <c r="AF262" s="378"/>
      <c r="AG262" s="378"/>
      <c r="AH262" s="378"/>
      <c r="AI262" s="378"/>
      <c r="AJ262" s="378"/>
      <c r="AK262" s="378"/>
      <c r="AL262" s="378"/>
      <c r="AM262" s="378"/>
      <c r="AN262" s="378"/>
      <c r="AO262" s="378"/>
      <c r="AP262" s="378"/>
      <c r="AQ262" s="378"/>
    </row>
    <row r="263" spans="2:43">
      <c r="B263" s="378">
        <v>261</v>
      </c>
      <c r="C263" s="378"/>
      <c r="D263" s="378"/>
      <c r="E263" s="378"/>
      <c r="F263" s="378"/>
      <c r="G263" s="378"/>
      <c r="H263" s="378" t="str">
        <f t="array" aca="1" ref="H263" ca="1">_xlfn.TEXTJOIN("", TRUE, IF(ISNUMBER(--MID(C263, ROW(INDIRECT("1:"&amp;LEN(C263))), 1)), MID(C263, ROW(INDIRECT("1:"&amp;LEN(C263))), 1), ""))</f>
        <v/>
      </c>
      <c r="I263" s="378"/>
      <c r="J263" s="378">
        <f t="shared" si="147"/>
        <v>0</v>
      </c>
      <c r="K263" s="378" t="str">
        <f t="shared" si="148"/>
        <v/>
      </c>
      <c r="L263" s="378" t="str">
        <f t="shared" si="149"/>
        <v>أجنبي</v>
      </c>
      <c r="M263" s="436" t="str">
        <f t="shared" si="150"/>
        <v/>
      </c>
      <c r="N263" s="436"/>
      <c r="O263" s="378"/>
      <c r="P263" s="378"/>
      <c r="Q263" s="378"/>
      <c r="R263" s="378"/>
      <c r="S263" s="378"/>
      <c r="T263" s="378"/>
      <c r="U263" s="378">
        <v>261</v>
      </c>
      <c r="V263" s="378"/>
      <c r="W263" s="378"/>
      <c r="X263" s="378"/>
      <c r="Y263" s="378"/>
      <c r="Z263" s="378"/>
      <c r="AA263" s="378"/>
      <c r="AB263" s="378"/>
      <c r="AC263" s="378"/>
      <c r="AD263" s="378"/>
      <c r="AE263" s="378"/>
      <c r="AF263" s="378"/>
      <c r="AG263" s="378"/>
      <c r="AH263" s="378"/>
      <c r="AI263" s="378"/>
      <c r="AJ263" s="378"/>
      <c r="AK263" s="378"/>
      <c r="AL263" s="378"/>
      <c r="AM263" s="378"/>
      <c r="AN263" s="378"/>
      <c r="AO263" s="378"/>
      <c r="AP263" s="378"/>
      <c r="AQ263" s="378"/>
    </row>
    <row r="264" spans="2:43">
      <c r="B264" s="378">
        <v>262</v>
      </c>
      <c r="C264" s="378"/>
      <c r="D264" s="378"/>
      <c r="E264" s="378"/>
      <c r="F264" s="378"/>
      <c r="G264" s="378"/>
      <c r="H264" s="378" t="str">
        <f t="array" aca="1" ref="H264" ca="1">_xlfn.TEXTJOIN("", TRUE, IF(ISNUMBER(--MID(C264, ROW(INDIRECT("1:"&amp;LEN(C264))), 1)), MID(C264, ROW(INDIRECT("1:"&amp;LEN(C264))), 1), ""))</f>
        <v/>
      </c>
      <c r="I264" s="378"/>
      <c r="J264" s="378">
        <f t="shared" si="147"/>
        <v>0</v>
      </c>
      <c r="K264" s="378" t="str">
        <f t="shared" si="148"/>
        <v/>
      </c>
      <c r="L264" s="378" t="str">
        <f t="shared" si="149"/>
        <v>أجنبي</v>
      </c>
      <c r="M264" s="436" t="str">
        <f t="shared" si="150"/>
        <v/>
      </c>
      <c r="N264" s="436"/>
      <c r="O264" s="378"/>
      <c r="P264" s="378"/>
      <c r="Q264" s="378"/>
      <c r="R264" s="378"/>
      <c r="S264" s="378"/>
      <c r="T264" s="378"/>
      <c r="U264" s="378">
        <v>262</v>
      </c>
      <c r="V264" s="378"/>
      <c r="W264" s="378"/>
      <c r="X264" s="378"/>
      <c r="Y264" s="378"/>
      <c r="Z264" s="378"/>
      <c r="AA264" s="378"/>
      <c r="AB264" s="378"/>
      <c r="AC264" s="378"/>
      <c r="AD264" s="378"/>
      <c r="AE264" s="378"/>
      <c r="AF264" s="378"/>
      <c r="AG264" s="378"/>
      <c r="AH264" s="378"/>
      <c r="AI264" s="378"/>
      <c r="AJ264" s="378"/>
      <c r="AK264" s="378"/>
      <c r="AL264" s="378"/>
      <c r="AM264" s="378"/>
      <c r="AN264" s="378"/>
      <c r="AO264" s="378"/>
      <c r="AP264" s="378"/>
      <c r="AQ264" s="378"/>
    </row>
    <row r="265" spans="2:43">
      <c r="B265" s="378">
        <v>263</v>
      </c>
      <c r="C265" s="378"/>
      <c r="D265" s="378"/>
      <c r="E265" s="378"/>
      <c r="F265" s="378"/>
      <c r="G265" s="378"/>
      <c r="H265" s="378" t="str">
        <f t="array" aca="1" ref="H265" ca="1">_xlfn.TEXTJOIN("", TRUE, IF(ISNUMBER(--MID(C265, ROW(INDIRECT("1:"&amp;LEN(C265))), 1)), MID(C265, ROW(INDIRECT("1:"&amp;LEN(C265))), 1), ""))</f>
        <v/>
      </c>
      <c r="I265" s="378"/>
      <c r="J265" s="378">
        <f t="shared" si="147"/>
        <v>0</v>
      </c>
      <c r="K265" s="378" t="str">
        <f t="shared" si="148"/>
        <v/>
      </c>
      <c r="L265" s="378" t="str">
        <f t="shared" si="149"/>
        <v>أجنبي</v>
      </c>
      <c r="M265" s="436" t="str">
        <f t="shared" si="150"/>
        <v/>
      </c>
      <c r="N265" s="436"/>
      <c r="O265" s="378"/>
      <c r="P265" s="378"/>
      <c r="Q265" s="378"/>
      <c r="R265" s="378"/>
      <c r="S265" s="378"/>
      <c r="T265" s="378"/>
      <c r="U265" s="378">
        <v>263</v>
      </c>
      <c r="V265" s="378"/>
      <c r="W265" s="378"/>
      <c r="X265" s="378"/>
      <c r="Y265" s="378"/>
      <c r="Z265" s="378"/>
      <c r="AA265" s="378"/>
      <c r="AB265" s="378"/>
      <c r="AC265" s="378"/>
      <c r="AD265" s="378"/>
      <c r="AE265" s="378"/>
      <c r="AF265" s="378"/>
      <c r="AG265" s="378"/>
      <c r="AH265" s="378"/>
      <c r="AI265" s="378"/>
      <c r="AJ265" s="378"/>
      <c r="AK265" s="378"/>
      <c r="AL265" s="378"/>
      <c r="AM265" s="378"/>
      <c r="AN265" s="378"/>
      <c r="AO265" s="378"/>
      <c r="AP265" s="378"/>
      <c r="AQ265" s="378"/>
    </row>
    <row r="266" spans="2:43">
      <c r="B266" s="378">
        <v>264</v>
      </c>
      <c r="C266" s="378"/>
      <c r="D266" s="378"/>
      <c r="E266" s="378"/>
      <c r="F266" s="378"/>
      <c r="G266" s="378"/>
      <c r="H266" s="378" t="str">
        <f t="array" aca="1" ref="H266" ca="1">_xlfn.TEXTJOIN("", TRUE, IF(ISNUMBER(--MID(C266, ROW(INDIRECT("1:"&amp;LEN(C266))), 1)), MID(C266, ROW(INDIRECT("1:"&amp;LEN(C266))), 1), ""))</f>
        <v/>
      </c>
      <c r="I266" s="378"/>
      <c r="J266" s="378">
        <f t="shared" si="147"/>
        <v>0</v>
      </c>
      <c r="K266" s="378" t="str">
        <f t="shared" si="148"/>
        <v/>
      </c>
      <c r="L266" s="378" t="str">
        <f t="shared" si="149"/>
        <v>أجنبي</v>
      </c>
      <c r="M266" s="436" t="str">
        <f t="shared" si="150"/>
        <v/>
      </c>
      <c r="N266" s="436"/>
      <c r="O266" s="378"/>
      <c r="P266" s="378"/>
      <c r="Q266" s="378"/>
      <c r="R266" s="378"/>
      <c r="S266" s="378"/>
      <c r="T266" s="378"/>
      <c r="U266" s="378">
        <v>264</v>
      </c>
      <c r="V266" s="378"/>
      <c r="W266" s="378"/>
      <c r="X266" s="378"/>
      <c r="Y266" s="378"/>
      <c r="Z266" s="378"/>
      <c r="AA266" s="378"/>
      <c r="AB266" s="378"/>
      <c r="AC266" s="378"/>
      <c r="AD266" s="378"/>
      <c r="AE266" s="378"/>
      <c r="AF266" s="378"/>
      <c r="AG266" s="378"/>
      <c r="AH266" s="378"/>
      <c r="AI266" s="378"/>
      <c r="AJ266" s="378"/>
      <c r="AK266" s="378"/>
      <c r="AL266" s="378"/>
      <c r="AM266" s="378"/>
      <c r="AN266" s="378"/>
      <c r="AO266" s="378"/>
      <c r="AP266" s="378"/>
      <c r="AQ266" s="378"/>
    </row>
    <row r="267" spans="2:43">
      <c r="B267" s="378">
        <v>265</v>
      </c>
      <c r="C267" s="378"/>
      <c r="D267" s="378"/>
      <c r="E267" s="378"/>
      <c r="F267" s="378"/>
      <c r="G267" s="378"/>
      <c r="H267" s="378" t="str">
        <f t="array" aca="1" ref="H267" ca="1">_xlfn.TEXTJOIN("", TRUE, IF(ISNUMBER(--MID(C267, ROW(INDIRECT("1:"&amp;LEN(C267))), 1)), MID(C267, ROW(INDIRECT("1:"&amp;LEN(C267))), 1), ""))</f>
        <v/>
      </c>
      <c r="I267" s="378"/>
      <c r="J267" s="378">
        <f t="shared" si="147"/>
        <v>0</v>
      </c>
      <c r="K267" s="378" t="str">
        <f t="shared" si="148"/>
        <v/>
      </c>
      <c r="L267" s="378" t="str">
        <f t="shared" si="149"/>
        <v>أجنبي</v>
      </c>
      <c r="M267" s="436" t="str">
        <f t="shared" si="150"/>
        <v/>
      </c>
      <c r="N267" s="436"/>
      <c r="O267" s="378"/>
      <c r="P267" s="378"/>
      <c r="Q267" s="378"/>
      <c r="R267" s="378"/>
      <c r="S267" s="378"/>
      <c r="T267" s="378"/>
      <c r="U267" s="378">
        <v>265</v>
      </c>
      <c r="V267" s="378"/>
      <c r="W267" s="378"/>
      <c r="X267" s="378"/>
      <c r="Y267" s="378"/>
      <c r="Z267" s="378"/>
      <c r="AA267" s="378"/>
      <c r="AB267" s="378"/>
      <c r="AC267" s="378"/>
      <c r="AD267" s="378"/>
      <c r="AE267" s="378"/>
      <c r="AF267" s="378"/>
      <c r="AG267" s="378"/>
      <c r="AH267" s="378"/>
      <c r="AI267" s="378"/>
      <c r="AJ267" s="378"/>
      <c r="AK267" s="378"/>
      <c r="AL267" s="378"/>
      <c r="AM267" s="378"/>
      <c r="AN267" s="378"/>
      <c r="AO267" s="378"/>
      <c r="AP267" s="378"/>
      <c r="AQ267" s="378"/>
    </row>
    <row r="268" spans="2:43">
      <c r="B268" s="378">
        <v>266</v>
      </c>
      <c r="C268" s="378"/>
      <c r="D268" s="378"/>
      <c r="E268" s="378"/>
      <c r="F268" s="378"/>
      <c r="G268" s="378"/>
      <c r="H268" s="378" t="str">
        <f t="array" aca="1" ref="H268" ca="1">_xlfn.TEXTJOIN("", TRUE, IF(ISNUMBER(--MID(C268, ROW(INDIRECT("1:"&amp;LEN(C268))), 1)), MID(C268, ROW(INDIRECT("1:"&amp;LEN(C268))), 1), ""))</f>
        <v/>
      </c>
      <c r="I268" s="378"/>
      <c r="J268" s="378">
        <f t="shared" si="147"/>
        <v>0</v>
      </c>
      <c r="K268" s="378" t="str">
        <f t="shared" si="148"/>
        <v/>
      </c>
      <c r="L268" s="378" t="str">
        <f t="shared" si="149"/>
        <v>أجنبي</v>
      </c>
      <c r="M268" s="436" t="str">
        <f t="shared" si="150"/>
        <v/>
      </c>
      <c r="N268" s="436"/>
      <c r="O268" s="378"/>
      <c r="P268" s="378"/>
      <c r="Q268" s="378"/>
      <c r="R268" s="378"/>
      <c r="S268" s="378"/>
      <c r="T268" s="378"/>
      <c r="U268" s="378">
        <v>266</v>
      </c>
      <c r="V268" s="378"/>
      <c r="W268" s="378"/>
      <c r="X268" s="378"/>
      <c r="Y268" s="378"/>
      <c r="Z268" s="378"/>
      <c r="AA268" s="378"/>
      <c r="AB268" s="378"/>
      <c r="AC268" s="378"/>
      <c r="AD268" s="378"/>
      <c r="AE268" s="378"/>
      <c r="AF268" s="378"/>
      <c r="AG268" s="378"/>
      <c r="AH268" s="378"/>
      <c r="AI268" s="378"/>
      <c r="AJ268" s="378"/>
      <c r="AK268" s="378"/>
      <c r="AL268" s="378"/>
      <c r="AM268" s="378"/>
      <c r="AN268" s="378"/>
      <c r="AO268" s="378"/>
      <c r="AP268" s="378"/>
      <c r="AQ268" s="378"/>
    </row>
    <row r="269" spans="2:43">
      <c r="B269" s="378">
        <v>267</v>
      </c>
      <c r="C269" s="378"/>
      <c r="D269" s="378"/>
      <c r="E269" s="378"/>
      <c r="F269" s="378"/>
      <c r="G269" s="378"/>
      <c r="H269" s="378" t="str">
        <f t="array" aca="1" ref="H269" ca="1">_xlfn.TEXTJOIN("", TRUE, IF(ISNUMBER(--MID(C269, ROW(INDIRECT("1:"&amp;LEN(C269))), 1)), MID(C269, ROW(INDIRECT("1:"&amp;LEN(C269))), 1), ""))</f>
        <v/>
      </c>
      <c r="I269" s="378"/>
      <c r="J269" s="378">
        <f t="shared" si="147"/>
        <v>0</v>
      </c>
      <c r="K269" s="378" t="str">
        <f t="shared" si="148"/>
        <v/>
      </c>
      <c r="L269" s="378" t="str">
        <f t="shared" si="149"/>
        <v>أجنبي</v>
      </c>
      <c r="M269" s="436" t="str">
        <f t="shared" si="150"/>
        <v/>
      </c>
      <c r="N269" s="436"/>
      <c r="O269" s="378"/>
      <c r="P269" s="378"/>
      <c r="Q269" s="378"/>
      <c r="R269" s="378"/>
      <c r="S269" s="378"/>
      <c r="T269" s="378"/>
      <c r="U269" s="378">
        <v>267</v>
      </c>
      <c r="V269" s="378"/>
      <c r="W269" s="378"/>
      <c r="X269" s="378"/>
      <c r="Y269" s="378"/>
      <c r="Z269" s="378"/>
      <c r="AA269" s="378"/>
      <c r="AB269" s="378"/>
      <c r="AC269" s="378"/>
      <c r="AD269" s="378"/>
      <c r="AE269" s="378"/>
      <c r="AF269" s="378"/>
      <c r="AG269" s="378"/>
      <c r="AH269" s="378"/>
      <c r="AI269" s="378"/>
      <c r="AJ269" s="378"/>
      <c r="AK269" s="378"/>
      <c r="AL269" s="378"/>
      <c r="AM269" s="378"/>
      <c r="AN269" s="378"/>
      <c r="AO269" s="378"/>
      <c r="AP269" s="378"/>
      <c r="AQ269" s="378"/>
    </row>
    <row r="270" spans="2:43">
      <c r="B270" s="378">
        <v>268</v>
      </c>
      <c r="C270" s="378"/>
      <c r="D270" s="378"/>
      <c r="E270" s="378"/>
      <c r="F270" s="378"/>
      <c r="G270" s="378"/>
      <c r="H270" s="378" t="str">
        <f t="array" aca="1" ref="H270" ca="1">_xlfn.TEXTJOIN("", TRUE, IF(ISNUMBER(--MID(C270, ROW(INDIRECT("1:"&amp;LEN(C270))), 1)), MID(C270, ROW(INDIRECT("1:"&amp;LEN(C270))), 1), ""))</f>
        <v/>
      </c>
      <c r="I270" s="378"/>
      <c r="J270" s="378">
        <f t="shared" si="147"/>
        <v>0</v>
      </c>
      <c r="K270" s="378" t="str">
        <f t="shared" si="148"/>
        <v/>
      </c>
      <c r="L270" s="378" t="str">
        <f t="shared" si="149"/>
        <v>أجنبي</v>
      </c>
      <c r="M270" s="436" t="str">
        <f t="shared" si="150"/>
        <v/>
      </c>
      <c r="N270" s="436"/>
      <c r="O270" s="378"/>
      <c r="P270" s="378"/>
      <c r="Q270" s="378"/>
      <c r="R270" s="378"/>
      <c r="S270" s="378"/>
      <c r="T270" s="378"/>
      <c r="U270" s="378">
        <v>268</v>
      </c>
      <c r="V270" s="378"/>
      <c r="W270" s="378"/>
      <c r="X270" s="378"/>
      <c r="Y270" s="378"/>
      <c r="Z270" s="378"/>
      <c r="AA270" s="378"/>
      <c r="AB270" s="378"/>
      <c r="AC270" s="378"/>
      <c r="AD270" s="378"/>
      <c r="AE270" s="378"/>
      <c r="AF270" s="378"/>
      <c r="AG270" s="378"/>
      <c r="AH270" s="378"/>
      <c r="AI270" s="378"/>
      <c r="AJ270" s="378"/>
      <c r="AK270" s="378"/>
      <c r="AL270" s="378"/>
      <c r="AM270" s="378"/>
      <c r="AN270" s="378"/>
      <c r="AO270" s="378"/>
      <c r="AP270" s="378"/>
      <c r="AQ270" s="378"/>
    </row>
    <row r="271" spans="2:43">
      <c r="B271" s="378">
        <v>269</v>
      </c>
      <c r="C271" s="378"/>
      <c r="D271" s="378"/>
      <c r="E271" s="378"/>
      <c r="F271" s="378"/>
      <c r="G271" s="378"/>
      <c r="H271" s="378" t="str">
        <f t="array" aca="1" ref="H271" ca="1">_xlfn.TEXTJOIN("", TRUE, IF(ISNUMBER(--MID(C271, ROW(INDIRECT("1:"&amp;LEN(C271))), 1)), MID(C271, ROW(INDIRECT("1:"&amp;LEN(C271))), 1), ""))</f>
        <v/>
      </c>
      <c r="I271" s="378"/>
      <c r="J271" s="378">
        <f t="shared" si="147"/>
        <v>0</v>
      </c>
      <c r="K271" s="378" t="str">
        <f t="shared" si="148"/>
        <v/>
      </c>
      <c r="L271" s="378" t="str">
        <f t="shared" si="149"/>
        <v>أجنبي</v>
      </c>
      <c r="M271" s="436" t="str">
        <f t="shared" si="150"/>
        <v/>
      </c>
      <c r="N271" s="436"/>
      <c r="O271" s="378"/>
      <c r="P271" s="378"/>
      <c r="Q271" s="378"/>
      <c r="R271" s="91"/>
      <c r="S271" s="378"/>
      <c r="T271" s="378"/>
      <c r="U271" s="378">
        <v>269</v>
      </c>
      <c r="V271" s="378"/>
      <c r="W271" s="378"/>
      <c r="X271" s="378"/>
      <c r="Y271" s="378"/>
      <c r="Z271" s="378"/>
      <c r="AA271" s="378"/>
      <c r="AB271" s="378"/>
      <c r="AC271" s="378"/>
      <c r="AD271" s="378"/>
      <c r="AE271" s="378"/>
      <c r="AF271" s="378"/>
      <c r="AG271" s="378"/>
      <c r="AH271" s="378"/>
      <c r="AI271" s="378"/>
      <c r="AJ271" s="378"/>
      <c r="AK271" s="378"/>
      <c r="AL271" s="378"/>
      <c r="AM271" s="378"/>
      <c r="AN271" s="378"/>
      <c r="AO271" s="378"/>
      <c r="AP271" s="378"/>
      <c r="AQ271" s="378"/>
    </row>
    <row r="272" spans="2:43">
      <c r="B272" s="378">
        <v>270</v>
      </c>
      <c r="C272" s="378"/>
      <c r="D272" s="378"/>
      <c r="E272" s="378"/>
      <c r="F272" s="378"/>
      <c r="G272" s="378"/>
      <c r="H272" s="378" t="str">
        <f t="array" aca="1" ref="H272" ca="1">_xlfn.TEXTJOIN("", TRUE, IF(ISNUMBER(--MID(C272, ROW(INDIRECT("1:"&amp;LEN(C272))), 1)), MID(C272, ROW(INDIRECT("1:"&amp;LEN(C272))), 1), ""))</f>
        <v/>
      </c>
      <c r="I272" s="378"/>
      <c r="J272" s="378">
        <f t="shared" si="147"/>
        <v>0</v>
      </c>
      <c r="K272" s="378" t="str">
        <f t="shared" si="148"/>
        <v/>
      </c>
      <c r="L272" s="378" t="str">
        <f t="shared" si="149"/>
        <v>أجنبي</v>
      </c>
      <c r="M272" s="436" t="str">
        <f t="shared" si="150"/>
        <v/>
      </c>
      <c r="N272" s="436"/>
      <c r="O272" s="378"/>
      <c r="P272" s="378"/>
      <c r="Q272" s="378"/>
      <c r="R272" s="378"/>
      <c r="S272" s="378"/>
      <c r="T272" s="378"/>
      <c r="U272" s="378">
        <v>270</v>
      </c>
      <c r="V272" s="378"/>
      <c r="W272" s="378"/>
      <c r="X272" s="378"/>
      <c r="Y272" s="378"/>
      <c r="Z272" s="378"/>
      <c r="AA272" s="378"/>
      <c r="AB272" s="378"/>
      <c r="AC272" s="378"/>
      <c r="AD272" s="378"/>
      <c r="AE272" s="378"/>
      <c r="AF272" s="378"/>
      <c r="AG272" s="378"/>
      <c r="AH272" s="378"/>
      <c r="AI272" s="378"/>
      <c r="AJ272" s="378"/>
      <c r="AK272" s="378"/>
      <c r="AL272" s="378"/>
      <c r="AM272" s="378"/>
      <c r="AN272" s="378"/>
      <c r="AO272" s="378"/>
      <c r="AP272" s="378"/>
      <c r="AQ272" s="378"/>
    </row>
    <row r="273" spans="2:43">
      <c r="B273" s="378">
        <v>271</v>
      </c>
      <c r="C273" s="378"/>
      <c r="D273" s="378"/>
      <c r="E273" s="378"/>
      <c r="F273" s="378"/>
      <c r="G273" s="378"/>
      <c r="H273" s="378" t="str">
        <f t="array" aca="1" ref="H273" ca="1">_xlfn.TEXTJOIN("", TRUE, IF(ISNUMBER(--MID(C273, ROW(INDIRECT("1:"&amp;LEN(C273))), 1)), MID(C273, ROW(INDIRECT("1:"&amp;LEN(C273))), 1), ""))</f>
        <v/>
      </c>
      <c r="I273" s="378"/>
      <c r="J273" s="378">
        <f t="shared" si="147"/>
        <v>0</v>
      </c>
      <c r="K273" s="378" t="str">
        <f t="shared" si="148"/>
        <v/>
      </c>
      <c r="L273" s="378" t="str">
        <f t="shared" si="149"/>
        <v>أجنبي</v>
      </c>
      <c r="M273" s="436" t="str">
        <f t="shared" si="150"/>
        <v/>
      </c>
      <c r="N273" s="436"/>
      <c r="O273" s="378"/>
      <c r="P273" s="378"/>
      <c r="Q273" s="378"/>
      <c r="R273" s="378"/>
      <c r="S273" s="378"/>
      <c r="T273" s="378"/>
      <c r="U273" s="378">
        <v>271</v>
      </c>
      <c r="V273" s="378"/>
      <c r="W273" s="378"/>
      <c r="X273" s="378"/>
      <c r="Y273" s="378"/>
      <c r="Z273" s="378"/>
      <c r="AA273" s="378"/>
      <c r="AB273" s="378"/>
      <c r="AC273" s="378"/>
      <c r="AD273" s="378"/>
      <c r="AE273" s="378"/>
      <c r="AF273" s="378"/>
      <c r="AG273" s="378"/>
      <c r="AH273" s="378"/>
      <c r="AI273" s="378"/>
      <c r="AJ273" s="378"/>
      <c r="AK273" s="378"/>
      <c r="AL273" s="378"/>
      <c r="AM273" s="378"/>
      <c r="AN273" s="378"/>
      <c r="AO273" s="378"/>
      <c r="AP273" s="378"/>
      <c r="AQ273" s="378"/>
    </row>
    <row r="274" spans="2:43">
      <c r="B274" s="378">
        <v>272</v>
      </c>
      <c r="C274" s="378"/>
      <c r="D274" s="378"/>
      <c r="E274" s="378"/>
      <c r="F274" s="378"/>
      <c r="G274" s="378"/>
      <c r="H274" s="378" t="str">
        <f t="array" aca="1" ref="H274" ca="1">_xlfn.TEXTJOIN("", TRUE, IF(ISNUMBER(--MID(C274, ROW(INDIRECT("1:"&amp;LEN(C274))), 1)), MID(C274, ROW(INDIRECT("1:"&amp;LEN(C274))), 1), ""))</f>
        <v/>
      </c>
      <c r="I274" s="378"/>
      <c r="J274" s="378">
        <f t="shared" si="147"/>
        <v>0</v>
      </c>
      <c r="K274" s="378" t="str">
        <f t="shared" si="148"/>
        <v/>
      </c>
      <c r="L274" s="378" t="str">
        <f t="shared" si="149"/>
        <v>أجنبي</v>
      </c>
      <c r="M274" s="436" t="str">
        <f t="shared" si="150"/>
        <v/>
      </c>
      <c r="N274" s="436"/>
      <c r="O274" s="378"/>
      <c r="P274" s="378"/>
      <c r="Q274" s="378"/>
      <c r="R274" s="378"/>
      <c r="S274" s="378"/>
      <c r="T274" s="378"/>
      <c r="U274" s="378">
        <v>272</v>
      </c>
      <c r="V274" s="378"/>
      <c r="W274" s="378"/>
      <c r="X274" s="378"/>
      <c r="Y274" s="378"/>
      <c r="Z274" s="378"/>
      <c r="AA274" s="378"/>
      <c r="AB274" s="378"/>
      <c r="AC274" s="378"/>
      <c r="AD274" s="378"/>
      <c r="AE274" s="378"/>
      <c r="AF274" s="378"/>
      <c r="AG274" s="378"/>
      <c r="AH274" s="378"/>
      <c r="AI274" s="378"/>
      <c r="AJ274" s="378"/>
      <c r="AK274" s="378"/>
      <c r="AL274" s="378"/>
      <c r="AM274" s="378"/>
      <c r="AN274" s="378"/>
      <c r="AO274" s="378"/>
      <c r="AP274" s="378"/>
      <c r="AQ274" s="378"/>
    </row>
    <row r="275" spans="2:43">
      <c r="B275" s="378">
        <v>273</v>
      </c>
      <c r="C275" s="378"/>
      <c r="D275" s="378"/>
      <c r="E275" s="378"/>
      <c r="F275" s="378"/>
      <c r="G275" s="378"/>
      <c r="H275" s="378" t="str">
        <f t="array" aca="1" ref="H275" ca="1">_xlfn.TEXTJOIN("", TRUE, IF(ISNUMBER(--MID(C275, ROW(INDIRECT("1:"&amp;LEN(C275))), 1)), MID(C275, ROW(INDIRECT("1:"&amp;LEN(C275))), 1), ""))</f>
        <v/>
      </c>
      <c r="I275" s="378"/>
      <c r="J275" s="378">
        <f t="shared" si="147"/>
        <v>0</v>
      </c>
      <c r="K275" s="378" t="str">
        <f t="shared" si="148"/>
        <v/>
      </c>
      <c r="L275" s="378" t="str">
        <f t="shared" si="149"/>
        <v>أجنبي</v>
      </c>
      <c r="M275" s="436" t="str">
        <f t="shared" si="150"/>
        <v/>
      </c>
      <c r="N275" s="436"/>
      <c r="O275" s="378"/>
      <c r="P275" s="378"/>
      <c r="Q275" s="378"/>
      <c r="R275" s="378"/>
      <c r="S275" s="378"/>
      <c r="T275" s="378"/>
      <c r="U275" s="378">
        <v>273</v>
      </c>
      <c r="V275" s="378"/>
      <c r="W275" s="378"/>
      <c r="X275" s="378"/>
      <c r="Y275" s="378"/>
      <c r="Z275" s="378"/>
      <c r="AA275" s="378"/>
      <c r="AB275" s="378"/>
      <c r="AC275" s="378"/>
      <c r="AD275" s="378"/>
      <c r="AE275" s="378"/>
      <c r="AF275" s="378"/>
      <c r="AG275" s="378"/>
      <c r="AH275" s="378"/>
      <c r="AI275" s="378"/>
      <c r="AJ275" s="378"/>
      <c r="AK275" s="378"/>
      <c r="AL275" s="378"/>
      <c r="AM275" s="378"/>
      <c r="AN275" s="378"/>
      <c r="AO275" s="378"/>
      <c r="AP275" s="378"/>
      <c r="AQ275" s="378"/>
    </row>
    <row r="276" spans="2:43">
      <c r="B276" s="378">
        <v>274</v>
      </c>
      <c r="C276" s="378"/>
      <c r="D276" s="378"/>
      <c r="E276" s="378"/>
      <c r="F276" s="378"/>
      <c r="G276" s="378"/>
      <c r="H276" s="378" t="str">
        <f t="array" aca="1" ref="H276" ca="1">_xlfn.TEXTJOIN("", TRUE, IF(ISNUMBER(--MID(C276, ROW(INDIRECT("1:"&amp;LEN(C276))), 1)), MID(C276, ROW(INDIRECT("1:"&amp;LEN(C276))), 1), ""))</f>
        <v/>
      </c>
      <c r="I276" s="378"/>
      <c r="J276" s="378">
        <f t="shared" si="147"/>
        <v>0</v>
      </c>
      <c r="K276" s="378" t="str">
        <f t="shared" si="148"/>
        <v/>
      </c>
      <c r="L276" s="378" t="str">
        <f t="shared" si="149"/>
        <v>أجنبي</v>
      </c>
      <c r="M276" s="436" t="str">
        <f t="shared" si="150"/>
        <v/>
      </c>
      <c r="N276" s="436"/>
      <c r="O276" s="378"/>
      <c r="P276" s="378"/>
      <c r="Q276" s="378"/>
      <c r="R276" s="378"/>
      <c r="S276" s="378"/>
      <c r="T276" s="378"/>
      <c r="U276" s="378">
        <v>274</v>
      </c>
      <c r="V276" s="378"/>
      <c r="W276" s="378"/>
      <c r="X276" s="378"/>
      <c r="Y276" s="378"/>
      <c r="Z276" s="378"/>
      <c r="AA276" s="378"/>
      <c r="AB276" s="378"/>
      <c r="AC276" s="378"/>
      <c r="AD276" s="378"/>
      <c r="AE276" s="378"/>
      <c r="AF276" s="378"/>
      <c r="AG276" s="378"/>
      <c r="AH276" s="378"/>
      <c r="AI276" s="378"/>
      <c r="AJ276" s="378"/>
      <c r="AK276" s="378"/>
      <c r="AL276" s="378"/>
      <c r="AM276" s="378"/>
      <c r="AN276" s="378"/>
      <c r="AO276" s="378"/>
      <c r="AP276" s="378"/>
      <c r="AQ276" s="378"/>
    </row>
    <row r="277" spans="2:43">
      <c r="B277" s="378">
        <v>275</v>
      </c>
      <c r="C277" s="378"/>
      <c r="D277" s="378"/>
      <c r="E277" s="378"/>
      <c r="F277" s="378"/>
      <c r="G277" s="378"/>
      <c r="H277" s="378" t="str">
        <f t="array" aca="1" ref="H277" ca="1">_xlfn.TEXTJOIN("", TRUE, IF(ISNUMBER(--MID(C277, ROW(INDIRECT("1:"&amp;LEN(C277))), 1)), MID(C277, ROW(INDIRECT("1:"&amp;LEN(C277))), 1), ""))</f>
        <v/>
      </c>
      <c r="I277" s="378"/>
      <c r="J277" s="378">
        <f t="shared" si="147"/>
        <v>0</v>
      </c>
      <c r="K277" s="378" t="str">
        <f t="shared" si="148"/>
        <v/>
      </c>
      <c r="L277" s="378" t="str">
        <f t="shared" si="149"/>
        <v>أجنبي</v>
      </c>
      <c r="M277" s="436" t="str">
        <f t="shared" si="150"/>
        <v/>
      </c>
      <c r="N277" s="436"/>
      <c r="O277" s="378"/>
      <c r="P277" s="378"/>
      <c r="Q277" s="378"/>
      <c r="R277" s="378"/>
      <c r="S277" s="378"/>
      <c r="T277" s="378"/>
      <c r="U277" s="378">
        <v>275</v>
      </c>
      <c r="V277" s="378"/>
      <c r="W277" s="378"/>
      <c r="X277" s="378"/>
      <c r="Y277" s="378"/>
      <c r="Z277" s="378"/>
      <c r="AA277" s="378"/>
      <c r="AB277" s="378"/>
      <c r="AC277" s="378"/>
      <c r="AD277" s="378"/>
      <c r="AE277" s="378"/>
      <c r="AF277" s="378"/>
      <c r="AG277" s="378"/>
      <c r="AH277" s="378"/>
      <c r="AI277" s="378"/>
      <c r="AJ277" s="378"/>
      <c r="AK277" s="378"/>
      <c r="AL277" s="378"/>
      <c r="AM277" s="378"/>
      <c r="AN277" s="378"/>
      <c r="AO277" s="378"/>
      <c r="AP277" s="378"/>
      <c r="AQ277" s="378"/>
    </row>
    <row r="278" spans="2:43">
      <c r="B278" s="378">
        <v>276</v>
      </c>
      <c r="C278" s="378"/>
      <c r="D278" s="378"/>
      <c r="E278" s="378"/>
      <c r="F278" s="378"/>
      <c r="G278" s="378"/>
      <c r="H278" s="378" t="str">
        <f t="array" aca="1" ref="H278" ca="1">_xlfn.TEXTJOIN("", TRUE, IF(ISNUMBER(--MID(C278, ROW(INDIRECT("1:"&amp;LEN(C278))), 1)), MID(C278, ROW(INDIRECT("1:"&amp;LEN(C278))), 1), ""))</f>
        <v/>
      </c>
      <c r="I278" s="378"/>
      <c r="J278" s="378">
        <f t="shared" si="147"/>
        <v>0</v>
      </c>
      <c r="K278" s="378" t="str">
        <f t="shared" si="148"/>
        <v/>
      </c>
      <c r="L278" s="378" t="str">
        <f t="shared" si="149"/>
        <v>أجنبي</v>
      </c>
      <c r="M278" s="436" t="str">
        <f t="shared" si="150"/>
        <v/>
      </c>
      <c r="N278" s="436"/>
      <c r="O278" s="378"/>
      <c r="P278" s="378"/>
      <c r="Q278" s="378"/>
      <c r="R278" s="378"/>
      <c r="S278" s="378"/>
      <c r="T278" s="378"/>
      <c r="U278" s="378">
        <v>276</v>
      </c>
      <c r="V278" s="378"/>
      <c r="W278" s="378"/>
      <c r="X278" s="378"/>
      <c r="Y278" s="378"/>
      <c r="Z278" s="378"/>
      <c r="AA278" s="378"/>
      <c r="AB278" s="378"/>
      <c r="AC278" s="378"/>
      <c r="AD278" s="378"/>
      <c r="AE278" s="378"/>
      <c r="AF278" s="378"/>
      <c r="AG278" s="378"/>
      <c r="AH278" s="378"/>
      <c r="AI278" s="378"/>
      <c r="AJ278" s="378"/>
      <c r="AK278" s="378"/>
      <c r="AL278" s="378"/>
      <c r="AM278" s="378"/>
      <c r="AN278" s="378"/>
      <c r="AO278" s="378"/>
      <c r="AP278" s="378"/>
      <c r="AQ278" s="378"/>
    </row>
    <row r="279" spans="2:43">
      <c r="B279" s="378">
        <v>277</v>
      </c>
      <c r="C279" s="378"/>
      <c r="D279" s="378"/>
      <c r="E279" s="378"/>
      <c r="F279" s="378"/>
      <c r="G279" s="378"/>
      <c r="H279" s="378" t="str">
        <f t="array" aca="1" ref="H279" ca="1">_xlfn.TEXTJOIN("", TRUE, IF(ISNUMBER(--MID(C279, ROW(INDIRECT("1:"&amp;LEN(C279))), 1)), MID(C279, ROW(INDIRECT("1:"&amp;LEN(C279))), 1), ""))</f>
        <v/>
      </c>
      <c r="I279" s="378"/>
      <c r="J279" s="378">
        <f t="shared" si="147"/>
        <v>0</v>
      </c>
      <c r="K279" s="378" t="str">
        <f t="shared" si="148"/>
        <v/>
      </c>
      <c r="L279" s="378" t="str">
        <f t="shared" si="149"/>
        <v>أجنبي</v>
      </c>
      <c r="M279" s="436" t="str">
        <f t="shared" si="150"/>
        <v/>
      </c>
      <c r="N279" s="436"/>
      <c r="O279" s="378"/>
      <c r="P279" s="378"/>
      <c r="Q279" s="378"/>
      <c r="R279" s="378"/>
      <c r="S279" s="378"/>
      <c r="T279" s="378"/>
      <c r="U279" s="378">
        <v>277</v>
      </c>
      <c r="V279" s="378"/>
      <c r="W279" s="378"/>
      <c r="X279" s="378"/>
      <c r="Y279" s="378"/>
      <c r="Z279" s="378"/>
      <c r="AA279" s="378"/>
      <c r="AB279" s="378"/>
      <c r="AC279" s="378"/>
      <c r="AD279" s="378"/>
      <c r="AE279" s="378"/>
      <c r="AF279" s="378"/>
      <c r="AG279" s="378"/>
      <c r="AH279" s="378"/>
      <c r="AI279" s="378"/>
      <c r="AJ279" s="378"/>
      <c r="AK279" s="378"/>
      <c r="AL279" s="378"/>
      <c r="AM279" s="378"/>
      <c r="AN279" s="378"/>
      <c r="AO279" s="378"/>
      <c r="AP279" s="378"/>
      <c r="AQ279" s="378"/>
    </row>
    <row r="280" spans="2:43">
      <c r="B280" s="378">
        <v>278</v>
      </c>
      <c r="C280" s="378"/>
      <c r="D280" s="378"/>
      <c r="E280" s="378"/>
      <c r="F280" s="378"/>
      <c r="G280" s="378"/>
      <c r="H280" s="378" t="str">
        <f t="array" aca="1" ref="H280" ca="1">_xlfn.TEXTJOIN("", TRUE, IF(ISNUMBER(--MID(C280, ROW(INDIRECT("1:"&amp;LEN(C280))), 1)), MID(C280, ROW(INDIRECT("1:"&amp;LEN(C280))), 1), ""))</f>
        <v/>
      </c>
      <c r="I280" s="378"/>
      <c r="J280" s="378">
        <f t="shared" si="147"/>
        <v>0</v>
      </c>
      <c r="K280" s="378" t="str">
        <f t="shared" si="148"/>
        <v/>
      </c>
      <c r="L280" s="378" t="str">
        <f t="shared" si="149"/>
        <v>أجنبي</v>
      </c>
      <c r="M280" s="436" t="str">
        <f t="shared" si="150"/>
        <v/>
      </c>
      <c r="N280" s="436"/>
      <c r="O280" s="378"/>
      <c r="P280" s="378"/>
      <c r="Q280" s="378"/>
      <c r="R280" s="378"/>
      <c r="S280" s="378"/>
      <c r="T280" s="378"/>
      <c r="U280" s="378">
        <v>278</v>
      </c>
      <c r="V280" s="378"/>
      <c r="W280" s="378"/>
      <c r="X280" s="378"/>
      <c r="Y280" s="378"/>
      <c r="Z280" s="378"/>
      <c r="AA280" s="378"/>
      <c r="AB280" s="378"/>
      <c r="AC280" s="378"/>
      <c r="AD280" s="378"/>
      <c r="AE280" s="378"/>
      <c r="AF280" s="378"/>
      <c r="AG280" s="378"/>
      <c r="AH280" s="378"/>
      <c r="AI280" s="378"/>
      <c r="AJ280" s="378"/>
      <c r="AK280" s="378"/>
      <c r="AL280" s="378"/>
      <c r="AM280" s="378"/>
      <c r="AN280" s="378"/>
      <c r="AO280" s="378"/>
      <c r="AP280" s="378"/>
      <c r="AQ280" s="378"/>
    </row>
    <row r="281" spans="2:43">
      <c r="B281" s="378">
        <v>279</v>
      </c>
      <c r="C281" s="378"/>
      <c r="D281" s="378"/>
      <c r="E281" s="378"/>
      <c r="F281" s="378"/>
      <c r="G281" s="378"/>
      <c r="H281" s="378" t="str">
        <f t="array" aca="1" ref="H281" ca="1">_xlfn.TEXTJOIN("", TRUE, IF(ISNUMBER(--MID(C281, ROW(INDIRECT("1:"&amp;LEN(C281))), 1)), MID(C281, ROW(INDIRECT("1:"&amp;LEN(C281))), 1), ""))</f>
        <v/>
      </c>
      <c r="I281" s="378"/>
      <c r="J281" s="378">
        <f t="shared" ref="J281:J291" si="151">IF(LEFT(I281,5)="00966", RIGHT(I281,LEN(I281)-5),
    IF(LEFT(I281,4)="+966", RIGHT(I281,LEN(I281)-4),
        IF(LEFT(I281,3)="966", RIGHT(I281,LEN(I281)-3),
            IF(LEFT(I281,1)="0", RIGHT(I281,LEN(I281)-1), I281)
        )
    )
)</f>
        <v>0</v>
      </c>
      <c r="K281" s="378" t="str">
        <f t="shared" ref="K281:K291" si="152">IF(LEFT(J281,5)="00966", RIGHT(J281,LEN(J281)-5),
    IF(LEFT(J281,4)="+966", RIGHT(J281,LEN(J281)-4),
        IF(LEFT(J281,3)="966", RIGHT(J281,LEN(J281)-3),
            IF(LEFT(J281,1)="0", RIGHT(J281,LEN(J281)-1), J281)
        )
    )
)</f>
        <v/>
      </c>
      <c r="L281" s="378" t="str">
        <f t="shared" ref="L281:L291" si="153">IF(LEFT(K281,1)="5",
    IF(LEN(K281)=9,"سعودي - صحيح",
        IF(LEN(K281)&lt;9,"سعودي - ناقص "&amp;(9-LEN(K281)),"سعودي - زائد "&amp;(LEN(K281)-9))
    ),
"أجنبي")</f>
        <v>أجنبي</v>
      </c>
      <c r="M281" s="436" t="str">
        <f t="shared" ref="M281:M291" si="154">IF(LEFT(K281,1)="5","966"&amp;K281,K281)</f>
        <v/>
      </c>
      <c r="N281" s="436"/>
      <c r="O281" s="378"/>
      <c r="P281" s="378"/>
      <c r="Q281" s="378"/>
      <c r="R281" s="378"/>
      <c r="S281" s="378"/>
      <c r="T281" s="378"/>
      <c r="U281" s="378">
        <v>279</v>
      </c>
      <c r="V281" s="378"/>
      <c r="W281" s="378"/>
      <c r="X281" s="378"/>
      <c r="Y281" s="378"/>
      <c r="Z281" s="378"/>
      <c r="AA281" s="378"/>
      <c r="AB281" s="378"/>
      <c r="AC281" s="378"/>
      <c r="AD281" s="378"/>
      <c r="AE281" s="378"/>
      <c r="AF281" s="378"/>
      <c r="AG281" s="378"/>
      <c r="AH281" s="378"/>
      <c r="AI281" s="378"/>
      <c r="AJ281" s="378"/>
      <c r="AK281" s="378"/>
      <c r="AL281" s="378"/>
      <c r="AM281" s="378"/>
      <c r="AN281" s="378"/>
      <c r="AO281" s="378"/>
      <c r="AP281" s="378"/>
      <c r="AQ281" s="378"/>
    </row>
    <row r="282" spans="2:43">
      <c r="B282" s="378">
        <v>280</v>
      </c>
      <c r="C282" s="378"/>
      <c r="D282" s="378"/>
      <c r="E282" s="378"/>
      <c r="F282" s="378"/>
      <c r="G282" s="378"/>
      <c r="H282" s="378" t="str">
        <f t="array" aca="1" ref="H282" ca="1">_xlfn.TEXTJOIN("", TRUE, IF(ISNUMBER(--MID(C282, ROW(INDIRECT("1:"&amp;LEN(C282))), 1)), MID(C282, ROW(INDIRECT("1:"&amp;LEN(C282))), 1), ""))</f>
        <v/>
      </c>
      <c r="I282" s="378"/>
      <c r="J282" s="378">
        <f t="shared" si="151"/>
        <v>0</v>
      </c>
      <c r="K282" s="378" t="str">
        <f t="shared" si="152"/>
        <v/>
      </c>
      <c r="L282" s="378" t="str">
        <f t="shared" si="153"/>
        <v>أجنبي</v>
      </c>
      <c r="M282" s="436" t="str">
        <f t="shared" si="154"/>
        <v/>
      </c>
      <c r="N282" s="436"/>
      <c r="O282" s="378"/>
      <c r="P282" s="378"/>
      <c r="Q282" s="378"/>
      <c r="R282" s="378"/>
      <c r="S282" s="378"/>
      <c r="T282" s="378"/>
      <c r="U282" s="378">
        <v>280</v>
      </c>
      <c r="V282" s="378"/>
      <c r="W282" s="378"/>
      <c r="X282" s="378"/>
      <c r="Y282" s="378"/>
      <c r="Z282" s="378"/>
      <c r="AA282" s="378"/>
      <c r="AB282" s="378"/>
      <c r="AC282" s="378"/>
      <c r="AD282" s="378"/>
      <c r="AE282" s="378"/>
      <c r="AF282" s="378"/>
      <c r="AG282" s="378"/>
      <c r="AH282" s="378"/>
      <c r="AI282" s="378"/>
      <c r="AJ282" s="378"/>
      <c r="AK282" s="378"/>
      <c r="AL282" s="378"/>
      <c r="AM282" s="378"/>
      <c r="AN282" s="378"/>
      <c r="AO282" s="378"/>
      <c r="AP282" s="378"/>
      <c r="AQ282" s="378"/>
    </row>
    <row r="283" spans="2:43">
      <c r="B283" s="378">
        <v>281</v>
      </c>
      <c r="C283" s="378"/>
      <c r="D283" s="378"/>
      <c r="E283" s="378"/>
      <c r="F283" s="378"/>
      <c r="G283" s="378"/>
      <c r="H283" s="378" t="str">
        <f t="array" aca="1" ref="H283" ca="1">_xlfn.TEXTJOIN("", TRUE, IF(ISNUMBER(--MID(C283, ROW(INDIRECT("1:"&amp;LEN(C283))), 1)), MID(C283, ROW(INDIRECT("1:"&amp;LEN(C283))), 1), ""))</f>
        <v/>
      </c>
      <c r="I283" s="378"/>
      <c r="J283" s="378">
        <f t="shared" si="151"/>
        <v>0</v>
      </c>
      <c r="K283" s="378" t="str">
        <f t="shared" si="152"/>
        <v/>
      </c>
      <c r="L283" s="378" t="str">
        <f t="shared" si="153"/>
        <v>أجنبي</v>
      </c>
      <c r="M283" s="436" t="str">
        <f t="shared" si="154"/>
        <v/>
      </c>
      <c r="N283" s="436"/>
      <c r="O283" s="378"/>
      <c r="P283" s="378"/>
      <c r="Q283" s="378"/>
      <c r="R283" s="378"/>
      <c r="S283" s="378"/>
      <c r="T283" s="378"/>
      <c r="U283" s="378">
        <v>281</v>
      </c>
      <c r="V283" s="378"/>
      <c r="W283" s="378"/>
      <c r="X283" s="378"/>
      <c r="Y283" s="378"/>
      <c r="Z283" s="378"/>
      <c r="AA283" s="378"/>
      <c r="AB283" s="378"/>
      <c r="AC283" s="378"/>
      <c r="AD283" s="378"/>
      <c r="AE283" s="378"/>
      <c r="AF283" s="378"/>
      <c r="AG283" s="378"/>
      <c r="AH283" s="378"/>
      <c r="AI283" s="378"/>
      <c r="AJ283" s="378"/>
      <c r="AK283" s="378"/>
      <c r="AL283" s="378"/>
      <c r="AM283" s="378"/>
      <c r="AN283" s="378"/>
      <c r="AO283" s="378"/>
      <c r="AP283" s="378"/>
      <c r="AQ283" s="378"/>
    </row>
    <row r="284" spans="2:43">
      <c r="B284" s="378">
        <v>282</v>
      </c>
      <c r="C284" s="378"/>
      <c r="D284" s="378"/>
      <c r="E284" s="378"/>
      <c r="F284" s="378"/>
      <c r="G284" s="378"/>
      <c r="H284" s="378" t="str">
        <f t="array" aca="1" ref="H284" ca="1">_xlfn.TEXTJOIN("", TRUE, IF(ISNUMBER(--MID(C284, ROW(INDIRECT("1:"&amp;LEN(C284))), 1)), MID(C284, ROW(INDIRECT("1:"&amp;LEN(C284))), 1), ""))</f>
        <v/>
      </c>
      <c r="I284" s="378"/>
      <c r="J284" s="378">
        <f t="shared" si="151"/>
        <v>0</v>
      </c>
      <c r="K284" s="378" t="str">
        <f t="shared" si="152"/>
        <v/>
      </c>
      <c r="L284" s="378" t="str">
        <f t="shared" si="153"/>
        <v>أجنبي</v>
      </c>
      <c r="M284" s="436" t="str">
        <f t="shared" si="154"/>
        <v/>
      </c>
      <c r="N284" s="436"/>
      <c r="O284" s="378"/>
      <c r="P284" s="378"/>
      <c r="Q284" s="378"/>
      <c r="R284" s="378"/>
      <c r="S284" s="378"/>
      <c r="T284" s="378"/>
      <c r="U284" s="378">
        <v>282</v>
      </c>
      <c r="V284" s="378"/>
      <c r="W284" s="378"/>
      <c r="X284" s="378"/>
      <c r="Y284" s="378"/>
      <c r="Z284" s="378"/>
      <c r="AA284" s="378"/>
      <c r="AB284" s="378"/>
      <c r="AC284" s="378"/>
      <c r="AD284" s="378"/>
      <c r="AE284" s="378"/>
      <c r="AF284" s="378"/>
      <c r="AG284" s="378"/>
      <c r="AH284" s="378"/>
      <c r="AI284" s="378"/>
      <c r="AJ284" s="378"/>
      <c r="AK284" s="378"/>
      <c r="AL284" s="378"/>
      <c r="AM284" s="378"/>
      <c r="AN284" s="378"/>
      <c r="AO284" s="378"/>
      <c r="AP284" s="378"/>
      <c r="AQ284" s="378"/>
    </row>
    <row r="285" spans="2:43">
      <c r="B285" s="378">
        <v>283</v>
      </c>
      <c r="C285" s="378"/>
      <c r="D285" s="378"/>
      <c r="E285" s="378"/>
      <c r="F285" s="378"/>
      <c r="G285" s="378"/>
      <c r="H285" s="378" t="str">
        <f t="array" aca="1" ref="H285" ca="1">_xlfn.TEXTJOIN("", TRUE, IF(ISNUMBER(--MID(C285, ROW(INDIRECT("1:"&amp;LEN(C285))), 1)), MID(C285, ROW(INDIRECT("1:"&amp;LEN(C285))), 1), ""))</f>
        <v/>
      </c>
      <c r="I285" s="378"/>
      <c r="J285" s="378">
        <f t="shared" si="151"/>
        <v>0</v>
      </c>
      <c r="K285" s="378" t="str">
        <f t="shared" si="152"/>
        <v/>
      </c>
      <c r="L285" s="378" t="str">
        <f t="shared" si="153"/>
        <v>أجنبي</v>
      </c>
      <c r="M285" s="436" t="str">
        <f t="shared" si="154"/>
        <v/>
      </c>
      <c r="N285" s="436"/>
      <c r="O285" s="378"/>
      <c r="P285" s="378"/>
      <c r="Q285" s="378"/>
      <c r="R285" s="378"/>
      <c r="S285" s="378"/>
      <c r="T285" s="378"/>
      <c r="U285" s="378">
        <v>283</v>
      </c>
      <c r="V285" s="378"/>
      <c r="W285" s="378"/>
      <c r="X285" s="378"/>
      <c r="Y285" s="378"/>
      <c r="Z285" s="378"/>
      <c r="AA285" s="378"/>
      <c r="AB285" s="378"/>
      <c r="AC285" s="378"/>
      <c r="AD285" s="378"/>
      <c r="AE285" s="378"/>
      <c r="AF285" s="378"/>
      <c r="AG285" s="378"/>
      <c r="AH285" s="378"/>
      <c r="AI285" s="378"/>
      <c r="AJ285" s="378"/>
      <c r="AK285" s="378"/>
      <c r="AL285" s="378"/>
      <c r="AM285" s="378"/>
      <c r="AN285" s="378"/>
      <c r="AO285" s="378"/>
      <c r="AP285" s="378"/>
      <c r="AQ285" s="378"/>
    </row>
    <row r="286" spans="2:43">
      <c r="B286" s="378">
        <v>284</v>
      </c>
      <c r="C286" s="378"/>
      <c r="D286" s="378"/>
      <c r="E286" s="378"/>
      <c r="F286" s="378"/>
      <c r="G286" s="378"/>
      <c r="H286" s="378" t="str">
        <f t="array" aca="1" ref="H286" ca="1">_xlfn.TEXTJOIN("", TRUE, IF(ISNUMBER(--MID(C286, ROW(INDIRECT("1:"&amp;LEN(C286))), 1)), MID(C286, ROW(INDIRECT("1:"&amp;LEN(C286))), 1), ""))</f>
        <v/>
      </c>
      <c r="I286" s="378"/>
      <c r="J286" s="378">
        <f t="shared" si="151"/>
        <v>0</v>
      </c>
      <c r="K286" s="378" t="str">
        <f t="shared" si="152"/>
        <v/>
      </c>
      <c r="L286" s="378" t="str">
        <f t="shared" si="153"/>
        <v>أجنبي</v>
      </c>
      <c r="M286" s="436" t="str">
        <f t="shared" si="154"/>
        <v/>
      </c>
      <c r="N286" s="436"/>
      <c r="O286" s="378"/>
      <c r="P286" s="378"/>
      <c r="Q286" s="378"/>
      <c r="R286" s="378"/>
      <c r="S286" s="378"/>
      <c r="T286" s="378"/>
      <c r="U286" s="378">
        <v>284</v>
      </c>
      <c r="V286" s="378"/>
      <c r="W286" s="378"/>
      <c r="X286" s="378"/>
      <c r="Y286" s="378"/>
      <c r="Z286" s="378"/>
      <c r="AA286" s="378"/>
      <c r="AB286" s="378"/>
      <c r="AC286" s="378"/>
      <c r="AD286" s="378"/>
      <c r="AE286" s="378"/>
      <c r="AF286" s="378"/>
      <c r="AG286" s="378"/>
      <c r="AH286" s="378"/>
      <c r="AI286" s="378"/>
      <c r="AJ286" s="378"/>
      <c r="AK286" s="378"/>
      <c r="AL286" s="378"/>
      <c r="AM286" s="378"/>
      <c r="AN286" s="378"/>
      <c r="AO286" s="378"/>
      <c r="AP286" s="378"/>
      <c r="AQ286" s="378"/>
    </row>
    <row r="287" spans="2:43">
      <c r="B287" s="378">
        <v>285</v>
      </c>
      <c r="C287" s="378"/>
      <c r="D287" s="378"/>
      <c r="E287" s="378"/>
      <c r="F287" s="378"/>
      <c r="G287" s="378"/>
      <c r="H287" s="378" t="str">
        <f t="array" aca="1" ref="H287" ca="1">_xlfn.TEXTJOIN("", TRUE, IF(ISNUMBER(--MID(C287, ROW(INDIRECT("1:"&amp;LEN(C287))), 1)), MID(C287, ROW(INDIRECT("1:"&amp;LEN(C287))), 1), ""))</f>
        <v/>
      </c>
      <c r="I287" s="378"/>
      <c r="J287" s="378">
        <f t="shared" si="151"/>
        <v>0</v>
      </c>
      <c r="K287" s="378" t="str">
        <f t="shared" si="152"/>
        <v/>
      </c>
      <c r="L287" s="378" t="str">
        <f t="shared" si="153"/>
        <v>أجنبي</v>
      </c>
      <c r="M287" s="436" t="str">
        <f t="shared" si="154"/>
        <v/>
      </c>
      <c r="N287" s="436"/>
      <c r="O287" s="378"/>
      <c r="P287" s="378"/>
      <c r="Q287" s="378"/>
      <c r="R287" s="378"/>
      <c r="S287" s="378"/>
      <c r="T287" s="378"/>
      <c r="U287" s="378">
        <v>285</v>
      </c>
      <c r="V287" s="378"/>
      <c r="W287" s="378"/>
      <c r="X287" s="378"/>
      <c r="Y287" s="378"/>
      <c r="Z287" s="378"/>
      <c r="AA287" s="378"/>
      <c r="AB287" s="378"/>
      <c r="AC287" s="378"/>
      <c r="AD287" s="378"/>
      <c r="AE287" s="378"/>
      <c r="AF287" s="378"/>
      <c r="AG287" s="378"/>
      <c r="AH287" s="378"/>
      <c r="AI287" s="378"/>
      <c r="AJ287" s="378"/>
      <c r="AK287" s="378"/>
      <c r="AL287" s="378"/>
      <c r="AM287" s="378"/>
      <c r="AN287" s="378"/>
      <c r="AO287" s="378"/>
      <c r="AP287" s="378"/>
      <c r="AQ287" s="378"/>
    </row>
    <row r="288" spans="2:43">
      <c r="B288" s="378">
        <v>286</v>
      </c>
      <c r="C288" s="378"/>
      <c r="D288" s="378"/>
      <c r="E288" s="378"/>
      <c r="F288" s="378"/>
      <c r="G288" s="378"/>
      <c r="H288" s="378" t="str">
        <f t="array" aca="1" ref="H288" ca="1">_xlfn.TEXTJOIN("", TRUE, IF(ISNUMBER(--MID(C288, ROW(INDIRECT("1:"&amp;LEN(C288))), 1)), MID(C288, ROW(INDIRECT("1:"&amp;LEN(C288))), 1), ""))</f>
        <v/>
      </c>
      <c r="I288" s="378"/>
      <c r="J288" s="378">
        <f t="shared" si="151"/>
        <v>0</v>
      </c>
      <c r="K288" s="378" t="str">
        <f t="shared" si="152"/>
        <v/>
      </c>
      <c r="L288" s="378" t="str">
        <f t="shared" si="153"/>
        <v>أجنبي</v>
      </c>
      <c r="M288" s="436" t="str">
        <f t="shared" si="154"/>
        <v/>
      </c>
      <c r="N288" s="436"/>
      <c r="O288" s="378"/>
      <c r="P288" s="378"/>
      <c r="Q288" s="378"/>
      <c r="R288" s="378"/>
      <c r="S288" s="378"/>
      <c r="T288" s="378"/>
      <c r="U288" s="378">
        <v>286</v>
      </c>
      <c r="V288" s="378"/>
      <c r="W288" s="378"/>
      <c r="X288" s="378"/>
      <c r="Y288" s="378"/>
      <c r="Z288" s="378"/>
      <c r="AA288" s="378"/>
      <c r="AB288" s="378"/>
      <c r="AC288" s="378"/>
      <c r="AD288" s="378"/>
      <c r="AE288" s="378"/>
      <c r="AF288" s="378"/>
      <c r="AG288" s="378"/>
      <c r="AH288" s="378"/>
      <c r="AI288" s="378"/>
      <c r="AJ288" s="378"/>
      <c r="AK288" s="378"/>
      <c r="AL288" s="378"/>
      <c r="AM288" s="378"/>
      <c r="AN288" s="378"/>
      <c r="AO288" s="378"/>
      <c r="AP288" s="378"/>
      <c r="AQ288" s="378"/>
    </row>
    <row r="289" spans="2:43">
      <c r="B289" s="378">
        <v>287</v>
      </c>
      <c r="C289" s="378"/>
      <c r="D289" s="378"/>
      <c r="E289" s="378"/>
      <c r="F289" s="378"/>
      <c r="G289" s="378"/>
      <c r="H289" s="378" t="str">
        <f t="array" aca="1" ref="H289" ca="1">_xlfn.TEXTJOIN("", TRUE, IF(ISNUMBER(--MID(C289, ROW(INDIRECT("1:"&amp;LEN(C289))), 1)), MID(C289, ROW(INDIRECT("1:"&amp;LEN(C289))), 1), ""))</f>
        <v/>
      </c>
      <c r="I289" s="378"/>
      <c r="J289" s="378">
        <f t="shared" si="151"/>
        <v>0</v>
      </c>
      <c r="K289" s="378" t="str">
        <f t="shared" si="152"/>
        <v/>
      </c>
      <c r="L289" s="378" t="str">
        <f t="shared" si="153"/>
        <v>أجنبي</v>
      </c>
      <c r="M289" s="436" t="str">
        <f t="shared" si="154"/>
        <v/>
      </c>
      <c r="N289" s="436"/>
      <c r="O289" s="378"/>
      <c r="P289" s="378"/>
      <c r="Q289" s="378"/>
      <c r="R289" s="91"/>
      <c r="S289" s="378"/>
      <c r="T289" s="378"/>
      <c r="U289" s="378">
        <v>287</v>
      </c>
      <c r="V289" s="378"/>
      <c r="W289" s="378"/>
      <c r="X289" s="378"/>
      <c r="Y289" s="378"/>
      <c r="Z289" s="378"/>
      <c r="AA289" s="378"/>
      <c r="AB289" s="378"/>
      <c r="AC289" s="378"/>
      <c r="AD289" s="378"/>
      <c r="AE289" s="378"/>
      <c r="AF289" s="378"/>
      <c r="AG289" s="378"/>
      <c r="AH289" s="378"/>
      <c r="AI289" s="378"/>
      <c r="AJ289" s="378"/>
      <c r="AK289" s="378"/>
      <c r="AL289" s="378"/>
      <c r="AM289" s="378"/>
      <c r="AN289" s="378"/>
      <c r="AO289" s="378"/>
      <c r="AP289" s="378"/>
      <c r="AQ289" s="378"/>
    </row>
    <row r="290" spans="2:43">
      <c r="B290" s="378">
        <v>288</v>
      </c>
      <c r="C290" s="378"/>
      <c r="D290" s="378"/>
      <c r="E290" s="378"/>
      <c r="F290" s="378"/>
      <c r="G290" s="378"/>
      <c r="H290" s="378" t="str">
        <f t="array" aca="1" ref="H290" ca="1">_xlfn.TEXTJOIN("", TRUE, IF(ISNUMBER(--MID(C290, ROW(INDIRECT("1:"&amp;LEN(C290))), 1)), MID(C290, ROW(INDIRECT("1:"&amp;LEN(C290))), 1), ""))</f>
        <v/>
      </c>
      <c r="I290" s="378"/>
      <c r="J290" s="378">
        <f t="shared" si="151"/>
        <v>0</v>
      </c>
      <c r="K290" s="378" t="str">
        <f t="shared" si="152"/>
        <v/>
      </c>
      <c r="L290" s="378" t="str">
        <f t="shared" si="153"/>
        <v>أجنبي</v>
      </c>
      <c r="M290" s="436" t="str">
        <f t="shared" si="154"/>
        <v/>
      </c>
      <c r="N290" s="436"/>
      <c r="O290" s="378"/>
      <c r="P290" s="378"/>
      <c r="Q290" s="378"/>
      <c r="R290" s="378"/>
      <c r="S290" s="378"/>
      <c r="T290" s="378"/>
      <c r="U290" s="378">
        <v>288</v>
      </c>
      <c r="V290" s="378"/>
      <c r="W290" s="378"/>
      <c r="X290" s="378"/>
      <c r="Y290" s="378"/>
      <c r="Z290" s="378"/>
      <c r="AA290" s="378"/>
      <c r="AB290" s="378"/>
      <c r="AC290" s="378"/>
      <c r="AD290" s="378"/>
      <c r="AE290" s="378"/>
      <c r="AF290" s="378"/>
      <c r="AG290" s="378"/>
      <c r="AH290" s="378"/>
      <c r="AI290" s="378"/>
      <c r="AJ290" s="378"/>
      <c r="AK290" s="378"/>
      <c r="AL290" s="378"/>
      <c r="AM290" s="378"/>
      <c r="AN290" s="378"/>
      <c r="AO290" s="378"/>
      <c r="AP290" s="378"/>
      <c r="AQ290" s="378"/>
    </row>
    <row r="291" spans="2:43">
      <c r="B291" s="378">
        <v>289</v>
      </c>
      <c r="C291" s="378"/>
      <c r="D291" s="378"/>
      <c r="E291" s="378"/>
      <c r="F291" s="378"/>
      <c r="G291" s="378"/>
      <c r="H291" s="378" t="str">
        <f t="array" aca="1" ref="H291" ca="1">_xlfn.TEXTJOIN("", TRUE, IF(ISNUMBER(--MID(C291, ROW(INDIRECT("1:"&amp;LEN(C291))), 1)), MID(C291, ROW(INDIRECT("1:"&amp;LEN(C291))), 1), ""))</f>
        <v/>
      </c>
      <c r="I291" s="378"/>
      <c r="J291" s="378">
        <f t="shared" si="151"/>
        <v>0</v>
      </c>
      <c r="K291" s="378" t="str">
        <f t="shared" si="152"/>
        <v/>
      </c>
      <c r="L291" s="378" t="str">
        <f t="shared" si="153"/>
        <v>أجنبي</v>
      </c>
      <c r="M291" s="436" t="str">
        <f t="shared" si="154"/>
        <v/>
      </c>
      <c r="N291" s="436"/>
      <c r="O291" s="378"/>
      <c r="P291" s="378"/>
      <c r="Q291" s="378"/>
      <c r="R291" s="378"/>
      <c r="S291" s="378"/>
      <c r="T291" s="378"/>
      <c r="U291" s="378">
        <v>289</v>
      </c>
      <c r="V291" s="378"/>
      <c r="W291" s="378"/>
      <c r="X291" s="378"/>
      <c r="Y291" s="378"/>
      <c r="Z291" s="378"/>
      <c r="AA291" s="378"/>
      <c r="AB291" s="378"/>
      <c r="AC291" s="378"/>
      <c r="AD291" s="378"/>
      <c r="AE291" s="378"/>
      <c r="AF291" s="378"/>
      <c r="AG291" s="378"/>
      <c r="AH291" s="378"/>
      <c r="AI291" s="378"/>
      <c r="AJ291" s="378"/>
      <c r="AK291" s="378"/>
      <c r="AL291" s="378"/>
      <c r="AM291" s="378"/>
      <c r="AN291" s="378"/>
      <c r="AO291" s="378"/>
      <c r="AP291" s="378"/>
      <c r="AQ291" s="378"/>
    </row>
    <row r="292" spans="2:43">
      <c r="B292" s="378">
        <v>290</v>
      </c>
      <c r="C292" s="378"/>
      <c r="D292" s="378"/>
      <c r="E292" s="378"/>
      <c r="F292" s="378"/>
      <c r="G292" s="378"/>
      <c r="H292" s="378" t="str">
        <f t="array" aca="1" ref="H292" ca="1">_xlfn.TEXTJOIN("", TRUE, IF(ISNUMBER(--MID(C292, ROW(INDIRECT("1:"&amp;LEN(C292))), 1)), MID(C292, ROW(INDIRECT("1:"&amp;LEN(C292))), 1), ""))</f>
        <v/>
      </c>
      <c r="I292" s="378"/>
      <c r="J292" s="378">
        <f t="shared" ref="J292:J300" si="155">IF(LEFT(I292,5)="00966", RIGHT(I292,LEN(I292)-5),
    IF(LEFT(I292,4)="+966", RIGHT(I292,LEN(I292)-4),
        IF(LEFT(I292,3)="966", RIGHT(I292,LEN(I292)-3),
            IF(LEFT(I292,1)="0", RIGHT(I292,LEN(I292)-1), I292)
        )
    )
)</f>
        <v>0</v>
      </c>
      <c r="K292" s="378" t="str">
        <f t="shared" ref="K292:K300" si="156">IF(LEFT(J292,5)="00966", RIGHT(J292,LEN(J292)-5),
    IF(LEFT(J292,4)="+966", RIGHT(J292,LEN(J292)-4),
        IF(LEFT(J292,3)="966", RIGHT(J292,LEN(J292)-3),
            IF(LEFT(J292,1)="0", RIGHT(J292,LEN(J292)-1), J292)
        )
    )
)</f>
        <v/>
      </c>
      <c r="L292" s="378" t="str">
        <f t="shared" ref="L292:L300" si="157">IF(LEFT(K292,1)="5",
    IF(LEN(K292)=9,"سعودي - صحيح",
        IF(LEN(K292)&lt;9,"سعودي - ناقص "&amp;(9-LEN(K292)),"سعودي - زائد "&amp;(LEN(K292)-9))
    ),
"أجنبي")</f>
        <v>أجنبي</v>
      </c>
      <c r="M292" s="436" t="str">
        <f t="shared" ref="M292:M300" si="158">IF(LEFT(K292,1)="5","966"&amp;K292,K292)</f>
        <v/>
      </c>
      <c r="N292" s="436"/>
      <c r="O292" s="378"/>
      <c r="P292" s="378"/>
      <c r="Q292" s="378"/>
      <c r="R292" s="378"/>
      <c r="S292" s="378"/>
      <c r="T292" s="378"/>
      <c r="U292" s="378">
        <v>290</v>
      </c>
      <c r="V292" s="378"/>
      <c r="W292" s="378"/>
      <c r="X292" s="378"/>
      <c r="Y292" s="378"/>
      <c r="Z292" s="378"/>
      <c r="AA292" s="378"/>
      <c r="AB292" s="378"/>
      <c r="AC292" s="378"/>
      <c r="AD292" s="378"/>
      <c r="AE292" s="378"/>
      <c r="AF292" s="378"/>
      <c r="AG292" s="378"/>
      <c r="AH292" s="378"/>
      <c r="AI292" s="378"/>
      <c r="AJ292" s="378"/>
      <c r="AK292" s="378"/>
      <c r="AL292" s="378"/>
      <c r="AM292" s="378"/>
      <c r="AN292" s="378"/>
      <c r="AO292" s="378"/>
      <c r="AP292" s="378"/>
      <c r="AQ292" s="378"/>
    </row>
    <row r="293" spans="2:43">
      <c r="B293" s="378">
        <v>291</v>
      </c>
      <c r="C293" s="378"/>
      <c r="D293" s="378"/>
      <c r="E293" s="378"/>
      <c r="F293" s="378"/>
      <c r="G293" s="378"/>
      <c r="H293" s="378" t="str">
        <f t="array" aca="1" ref="H293" ca="1">_xlfn.TEXTJOIN("", TRUE, IF(ISNUMBER(--MID(C293, ROW(INDIRECT("1:"&amp;LEN(C293))), 1)), MID(C293, ROW(INDIRECT("1:"&amp;LEN(C293))), 1), ""))</f>
        <v/>
      </c>
      <c r="I293" s="378"/>
      <c r="J293" s="378">
        <f t="shared" si="155"/>
        <v>0</v>
      </c>
      <c r="K293" s="378" t="str">
        <f t="shared" si="156"/>
        <v/>
      </c>
      <c r="L293" s="378" t="str">
        <f t="shared" si="157"/>
        <v>أجنبي</v>
      </c>
      <c r="M293" s="436" t="str">
        <f t="shared" si="158"/>
        <v/>
      </c>
      <c r="N293" s="436"/>
      <c r="O293" s="378"/>
      <c r="P293" s="378"/>
      <c r="Q293" s="378"/>
      <c r="R293" s="378"/>
      <c r="S293" s="378"/>
      <c r="T293" s="378"/>
      <c r="U293" s="378">
        <v>291</v>
      </c>
      <c r="V293" s="378"/>
      <c r="W293" s="378"/>
      <c r="X293" s="378"/>
      <c r="Y293" s="378"/>
      <c r="Z293" s="378"/>
      <c r="AA293" s="378"/>
      <c r="AB293" s="378"/>
      <c r="AC293" s="378"/>
      <c r="AD293" s="378"/>
      <c r="AE293" s="378"/>
      <c r="AF293" s="378"/>
      <c r="AG293" s="378"/>
      <c r="AH293" s="378"/>
      <c r="AI293" s="378"/>
      <c r="AJ293" s="378"/>
      <c r="AK293" s="378"/>
      <c r="AL293" s="378"/>
      <c r="AM293" s="378"/>
      <c r="AN293" s="378"/>
      <c r="AO293" s="378"/>
      <c r="AP293" s="378"/>
      <c r="AQ293" s="378"/>
    </row>
    <row r="294" spans="2:43">
      <c r="B294" s="378">
        <v>292</v>
      </c>
      <c r="C294" s="378"/>
      <c r="D294" s="378"/>
      <c r="E294" s="378"/>
      <c r="F294" s="378"/>
      <c r="G294" s="378"/>
      <c r="H294" s="378" t="str">
        <f t="array" aca="1" ref="H294" ca="1">_xlfn.TEXTJOIN("", TRUE, IF(ISNUMBER(--MID(C294, ROW(INDIRECT("1:"&amp;LEN(C294))), 1)), MID(C294, ROW(INDIRECT("1:"&amp;LEN(C294))), 1), ""))</f>
        <v/>
      </c>
      <c r="I294" s="378"/>
      <c r="J294" s="378">
        <f t="shared" si="155"/>
        <v>0</v>
      </c>
      <c r="K294" s="378" t="str">
        <f t="shared" si="156"/>
        <v/>
      </c>
      <c r="L294" s="378" t="str">
        <f t="shared" si="157"/>
        <v>أجنبي</v>
      </c>
      <c r="M294" s="436" t="str">
        <f t="shared" si="158"/>
        <v/>
      </c>
      <c r="N294" s="436"/>
      <c r="O294" s="378"/>
      <c r="P294" s="378"/>
      <c r="Q294" s="378"/>
      <c r="R294" s="91"/>
      <c r="S294" s="378"/>
      <c r="T294" s="378"/>
      <c r="U294" s="378">
        <v>292</v>
      </c>
      <c r="V294" s="378"/>
      <c r="W294" s="378"/>
      <c r="X294" s="378"/>
      <c r="Y294" s="378"/>
      <c r="Z294" s="378"/>
      <c r="AA294" s="378"/>
      <c r="AB294" s="378"/>
      <c r="AC294" s="378"/>
      <c r="AD294" s="378"/>
      <c r="AE294" s="378"/>
      <c r="AF294" s="378"/>
      <c r="AG294" s="378"/>
      <c r="AH294" s="378"/>
      <c r="AI294" s="378"/>
      <c r="AJ294" s="378"/>
      <c r="AK294" s="378"/>
      <c r="AL294" s="378"/>
      <c r="AM294" s="378"/>
      <c r="AN294" s="378"/>
      <c r="AO294" s="378"/>
      <c r="AP294" s="378"/>
      <c r="AQ294" s="378"/>
    </row>
    <row r="295" spans="2:43">
      <c r="B295" s="378">
        <v>293</v>
      </c>
      <c r="C295" s="378"/>
      <c r="D295" s="378"/>
      <c r="E295" s="378"/>
      <c r="F295" s="378"/>
      <c r="G295" s="378"/>
      <c r="H295" s="378" t="str">
        <f t="array" aca="1" ref="H295" ca="1">_xlfn.TEXTJOIN("", TRUE, IF(ISNUMBER(--MID(C295, ROW(INDIRECT("1:"&amp;LEN(C295))), 1)), MID(C295, ROW(INDIRECT("1:"&amp;LEN(C295))), 1), ""))</f>
        <v/>
      </c>
      <c r="I295" s="378"/>
      <c r="J295" s="378">
        <f t="shared" si="155"/>
        <v>0</v>
      </c>
      <c r="K295" s="378" t="str">
        <f t="shared" si="156"/>
        <v/>
      </c>
      <c r="L295" s="378" t="str">
        <f t="shared" si="157"/>
        <v>أجنبي</v>
      </c>
      <c r="M295" s="436" t="str">
        <f t="shared" si="158"/>
        <v/>
      </c>
      <c r="N295" s="436"/>
      <c r="O295" s="378"/>
      <c r="P295" s="378"/>
      <c r="Q295" s="378"/>
      <c r="R295" s="91"/>
      <c r="S295" s="378"/>
      <c r="T295" s="378"/>
      <c r="U295" s="378">
        <v>293</v>
      </c>
      <c r="V295" s="378"/>
      <c r="W295" s="378"/>
      <c r="X295" s="378"/>
      <c r="Y295" s="378"/>
      <c r="Z295" s="378"/>
      <c r="AA295" s="378"/>
      <c r="AB295" s="378"/>
      <c r="AC295" s="378"/>
      <c r="AD295" s="378"/>
      <c r="AE295" s="378"/>
      <c r="AF295" s="378"/>
      <c r="AG295" s="378"/>
      <c r="AH295" s="378"/>
      <c r="AI295" s="378"/>
      <c r="AJ295" s="378"/>
      <c r="AK295" s="378"/>
      <c r="AL295" s="378"/>
      <c r="AM295" s="378"/>
      <c r="AN295" s="378"/>
      <c r="AO295" s="378"/>
      <c r="AP295" s="378"/>
      <c r="AQ295" s="378"/>
    </row>
    <row r="296" spans="2:43">
      <c r="B296" s="378">
        <v>294</v>
      </c>
      <c r="C296" s="378"/>
      <c r="D296" s="378"/>
      <c r="E296" s="378"/>
      <c r="F296" s="378"/>
      <c r="G296" s="378"/>
      <c r="H296" s="378" t="str">
        <f t="array" aca="1" ref="H296" ca="1">_xlfn.TEXTJOIN("", TRUE, IF(ISNUMBER(--MID(C296, ROW(INDIRECT("1:"&amp;LEN(C296))), 1)), MID(C296, ROW(INDIRECT("1:"&amp;LEN(C296))), 1), ""))</f>
        <v/>
      </c>
      <c r="I296" s="378"/>
      <c r="J296" s="378">
        <f t="shared" si="155"/>
        <v>0</v>
      </c>
      <c r="K296" s="378" t="str">
        <f t="shared" si="156"/>
        <v/>
      </c>
      <c r="L296" s="378" t="str">
        <f t="shared" si="157"/>
        <v>أجنبي</v>
      </c>
      <c r="M296" s="436" t="str">
        <f t="shared" si="158"/>
        <v/>
      </c>
      <c r="N296" s="436"/>
      <c r="O296" s="378"/>
      <c r="P296" s="378"/>
      <c r="Q296" s="378"/>
      <c r="R296" s="378"/>
      <c r="S296" s="378"/>
      <c r="T296" s="378"/>
      <c r="U296" s="378">
        <v>294</v>
      </c>
      <c r="V296" s="378"/>
      <c r="W296" s="378"/>
      <c r="X296" s="378"/>
      <c r="Y296" s="378"/>
      <c r="Z296" s="378"/>
      <c r="AA296" s="378"/>
      <c r="AB296" s="378"/>
      <c r="AC296" s="378"/>
      <c r="AD296" s="378"/>
      <c r="AE296" s="378"/>
      <c r="AF296" s="378"/>
      <c r="AG296" s="378"/>
      <c r="AH296" s="378"/>
      <c r="AI296" s="378"/>
      <c r="AJ296" s="378"/>
      <c r="AK296" s="378"/>
      <c r="AL296" s="378"/>
      <c r="AM296" s="378"/>
      <c r="AN296" s="378"/>
      <c r="AO296" s="378"/>
      <c r="AP296" s="378"/>
      <c r="AQ296" s="378"/>
    </row>
    <row r="297" spans="2:43">
      <c r="B297" s="378">
        <v>295</v>
      </c>
      <c r="C297" s="378"/>
      <c r="D297" s="378"/>
      <c r="E297" s="378"/>
      <c r="F297" s="378"/>
      <c r="G297" s="378"/>
      <c r="H297" s="378" t="str">
        <f t="array" aca="1" ref="H297" ca="1">_xlfn.TEXTJOIN("", TRUE, IF(ISNUMBER(--MID(C297, ROW(INDIRECT("1:"&amp;LEN(C297))), 1)), MID(C297, ROW(INDIRECT("1:"&amp;LEN(C297))), 1), ""))</f>
        <v/>
      </c>
      <c r="I297" s="378"/>
      <c r="J297" s="378">
        <f t="shared" si="155"/>
        <v>0</v>
      </c>
      <c r="K297" s="378" t="str">
        <f t="shared" si="156"/>
        <v/>
      </c>
      <c r="L297" s="378" t="str">
        <f t="shared" si="157"/>
        <v>أجنبي</v>
      </c>
      <c r="M297" s="436" t="str">
        <f t="shared" si="158"/>
        <v/>
      </c>
      <c r="N297" s="436"/>
      <c r="O297" s="378"/>
      <c r="P297" s="378"/>
      <c r="Q297" s="378"/>
      <c r="R297" s="378"/>
      <c r="S297" s="378"/>
      <c r="T297" s="378"/>
      <c r="U297" s="378">
        <v>295</v>
      </c>
      <c r="V297" s="378"/>
      <c r="W297" s="378"/>
      <c r="X297" s="378"/>
      <c r="Y297" s="378"/>
      <c r="Z297" s="378"/>
      <c r="AA297" s="378"/>
      <c r="AB297" s="378"/>
      <c r="AC297" s="378"/>
      <c r="AD297" s="378"/>
      <c r="AE297" s="378"/>
      <c r="AF297" s="378"/>
      <c r="AG297" s="378"/>
      <c r="AH297" s="378"/>
      <c r="AI297" s="378"/>
      <c r="AJ297" s="378"/>
      <c r="AK297" s="378"/>
      <c r="AL297" s="378"/>
      <c r="AM297" s="378"/>
      <c r="AN297" s="378"/>
      <c r="AO297" s="378"/>
      <c r="AP297" s="378"/>
      <c r="AQ297" s="378"/>
    </row>
    <row r="298" spans="2:43">
      <c r="B298" s="378">
        <v>296</v>
      </c>
      <c r="C298" s="378"/>
      <c r="D298" s="378"/>
      <c r="E298" s="378"/>
      <c r="F298" s="378"/>
      <c r="G298" s="378"/>
      <c r="H298" s="378" t="str">
        <f t="array" aca="1" ref="H298" ca="1">_xlfn.TEXTJOIN("", TRUE, IF(ISNUMBER(--MID(C298, ROW(INDIRECT("1:"&amp;LEN(C298))), 1)), MID(C298, ROW(INDIRECT("1:"&amp;LEN(C298))), 1), ""))</f>
        <v/>
      </c>
      <c r="I298" s="378"/>
      <c r="J298" s="378">
        <f t="shared" si="155"/>
        <v>0</v>
      </c>
      <c r="K298" s="378" t="str">
        <f t="shared" si="156"/>
        <v/>
      </c>
      <c r="L298" s="378" t="str">
        <f t="shared" si="157"/>
        <v>أجنبي</v>
      </c>
      <c r="M298" s="436" t="str">
        <f t="shared" si="158"/>
        <v/>
      </c>
      <c r="N298" s="436"/>
      <c r="O298" s="378"/>
      <c r="P298" s="378"/>
      <c r="Q298" s="378"/>
      <c r="R298" s="378"/>
      <c r="S298" s="378"/>
      <c r="T298" s="378"/>
      <c r="U298" s="378">
        <v>296</v>
      </c>
      <c r="V298" s="378"/>
      <c r="W298" s="378"/>
      <c r="X298" s="378"/>
      <c r="Y298" s="378"/>
      <c r="Z298" s="378"/>
      <c r="AA298" s="378"/>
      <c r="AB298" s="378"/>
      <c r="AC298" s="378"/>
      <c r="AD298" s="378"/>
      <c r="AE298" s="378"/>
      <c r="AF298" s="378"/>
      <c r="AG298" s="378"/>
      <c r="AH298" s="378"/>
      <c r="AI298" s="378"/>
      <c r="AJ298" s="378"/>
      <c r="AK298" s="378"/>
      <c r="AL298" s="378"/>
      <c r="AM298" s="378"/>
      <c r="AN298" s="378"/>
      <c r="AO298" s="378"/>
      <c r="AP298" s="378"/>
      <c r="AQ298" s="378"/>
    </row>
    <row r="299" spans="2:43">
      <c r="B299" s="378">
        <v>297</v>
      </c>
      <c r="C299" s="378"/>
      <c r="D299" s="378"/>
      <c r="E299" s="378"/>
      <c r="F299" s="378"/>
      <c r="G299" s="378"/>
      <c r="H299" s="378" t="str">
        <f t="array" aca="1" ref="H299" ca="1">_xlfn.TEXTJOIN("", TRUE, IF(ISNUMBER(--MID(C299, ROW(INDIRECT("1:"&amp;LEN(C299))), 1)), MID(C299, ROW(INDIRECT("1:"&amp;LEN(C299))), 1), ""))</f>
        <v/>
      </c>
      <c r="I299" s="378"/>
      <c r="J299" s="378">
        <f t="shared" si="155"/>
        <v>0</v>
      </c>
      <c r="K299" s="378" t="str">
        <f t="shared" si="156"/>
        <v/>
      </c>
      <c r="L299" s="378" t="str">
        <f t="shared" si="157"/>
        <v>أجنبي</v>
      </c>
      <c r="M299" s="436" t="str">
        <f t="shared" si="158"/>
        <v/>
      </c>
      <c r="N299" s="436"/>
      <c r="O299" s="378"/>
      <c r="P299" s="378"/>
      <c r="Q299" s="378"/>
      <c r="R299" s="378"/>
      <c r="S299" s="378"/>
      <c r="T299" s="378"/>
      <c r="U299" s="378">
        <v>297</v>
      </c>
      <c r="V299" s="378"/>
      <c r="W299" s="378"/>
      <c r="X299" s="378"/>
      <c r="Y299" s="378"/>
      <c r="Z299" s="378"/>
      <c r="AA299" s="378"/>
      <c r="AB299" s="378"/>
      <c r="AC299" s="378"/>
      <c r="AD299" s="378"/>
      <c r="AE299" s="378"/>
      <c r="AF299" s="378"/>
      <c r="AG299" s="378"/>
      <c r="AH299" s="378"/>
      <c r="AI299" s="378"/>
      <c r="AJ299" s="378"/>
      <c r="AK299" s="378"/>
      <c r="AL299" s="378"/>
      <c r="AM299" s="378"/>
      <c r="AN299" s="378"/>
      <c r="AO299" s="378"/>
      <c r="AP299" s="378"/>
      <c r="AQ299" s="378"/>
    </row>
    <row r="300" spans="2:43">
      <c r="B300" s="378">
        <v>298</v>
      </c>
      <c r="C300" s="378"/>
      <c r="D300" s="378"/>
      <c r="E300" s="378"/>
      <c r="F300" s="378"/>
      <c r="G300" s="378"/>
      <c r="H300" s="378" t="str">
        <f t="array" aca="1" ref="H300" ca="1">_xlfn.TEXTJOIN("", TRUE, IF(ISNUMBER(--MID(C300, ROW(INDIRECT("1:"&amp;LEN(C300))), 1)), MID(C300, ROW(INDIRECT("1:"&amp;LEN(C300))), 1), ""))</f>
        <v/>
      </c>
      <c r="I300" s="378"/>
      <c r="J300" s="378">
        <f t="shared" si="155"/>
        <v>0</v>
      </c>
      <c r="K300" s="378" t="str">
        <f t="shared" si="156"/>
        <v/>
      </c>
      <c r="L300" s="378" t="str">
        <f t="shared" si="157"/>
        <v>أجنبي</v>
      </c>
      <c r="M300" s="436" t="str">
        <f t="shared" si="158"/>
        <v/>
      </c>
      <c r="N300" s="436"/>
      <c r="O300" s="378"/>
      <c r="P300" s="378"/>
      <c r="Q300" s="378"/>
      <c r="R300" s="91"/>
      <c r="S300" s="378"/>
      <c r="T300" s="378"/>
      <c r="U300" s="378">
        <v>298</v>
      </c>
      <c r="V300" s="378"/>
      <c r="W300" s="378"/>
      <c r="X300" s="378"/>
      <c r="Y300" s="378"/>
      <c r="Z300" s="378"/>
      <c r="AA300" s="378"/>
      <c r="AB300" s="378"/>
      <c r="AC300" s="378"/>
      <c r="AD300" s="378"/>
      <c r="AE300" s="378"/>
      <c r="AF300" s="378"/>
      <c r="AG300" s="378"/>
      <c r="AH300" s="378"/>
      <c r="AI300" s="378"/>
      <c r="AJ300" s="378"/>
      <c r="AK300" s="378"/>
      <c r="AL300" s="378"/>
      <c r="AM300" s="378"/>
      <c r="AN300" s="378"/>
      <c r="AO300" s="378"/>
      <c r="AP300" s="378"/>
      <c r="AQ300" s="378"/>
    </row>
    <row r="301" spans="2:43">
      <c r="B301" s="378">
        <v>299</v>
      </c>
      <c r="C301" s="378"/>
      <c r="D301" s="378"/>
      <c r="E301" s="378"/>
      <c r="F301" s="378"/>
      <c r="G301" s="378"/>
      <c r="H301" s="378" t="str">
        <f t="array" aca="1" ref="H301" ca="1">_xlfn.TEXTJOIN("", TRUE, IF(ISNUMBER(--MID(C301, ROW(INDIRECT("1:"&amp;LEN(C301))), 1)), MID(C301, ROW(INDIRECT("1:"&amp;LEN(C301))), 1), ""))</f>
        <v/>
      </c>
      <c r="I301" s="378"/>
      <c r="J301" s="378">
        <f t="shared" ref="J301:J309" si="159">IF(LEFT(I301,5)="00966", RIGHT(I301,LEN(I301)-5),
    IF(LEFT(I301,4)="+966", RIGHT(I301,LEN(I301)-4),
        IF(LEFT(I301,3)="966", RIGHT(I301,LEN(I301)-3),
            IF(LEFT(I301,1)="0", RIGHT(I301,LEN(I301)-1), I301)
        )
    )
)</f>
        <v>0</v>
      </c>
      <c r="K301" s="378" t="str">
        <f t="shared" ref="K301:K309" si="160">IF(LEFT(J301,5)="00966", RIGHT(J301,LEN(J301)-5),
    IF(LEFT(J301,4)="+966", RIGHT(J301,LEN(J301)-4),
        IF(LEFT(J301,3)="966", RIGHT(J301,LEN(J301)-3),
            IF(LEFT(J301,1)="0", RIGHT(J301,LEN(J301)-1), J301)
        )
    )
)</f>
        <v/>
      </c>
      <c r="L301" s="378" t="str">
        <f t="shared" ref="L301:L309" si="161">IF(LEFT(K301,1)="5",
    IF(LEN(K301)=9,"سعودي - صحيح",
        IF(LEN(K301)&lt;9,"سعودي - ناقص "&amp;(9-LEN(K301)),"سعودي - زائد "&amp;(LEN(K301)-9))
    ),
"أجنبي")</f>
        <v>أجنبي</v>
      </c>
      <c r="M301" s="436" t="str">
        <f t="shared" ref="M301:M309" si="162">IF(LEFT(K301,1)="5","966"&amp;K301,K301)</f>
        <v/>
      </c>
      <c r="N301" s="436"/>
      <c r="O301" s="378"/>
      <c r="P301" s="378"/>
      <c r="Q301" s="378"/>
      <c r="R301" s="378"/>
      <c r="S301" s="378"/>
      <c r="T301" s="378"/>
      <c r="U301" s="378">
        <v>299</v>
      </c>
      <c r="V301" s="378"/>
      <c r="W301" s="378"/>
      <c r="X301" s="378"/>
      <c r="Y301" s="378"/>
      <c r="Z301" s="378"/>
      <c r="AA301" s="378"/>
      <c r="AB301" s="378"/>
      <c r="AC301" s="378"/>
      <c r="AD301" s="378"/>
      <c r="AE301" s="378"/>
      <c r="AF301" s="378"/>
      <c r="AG301" s="378"/>
      <c r="AH301" s="378"/>
      <c r="AI301" s="378"/>
      <c r="AJ301" s="378"/>
      <c r="AK301" s="378"/>
      <c r="AL301" s="378"/>
      <c r="AM301" s="378"/>
      <c r="AN301" s="378"/>
      <c r="AO301" s="378"/>
      <c r="AP301" s="378"/>
      <c r="AQ301" s="378"/>
    </row>
    <row r="302" spans="2:43">
      <c r="B302" s="378">
        <v>300</v>
      </c>
      <c r="C302" s="378"/>
      <c r="D302" s="378"/>
      <c r="E302" s="378"/>
      <c r="F302" s="378"/>
      <c r="G302" s="378"/>
      <c r="H302" s="378" t="str">
        <f t="array" aca="1" ref="H302" ca="1">_xlfn.TEXTJOIN("", TRUE, IF(ISNUMBER(--MID(C302, ROW(INDIRECT("1:"&amp;LEN(C302))), 1)), MID(C302, ROW(INDIRECT("1:"&amp;LEN(C302))), 1), ""))</f>
        <v/>
      </c>
      <c r="I302" s="378"/>
      <c r="J302" s="378">
        <f t="shared" si="159"/>
        <v>0</v>
      </c>
      <c r="K302" s="378" t="str">
        <f t="shared" si="160"/>
        <v/>
      </c>
      <c r="L302" s="378" t="str">
        <f t="shared" si="161"/>
        <v>أجنبي</v>
      </c>
      <c r="M302" s="436" t="str">
        <f t="shared" si="162"/>
        <v/>
      </c>
      <c r="N302" s="436"/>
      <c r="O302" s="378"/>
      <c r="P302" s="378"/>
      <c r="Q302" s="378"/>
      <c r="R302" s="378"/>
      <c r="S302" s="378"/>
      <c r="T302" s="378"/>
      <c r="U302" s="378">
        <v>300</v>
      </c>
      <c r="V302" s="378"/>
      <c r="W302" s="378"/>
      <c r="X302" s="378"/>
      <c r="Y302" s="378"/>
      <c r="Z302" s="378"/>
      <c r="AA302" s="378"/>
      <c r="AB302" s="378"/>
      <c r="AC302" s="378"/>
      <c r="AD302" s="378"/>
      <c r="AE302" s="378"/>
      <c r="AF302" s="378"/>
      <c r="AG302" s="378"/>
      <c r="AH302" s="378"/>
      <c r="AI302" s="378"/>
      <c r="AJ302" s="378"/>
      <c r="AK302" s="378"/>
      <c r="AL302" s="378"/>
      <c r="AM302" s="378"/>
      <c r="AN302" s="378"/>
      <c r="AO302" s="378"/>
      <c r="AP302" s="378"/>
      <c r="AQ302" s="378"/>
    </row>
    <row r="303" spans="2:43">
      <c r="B303" s="378">
        <v>301</v>
      </c>
      <c r="C303" s="378"/>
      <c r="D303" s="378"/>
      <c r="E303" s="378"/>
      <c r="F303" s="378"/>
      <c r="G303" s="378"/>
      <c r="H303" s="378" t="str">
        <f t="array" aca="1" ref="H303" ca="1">_xlfn.TEXTJOIN("", TRUE, IF(ISNUMBER(--MID(C303, ROW(INDIRECT("1:"&amp;LEN(C303))), 1)), MID(C303, ROW(INDIRECT("1:"&amp;LEN(C303))), 1), ""))</f>
        <v/>
      </c>
      <c r="I303" s="378"/>
      <c r="J303" s="378">
        <f t="shared" si="159"/>
        <v>0</v>
      </c>
      <c r="K303" s="378" t="str">
        <f t="shared" si="160"/>
        <v/>
      </c>
      <c r="L303" s="378" t="str">
        <f t="shared" si="161"/>
        <v>أجنبي</v>
      </c>
      <c r="M303" s="436" t="str">
        <f t="shared" si="162"/>
        <v/>
      </c>
      <c r="N303" s="436"/>
      <c r="O303" s="378"/>
      <c r="P303" s="378"/>
      <c r="Q303" s="378"/>
      <c r="R303" s="378"/>
      <c r="S303" s="378"/>
      <c r="T303" s="378"/>
      <c r="U303" s="378">
        <v>301</v>
      </c>
      <c r="V303" s="378"/>
      <c r="W303" s="378"/>
      <c r="X303" s="378"/>
      <c r="Y303" s="378"/>
      <c r="Z303" s="378"/>
      <c r="AA303" s="378"/>
      <c r="AB303" s="378"/>
      <c r="AC303" s="378"/>
      <c r="AD303" s="378"/>
      <c r="AE303" s="378"/>
      <c r="AF303" s="378"/>
      <c r="AG303" s="378"/>
      <c r="AH303" s="378"/>
      <c r="AI303" s="378"/>
      <c r="AJ303" s="378"/>
      <c r="AK303" s="378"/>
      <c r="AL303" s="378"/>
      <c r="AM303" s="378"/>
      <c r="AN303" s="378"/>
      <c r="AO303" s="378"/>
      <c r="AP303" s="378"/>
      <c r="AQ303" s="378"/>
    </row>
    <row r="304" spans="2:43">
      <c r="B304" s="378">
        <v>302</v>
      </c>
      <c r="C304" s="378"/>
      <c r="D304" s="378"/>
      <c r="E304" s="378"/>
      <c r="F304" s="378"/>
      <c r="G304" s="378"/>
      <c r="H304" s="378" t="str">
        <f t="array" aca="1" ref="H304" ca="1">_xlfn.TEXTJOIN("", TRUE, IF(ISNUMBER(--MID(C304, ROW(INDIRECT("1:"&amp;LEN(C304))), 1)), MID(C304, ROW(INDIRECT("1:"&amp;LEN(C304))), 1), ""))</f>
        <v/>
      </c>
      <c r="I304" s="378"/>
      <c r="J304" s="378">
        <f t="shared" si="159"/>
        <v>0</v>
      </c>
      <c r="K304" s="378" t="str">
        <f t="shared" si="160"/>
        <v/>
      </c>
      <c r="L304" s="378" t="str">
        <f t="shared" si="161"/>
        <v>أجنبي</v>
      </c>
      <c r="M304" s="436" t="str">
        <f t="shared" si="162"/>
        <v/>
      </c>
      <c r="N304" s="436"/>
      <c r="O304" s="378"/>
      <c r="P304" s="378"/>
      <c r="Q304" s="378"/>
      <c r="R304" s="378"/>
      <c r="S304" s="378"/>
      <c r="T304" s="378"/>
      <c r="U304" s="378">
        <v>302</v>
      </c>
      <c r="V304" s="378"/>
      <c r="W304" s="378"/>
      <c r="X304" s="378"/>
      <c r="Y304" s="378"/>
      <c r="Z304" s="378"/>
      <c r="AA304" s="378"/>
      <c r="AB304" s="378"/>
      <c r="AC304" s="378"/>
      <c r="AD304" s="378"/>
      <c r="AE304" s="378"/>
      <c r="AF304" s="378"/>
      <c r="AG304" s="378"/>
      <c r="AH304" s="378"/>
      <c r="AI304" s="378"/>
      <c r="AJ304" s="378"/>
      <c r="AK304" s="378"/>
      <c r="AL304" s="378"/>
      <c r="AM304" s="378"/>
      <c r="AN304" s="378"/>
      <c r="AO304" s="378"/>
      <c r="AP304" s="378"/>
      <c r="AQ304" s="378"/>
    </row>
    <row r="305" spans="2:43">
      <c r="B305" s="378">
        <v>303</v>
      </c>
      <c r="C305" s="378"/>
      <c r="D305" s="378"/>
      <c r="E305" s="378"/>
      <c r="F305" s="378"/>
      <c r="G305" s="378"/>
      <c r="H305" s="378" t="str">
        <f t="array" aca="1" ref="H305" ca="1">_xlfn.TEXTJOIN("", TRUE, IF(ISNUMBER(--MID(C305, ROW(INDIRECT("1:"&amp;LEN(C305))), 1)), MID(C305, ROW(INDIRECT("1:"&amp;LEN(C305))), 1), ""))</f>
        <v/>
      </c>
      <c r="I305" s="378"/>
      <c r="J305" s="378">
        <f t="shared" si="159"/>
        <v>0</v>
      </c>
      <c r="K305" s="378" t="str">
        <f t="shared" si="160"/>
        <v/>
      </c>
      <c r="L305" s="378" t="str">
        <f t="shared" si="161"/>
        <v>أجنبي</v>
      </c>
      <c r="M305" s="436" t="str">
        <f t="shared" si="162"/>
        <v/>
      </c>
      <c r="N305" s="436"/>
      <c r="O305" s="378"/>
      <c r="P305" s="378"/>
      <c r="Q305" s="378"/>
      <c r="R305" s="378"/>
      <c r="S305" s="378"/>
      <c r="T305" s="378"/>
      <c r="U305" s="378">
        <v>303</v>
      </c>
      <c r="V305" s="378"/>
      <c r="W305" s="378"/>
      <c r="X305" s="378"/>
      <c r="Y305" s="378"/>
      <c r="Z305" s="378"/>
      <c r="AA305" s="378"/>
      <c r="AB305" s="378"/>
      <c r="AC305" s="378"/>
      <c r="AD305" s="378"/>
      <c r="AE305" s="378"/>
      <c r="AF305" s="378"/>
      <c r="AG305" s="378"/>
      <c r="AH305" s="378"/>
      <c r="AI305" s="378"/>
      <c r="AJ305" s="378"/>
      <c r="AK305" s="378"/>
      <c r="AL305" s="378"/>
      <c r="AM305" s="378"/>
      <c r="AN305" s="378"/>
      <c r="AO305" s="378"/>
      <c r="AP305" s="378"/>
      <c r="AQ305" s="378"/>
    </row>
    <row r="306" spans="2:43">
      <c r="B306" s="378">
        <v>304</v>
      </c>
      <c r="C306" s="378"/>
      <c r="D306" s="378"/>
      <c r="E306" s="378"/>
      <c r="F306" s="378"/>
      <c r="G306" s="378"/>
      <c r="H306" s="378" t="str">
        <f t="array" aca="1" ref="H306" ca="1">_xlfn.TEXTJOIN("", TRUE, IF(ISNUMBER(--MID(C306, ROW(INDIRECT("1:"&amp;LEN(C306))), 1)), MID(C306, ROW(INDIRECT("1:"&amp;LEN(C306))), 1), ""))</f>
        <v/>
      </c>
      <c r="I306" s="378"/>
      <c r="J306" s="378">
        <f t="shared" si="159"/>
        <v>0</v>
      </c>
      <c r="K306" s="378" t="str">
        <f t="shared" si="160"/>
        <v/>
      </c>
      <c r="L306" s="378" t="str">
        <f t="shared" si="161"/>
        <v>أجنبي</v>
      </c>
      <c r="M306" s="436" t="str">
        <f t="shared" si="162"/>
        <v/>
      </c>
      <c r="N306" s="436"/>
      <c r="O306" s="378"/>
      <c r="P306" s="378"/>
      <c r="Q306" s="378"/>
      <c r="R306" s="378"/>
      <c r="S306" s="378"/>
      <c r="T306" s="378"/>
      <c r="U306" s="378">
        <v>304</v>
      </c>
      <c r="V306" s="378"/>
      <c r="W306" s="378"/>
      <c r="X306" s="378"/>
      <c r="Y306" s="378"/>
      <c r="Z306" s="378"/>
      <c r="AA306" s="378"/>
      <c r="AB306" s="378"/>
      <c r="AC306" s="378"/>
      <c r="AD306" s="378"/>
      <c r="AE306" s="378"/>
      <c r="AF306" s="378"/>
      <c r="AG306" s="378"/>
      <c r="AH306" s="378"/>
      <c r="AI306" s="378"/>
      <c r="AJ306" s="378"/>
      <c r="AK306" s="378"/>
      <c r="AL306" s="378"/>
      <c r="AM306" s="378"/>
      <c r="AN306" s="378"/>
      <c r="AO306" s="378"/>
      <c r="AP306" s="378"/>
      <c r="AQ306" s="378"/>
    </row>
    <row r="307" spans="2:43">
      <c r="B307" s="378">
        <v>305</v>
      </c>
      <c r="C307" s="378"/>
      <c r="D307" s="378"/>
      <c r="E307" s="378"/>
      <c r="F307" s="378"/>
      <c r="G307" s="378"/>
      <c r="H307" s="378" t="str">
        <f t="array" aca="1" ref="H307" ca="1">_xlfn.TEXTJOIN("", TRUE, IF(ISNUMBER(--MID(C307, ROW(INDIRECT("1:"&amp;LEN(C307))), 1)), MID(C307, ROW(INDIRECT("1:"&amp;LEN(C307))), 1), ""))</f>
        <v/>
      </c>
      <c r="I307" s="378"/>
      <c r="J307" s="378">
        <f t="shared" si="159"/>
        <v>0</v>
      </c>
      <c r="K307" s="378" t="str">
        <f t="shared" si="160"/>
        <v/>
      </c>
      <c r="L307" s="378" t="str">
        <f t="shared" si="161"/>
        <v>أجنبي</v>
      </c>
      <c r="M307" s="436" t="str">
        <f t="shared" si="162"/>
        <v/>
      </c>
      <c r="N307" s="436"/>
      <c r="O307" s="378"/>
      <c r="P307" s="378"/>
      <c r="Q307" s="378"/>
      <c r="R307" s="378"/>
      <c r="S307" s="378"/>
      <c r="T307" s="378"/>
      <c r="U307" s="378">
        <v>305</v>
      </c>
      <c r="V307" s="378"/>
      <c r="W307" s="378"/>
      <c r="X307" s="378"/>
      <c r="Y307" s="378"/>
      <c r="Z307" s="378"/>
      <c r="AA307" s="378"/>
      <c r="AB307" s="378"/>
      <c r="AC307" s="378"/>
      <c r="AD307" s="378"/>
      <c r="AE307" s="378"/>
      <c r="AF307" s="378"/>
      <c r="AG307" s="378"/>
      <c r="AH307" s="378"/>
      <c r="AI307" s="378"/>
      <c r="AJ307" s="378"/>
      <c r="AK307" s="378"/>
      <c r="AL307" s="378"/>
      <c r="AM307" s="378"/>
      <c r="AN307" s="378"/>
      <c r="AO307" s="378"/>
      <c r="AP307" s="378"/>
      <c r="AQ307" s="378"/>
    </row>
    <row r="308" spans="2:43">
      <c r="B308" s="378">
        <v>306</v>
      </c>
      <c r="C308" s="378"/>
      <c r="D308" s="378"/>
      <c r="E308" s="378"/>
      <c r="F308" s="378"/>
      <c r="G308" s="378"/>
      <c r="H308" s="378" t="str">
        <f t="array" aca="1" ref="H308" ca="1">_xlfn.TEXTJOIN("", TRUE, IF(ISNUMBER(--MID(C308, ROW(INDIRECT("1:"&amp;LEN(C308))), 1)), MID(C308, ROW(INDIRECT("1:"&amp;LEN(C308))), 1), ""))</f>
        <v/>
      </c>
      <c r="I308" s="378"/>
      <c r="J308" s="378">
        <f t="shared" si="159"/>
        <v>0</v>
      </c>
      <c r="K308" s="378" t="str">
        <f t="shared" si="160"/>
        <v/>
      </c>
      <c r="L308" s="378" t="str">
        <f t="shared" si="161"/>
        <v>أجنبي</v>
      </c>
      <c r="M308" s="436" t="str">
        <f t="shared" si="162"/>
        <v/>
      </c>
      <c r="N308" s="436"/>
      <c r="O308" s="378"/>
      <c r="P308" s="378"/>
      <c r="Q308" s="378"/>
      <c r="R308" s="378"/>
      <c r="S308" s="378"/>
      <c r="T308" s="378"/>
      <c r="U308" s="378">
        <v>306</v>
      </c>
      <c r="V308" s="378"/>
      <c r="W308" s="378"/>
      <c r="X308" s="378"/>
      <c r="Y308" s="378"/>
      <c r="Z308" s="378"/>
      <c r="AA308" s="378"/>
      <c r="AB308" s="378"/>
      <c r="AC308" s="378"/>
      <c r="AD308" s="378"/>
      <c r="AE308" s="378"/>
      <c r="AF308" s="378"/>
      <c r="AG308" s="378"/>
      <c r="AH308" s="378"/>
      <c r="AI308" s="378"/>
      <c r="AJ308" s="378"/>
      <c r="AK308" s="378"/>
      <c r="AL308" s="378"/>
      <c r="AM308" s="378"/>
      <c r="AN308" s="378"/>
      <c r="AO308" s="378"/>
      <c r="AP308" s="378"/>
      <c r="AQ308" s="378"/>
    </row>
    <row r="309" spans="2:43">
      <c r="B309" s="378">
        <v>307</v>
      </c>
      <c r="C309" s="378"/>
      <c r="D309" s="378"/>
      <c r="E309" s="378"/>
      <c r="F309" s="378"/>
      <c r="G309" s="378"/>
      <c r="H309" s="378" t="str">
        <f t="array" aca="1" ref="H309" ca="1">_xlfn.TEXTJOIN("", TRUE, IF(ISNUMBER(--MID(C309, ROW(INDIRECT("1:"&amp;LEN(C309))), 1)), MID(C309, ROW(INDIRECT("1:"&amp;LEN(C309))), 1), ""))</f>
        <v/>
      </c>
      <c r="I309" s="378"/>
      <c r="J309" s="378">
        <f t="shared" si="159"/>
        <v>0</v>
      </c>
      <c r="K309" s="378" t="str">
        <f t="shared" si="160"/>
        <v/>
      </c>
      <c r="L309" s="378" t="str">
        <f t="shared" si="161"/>
        <v>أجنبي</v>
      </c>
      <c r="M309" s="436" t="str">
        <f t="shared" si="162"/>
        <v/>
      </c>
      <c r="N309" s="436"/>
      <c r="O309" s="378"/>
      <c r="P309" s="378"/>
      <c r="Q309" s="378"/>
      <c r="R309" s="378"/>
      <c r="S309" s="378"/>
      <c r="T309" s="378"/>
      <c r="U309" s="378">
        <v>307</v>
      </c>
      <c r="V309" s="378"/>
      <c r="W309" s="378"/>
      <c r="X309" s="378"/>
      <c r="Y309" s="378"/>
      <c r="Z309" s="378"/>
      <c r="AA309" s="378"/>
      <c r="AB309" s="378"/>
      <c r="AC309" s="378"/>
      <c r="AD309" s="378"/>
      <c r="AE309" s="378"/>
      <c r="AF309" s="378"/>
      <c r="AG309" s="378"/>
      <c r="AH309" s="378"/>
      <c r="AI309" s="378"/>
      <c r="AJ309" s="378"/>
      <c r="AK309" s="378"/>
      <c r="AL309" s="378"/>
      <c r="AM309" s="378"/>
      <c r="AN309" s="378"/>
      <c r="AO309" s="378"/>
      <c r="AP309" s="378"/>
      <c r="AQ309" s="378"/>
    </row>
    <row r="310" spans="2:43">
      <c r="B310" s="378">
        <v>308</v>
      </c>
      <c r="C310" s="378"/>
      <c r="D310" s="378"/>
      <c r="E310" s="378"/>
      <c r="F310" s="378"/>
      <c r="G310" s="378"/>
      <c r="H310" s="378" t="str">
        <f t="array" aca="1" ref="H310" ca="1">_xlfn.TEXTJOIN("", TRUE, IF(ISNUMBER(--MID(C310, ROW(INDIRECT("1:"&amp;LEN(C310))), 1)), MID(C310, ROW(INDIRECT("1:"&amp;LEN(C310))), 1), ""))</f>
        <v/>
      </c>
      <c r="I310" s="378"/>
      <c r="J310" s="378">
        <f t="shared" ref="J310:J363" si="163">IF(LEFT(I310,5)="00966", RIGHT(I310,LEN(I310)-5),
    IF(LEFT(I310,4)="+966", RIGHT(I310,LEN(I310)-4),
        IF(LEFT(I310,3)="966", RIGHT(I310,LEN(I310)-3),
            IF(LEFT(I310,1)="0", RIGHT(I310,LEN(I310)-1), I310)
        )
    )
)</f>
        <v>0</v>
      </c>
      <c r="K310" s="378" t="str">
        <f t="shared" ref="K310:K363" si="164">IF(LEFT(J310,5)="00966", RIGHT(J310,LEN(J310)-5),
    IF(LEFT(J310,4)="+966", RIGHT(J310,LEN(J310)-4),
        IF(LEFT(J310,3)="966", RIGHT(J310,LEN(J310)-3),
            IF(LEFT(J310,1)="0", RIGHT(J310,LEN(J310)-1), J310)
        )
    )
)</f>
        <v/>
      </c>
      <c r="L310" s="378" t="str">
        <f t="shared" ref="L310:L363" si="165">IF(LEFT(K310,1)="5",
    IF(LEN(K310)=9,"سعودي - صحيح",
        IF(LEN(K310)&lt;9,"سعودي - ناقص "&amp;(9-LEN(K310)),"سعودي - زائد "&amp;(LEN(K310)-9))
    ),
"أجنبي")</f>
        <v>أجنبي</v>
      </c>
      <c r="M310" s="436" t="str">
        <f t="shared" ref="M310:M363" si="166">IF(LEFT(K310,1)="5","966"&amp;K310,K310)</f>
        <v/>
      </c>
      <c r="N310" s="436"/>
      <c r="O310" s="378"/>
      <c r="P310" s="378"/>
      <c r="Q310" s="378"/>
      <c r="R310" s="378"/>
      <c r="S310" s="378"/>
      <c r="T310" s="378"/>
      <c r="U310" s="378">
        <v>308</v>
      </c>
      <c r="V310" s="378"/>
      <c r="W310" s="378"/>
      <c r="X310" s="378"/>
      <c r="Y310" s="378"/>
      <c r="Z310" s="378"/>
      <c r="AA310" s="378"/>
      <c r="AB310" s="378"/>
      <c r="AC310" s="378"/>
      <c r="AD310" s="378"/>
      <c r="AE310" s="378"/>
      <c r="AF310" s="378"/>
      <c r="AG310" s="378"/>
      <c r="AH310" s="378"/>
      <c r="AI310" s="378"/>
      <c r="AJ310" s="378"/>
      <c r="AK310" s="378"/>
      <c r="AL310" s="378"/>
      <c r="AM310" s="378"/>
      <c r="AN310" s="378"/>
      <c r="AO310" s="378"/>
      <c r="AP310" s="378"/>
      <c r="AQ310" s="378"/>
    </row>
    <row r="311" spans="2:43">
      <c r="B311" s="378">
        <v>309</v>
      </c>
      <c r="C311" s="378"/>
      <c r="D311" s="378"/>
      <c r="E311" s="378"/>
      <c r="F311" s="378"/>
      <c r="G311" s="378"/>
      <c r="H311" s="378" t="str">
        <f t="array" aca="1" ref="H311" ca="1">_xlfn.TEXTJOIN("", TRUE, IF(ISNUMBER(--MID(C311, ROW(INDIRECT("1:"&amp;LEN(C311))), 1)), MID(C311, ROW(INDIRECT("1:"&amp;LEN(C311))), 1), ""))</f>
        <v/>
      </c>
      <c r="I311" s="378"/>
      <c r="J311" s="378">
        <f t="shared" si="163"/>
        <v>0</v>
      </c>
      <c r="K311" s="378" t="str">
        <f t="shared" si="164"/>
        <v/>
      </c>
      <c r="L311" s="378" t="str">
        <f t="shared" si="165"/>
        <v>أجنبي</v>
      </c>
      <c r="M311" s="436" t="str">
        <f t="shared" si="166"/>
        <v/>
      </c>
      <c r="N311" s="436"/>
      <c r="O311" s="378"/>
      <c r="P311" s="378"/>
      <c r="Q311" s="378"/>
      <c r="R311" s="91"/>
      <c r="S311" s="378"/>
      <c r="T311" s="378"/>
      <c r="U311" s="378">
        <v>309</v>
      </c>
      <c r="V311" s="378"/>
      <c r="W311" s="378"/>
      <c r="X311" s="378"/>
      <c r="Y311" s="378"/>
      <c r="Z311" s="378"/>
      <c r="AA311" s="378"/>
      <c r="AB311" s="378"/>
      <c r="AC311" s="378"/>
      <c r="AD311" s="378"/>
      <c r="AE311" s="378"/>
      <c r="AF311" s="378"/>
      <c r="AG311" s="378"/>
      <c r="AH311" s="378"/>
      <c r="AI311" s="378"/>
      <c r="AJ311" s="378"/>
      <c r="AK311" s="378"/>
      <c r="AL311" s="378"/>
      <c r="AM311" s="378"/>
      <c r="AN311" s="378"/>
      <c r="AO311" s="378"/>
      <c r="AP311" s="378"/>
      <c r="AQ311" s="378"/>
    </row>
    <row r="312" spans="2:43">
      <c r="B312" s="378">
        <v>310</v>
      </c>
      <c r="C312" s="378"/>
      <c r="D312" s="378"/>
      <c r="E312" s="378"/>
      <c r="F312" s="378"/>
      <c r="G312" s="378"/>
      <c r="H312" s="378" t="str">
        <f t="array" aca="1" ref="H312" ca="1">_xlfn.TEXTJOIN("", TRUE, IF(ISNUMBER(--MID(C312, ROW(INDIRECT("1:"&amp;LEN(C312))), 1)), MID(C312, ROW(INDIRECT("1:"&amp;LEN(C312))), 1), ""))</f>
        <v/>
      </c>
      <c r="I312" s="378"/>
      <c r="J312" s="378">
        <f t="shared" si="163"/>
        <v>0</v>
      </c>
      <c r="K312" s="378" t="str">
        <f t="shared" si="164"/>
        <v/>
      </c>
      <c r="L312" s="378" t="str">
        <f t="shared" si="165"/>
        <v>أجنبي</v>
      </c>
      <c r="M312" s="436" t="str">
        <f t="shared" si="166"/>
        <v/>
      </c>
      <c r="N312" s="436"/>
      <c r="O312" s="378"/>
      <c r="P312" s="378"/>
      <c r="Q312" s="378"/>
      <c r="R312" s="378"/>
      <c r="S312" s="378"/>
      <c r="T312" s="378"/>
      <c r="U312" s="378">
        <v>310</v>
      </c>
      <c r="V312" s="378"/>
      <c r="W312" s="378"/>
      <c r="X312" s="378"/>
      <c r="Y312" s="378"/>
      <c r="Z312" s="378"/>
      <c r="AA312" s="378"/>
      <c r="AB312" s="378"/>
      <c r="AC312" s="378"/>
      <c r="AD312" s="378"/>
      <c r="AE312" s="378"/>
      <c r="AF312" s="378"/>
      <c r="AG312" s="378"/>
      <c r="AH312" s="378"/>
      <c r="AI312" s="378"/>
      <c r="AJ312" s="378"/>
      <c r="AK312" s="378"/>
      <c r="AL312" s="378"/>
      <c r="AM312" s="378"/>
      <c r="AN312" s="378"/>
      <c r="AO312" s="378"/>
      <c r="AP312" s="378"/>
      <c r="AQ312" s="378"/>
    </row>
    <row r="313" spans="2:43">
      <c r="B313" s="378">
        <v>311</v>
      </c>
      <c r="C313" s="378"/>
      <c r="D313" s="378"/>
      <c r="E313" s="378"/>
      <c r="F313" s="378"/>
      <c r="G313" s="378"/>
      <c r="H313" s="378" t="str">
        <f t="array" aca="1" ref="H313" ca="1">_xlfn.TEXTJOIN("", TRUE, IF(ISNUMBER(--MID(C313, ROW(INDIRECT("1:"&amp;LEN(C313))), 1)), MID(C313, ROW(INDIRECT("1:"&amp;LEN(C313))), 1), ""))</f>
        <v/>
      </c>
      <c r="I313" s="378"/>
      <c r="J313" s="378">
        <f t="shared" si="163"/>
        <v>0</v>
      </c>
      <c r="K313" s="378" t="str">
        <f t="shared" si="164"/>
        <v/>
      </c>
      <c r="L313" s="378" t="str">
        <f t="shared" si="165"/>
        <v>أجنبي</v>
      </c>
      <c r="M313" s="436" t="str">
        <f t="shared" si="166"/>
        <v/>
      </c>
      <c r="N313" s="436"/>
      <c r="O313" s="378"/>
      <c r="P313" s="378"/>
      <c r="Q313" s="378"/>
      <c r="R313" s="378"/>
      <c r="S313" s="378"/>
      <c r="T313" s="378"/>
      <c r="U313" s="378">
        <v>311</v>
      </c>
      <c r="V313" s="378"/>
      <c r="W313" s="378"/>
      <c r="X313" s="378"/>
      <c r="Y313" s="378"/>
      <c r="Z313" s="378"/>
      <c r="AA313" s="378"/>
      <c r="AB313" s="378"/>
      <c r="AC313" s="378"/>
      <c r="AD313" s="378"/>
      <c r="AE313" s="378"/>
      <c r="AF313" s="378"/>
      <c r="AG313" s="378"/>
      <c r="AH313" s="378"/>
      <c r="AI313" s="378"/>
      <c r="AJ313" s="378"/>
      <c r="AK313" s="378"/>
      <c r="AL313" s="378"/>
      <c r="AM313" s="378"/>
      <c r="AN313" s="378"/>
      <c r="AO313" s="378"/>
      <c r="AP313" s="378"/>
      <c r="AQ313" s="378"/>
    </row>
    <row r="314" spans="2:43">
      <c r="B314" s="378">
        <v>312</v>
      </c>
      <c r="C314" s="378"/>
      <c r="D314" s="378"/>
      <c r="E314" s="378"/>
      <c r="F314" s="378"/>
      <c r="G314" s="378"/>
      <c r="H314" s="378" t="str">
        <f t="array" aca="1" ref="H314" ca="1">_xlfn.TEXTJOIN("", TRUE, IF(ISNUMBER(--MID(C314, ROW(INDIRECT("1:"&amp;LEN(C314))), 1)), MID(C314, ROW(INDIRECT("1:"&amp;LEN(C314))), 1), ""))</f>
        <v/>
      </c>
      <c r="I314" s="378"/>
      <c r="J314" s="378">
        <f t="shared" si="163"/>
        <v>0</v>
      </c>
      <c r="K314" s="378" t="str">
        <f t="shared" si="164"/>
        <v/>
      </c>
      <c r="L314" s="378" t="str">
        <f t="shared" si="165"/>
        <v>أجنبي</v>
      </c>
      <c r="M314" s="436" t="str">
        <f t="shared" si="166"/>
        <v/>
      </c>
      <c r="N314" s="436"/>
      <c r="O314" s="378"/>
      <c r="P314" s="378"/>
      <c r="Q314" s="378"/>
      <c r="R314" s="378"/>
      <c r="S314" s="378"/>
      <c r="T314" s="378"/>
      <c r="U314" s="378">
        <v>312</v>
      </c>
      <c r="V314" s="378"/>
      <c r="W314" s="378"/>
      <c r="X314" s="378"/>
      <c r="Y314" s="378"/>
      <c r="Z314" s="378"/>
      <c r="AA314" s="378"/>
      <c r="AB314" s="378"/>
      <c r="AC314" s="378"/>
      <c r="AD314" s="378"/>
      <c r="AE314" s="378"/>
      <c r="AF314" s="378"/>
      <c r="AG314" s="378"/>
      <c r="AH314" s="378"/>
      <c r="AI314" s="378"/>
      <c r="AJ314" s="378"/>
      <c r="AK314" s="378"/>
      <c r="AL314" s="378"/>
      <c r="AM314" s="378"/>
      <c r="AN314" s="378"/>
      <c r="AO314" s="378"/>
      <c r="AP314" s="378"/>
      <c r="AQ314" s="378"/>
    </row>
    <row r="315" spans="2:43">
      <c r="B315" s="378">
        <v>313</v>
      </c>
      <c r="C315" s="378"/>
      <c r="D315" s="378"/>
      <c r="E315" s="378"/>
      <c r="F315" s="378"/>
      <c r="G315" s="378"/>
      <c r="H315" s="378" t="str">
        <f t="array" aca="1" ref="H315" ca="1">_xlfn.TEXTJOIN("", TRUE, IF(ISNUMBER(--MID(C315, ROW(INDIRECT("1:"&amp;LEN(C315))), 1)), MID(C315, ROW(INDIRECT("1:"&amp;LEN(C315))), 1), ""))</f>
        <v/>
      </c>
      <c r="I315" s="378"/>
      <c r="J315" s="378">
        <f t="shared" si="163"/>
        <v>0</v>
      </c>
      <c r="K315" s="378" t="str">
        <f t="shared" si="164"/>
        <v/>
      </c>
      <c r="L315" s="378" t="str">
        <f t="shared" si="165"/>
        <v>أجنبي</v>
      </c>
      <c r="M315" s="436" t="str">
        <f t="shared" si="166"/>
        <v/>
      </c>
      <c r="N315" s="436"/>
      <c r="O315" s="378"/>
      <c r="P315" s="378"/>
      <c r="Q315" s="378"/>
      <c r="R315" s="91"/>
      <c r="S315" s="378"/>
      <c r="T315" s="378"/>
      <c r="U315" s="378">
        <v>313</v>
      </c>
      <c r="V315" s="378"/>
      <c r="W315" s="378"/>
      <c r="X315" s="378"/>
      <c r="Y315" s="378"/>
      <c r="Z315" s="378"/>
      <c r="AA315" s="378"/>
      <c r="AB315" s="378"/>
      <c r="AC315" s="378"/>
      <c r="AD315" s="378"/>
      <c r="AE315" s="378"/>
      <c r="AF315" s="378"/>
      <c r="AG315" s="378"/>
      <c r="AH315" s="378"/>
      <c r="AI315" s="378"/>
      <c r="AJ315" s="378"/>
      <c r="AK315" s="378"/>
      <c r="AL315" s="378"/>
      <c r="AM315" s="378"/>
      <c r="AN315" s="378"/>
      <c r="AO315" s="378"/>
      <c r="AP315" s="378"/>
      <c r="AQ315" s="378"/>
    </row>
    <row r="316" spans="2:43">
      <c r="B316" s="378">
        <v>314</v>
      </c>
      <c r="C316" s="378"/>
      <c r="D316" s="378"/>
      <c r="E316" s="378"/>
      <c r="F316" s="378"/>
      <c r="G316" s="378"/>
      <c r="H316" s="378" t="str">
        <f t="array" aca="1" ref="H316" ca="1">_xlfn.TEXTJOIN("", TRUE, IF(ISNUMBER(--MID(C316, ROW(INDIRECT("1:"&amp;LEN(C316))), 1)), MID(C316, ROW(INDIRECT("1:"&amp;LEN(C316))), 1), ""))</f>
        <v/>
      </c>
      <c r="I316" s="378"/>
      <c r="J316" s="378">
        <f t="shared" si="163"/>
        <v>0</v>
      </c>
      <c r="K316" s="378" t="str">
        <f t="shared" si="164"/>
        <v/>
      </c>
      <c r="L316" s="378" t="str">
        <f t="shared" si="165"/>
        <v>أجنبي</v>
      </c>
      <c r="M316" s="436" t="str">
        <f t="shared" si="166"/>
        <v/>
      </c>
      <c r="N316" s="436"/>
      <c r="O316" s="378"/>
      <c r="P316" s="378"/>
      <c r="Q316" s="378"/>
      <c r="R316" s="378"/>
      <c r="S316" s="378"/>
      <c r="T316" s="378"/>
      <c r="U316" s="378">
        <v>314</v>
      </c>
      <c r="V316" s="378"/>
      <c r="W316" s="378"/>
      <c r="X316" s="378"/>
      <c r="Y316" s="378"/>
      <c r="Z316" s="378"/>
      <c r="AA316" s="378"/>
      <c r="AB316" s="378"/>
      <c r="AC316" s="378"/>
      <c r="AD316" s="378"/>
      <c r="AE316" s="378"/>
      <c r="AF316" s="378"/>
      <c r="AG316" s="378"/>
      <c r="AH316" s="378"/>
      <c r="AI316" s="378"/>
      <c r="AJ316" s="378"/>
      <c r="AK316" s="378"/>
      <c r="AL316" s="378"/>
      <c r="AM316" s="378"/>
      <c r="AN316" s="378"/>
      <c r="AO316" s="378"/>
      <c r="AP316" s="378"/>
      <c r="AQ316" s="378"/>
    </row>
    <row r="317" spans="2:43">
      <c r="B317" s="378">
        <v>315</v>
      </c>
      <c r="C317" s="378"/>
      <c r="D317" s="378"/>
      <c r="E317" s="378"/>
      <c r="F317" s="378"/>
      <c r="G317" s="378"/>
      <c r="H317" s="378" t="str">
        <f t="array" aca="1" ref="H317" ca="1">_xlfn.TEXTJOIN("", TRUE, IF(ISNUMBER(--MID(C317, ROW(INDIRECT("1:"&amp;LEN(C317))), 1)), MID(C317, ROW(INDIRECT("1:"&amp;LEN(C317))), 1), ""))</f>
        <v/>
      </c>
      <c r="I317" s="378"/>
      <c r="J317" s="378">
        <f t="shared" si="163"/>
        <v>0</v>
      </c>
      <c r="K317" s="378" t="str">
        <f t="shared" si="164"/>
        <v/>
      </c>
      <c r="L317" s="378" t="str">
        <f t="shared" si="165"/>
        <v>أجنبي</v>
      </c>
      <c r="M317" s="436" t="str">
        <f t="shared" si="166"/>
        <v/>
      </c>
      <c r="N317" s="436"/>
      <c r="O317" s="378"/>
      <c r="P317" s="378"/>
      <c r="Q317" s="378"/>
      <c r="R317" s="91"/>
      <c r="S317" s="378"/>
      <c r="T317" s="378"/>
      <c r="U317" s="378">
        <v>315</v>
      </c>
      <c r="V317" s="378"/>
      <c r="W317" s="378"/>
      <c r="X317" s="378"/>
      <c r="Y317" s="378"/>
      <c r="Z317" s="378"/>
      <c r="AA317" s="378"/>
      <c r="AB317" s="378"/>
      <c r="AC317" s="378"/>
      <c r="AD317" s="378"/>
      <c r="AE317" s="378"/>
      <c r="AF317" s="378"/>
      <c r="AG317" s="378"/>
      <c r="AH317" s="378"/>
      <c r="AI317" s="378"/>
      <c r="AJ317" s="378"/>
      <c r="AK317" s="378"/>
      <c r="AL317" s="378"/>
      <c r="AM317" s="378"/>
      <c r="AN317" s="378"/>
      <c r="AO317" s="378"/>
      <c r="AP317" s="378"/>
      <c r="AQ317" s="378"/>
    </row>
    <row r="318" spans="2:43">
      <c r="B318" s="378">
        <v>316</v>
      </c>
      <c r="C318" s="378"/>
      <c r="D318" s="378"/>
      <c r="E318" s="378"/>
      <c r="F318" s="378"/>
      <c r="G318" s="378"/>
      <c r="H318" s="378" t="str">
        <f t="array" aca="1" ref="H318" ca="1">_xlfn.TEXTJOIN("", TRUE, IF(ISNUMBER(--MID(C318, ROW(INDIRECT("1:"&amp;LEN(C318))), 1)), MID(C318, ROW(INDIRECT("1:"&amp;LEN(C318))), 1), ""))</f>
        <v/>
      </c>
      <c r="I318" s="378"/>
      <c r="J318" s="378">
        <f t="shared" si="163"/>
        <v>0</v>
      </c>
      <c r="K318" s="378" t="str">
        <f t="shared" si="164"/>
        <v/>
      </c>
      <c r="L318" s="378" t="str">
        <f t="shared" si="165"/>
        <v>أجنبي</v>
      </c>
      <c r="M318" s="436" t="str">
        <f t="shared" si="166"/>
        <v/>
      </c>
      <c r="N318" s="436"/>
      <c r="O318" s="378"/>
      <c r="P318" s="378"/>
      <c r="Q318" s="378"/>
      <c r="R318" s="91"/>
      <c r="S318" s="378"/>
      <c r="T318" s="378"/>
      <c r="U318" s="378">
        <v>316</v>
      </c>
      <c r="V318" s="378"/>
      <c r="W318" s="378"/>
      <c r="X318" s="378"/>
      <c r="Y318" s="378"/>
      <c r="Z318" s="378"/>
      <c r="AA318" s="378"/>
      <c r="AB318" s="378"/>
      <c r="AC318" s="378"/>
      <c r="AD318" s="378"/>
      <c r="AE318" s="378"/>
      <c r="AF318" s="378"/>
      <c r="AG318" s="378"/>
      <c r="AH318" s="378"/>
      <c r="AI318" s="378"/>
      <c r="AJ318" s="378"/>
      <c r="AK318" s="378"/>
      <c r="AL318" s="378"/>
      <c r="AM318" s="378"/>
      <c r="AN318" s="378"/>
      <c r="AO318" s="378"/>
      <c r="AP318" s="378"/>
      <c r="AQ318" s="378"/>
    </row>
    <row r="319" spans="2:43">
      <c r="B319" s="378">
        <v>317</v>
      </c>
      <c r="C319" s="378"/>
      <c r="D319" s="378"/>
      <c r="E319" s="378"/>
      <c r="F319" s="378"/>
      <c r="G319" s="378"/>
      <c r="H319" s="378" t="str">
        <f t="array" aca="1" ref="H319" ca="1">_xlfn.TEXTJOIN("", TRUE, IF(ISNUMBER(--MID(C319, ROW(INDIRECT("1:"&amp;LEN(C319))), 1)), MID(C319, ROW(INDIRECT("1:"&amp;LEN(C319))), 1), ""))</f>
        <v/>
      </c>
      <c r="I319" s="378"/>
      <c r="J319" s="378">
        <f t="shared" si="163"/>
        <v>0</v>
      </c>
      <c r="K319" s="378" t="str">
        <f t="shared" si="164"/>
        <v/>
      </c>
      <c r="L319" s="378" t="str">
        <f t="shared" si="165"/>
        <v>أجنبي</v>
      </c>
      <c r="M319" s="436" t="str">
        <f t="shared" si="166"/>
        <v/>
      </c>
      <c r="N319" s="436"/>
      <c r="O319" s="378"/>
      <c r="P319" s="378"/>
      <c r="Q319" s="378"/>
      <c r="R319" s="378"/>
      <c r="S319" s="378"/>
      <c r="T319" s="378"/>
      <c r="U319" s="378">
        <v>317</v>
      </c>
      <c r="V319" s="378"/>
      <c r="W319" s="378"/>
      <c r="X319" s="378"/>
      <c r="Y319" s="378"/>
      <c r="Z319" s="378"/>
      <c r="AA319" s="378"/>
      <c r="AB319" s="378"/>
      <c r="AC319" s="378"/>
      <c r="AD319" s="378"/>
      <c r="AE319" s="378"/>
      <c r="AF319" s="378"/>
      <c r="AG319" s="378"/>
      <c r="AH319" s="378"/>
      <c r="AI319" s="378"/>
      <c r="AJ319" s="378"/>
      <c r="AK319" s="378"/>
      <c r="AL319" s="378"/>
      <c r="AM319" s="378"/>
      <c r="AN319" s="378"/>
      <c r="AO319" s="378"/>
      <c r="AP319" s="378"/>
      <c r="AQ319" s="378"/>
    </row>
    <row r="320" spans="2:43">
      <c r="B320" s="378">
        <v>318</v>
      </c>
      <c r="C320" s="378"/>
      <c r="D320" s="378"/>
      <c r="E320" s="378"/>
      <c r="F320" s="378"/>
      <c r="G320" s="378"/>
      <c r="H320" s="378" t="str">
        <f t="array" aca="1" ref="H320" ca="1">_xlfn.TEXTJOIN("", TRUE, IF(ISNUMBER(--MID(C320, ROW(INDIRECT("1:"&amp;LEN(C320))), 1)), MID(C320, ROW(INDIRECT("1:"&amp;LEN(C320))), 1), ""))</f>
        <v/>
      </c>
      <c r="I320" s="378"/>
      <c r="J320" s="378">
        <f t="shared" si="163"/>
        <v>0</v>
      </c>
      <c r="K320" s="378" t="str">
        <f t="shared" si="164"/>
        <v/>
      </c>
      <c r="L320" s="378" t="str">
        <f t="shared" si="165"/>
        <v>أجنبي</v>
      </c>
      <c r="M320" s="436" t="str">
        <f t="shared" si="166"/>
        <v/>
      </c>
      <c r="N320" s="436"/>
      <c r="O320" s="378"/>
      <c r="P320" s="378"/>
      <c r="Q320" s="378"/>
      <c r="R320" s="91"/>
      <c r="S320" s="378"/>
      <c r="T320" s="378"/>
      <c r="U320" s="378">
        <v>318</v>
      </c>
      <c r="V320" s="378"/>
      <c r="W320" s="378"/>
      <c r="X320" s="378"/>
      <c r="Y320" s="378"/>
      <c r="Z320" s="378"/>
      <c r="AA320" s="378"/>
      <c r="AB320" s="378"/>
      <c r="AC320" s="378"/>
      <c r="AD320" s="378"/>
      <c r="AE320" s="378"/>
      <c r="AF320" s="378"/>
      <c r="AG320" s="378"/>
      <c r="AH320" s="378"/>
      <c r="AI320" s="378"/>
      <c r="AJ320" s="378"/>
      <c r="AK320" s="378"/>
      <c r="AL320" s="378"/>
      <c r="AM320" s="378"/>
      <c r="AN320" s="378"/>
      <c r="AO320" s="378"/>
      <c r="AP320" s="378"/>
      <c r="AQ320" s="378"/>
    </row>
    <row r="321" spans="2:43">
      <c r="B321" s="378">
        <v>319</v>
      </c>
      <c r="C321" s="378"/>
      <c r="D321" s="378"/>
      <c r="E321" s="378"/>
      <c r="F321" s="378"/>
      <c r="G321" s="378"/>
      <c r="H321" s="378" t="str">
        <f t="array" aca="1" ref="H321" ca="1">_xlfn.TEXTJOIN("", TRUE, IF(ISNUMBER(--MID(C321, ROW(INDIRECT("1:"&amp;LEN(C321))), 1)), MID(C321, ROW(INDIRECT("1:"&amp;LEN(C321))), 1), ""))</f>
        <v/>
      </c>
      <c r="I321" s="378"/>
      <c r="J321" s="378">
        <f t="shared" si="163"/>
        <v>0</v>
      </c>
      <c r="K321" s="378" t="str">
        <f t="shared" si="164"/>
        <v/>
      </c>
      <c r="L321" s="378" t="str">
        <f t="shared" si="165"/>
        <v>أجنبي</v>
      </c>
      <c r="M321" s="436" t="str">
        <f t="shared" si="166"/>
        <v/>
      </c>
      <c r="N321" s="436"/>
      <c r="O321" s="378"/>
      <c r="P321" s="378"/>
      <c r="Q321" s="378"/>
      <c r="R321" s="91"/>
      <c r="S321" s="378"/>
      <c r="T321" s="378"/>
      <c r="U321" s="378">
        <v>319</v>
      </c>
      <c r="V321" s="378"/>
      <c r="W321" s="378"/>
      <c r="X321" s="378"/>
      <c r="Y321" s="378"/>
      <c r="Z321" s="378"/>
      <c r="AA321" s="378"/>
      <c r="AB321" s="378"/>
      <c r="AC321" s="378"/>
      <c r="AD321" s="378"/>
      <c r="AE321" s="378"/>
      <c r="AF321" s="378"/>
      <c r="AG321" s="378"/>
      <c r="AH321" s="378"/>
      <c r="AI321" s="378"/>
      <c r="AJ321" s="378"/>
      <c r="AK321" s="378"/>
      <c r="AL321" s="378"/>
      <c r="AM321" s="378"/>
      <c r="AN321" s="378"/>
      <c r="AO321" s="378"/>
      <c r="AP321" s="378"/>
      <c r="AQ321" s="378"/>
    </row>
    <row r="322" spans="2:43">
      <c r="B322" s="378">
        <v>320</v>
      </c>
      <c r="C322" s="378"/>
      <c r="D322" s="378"/>
      <c r="E322" s="378"/>
      <c r="F322" s="378"/>
      <c r="G322" s="378"/>
      <c r="H322" s="378" t="str">
        <f t="array" aca="1" ref="H322" ca="1">_xlfn.TEXTJOIN("", TRUE, IF(ISNUMBER(--MID(C322, ROW(INDIRECT("1:"&amp;LEN(C322))), 1)), MID(C322, ROW(INDIRECT("1:"&amp;LEN(C322))), 1), ""))</f>
        <v/>
      </c>
      <c r="I322" s="378"/>
      <c r="J322" s="378">
        <f t="shared" si="163"/>
        <v>0</v>
      </c>
      <c r="K322" s="378" t="str">
        <f t="shared" si="164"/>
        <v/>
      </c>
      <c r="L322" s="378" t="str">
        <f t="shared" si="165"/>
        <v>أجنبي</v>
      </c>
      <c r="M322" s="436" t="str">
        <f t="shared" si="166"/>
        <v/>
      </c>
      <c r="N322" s="436"/>
      <c r="O322" s="378"/>
      <c r="P322" s="378"/>
      <c r="Q322" s="378"/>
      <c r="R322" s="378"/>
      <c r="S322" s="378"/>
      <c r="T322" s="378"/>
      <c r="U322" s="378">
        <v>320</v>
      </c>
      <c r="V322" s="378"/>
      <c r="W322" s="378"/>
      <c r="X322" s="378"/>
      <c r="Y322" s="378"/>
      <c r="Z322" s="378"/>
      <c r="AA322" s="378"/>
      <c r="AB322" s="378"/>
      <c r="AC322" s="378"/>
      <c r="AD322" s="378"/>
      <c r="AE322" s="378"/>
      <c r="AF322" s="378"/>
      <c r="AG322" s="378"/>
      <c r="AH322" s="378"/>
      <c r="AI322" s="378"/>
      <c r="AJ322" s="378"/>
      <c r="AK322" s="378"/>
      <c r="AL322" s="378"/>
      <c r="AM322" s="378"/>
      <c r="AN322" s="378"/>
      <c r="AO322" s="378"/>
      <c r="AP322" s="378"/>
      <c r="AQ322" s="378"/>
    </row>
    <row r="323" spans="2:43">
      <c r="B323" s="378">
        <v>321</v>
      </c>
      <c r="C323" s="378"/>
      <c r="D323" s="378"/>
      <c r="E323" s="378"/>
      <c r="F323" s="378"/>
      <c r="G323" s="378"/>
      <c r="H323" s="378" t="str">
        <f t="array" aca="1" ref="H323" ca="1">_xlfn.TEXTJOIN("", TRUE, IF(ISNUMBER(--MID(C323, ROW(INDIRECT("1:"&amp;LEN(C323))), 1)), MID(C323, ROW(INDIRECT("1:"&amp;LEN(C323))), 1), ""))</f>
        <v/>
      </c>
      <c r="I323" s="378"/>
      <c r="J323" s="378">
        <f t="shared" si="163"/>
        <v>0</v>
      </c>
      <c r="K323" s="378" t="str">
        <f t="shared" si="164"/>
        <v/>
      </c>
      <c r="L323" s="378" t="str">
        <f t="shared" si="165"/>
        <v>أجنبي</v>
      </c>
      <c r="M323" s="436" t="str">
        <f t="shared" si="166"/>
        <v/>
      </c>
      <c r="N323" s="436"/>
      <c r="O323" s="378"/>
      <c r="P323" s="378"/>
      <c r="Q323" s="378"/>
      <c r="R323" s="91"/>
      <c r="S323" s="378"/>
      <c r="T323" s="378"/>
      <c r="U323" s="378">
        <v>321</v>
      </c>
      <c r="V323" s="378"/>
      <c r="W323" s="378"/>
      <c r="X323" s="378"/>
      <c r="Y323" s="378"/>
      <c r="Z323" s="378"/>
      <c r="AA323" s="378"/>
      <c r="AB323" s="378"/>
      <c r="AC323" s="378"/>
      <c r="AD323" s="378"/>
      <c r="AE323" s="378"/>
      <c r="AF323" s="378"/>
      <c r="AG323" s="378"/>
      <c r="AH323" s="378"/>
      <c r="AI323" s="378"/>
      <c r="AJ323" s="378"/>
      <c r="AK323" s="378"/>
      <c r="AL323" s="378"/>
      <c r="AM323" s="378"/>
      <c r="AN323" s="378"/>
      <c r="AO323" s="378"/>
      <c r="AP323" s="378"/>
      <c r="AQ323" s="378"/>
    </row>
    <row r="324" spans="2:43">
      <c r="B324" s="378">
        <v>322</v>
      </c>
      <c r="C324" s="378"/>
      <c r="D324" s="378"/>
      <c r="E324" s="378"/>
      <c r="F324" s="378"/>
      <c r="G324" s="378"/>
      <c r="H324" s="378" t="str">
        <f t="array" aca="1" ref="H324" ca="1">_xlfn.TEXTJOIN("", TRUE, IF(ISNUMBER(--MID(C324, ROW(INDIRECT("1:"&amp;LEN(C324))), 1)), MID(C324, ROW(INDIRECT("1:"&amp;LEN(C324))), 1), ""))</f>
        <v/>
      </c>
      <c r="I324" s="378"/>
      <c r="J324" s="378">
        <f t="shared" si="163"/>
        <v>0</v>
      </c>
      <c r="K324" s="378" t="str">
        <f t="shared" si="164"/>
        <v/>
      </c>
      <c r="L324" s="378" t="str">
        <f t="shared" si="165"/>
        <v>أجنبي</v>
      </c>
      <c r="M324" s="436" t="str">
        <f t="shared" si="166"/>
        <v/>
      </c>
      <c r="N324" s="436"/>
      <c r="O324" s="378"/>
      <c r="P324" s="378"/>
      <c r="Q324" s="378"/>
      <c r="R324" s="378"/>
      <c r="S324" s="378"/>
      <c r="T324" s="378"/>
      <c r="U324" s="378">
        <v>322</v>
      </c>
      <c r="V324" s="378"/>
      <c r="W324" s="378"/>
      <c r="X324" s="378"/>
      <c r="Y324" s="378"/>
      <c r="Z324" s="378"/>
      <c r="AA324" s="378"/>
      <c r="AB324" s="378"/>
      <c r="AC324" s="378"/>
      <c r="AD324" s="378"/>
      <c r="AE324" s="378"/>
      <c r="AF324" s="378"/>
      <c r="AG324" s="378"/>
      <c r="AH324" s="378"/>
      <c r="AI324" s="378"/>
      <c r="AJ324" s="378"/>
      <c r="AK324" s="378"/>
      <c r="AL324" s="378"/>
      <c r="AM324" s="378"/>
      <c r="AN324" s="378"/>
      <c r="AO324" s="378"/>
      <c r="AP324" s="378"/>
      <c r="AQ324" s="378"/>
    </row>
    <row r="325" spans="2:43">
      <c r="B325" s="378">
        <v>323</v>
      </c>
      <c r="C325" s="378"/>
      <c r="D325" s="378"/>
      <c r="E325" s="378"/>
      <c r="F325" s="378"/>
      <c r="G325" s="378"/>
      <c r="H325" s="378" t="str">
        <f t="array" aca="1" ref="H325" ca="1">_xlfn.TEXTJOIN("", TRUE, IF(ISNUMBER(--MID(C325, ROW(INDIRECT("1:"&amp;LEN(C325))), 1)), MID(C325, ROW(INDIRECT("1:"&amp;LEN(C325))), 1), ""))</f>
        <v/>
      </c>
      <c r="I325" s="378"/>
      <c r="J325" s="378">
        <f t="shared" si="163"/>
        <v>0</v>
      </c>
      <c r="K325" s="378" t="str">
        <f t="shared" si="164"/>
        <v/>
      </c>
      <c r="L325" s="378" t="str">
        <f t="shared" si="165"/>
        <v>أجنبي</v>
      </c>
      <c r="M325" s="436" t="str">
        <f t="shared" si="166"/>
        <v/>
      </c>
      <c r="N325" s="436"/>
      <c r="O325" s="378"/>
      <c r="P325" s="378"/>
      <c r="Q325" s="378"/>
      <c r="R325" s="91"/>
      <c r="S325" s="378"/>
      <c r="T325" s="378"/>
      <c r="U325" s="378">
        <v>323</v>
      </c>
      <c r="V325" s="378"/>
      <c r="W325" s="378"/>
      <c r="X325" s="378"/>
      <c r="Y325" s="378"/>
      <c r="Z325" s="378"/>
      <c r="AA325" s="378"/>
      <c r="AB325" s="378"/>
      <c r="AC325" s="378"/>
      <c r="AD325" s="378"/>
      <c r="AE325" s="378"/>
      <c r="AF325" s="378"/>
      <c r="AG325" s="378"/>
      <c r="AH325" s="378"/>
      <c r="AI325" s="378"/>
      <c r="AJ325" s="378"/>
      <c r="AK325" s="378"/>
      <c r="AL325" s="378"/>
      <c r="AM325" s="378"/>
      <c r="AN325" s="378"/>
      <c r="AO325" s="378"/>
      <c r="AP325" s="378"/>
      <c r="AQ325" s="378"/>
    </row>
    <row r="326" spans="2:43">
      <c r="B326" s="378">
        <v>324</v>
      </c>
      <c r="C326" s="378"/>
      <c r="D326" s="378"/>
      <c r="E326" s="378"/>
      <c r="F326" s="378"/>
      <c r="G326" s="378"/>
      <c r="H326" s="378" t="str">
        <f t="array" aca="1" ref="H326" ca="1">_xlfn.TEXTJOIN("", TRUE, IF(ISNUMBER(--MID(C326, ROW(INDIRECT("1:"&amp;LEN(C326))), 1)), MID(C326, ROW(INDIRECT("1:"&amp;LEN(C326))), 1), ""))</f>
        <v/>
      </c>
      <c r="I326" s="378"/>
      <c r="J326" s="378">
        <f t="shared" si="163"/>
        <v>0</v>
      </c>
      <c r="K326" s="378" t="str">
        <f t="shared" si="164"/>
        <v/>
      </c>
      <c r="L326" s="378" t="str">
        <f t="shared" si="165"/>
        <v>أجنبي</v>
      </c>
      <c r="M326" s="436" t="str">
        <f t="shared" si="166"/>
        <v/>
      </c>
      <c r="N326" s="436"/>
      <c r="O326" s="378"/>
      <c r="P326" s="378"/>
      <c r="Q326" s="378"/>
      <c r="R326" s="91"/>
      <c r="S326" s="378"/>
      <c r="T326" s="378"/>
      <c r="U326" s="378">
        <v>324</v>
      </c>
      <c r="V326" s="378"/>
      <c r="W326" s="378"/>
      <c r="X326" s="378"/>
      <c r="Y326" s="378"/>
      <c r="Z326" s="378"/>
      <c r="AA326" s="378"/>
      <c r="AB326" s="378"/>
      <c r="AC326" s="378"/>
      <c r="AD326" s="378"/>
      <c r="AE326" s="378"/>
      <c r="AF326" s="378"/>
      <c r="AG326" s="378"/>
      <c r="AH326" s="378"/>
      <c r="AI326" s="378"/>
      <c r="AJ326" s="378"/>
      <c r="AK326" s="378"/>
      <c r="AL326" s="378"/>
      <c r="AM326" s="378"/>
      <c r="AN326" s="378"/>
      <c r="AO326" s="378"/>
      <c r="AP326" s="378"/>
      <c r="AQ326" s="378"/>
    </row>
    <row r="327" spans="2:43">
      <c r="B327" s="378">
        <v>325</v>
      </c>
      <c r="C327" s="378"/>
      <c r="D327" s="378"/>
      <c r="E327" s="378"/>
      <c r="F327" s="378"/>
      <c r="G327" s="378"/>
      <c r="H327" s="378" t="str">
        <f t="array" aca="1" ref="H327" ca="1">_xlfn.TEXTJOIN("", TRUE, IF(ISNUMBER(--MID(C327, ROW(INDIRECT("1:"&amp;LEN(C327))), 1)), MID(C327, ROW(INDIRECT("1:"&amp;LEN(C327))), 1), ""))</f>
        <v/>
      </c>
      <c r="I327" s="378"/>
      <c r="J327" s="378">
        <f t="shared" si="163"/>
        <v>0</v>
      </c>
      <c r="K327" s="378" t="str">
        <f t="shared" si="164"/>
        <v/>
      </c>
      <c r="L327" s="378" t="str">
        <f t="shared" si="165"/>
        <v>أجنبي</v>
      </c>
      <c r="M327" s="436" t="str">
        <f t="shared" si="166"/>
        <v/>
      </c>
      <c r="N327" s="436"/>
      <c r="O327" s="378"/>
      <c r="P327" s="378"/>
      <c r="Q327" s="378"/>
      <c r="R327" s="91"/>
      <c r="S327" s="378"/>
      <c r="T327" s="378"/>
      <c r="U327" s="378">
        <v>325</v>
      </c>
      <c r="V327" s="378"/>
      <c r="W327" s="378"/>
      <c r="X327" s="378"/>
      <c r="Y327" s="378"/>
      <c r="Z327" s="378"/>
      <c r="AA327" s="378"/>
      <c r="AB327" s="378"/>
      <c r="AC327" s="378"/>
      <c r="AD327" s="378"/>
      <c r="AE327" s="378"/>
      <c r="AF327" s="378"/>
      <c r="AG327" s="378"/>
      <c r="AH327" s="378"/>
      <c r="AI327" s="378"/>
      <c r="AJ327" s="378"/>
      <c r="AK327" s="378"/>
      <c r="AL327" s="378"/>
      <c r="AM327" s="378"/>
      <c r="AN327" s="378"/>
      <c r="AO327" s="378"/>
      <c r="AP327" s="378"/>
      <c r="AQ327" s="378"/>
    </row>
    <row r="328" spans="2:43">
      <c r="B328" s="378">
        <v>326</v>
      </c>
      <c r="C328" s="378"/>
      <c r="D328" s="378"/>
      <c r="E328" s="378"/>
      <c r="F328" s="378"/>
      <c r="G328" s="378"/>
      <c r="H328" s="378" t="str">
        <f t="array" aca="1" ref="H328" ca="1">_xlfn.TEXTJOIN("", TRUE, IF(ISNUMBER(--MID(C328, ROW(INDIRECT("1:"&amp;LEN(C328))), 1)), MID(C328, ROW(INDIRECT("1:"&amp;LEN(C328))), 1), ""))</f>
        <v/>
      </c>
      <c r="I328" s="378"/>
      <c r="J328" s="378">
        <f t="shared" si="163"/>
        <v>0</v>
      </c>
      <c r="K328" s="378" t="str">
        <f t="shared" si="164"/>
        <v/>
      </c>
      <c r="L328" s="378" t="str">
        <f t="shared" si="165"/>
        <v>أجنبي</v>
      </c>
      <c r="M328" s="436" t="str">
        <f t="shared" si="166"/>
        <v/>
      </c>
      <c r="N328" s="436"/>
      <c r="O328" s="378"/>
      <c r="P328" s="378"/>
      <c r="Q328" s="378"/>
      <c r="R328" s="91"/>
      <c r="S328" s="378"/>
      <c r="T328" s="378"/>
      <c r="U328" s="378">
        <v>326</v>
      </c>
      <c r="V328" s="378"/>
      <c r="W328" s="378"/>
      <c r="X328" s="378"/>
      <c r="Y328" s="378"/>
      <c r="Z328" s="378"/>
      <c r="AA328" s="378"/>
      <c r="AB328" s="378"/>
      <c r="AC328" s="378"/>
      <c r="AD328" s="378"/>
      <c r="AE328" s="378"/>
      <c r="AF328" s="378"/>
      <c r="AG328" s="378"/>
      <c r="AH328" s="378"/>
      <c r="AI328" s="378"/>
      <c r="AJ328" s="378"/>
      <c r="AK328" s="378"/>
      <c r="AL328" s="378"/>
      <c r="AM328" s="378"/>
      <c r="AN328" s="378"/>
      <c r="AO328" s="378"/>
      <c r="AP328" s="378"/>
      <c r="AQ328" s="378"/>
    </row>
    <row r="329" spans="2:43">
      <c r="B329" s="378">
        <v>327</v>
      </c>
      <c r="C329" s="378"/>
      <c r="D329" s="378"/>
      <c r="E329" s="378"/>
      <c r="F329" s="378"/>
      <c r="G329" s="378"/>
      <c r="H329" s="378" t="str">
        <f t="array" aca="1" ref="H329" ca="1">_xlfn.TEXTJOIN("", TRUE, IF(ISNUMBER(--MID(C329, ROW(INDIRECT("1:"&amp;LEN(C329))), 1)), MID(C329, ROW(INDIRECT("1:"&amp;LEN(C329))), 1), ""))</f>
        <v/>
      </c>
      <c r="I329" s="378"/>
      <c r="J329" s="378">
        <f t="shared" si="163"/>
        <v>0</v>
      </c>
      <c r="K329" s="378" t="str">
        <f t="shared" si="164"/>
        <v/>
      </c>
      <c r="L329" s="378" t="str">
        <f t="shared" si="165"/>
        <v>أجنبي</v>
      </c>
      <c r="M329" s="436" t="str">
        <f t="shared" si="166"/>
        <v/>
      </c>
      <c r="N329" s="436"/>
      <c r="O329" s="378"/>
      <c r="P329" s="378"/>
      <c r="Q329" s="378"/>
      <c r="R329" s="91"/>
      <c r="S329" s="378"/>
      <c r="T329" s="378"/>
      <c r="U329" s="378">
        <v>327</v>
      </c>
      <c r="V329" s="378"/>
      <c r="W329" s="378"/>
      <c r="X329" s="378"/>
      <c r="Y329" s="378"/>
      <c r="Z329" s="378"/>
      <c r="AA329" s="378"/>
      <c r="AB329" s="378"/>
      <c r="AC329" s="378"/>
      <c r="AD329" s="378"/>
      <c r="AE329" s="378"/>
      <c r="AF329" s="378"/>
      <c r="AG329" s="378"/>
      <c r="AH329" s="378"/>
      <c r="AI329" s="378"/>
      <c r="AJ329" s="378"/>
      <c r="AK329" s="378"/>
      <c r="AL329" s="378"/>
      <c r="AM329" s="378"/>
      <c r="AN329" s="378"/>
      <c r="AO329" s="378"/>
      <c r="AP329" s="378"/>
      <c r="AQ329" s="378"/>
    </row>
    <row r="330" spans="2:43">
      <c r="B330" s="378">
        <v>328</v>
      </c>
      <c r="C330" s="378"/>
      <c r="D330" s="378"/>
      <c r="E330" s="378"/>
      <c r="F330" s="378"/>
      <c r="G330" s="378"/>
      <c r="H330" s="378" t="str">
        <f t="array" aca="1" ref="H330" ca="1">_xlfn.TEXTJOIN("", TRUE, IF(ISNUMBER(--MID(C330, ROW(INDIRECT("1:"&amp;LEN(C330))), 1)), MID(C330, ROW(INDIRECT("1:"&amp;LEN(C330))), 1), ""))</f>
        <v/>
      </c>
      <c r="I330" s="378"/>
      <c r="J330" s="378">
        <f t="shared" si="163"/>
        <v>0</v>
      </c>
      <c r="K330" s="378" t="str">
        <f t="shared" si="164"/>
        <v/>
      </c>
      <c r="L330" s="378" t="str">
        <f t="shared" si="165"/>
        <v>أجنبي</v>
      </c>
      <c r="M330" s="436" t="str">
        <f t="shared" si="166"/>
        <v/>
      </c>
      <c r="N330" s="436"/>
      <c r="O330" s="378"/>
      <c r="P330" s="378"/>
      <c r="Q330" s="378"/>
      <c r="R330" s="91"/>
      <c r="S330" s="378"/>
      <c r="T330" s="378"/>
      <c r="U330" s="378">
        <v>328</v>
      </c>
      <c r="V330" s="378"/>
      <c r="W330" s="378"/>
      <c r="X330" s="378"/>
      <c r="Y330" s="378"/>
      <c r="Z330" s="378"/>
      <c r="AA330" s="378"/>
      <c r="AB330" s="378"/>
      <c r="AC330" s="378"/>
      <c r="AD330" s="378"/>
      <c r="AE330" s="378"/>
      <c r="AF330" s="378"/>
      <c r="AG330" s="378"/>
      <c r="AH330" s="378"/>
      <c r="AI330" s="378"/>
      <c r="AJ330" s="378"/>
      <c r="AK330" s="378"/>
      <c r="AL330" s="378"/>
      <c r="AM330" s="378"/>
      <c r="AN330" s="378"/>
      <c r="AO330" s="378"/>
      <c r="AP330" s="378"/>
      <c r="AQ330" s="378"/>
    </row>
    <row r="331" spans="2:43">
      <c r="B331" s="378">
        <v>329</v>
      </c>
      <c r="C331" s="378"/>
      <c r="D331" s="378"/>
      <c r="E331" s="378"/>
      <c r="F331" s="378"/>
      <c r="G331" s="378"/>
      <c r="H331" s="378" t="str">
        <f t="array" aca="1" ref="H331" ca="1">_xlfn.TEXTJOIN("", TRUE, IF(ISNUMBER(--MID(C331, ROW(INDIRECT("1:"&amp;LEN(C331))), 1)), MID(C331, ROW(INDIRECT("1:"&amp;LEN(C331))), 1), ""))</f>
        <v/>
      </c>
      <c r="I331" s="378"/>
      <c r="J331" s="378">
        <f t="shared" si="163"/>
        <v>0</v>
      </c>
      <c r="K331" s="378" t="str">
        <f t="shared" si="164"/>
        <v/>
      </c>
      <c r="L331" s="378" t="str">
        <f t="shared" si="165"/>
        <v>أجنبي</v>
      </c>
      <c r="M331" s="436" t="str">
        <f t="shared" si="166"/>
        <v/>
      </c>
      <c r="N331" s="436"/>
      <c r="O331" s="378"/>
      <c r="P331" s="378"/>
      <c r="Q331" s="378"/>
      <c r="R331" s="91"/>
      <c r="S331" s="378"/>
      <c r="T331" s="378"/>
      <c r="U331" s="378">
        <v>329</v>
      </c>
      <c r="V331" s="378"/>
      <c r="W331" s="378"/>
      <c r="X331" s="378"/>
      <c r="Y331" s="378"/>
      <c r="Z331" s="378"/>
      <c r="AA331" s="378"/>
      <c r="AB331" s="378"/>
      <c r="AC331" s="378"/>
      <c r="AD331" s="378"/>
      <c r="AE331" s="378"/>
      <c r="AF331" s="378"/>
      <c r="AG331" s="378"/>
      <c r="AH331" s="378"/>
      <c r="AI331" s="378"/>
      <c r="AJ331" s="378"/>
      <c r="AK331" s="378"/>
      <c r="AL331" s="378"/>
      <c r="AM331" s="378"/>
      <c r="AN331" s="378"/>
      <c r="AO331" s="378"/>
      <c r="AP331" s="378"/>
      <c r="AQ331" s="378"/>
    </row>
    <row r="332" spans="2:43">
      <c r="B332" s="378">
        <v>330</v>
      </c>
      <c r="C332" s="378"/>
      <c r="D332" s="378"/>
      <c r="E332" s="378"/>
      <c r="F332" s="378"/>
      <c r="G332" s="378"/>
      <c r="H332" s="378" t="str">
        <f t="array" aca="1" ref="H332" ca="1">_xlfn.TEXTJOIN("", TRUE, IF(ISNUMBER(--MID(C332, ROW(INDIRECT("1:"&amp;LEN(C332))), 1)), MID(C332, ROW(INDIRECT("1:"&amp;LEN(C332))), 1), ""))</f>
        <v/>
      </c>
      <c r="I332" s="378"/>
      <c r="J332" s="378">
        <f t="shared" si="163"/>
        <v>0</v>
      </c>
      <c r="K332" s="378" t="str">
        <f t="shared" si="164"/>
        <v/>
      </c>
      <c r="L332" s="378" t="str">
        <f t="shared" si="165"/>
        <v>أجنبي</v>
      </c>
      <c r="M332" s="436" t="str">
        <f t="shared" si="166"/>
        <v/>
      </c>
      <c r="N332" s="436"/>
      <c r="O332" s="378"/>
      <c r="P332" s="378"/>
      <c r="Q332" s="378"/>
      <c r="R332" s="91"/>
      <c r="S332" s="378"/>
      <c r="T332" s="378"/>
      <c r="U332" s="378">
        <v>330</v>
      </c>
      <c r="V332" s="378"/>
      <c r="W332" s="378"/>
      <c r="X332" s="378"/>
      <c r="Y332" s="378"/>
      <c r="Z332" s="378"/>
      <c r="AA332" s="378"/>
      <c r="AB332" s="378"/>
      <c r="AC332" s="378"/>
      <c r="AD332" s="378"/>
      <c r="AE332" s="378"/>
      <c r="AF332" s="378"/>
      <c r="AG332" s="378"/>
      <c r="AH332" s="378"/>
      <c r="AI332" s="378"/>
      <c r="AJ332" s="378"/>
      <c r="AK332" s="378"/>
      <c r="AL332" s="378"/>
      <c r="AM332" s="378"/>
      <c r="AN332" s="378"/>
      <c r="AO332" s="378"/>
      <c r="AP332" s="378"/>
      <c r="AQ332" s="378"/>
    </row>
    <row r="333" spans="2:43">
      <c r="B333" s="378">
        <v>331</v>
      </c>
      <c r="C333" s="378"/>
      <c r="D333" s="378"/>
      <c r="E333" s="378"/>
      <c r="F333" s="378"/>
      <c r="G333" s="378"/>
      <c r="H333" s="378" t="str">
        <f t="array" aca="1" ref="H333" ca="1">_xlfn.TEXTJOIN("", TRUE, IF(ISNUMBER(--MID(C333, ROW(INDIRECT("1:"&amp;LEN(C333))), 1)), MID(C333, ROW(INDIRECT("1:"&amp;LEN(C333))), 1), ""))</f>
        <v/>
      </c>
      <c r="I333" s="378"/>
      <c r="J333" s="378">
        <f t="shared" si="163"/>
        <v>0</v>
      </c>
      <c r="K333" s="378" t="str">
        <f t="shared" si="164"/>
        <v/>
      </c>
      <c r="L333" s="378" t="str">
        <f t="shared" si="165"/>
        <v>أجنبي</v>
      </c>
      <c r="M333" s="436" t="str">
        <f t="shared" si="166"/>
        <v/>
      </c>
      <c r="N333" s="436"/>
      <c r="O333" s="378"/>
      <c r="P333" s="378"/>
      <c r="Q333" s="378"/>
      <c r="R333" s="91"/>
      <c r="S333" s="378"/>
      <c r="T333" s="378"/>
      <c r="U333" s="378">
        <v>331</v>
      </c>
      <c r="V333" s="378"/>
      <c r="W333" s="378"/>
      <c r="X333" s="378"/>
      <c r="Y333" s="378"/>
      <c r="Z333" s="378"/>
      <c r="AA333" s="378"/>
      <c r="AB333" s="378"/>
      <c r="AC333" s="378"/>
      <c r="AD333" s="378"/>
      <c r="AE333" s="378"/>
      <c r="AF333" s="378"/>
      <c r="AG333" s="378"/>
      <c r="AH333" s="378"/>
      <c r="AI333" s="378"/>
      <c r="AJ333" s="378"/>
      <c r="AK333" s="378"/>
      <c r="AL333" s="378"/>
      <c r="AM333" s="378"/>
      <c r="AN333" s="378"/>
      <c r="AO333" s="378"/>
      <c r="AP333" s="378"/>
      <c r="AQ333" s="378"/>
    </row>
    <row r="334" spans="2:43">
      <c r="B334" s="378">
        <v>332</v>
      </c>
      <c r="C334" s="378"/>
      <c r="D334" s="378"/>
      <c r="E334" s="378"/>
      <c r="F334" s="378"/>
      <c r="G334" s="378"/>
      <c r="H334" s="378" t="str">
        <f t="array" aca="1" ref="H334" ca="1">_xlfn.TEXTJOIN("", TRUE, IF(ISNUMBER(--MID(C334, ROW(INDIRECT("1:"&amp;LEN(C334))), 1)), MID(C334, ROW(INDIRECT("1:"&amp;LEN(C334))), 1), ""))</f>
        <v/>
      </c>
      <c r="I334" s="378"/>
      <c r="J334" s="378">
        <f t="shared" si="163"/>
        <v>0</v>
      </c>
      <c r="K334" s="378" t="str">
        <f t="shared" si="164"/>
        <v/>
      </c>
      <c r="L334" s="378" t="str">
        <f t="shared" si="165"/>
        <v>أجنبي</v>
      </c>
      <c r="M334" s="436" t="str">
        <f t="shared" si="166"/>
        <v/>
      </c>
      <c r="N334" s="436"/>
      <c r="O334" s="378"/>
      <c r="P334" s="378"/>
      <c r="Q334" s="378"/>
      <c r="R334" s="91"/>
      <c r="S334" s="378"/>
      <c r="T334" s="378"/>
      <c r="U334" s="378">
        <v>332</v>
      </c>
      <c r="V334" s="378"/>
      <c r="W334" s="378"/>
      <c r="X334" s="378"/>
      <c r="Y334" s="378"/>
      <c r="Z334" s="378"/>
      <c r="AA334" s="378"/>
      <c r="AB334" s="378"/>
      <c r="AC334" s="378"/>
      <c r="AD334" s="378"/>
      <c r="AE334" s="378"/>
      <c r="AF334" s="378"/>
      <c r="AG334" s="378"/>
      <c r="AH334" s="378"/>
      <c r="AI334" s="378"/>
      <c r="AJ334" s="378"/>
      <c r="AK334" s="378"/>
      <c r="AL334" s="378"/>
      <c r="AM334" s="378"/>
      <c r="AN334" s="378"/>
      <c r="AO334" s="378"/>
      <c r="AP334" s="378"/>
      <c r="AQ334" s="378"/>
    </row>
    <row r="335" spans="2:43">
      <c r="B335" s="378">
        <v>333</v>
      </c>
      <c r="C335" s="378"/>
      <c r="D335" s="378"/>
      <c r="E335" s="378"/>
      <c r="F335" s="378"/>
      <c r="G335" s="378"/>
      <c r="H335" s="378" t="str">
        <f t="array" aca="1" ref="H335" ca="1">_xlfn.TEXTJOIN("", TRUE, IF(ISNUMBER(--MID(C335, ROW(INDIRECT("1:"&amp;LEN(C335))), 1)), MID(C335, ROW(INDIRECT("1:"&amp;LEN(C335))), 1), ""))</f>
        <v/>
      </c>
      <c r="I335" s="378"/>
      <c r="J335" s="378">
        <f t="shared" si="163"/>
        <v>0</v>
      </c>
      <c r="K335" s="378" t="str">
        <f t="shared" si="164"/>
        <v/>
      </c>
      <c r="L335" s="378" t="str">
        <f t="shared" si="165"/>
        <v>أجنبي</v>
      </c>
      <c r="M335" s="436" t="str">
        <f t="shared" si="166"/>
        <v/>
      </c>
      <c r="N335" s="436"/>
      <c r="O335" s="378"/>
      <c r="P335" s="378"/>
      <c r="Q335" s="378"/>
      <c r="R335" s="378"/>
      <c r="S335" s="378"/>
      <c r="T335" s="378"/>
      <c r="U335" s="378">
        <v>333</v>
      </c>
      <c r="V335" s="378"/>
      <c r="W335" s="378"/>
      <c r="X335" s="378"/>
      <c r="Y335" s="378"/>
      <c r="Z335" s="378"/>
      <c r="AA335" s="378"/>
      <c r="AB335" s="378"/>
      <c r="AC335" s="378"/>
      <c r="AD335" s="378"/>
      <c r="AE335" s="378"/>
      <c r="AF335" s="378"/>
      <c r="AG335" s="378"/>
      <c r="AH335" s="378"/>
      <c r="AI335" s="378"/>
      <c r="AJ335" s="378"/>
      <c r="AK335" s="378"/>
      <c r="AL335" s="378"/>
      <c r="AM335" s="378"/>
      <c r="AN335" s="378"/>
      <c r="AO335" s="378"/>
      <c r="AP335" s="378"/>
      <c r="AQ335" s="378"/>
    </row>
    <row r="336" spans="2:43">
      <c r="B336" s="378">
        <v>334</v>
      </c>
      <c r="C336" s="378"/>
      <c r="D336" s="378"/>
      <c r="E336" s="378"/>
      <c r="F336" s="378"/>
      <c r="G336" s="378"/>
      <c r="H336" s="378" t="str">
        <f t="array" aca="1" ref="H336" ca="1">_xlfn.TEXTJOIN("", TRUE, IF(ISNUMBER(--MID(C336, ROW(INDIRECT("1:"&amp;LEN(C336))), 1)), MID(C336, ROW(INDIRECT("1:"&amp;LEN(C336))), 1), ""))</f>
        <v/>
      </c>
      <c r="I336" s="378"/>
      <c r="J336" s="378">
        <f t="shared" si="163"/>
        <v>0</v>
      </c>
      <c r="K336" s="378" t="str">
        <f t="shared" si="164"/>
        <v/>
      </c>
      <c r="L336" s="378" t="str">
        <f t="shared" si="165"/>
        <v>أجنبي</v>
      </c>
      <c r="M336" s="436" t="str">
        <f t="shared" si="166"/>
        <v/>
      </c>
      <c r="N336" s="436"/>
      <c r="O336" s="378"/>
      <c r="P336" s="378"/>
      <c r="Q336" s="378"/>
      <c r="R336" s="91"/>
      <c r="S336" s="378"/>
      <c r="T336" s="378"/>
      <c r="U336" s="378">
        <v>334</v>
      </c>
      <c r="V336" s="378"/>
      <c r="W336" s="378"/>
      <c r="X336" s="378"/>
      <c r="Y336" s="378"/>
      <c r="Z336" s="378"/>
      <c r="AA336" s="378"/>
      <c r="AB336" s="378"/>
      <c r="AC336" s="378"/>
      <c r="AD336" s="378"/>
      <c r="AE336" s="378"/>
      <c r="AF336" s="378"/>
      <c r="AG336" s="378"/>
      <c r="AH336" s="378"/>
      <c r="AI336" s="378"/>
      <c r="AJ336" s="378"/>
      <c r="AK336" s="378"/>
      <c r="AL336" s="378"/>
      <c r="AM336" s="378"/>
      <c r="AN336" s="378"/>
      <c r="AO336" s="378"/>
      <c r="AP336" s="378"/>
      <c r="AQ336" s="378"/>
    </row>
    <row r="337" spans="2:43">
      <c r="B337" s="378">
        <v>335</v>
      </c>
      <c r="C337" s="378"/>
      <c r="D337" s="378"/>
      <c r="E337" s="378"/>
      <c r="F337" s="378"/>
      <c r="G337" s="378"/>
      <c r="H337" s="378" t="str">
        <f t="array" aca="1" ref="H337" ca="1">_xlfn.TEXTJOIN("", TRUE, IF(ISNUMBER(--MID(C337, ROW(INDIRECT("1:"&amp;LEN(C337))), 1)), MID(C337, ROW(INDIRECT("1:"&amp;LEN(C337))), 1), ""))</f>
        <v/>
      </c>
      <c r="I337" s="378"/>
      <c r="J337" s="378">
        <f t="shared" si="163"/>
        <v>0</v>
      </c>
      <c r="K337" s="378" t="str">
        <f t="shared" si="164"/>
        <v/>
      </c>
      <c r="L337" s="378" t="str">
        <f t="shared" si="165"/>
        <v>أجنبي</v>
      </c>
      <c r="M337" s="436" t="str">
        <f t="shared" si="166"/>
        <v/>
      </c>
      <c r="N337" s="436"/>
      <c r="O337" s="378"/>
      <c r="P337" s="378"/>
      <c r="Q337" s="378"/>
      <c r="R337" s="378"/>
      <c r="S337" s="378"/>
      <c r="T337" s="378"/>
      <c r="U337" s="378">
        <v>335</v>
      </c>
      <c r="V337" s="378"/>
      <c r="W337" s="378"/>
      <c r="X337" s="378"/>
      <c r="Y337" s="378"/>
      <c r="Z337" s="378"/>
      <c r="AA337" s="378"/>
      <c r="AB337" s="378"/>
      <c r="AC337" s="378"/>
      <c r="AD337" s="378"/>
      <c r="AE337" s="378"/>
      <c r="AF337" s="378"/>
      <c r="AG337" s="378"/>
      <c r="AH337" s="378"/>
      <c r="AI337" s="378"/>
      <c r="AJ337" s="378"/>
      <c r="AK337" s="378"/>
      <c r="AL337" s="378"/>
      <c r="AM337" s="378"/>
      <c r="AN337" s="378"/>
      <c r="AO337" s="378"/>
      <c r="AP337" s="378"/>
      <c r="AQ337" s="378"/>
    </row>
    <row r="338" spans="2:43">
      <c r="B338" s="378">
        <v>336</v>
      </c>
      <c r="C338" s="378"/>
      <c r="D338" s="378"/>
      <c r="E338" s="378"/>
      <c r="F338" s="378"/>
      <c r="G338" s="378"/>
      <c r="H338" s="378" t="str">
        <f t="array" aca="1" ref="H338" ca="1">_xlfn.TEXTJOIN("", TRUE, IF(ISNUMBER(--MID(C338, ROW(INDIRECT("1:"&amp;LEN(C338))), 1)), MID(C338, ROW(INDIRECT("1:"&amp;LEN(C338))), 1), ""))</f>
        <v/>
      </c>
      <c r="I338" s="378"/>
      <c r="J338" s="378">
        <f t="shared" si="163"/>
        <v>0</v>
      </c>
      <c r="K338" s="378" t="str">
        <f t="shared" si="164"/>
        <v/>
      </c>
      <c r="L338" s="378" t="str">
        <f t="shared" si="165"/>
        <v>أجنبي</v>
      </c>
      <c r="M338" s="436" t="str">
        <f t="shared" si="166"/>
        <v/>
      </c>
      <c r="N338" s="436"/>
      <c r="O338" s="378"/>
      <c r="P338" s="378"/>
      <c r="Q338" s="378"/>
      <c r="R338" s="378"/>
      <c r="S338" s="378"/>
      <c r="T338" s="378"/>
      <c r="U338" s="378">
        <v>336</v>
      </c>
      <c r="V338" s="378"/>
      <c r="W338" s="378"/>
      <c r="X338" s="378"/>
      <c r="Y338" s="378"/>
      <c r="Z338" s="378"/>
      <c r="AA338" s="378"/>
      <c r="AB338" s="378"/>
      <c r="AC338" s="378"/>
      <c r="AD338" s="378"/>
      <c r="AE338" s="378"/>
      <c r="AF338" s="378"/>
      <c r="AG338" s="378"/>
      <c r="AH338" s="378"/>
      <c r="AI338" s="378"/>
      <c r="AJ338" s="378"/>
      <c r="AK338" s="378"/>
      <c r="AL338" s="378"/>
      <c r="AM338" s="378"/>
      <c r="AN338" s="378"/>
      <c r="AO338" s="378"/>
      <c r="AP338" s="378"/>
      <c r="AQ338" s="378"/>
    </row>
    <row r="339" spans="2:43">
      <c r="B339" s="378">
        <v>337</v>
      </c>
      <c r="C339" s="378"/>
      <c r="D339" s="378"/>
      <c r="E339" s="378"/>
      <c r="F339" s="378"/>
      <c r="G339" s="378"/>
      <c r="H339" s="378" t="str">
        <f t="array" aca="1" ref="H339" ca="1">_xlfn.TEXTJOIN("", TRUE, IF(ISNUMBER(--MID(C339, ROW(INDIRECT("1:"&amp;LEN(C339))), 1)), MID(C339, ROW(INDIRECT("1:"&amp;LEN(C339))), 1), ""))</f>
        <v/>
      </c>
      <c r="I339" s="378"/>
      <c r="J339" s="378">
        <f t="shared" si="163"/>
        <v>0</v>
      </c>
      <c r="K339" s="378" t="str">
        <f t="shared" si="164"/>
        <v/>
      </c>
      <c r="L339" s="378" t="str">
        <f t="shared" si="165"/>
        <v>أجنبي</v>
      </c>
      <c r="M339" s="436" t="str">
        <f t="shared" si="166"/>
        <v/>
      </c>
      <c r="N339" s="436"/>
      <c r="O339" s="378"/>
      <c r="P339" s="378"/>
      <c r="Q339" s="378"/>
      <c r="R339" s="378"/>
      <c r="S339" s="378"/>
      <c r="T339" s="378"/>
      <c r="U339" s="378">
        <v>337</v>
      </c>
      <c r="V339" s="378"/>
      <c r="W339" s="378"/>
      <c r="X339" s="378"/>
      <c r="Y339" s="378"/>
      <c r="Z339" s="378"/>
      <c r="AA339" s="378"/>
      <c r="AB339" s="378"/>
      <c r="AC339" s="378"/>
      <c r="AD339" s="378"/>
      <c r="AE339" s="378"/>
      <c r="AF339" s="378"/>
      <c r="AG339" s="378"/>
      <c r="AH339" s="378"/>
      <c r="AI339" s="378"/>
      <c r="AJ339" s="378"/>
      <c r="AK339" s="378"/>
      <c r="AL339" s="378"/>
      <c r="AM339" s="378"/>
      <c r="AN339" s="378"/>
      <c r="AO339" s="378"/>
      <c r="AP339" s="378"/>
      <c r="AQ339" s="378"/>
    </row>
    <row r="340" spans="2:43">
      <c r="B340" s="378">
        <v>338</v>
      </c>
      <c r="C340" s="378"/>
      <c r="D340" s="378"/>
      <c r="E340" s="378"/>
      <c r="F340" s="378"/>
      <c r="G340" s="378"/>
      <c r="H340" s="378" t="str">
        <f t="array" aca="1" ref="H340" ca="1">_xlfn.TEXTJOIN("", TRUE, IF(ISNUMBER(--MID(C340, ROW(INDIRECT("1:"&amp;LEN(C340))), 1)), MID(C340, ROW(INDIRECT("1:"&amp;LEN(C340))), 1), ""))</f>
        <v/>
      </c>
      <c r="I340" s="378"/>
      <c r="J340" s="378">
        <f t="shared" si="163"/>
        <v>0</v>
      </c>
      <c r="K340" s="378" t="str">
        <f t="shared" si="164"/>
        <v/>
      </c>
      <c r="L340" s="378" t="str">
        <f t="shared" si="165"/>
        <v>أجنبي</v>
      </c>
      <c r="M340" s="436" t="str">
        <f t="shared" si="166"/>
        <v/>
      </c>
      <c r="N340" s="436"/>
      <c r="O340" s="378"/>
      <c r="P340" s="378"/>
      <c r="Q340" s="378"/>
      <c r="R340" s="91"/>
      <c r="S340" s="378"/>
      <c r="T340" s="378"/>
      <c r="U340" s="378">
        <v>338</v>
      </c>
      <c r="V340" s="378"/>
      <c r="W340" s="378"/>
      <c r="X340" s="378"/>
      <c r="Y340" s="378"/>
      <c r="Z340" s="378"/>
      <c r="AA340" s="378"/>
      <c r="AB340" s="378"/>
      <c r="AC340" s="378"/>
      <c r="AD340" s="378"/>
      <c r="AE340" s="378"/>
      <c r="AF340" s="378"/>
      <c r="AG340" s="378"/>
      <c r="AH340" s="378"/>
      <c r="AI340" s="378"/>
      <c r="AJ340" s="378"/>
      <c r="AK340" s="378"/>
      <c r="AL340" s="378"/>
      <c r="AM340" s="378"/>
      <c r="AN340" s="378"/>
      <c r="AO340" s="378"/>
      <c r="AP340" s="378"/>
      <c r="AQ340" s="378"/>
    </row>
    <row r="341" spans="2:43">
      <c r="B341" s="378">
        <v>339</v>
      </c>
      <c r="C341" s="378"/>
      <c r="D341" s="378"/>
      <c r="E341" s="378"/>
      <c r="F341" s="378"/>
      <c r="G341" s="378"/>
      <c r="H341" s="378" t="str">
        <f t="array" aca="1" ref="H341" ca="1">_xlfn.TEXTJOIN("", TRUE, IF(ISNUMBER(--MID(C341, ROW(INDIRECT("1:"&amp;LEN(C341))), 1)), MID(C341, ROW(INDIRECT("1:"&amp;LEN(C341))), 1), ""))</f>
        <v/>
      </c>
      <c r="I341" s="378"/>
      <c r="J341" s="378">
        <f t="shared" si="163"/>
        <v>0</v>
      </c>
      <c r="K341" s="378" t="str">
        <f t="shared" si="164"/>
        <v/>
      </c>
      <c r="L341" s="378" t="str">
        <f t="shared" si="165"/>
        <v>أجنبي</v>
      </c>
      <c r="M341" s="436" t="str">
        <f t="shared" si="166"/>
        <v/>
      </c>
      <c r="N341" s="436"/>
      <c r="O341" s="378"/>
      <c r="P341" s="378"/>
      <c r="Q341" s="378"/>
      <c r="R341" s="91"/>
      <c r="S341" s="378"/>
      <c r="T341" s="378"/>
      <c r="U341" s="378">
        <v>339</v>
      </c>
      <c r="V341" s="378"/>
      <c r="W341" s="378"/>
      <c r="X341" s="378"/>
      <c r="Y341" s="378"/>
      <c r="Z341" s="378"/>
      <c r="AA341" s="378"/>
      <c r="AB341" s="378"/>
      <c r="AC341" s="378"/>
      <c r="AD341" s="378"/>
      <c r="AE341" s="378"/>
      <c r="AF341" s="378"/>
      <c r="AG341" s="378"/>
      <c r="AH341" s="378"/>
      <c r="AI341" s="378"/>
      <c r="AJ341" s="378"/>
      <c r="AK341" s="378"/>
      <c r="AL341" s="378"/>
      <c r="AM341" s="378"/>
      <c r="AN341" s="378"/>
      <c r="AO341" s="378"/>
      <c r="AP341" s="378"/>
      <c r="AQ341" s="378"/>
    </row>
    <row r="342" spans="2:43">
      <c r="B342" s="378">
        <v>340</v>
      </c>
      <c r="C342" s="378"/>
      <c r="D342" s="378"/>
      <c r="E342" s="378"/>
      <c r="F342" s="378"/>
      <c r="G342" s="378"/>
      <c r="H342" s="378" t="str">
        <f t="array" aca="1" ref="H342" ca="1">_xlfn.TEXTJOIN("", TRUE, IF(ISNUMBER(--MID(C342, ROW(INDIRECT("1:"&amp;LEN(C342))), 1)), MID(C342, ROW(INDIRECT("1:"&amp;LEN(C342))), 1), ""))</f>
        <v/>
      </c>
      <c r="I342" s="378"/>
      <c r="J342" s="378">
        <f t="shared" si="163"/>
        <v>0</v>
      </c>
      <c r="K342" s="378" t="str">
        <f t="shared" si="164"/>
        <v/>
      </c>
      <c r="L342" s="378" t="str">
        <f t="shared" si="165"/>
        <v>أجنبي</v>
      </c>
      <c r="M342" s="436" t="str">
        <f t="shared" si="166"/>
        <v/>
      </c>
      <c r="N342" s="436"/>
      <c r="O342" s="378"/>
      <c r="P342" s="378"/>
      <c r="Q342" s="378"/>
      <c r="R342" s="378"/>
      <c r="S342" s="378"/>
      <c r="T342" s="378"/>
      <c r="U342" s="378">
        <v>340</v>
      </c>
      <c r="V342" s="378"/>
      <c r="W342" s="378"/>
      <c r="X342" s="378"/>
      <c r="Y342" s="378"/>
      <c r="Z342" s="378"/>
      <c r="AA342" s="378"/>
      <c r="AB342" s="378"/>
      <c r="AC342" s="378"/>
      <c r="AD342" s="378"/>
      <c r="AE342" s="378"/>
      <c r="AF342" s="378"/>
      <c r="AG342" s="378"/>
      <c r="AH342" s="378"/>
      <c r="AI342" s="378"/>
      <c r="AJ342" s="378"/>
      <c r="AK342" s="378"/>
      <c r="AL342" s="378"/>
      <c r="AM342" s="378"/>
      <c r="AN342" s="378"/>
      <c r="AO342" s="378"/>
      <c r="AP342" s="378"/>
      <c r="AQ342" s="378"/>
    </row>
    <row r="343" spans="2:43">
      <c r="B343" s="378">
        <v>341</v>
      </c>
      <c r="C343" s="378"/>
      <c r="D343" s="378"/>
      <c r="E343" s="378"/>
      <c r="F343" s="378"/>
      <c r="G343" s="378"/>
      <c r="H343" s="378" t="str">
        <f t="array" aca="1" ref="H343" ca="1">_xlfn.TEXTJOIN("", TRUE, IF(ISNUMBER(--MID(C343, ROW(INDIRECT("1:"&amp;LEN(C343))), 1)), MID(C343, ROW(INDIRECT("1:"&amp;LEN(C343))), 1), ""))</f>
        <v/>
      </c>
      <c r="I343" s="378"/>
      <c r="J343" s="378">
        <f t="shared" si="163"/>
        <v>0</v>
      </c>
      <c r="K343" s="378" t="str">
        <f t="shared" si="164"/>
        <v/>
      </c>
      <c r="L343" s="378" t="str">
        <f t="shared" si="165"/>
        <v>أجنبي</v>
      </c>
      <c r="M343" s="436" t="str">
        <f t="shared" si="166"/>
        <v/>
      </c>
      <c r="N343" s="436"/>
      <c r="O343" s="378"/>
      <c r="P343" s="378"/>
      <c r="Q343" s="378"/>
      <c r="R343" s="91"/>
      <c r="S343" s="378"/>
      <c r="T343" s="378"/>
      <c r="U343" s="378">
        <v>341</v>
      </c>
      <c r="V343" s="378"/>
      <c r="W343" s="378"/>
      <c r="X343" s="378"/>
      <c r="Y343" s="378"/>
      <c r="Z343" s="378"/>
      <c r="AA343" s="378"/>
      <c r="AB343" s="378"/>
      <c r="AC343" s="378"/>
      <c r="AD343" s="378"/>
      <c r="AE343" s="378"/>
      <c r="AF343" s="378"/>
      <c r="AG343" s="378"/>
      <c r="AH343" s="378"/>
      <c r="AI343" s="378"/>
      <c r="AJ343" s="378"/>
      <c r="AK343" s="378"/>
      <c r="AL343" s="378"/>
      <c r="AM343" s="378"/>
      <c r="AN343" s="378"/>
      <c r="AO343" s="378"/>
      <c r="AP343" s="378"/>
      <c r="AQ343" s="378"/>
    </row>
    <row r="344" spans="2:43">
      <c r="B344" s="378">
        <v>342</v>
      </c>
      <c r="C344" s="378"/>
      <c r="D344" s="378"/>
      <c r="E344" s="378"/>
      <c r="F344" s="378"/>
      <c r="G344" s="378"/>
      <c r="H344" s="378" t="str">
        <f t="array" aca="1" ref="H344" ca="1">_xlfn.TEXTJOIN("", TRUE, IF(ISNUMBER(--MID(C344, ROW(INDIRECT("1:"&amp;LEN(C344))), 1)), MID(C344, ROW(INDIRECT("1:"&amp;LEN(C344))), 1), ""))</f>
        <v/>
      </c>
      <c r="I344" s="378"/>
      <c r="J344" s="378">
        <f t="shared" si="163"/>
        <v>0</v>
      </c>
      <c r="K344" s="378" t="str">
        <f t="shared" si="164"/>
        <v/>
      </c>
      <c r="L344" s="378" t="str">
        <f t="shared" si="165"/>
        <v>أجنبي</v>
      </c>
      <c r="M344" s="436" t="str">
        <f t="shared" si="166"/>
        <v/>
      </c>
      <c r="N344" s="436"/>
      <c r="O344" s="378"/>
      <c r="P344" s="378"/>
      <c r="Q344" s="378"/>
      <c r="R344" s="91"/>
      <c r="S344" s="378"/>
      <c r="T344" s="378"/>
      <c r="U344" s="378">
        <v>342</v>
      </c>
      <c r="V344" s="378"/>
      <c r="W344" s="378"/>
      <c r="X344" s="378"/>
      <c r="Y344" s="378"/>
      <c r="Z344" s="378"/>
      <c r="AA344" s="378"/>
      <c r="AB344" s="378"/>
      <c r="AC344" s="378"/>
      <c r="AD344" s="378"/>
      <c r="AE344" s="378"/>
      <c r="AF344" s="378"/>
      <c r="AG344" s="378"/>
      <c r="AH344" s="378"/>
      <c r="AI344" s="378"/>
      <c r="AJ344" s="378"/>
      <c r="AK344" s="378"/>
      <c r="AL344" s="378"/>
      <c r="AM344" s="378"/>
      <c r="AN344" s="378"/>
      <c r="AO344" s="378"/>
      <c r="AP344" s="378"/>
      <c r="AQ344" s="378"/>
    </row>
    <row r="345" spans="2:43">
      <c r="B345" s="378">
        <v>343</v>
      </c>
      <c r="C345" s="378"/>
      <c r="D345" s="378"/>
      <c r="E345" s="378"/>
      <c r="F345" s="378"/>
      <c r="G345" s="378"/>
      <c r="H345" s="378" t="str">
        <f t="array" aca="1" ref="H345" ca="1">_xlfn.TEXTJOIN("", TRUE, IF(ISNUMBER(--MID(C345, ROW(INDIRECT("1:"&amp;LEN(C345))), 1)), MID(C345, ROW(INDIRECT("1:"&amp;LEN(C345))), 1), ""))</f>
        <v/>
      </c>
      <c r="I345" s="378"/>
      <c r="J345" s="378">
        <f t="shared" si="163"/>
        <v>0</v>
      </c>
      <c r="K345" s="378" t="str">
        <f t="shared" si="164"/>
        <v/>
      </c>
      <c r="L345" s="378" t="str">
        <f t="shared" si="165"/>
        <v>أجنبي</v>
      </c>
      <c r="M345" s="436" t="str">
        <f t="shared" si="166"/>
        <v/>
      </c>
      <c r="N345" s="436"/>
      <c r="O345" s="378"/>
      <c r="P345" s="378"/>
      <c r="Q345" s="378"/>
      <c r="R345" s="378"/>
      <c r="S345" s="378"/>
      <c r="T345" s="378"/>
      <c r="U345" s="378">
        <v>343</v>
      </c>
      <c r="V345" s="378"/>
      <c r="W345" s="378"/>
      <c r="X345" s="378"/>
      <c r="Y345" s="378"/>
      <c r="Z345" s="378"/>
      <c r="AA345" s="378"/>
      <c r="AB345" s="378"/>
      <c r="AC345" s="378"/>
      <c r="AD345" s="378"/>
      <c r="AE345" s="378"/>
      <c r="AF345" s="378"/>
      <c r="AG345" s="378"/>
      <c r="AH345" s="378"/>
      <c r="AI345" s="378"/>
      <c r="AJ345" s="378"/>
      <c r="AK345" s="378"/>
      <c r="AL345" s="378"/>
      <c r="AM345" s="378"/>
      <c r="AN345" s="378"/>
      <c r="AO345" s="378"/>
      <c r="AP345" s="378"/>
      <c r="AQ345" s="378"/>
    </row>
    <row r="346" spans="2:43">
      <c r="B346" s="378">
        <v>344</v>
      </c>
      <c r="C346" s="378"/>
      <c r="D346" s="378"/>
      <c r="E346" s="378"/>
      <c r="F346" s="378"/>
      <c r="G346" s="378"/>
      <c r="H346" s="378" t="str">
        <f t="array" aca="1" ref="H346" ca="1">_xlfn.TEXTJOIN("", TRUE, IF(ISNUMBER(--MID(C346, ROW(INDIRECT("1:"&amp;LEN(C346))), 1)), MID(C346, ROW(INDIRECT("1:"&amp;LEN(C346))), 1), ""))</f>
        <v/>
      </c>
      <c r="I346" s="378"/>
      <c r="J346" s="378">
        <f t="shared" si="163"/>
        <v>0</v>
      </c>
      <c r="K346" s="378" t="str">
        <f t="shared" si="164"/>
        <v/>
      </c>
      <c r="L346" s="378" t="str">
        <f t="shared" si="165"/>
        <v>أجنبي</v>
      </c>
      <c r="M346" s="436" t="str">
        <f t="shared" si="166"/>
        <v/>
      </c>
      <c r="N346" s="436"/>
      <c r="O346" s="378"/>
      <c r="P346" s="378"/>
      <c r="Q346" s="378"/>
      <c r="R346" s="91"/>
      <c r="S346" s="378"/>
      <c r="T346" s="378"/>
      <c r="U346" s="378">
        <v>344</v>
      </c>
      <c r="V346" s="378"/>
      <c r="W346" s="378"/>
      <c r="X346" s="378"/>
      <c r="Y346" s="378"/>
      <c r="Z346" s="378"/>
      <c r="AA346" s="378"/>
      <c r="AB346" s="378"/>
      <c r="AC346" s="378"/>
      <c r="AD346" s="378"/>
      <c r="AE346" s="378"/>
      <c r="AF346" s="378"/>
      <c r="AG346" s="378"/>
      <c r="AH346" s="378"/>
      <c r="AI346" s="378"/>
      <c r="AJ346" s="378"/>
      <c r="AK346" s="378"/>
      <c r="AL346" s="378"/>
      <c r="AM346" s="378"/>
      <c r="AN346" s="378"/>
      <c r="AO346" s="378"/>
      <c r="AP346" s="378"/>
      <c r="AQ346" s="378"/>
    </row>
    <row r="347" spans="2:43">
      <c r="B347" s="378">
        <v>345</v>
      </c>
      <c r="C347" s="378"/>
      <c r="D347" s="378"/>
      <c r="E347" s="378"/>
      <c r="F347" s="378"/>
      <c r="G347" s="378"/>
      <c r="H347" s="378" t="str">
        <f t="array" aca="1" ref="H347" ca="1">_xlfn.TEXTJOIN("", TRUE, IF(ISNUMBER(--MID(C347, ROW(INDIRECT("1:"&amp;LEN(C347))), 1)), MID(C347, ROW(INDIRECT("1:"&amp;LEN(C347))), 1), ""))</f>
        <v/>
      </c>
      <c r="I347" s="378"/>
      <c r="J347" s="378">
        <f t="shared" si="163"/>
        <v>0</v>
      </c>
      <c r="K347" s="378" t="str">
        <f t="shared" si="164"/>
        <v/>
      </c>
      <c r="L347" s="378" t="str">
        <f t="shared" si="165"/>
        <v>أجنبي</v>
      </c>
      <c r="M347" s="436" t="str">
        <f t="shared" si="166"/>
        <v/>
      </c>
      <c r="N347" s="436"/>
      <c r="O347" s="378"/>
      <c r="P347" s="378"/>
      <c r="Q347" s="378"/>
      <c r="R347" s="91"/>
      <c r="S347" s="378"/>
      <c r="T347" s="378"/>
      <c r="U347" s="378">
        <v>345</v>
      </c>
      <c r="V347" s="378"/>
      <c r="W347" s="378"/>
      <c r="X347" s="378"/>
      <c r="Y347" s="378"/>
      <c r="Z347" s="378"/>
      <c r="AA347" s="378"/>
      <c r="AB347" s="378"/>
      <c r="AC347" s="378"/>
      <c r="AD347" s="378"/>
      <c r="AE347" s="378"/>
      <c r="AF347" s="378"/>
      <c r="AG347" s="378"/>
      <c r="AH347" s="378"/>
      <c r="AI347" s="378"/>
      <c r="AJ347" s="378"/>
      <c r="AK347" s="378"/>
      <c r="AL347" s="378"/>
      <c r="AM347" s="378"/>
      <c r="AN347" s="378"/>
      <c r="AO347" s="378"/>
      <c r="AP347" s="378"/>
      <c r="AQ347" s="378"/>
    </row>
    <row r="348" spans="2:43">
      <c r="B348" s="378">
        <v>346</v>
      </c>
      <c r="C348" s="378"/>
      <c r="D348" s="378"/>
      <c r="E348" s="378"/>
      <c r="F348" s="378"/>
      <c r="G348" s="378"/>
      <c r="H348" s="378" t="str">
        <f t="array" aca="1" ref="H348" ca="1">_xlfn.TEXTJOIN("", TRUE, IF(ISNUMBER(--MID(C348, ROW(INDIRECT("1:"&amp;LEN(C348))), 1)), MID(C348, ROW(INDIRECT("1:"&amp;LEN(C348))), 1), ""))</f>
        <v/>
      </c>
      <c r="I348" s="378"/>
      <c r="J348" s="378">
        <f t="shared" si="163"/>
        <v>0</v>
      </c>
      <c r="K348" s="378" t="str">
        <f t="shared" si="164"/>
        <v/>
      </c>
      <c r="L348" s="378" t="str">
        <f t="shared" si="165"/>
        <v>أجنبي</v>
      </c>
      <c r="M348" s="436" t="str">
        <f t="shared" si="166"/>
        <v/>
      </c>
      <c r="N348" s="436"/>
      <c r="O348" s="378"/>
      <c r="P348" s="378"/>
      <c r="Q348" s="378"/>
      <c r="R348" s="378"/>
      <c r="S348" s="378"/>
      <c r="T348" s="378"/>
      <c r="U348" s="378">
        <v>346</v>
      </c>
      <c r="V348" s="378"/>
      <c r="W348" s="378"/>
      <c r="X348" s="378"/>
      <c r="Y348" s="378"/>
      <c r="Z348" s="378"/>
      <c r="AA348" s="378"/>
      <c r="AB348" s="378"/>
      <c r="AC348" s="378"/>
      <c r="AD348" s="378"/>
      <c r="AE348" s="378"/>
      <c r="AF348" s="378"/>
      <c r="AG348" s="378"/>
      <c r="AH348" s="378"/>
      <c r="AI348" s="378"/>
      <c r="AJ348" s="378"/>
      <c r="AK348" s="378"/>
      <c r="AL348" s="378"/>
      <c r="AM348" s="378"/>
      <c r="AN348" s="378"/>
      <c r="AO348" s="378"/>
      <c r="AP348" s="378"/>
      <c r="AQ348" s="378"/>
    </row>
    <row r="349" spans="2:43">
      <c r="B349" s="378">
        <v>347</v>
      </c>
      <c r="C349" s="378"/>
      <c r="D349" s="378"/>
      <c r="E349" s="378"/>
      <c r="F349" s="378"/>
      <c r="G349" s="378"/>
      <c r="H349" s="378" t="str">
        <f t="array" aca="1" ref="H349" ca="1">_xlfn.TEXTJOIN("", TRUE, IF(ISNUMBER(--MID(C349, ROW(INDIRECT("1:"&amp;LEN(C349))), 1)), MID(C349, ROW(INDIRECT("1:"&amp;LEN(C349))), 1), ""))</f>
        <v/>
      </c>
      <c r="I349" s="378"/>
      <c r="J349" s="378">
        <f t="shared" si="163"/>
        <v>0</v>
      </c>
      <c r="K349" s="378" t="str">
        <f t="shared" si="164"/>
        <v/>
      </c>
      <c r="L349" s="378" t="str">
        <f t="shared" si="165"/>
        <v>أجنبي</v>
      </c>
      <c r="M349" s="436" t="str">
        <f t="shared" si="166"/>
        <v/>
      </c>
      <c r="N349" s="436"/>
      <c r="O349" s="378"/>
      <c r="P349" s="378"/>
      <c r="Q349" s="378"/>
      <c r="R349" s="378"/>
      <c r="S349" s="378"/>
      <c r="T349" s="378"/>
      <c r="U349" s="378">
        <v>347</v>
      </c>
      <c r="V349" s="378"/>
      <c r="W349" s="378"/>
      <c r="X349" s="378"/>
      <c r="Y349" s="378"/>
      <c r="Z349" s="378"/>
      <c r="AA349" s="378"/>
      <c r="AB349" s="378"/>
      <c r="AC349" s="378"/>
      <c r="AD349" s="378"/>
      <c r="AE349" s="378"/>
      <c r="AF349" s="378"/>
      <c r="AG349" s="378"/>
      <c r="AH349" s="378"/>
      <c r="AI349" s="378"/>
      <c r="AJ349" s="378"/>
      <c r="AK349" s="378"/>
      <c r="AL349" s="378"/>
      <c r="AM349" s="378"/>
      <c r="AN349" s="378"/>
      <c r="AO349" s="378"/>
      <c r="AP349" s="378"/>
      <c r="AQ349" s="378"/>
    </row>
    <row r="350" spans="2:43">
      <c r="B350" s="378">
        <v>348</v>
      </c>
      <c r="C350" s="378"/>
      <c r="D350" s="378"/>
      <c r="E350" s="378"/>
      <c r="F350" s="378"/>
      <c r="G350" s="378"/>
      <c r="H350" s="378" t="str">
        <f t="array" aca="1" ref="H350" ca="1">_xlfn.TEXTJOIN("", TRUE, IF(ISNUMBER(--MID(C350, ROW(INDIRECT("1:"&amp;LEN(C350))), 1)), MID(C350, ROW(INDIRECT("1:"&amp;LEN(C350))), 1), ""))</f>
        <v/>
      </c>
      <c r="I350" s="378"/>
      <c r="J350" s="378">
        <f t="shared" si="163"/>
        <v>0</v>
      </c>
      <c r="K350" s="378" t="str">
        <f t="shared" si="164"/>
        <v/>
      </c>
      <c r="L350" s="378" t="str">
        <f t="shared" si="165"/>
        <v>أجنبي</v>
      </c>
      <c r="M350" s="436" t="str">
        <f t="shared" si="166"/>
        <v/>
      </c>
      <c r="N350" s="436"/>
      <c r="O350" s="378"/>
      <c r="P350" s="378"/>
      <c r="Q350" s="378"/>
      <c r="R350" s="378"/>
      <c r="S350" s="378"/>
      <c r="T350" s="378"/>
      <c r="U350" s="378">
        <v>348</v>
      </c>
      <c r="V350" s="378"/>
      <c r="W350" s="378"/>
      <c r="X350" s="378"/>
      <c r="Y350" s="378"/>
      <c r="Z350" s="378"/>
      <c r="AA350" s="378"/>
      <c r="AB350" s="378"/>
      <c r="AC350" s="378"/>
      <c r="AD350" s="378"/>
      <c r="AE350" s="378"/>
      <c r="AF350" s="378"/>
      <c r="AG350" s="378"/>
      <c r="AH350" s="378"/>
      <c r="AI350" s="378"/>
      <c r="AJ350" s="378"/>
      <c r="AK350" s="378"/>
      <c r="AL350" s="378"/>
      <c r="AM350" s="378"/>
      <c r="AN350" s="378"/>
      <c r="AO350" s="378"/>
      <c r="AP350" s="378"/>
      <c r="AQ350" s="378"/>
    </row>
    <row r="351" spans="2:43">
      <c r="B351" s="378">
        <v>349</v>
      </c>
      <c r="C351" s="378"/>
      <c r="D351" s="378"/>
      <c r="E351" s="378"/>
      <c r="F351" s="378"/>
      <c r="G351" s="378"/>
      <c r="H351" s="378" t="str">
        <f t="array" aca="1" ref="H351" ca="1">_xlfn.TEXTJOIN("", TRUE, IF(ISNUMBER(--MID(C351, ROW(INDIRECT("1:"&amp;LEN(C351))), 1)), MID(C351, ROW(INDIRECT("1:"&amp;LEN(C351))), 1), ""))</f>
        <v/>
      </c>
      <c r="I351" s="378"/>
      <c r="J351" s="378">
        <f t="shared" si="163"/>
        <v>0</v>
      </c>
      <c r="K351" s="378" t="str">
        <f t="shared" si="164"/>
        <v/>
      </c>
      <c r="L351" s="378" t="str">
        <f t="shared" si="165"/>
        <v>أجنبي</v>
      </c>
      <c r="M351" s="436" t="str">
        <f t="shared" si="166"/>
        <v/>
      </c>
      <c r="N351" s="436"/>
      <c r="O351" s="378"/>
      <c r="P351" s="378"/>
      <c r="Q351" s="378"/>
      <c r="R351" s="91"/>
      <c r="S351" s="378"/>
      <c r="T351" s="378"/>
      <c r="U351" s="378">
        <v>349</v>
      </c>
      <c r="V351" s="378"/>
      <c r="W351" s="378"/>
      <c r="X351" s="378"/>
      <c r="Y351" s="378"/>
      <c r="Z351" s="378"/>
      <c r="AA351" s="378"/>
      <c r="AB351" s="378"/>
      <c r="AC351" s="378"/>
      <c r="AD351" s="378"/>
      <c r="AE351" s="378"/>
      <c r="AF351" s="378"/>
      <c r="AG351" s="378"/>
      <c r="AH351" s="378"/>
      <c r="AI351" s="378"/>
      <c r="AJ351" s="378"/>
      <c r="AK351" s="378"/>
      <c r="AL351" s="378"/>
      <c r="AM351" s="378"/>
      <c r="AN351" s="378"/>
      <c r="AO351" s="378"/>
      <c r="AP351" s="378"/>
      <c r="AQ351" s="378"/>
    </row>
    <row r="352" spans="2:43">
      <c r="B352" s="378">
        <v>350</v>
      </c>
      <c r="C352" s="378"/>
      <c r="D352" s="378"/>
      <c r="E352" s="378"/>
      <c r="F352" s="378"/>
      <c r="G352" s="378"/>
      <c r="H352" s="378" t="str">
        <f t="array" aca="1" ref="H352" ca="1">_xlfn.TEXTJOIN("", TRUE, IF(ISNUMBER(--MID(C352, ROW(INDIRECT("1:"&amp;LEN(C352))), 1)), MID(C352, ROW(INDIRECT("1:"&amp;LEN(C352))), 1), ""))</f>
        <v/>
      </c>
      <c r="I352" s="378"/>
      <c r="J352" s="378">
        <f t="shared" si="163"/>
        <v>0</v>
      </c>
      <c r="K352" s="378" t="str">
        <f t="shared" si="164"/>
        <v/>
      </c>
      <c r="L352" s="378" t="str">
        <f t="shared" si="165"/>
        <v>أجنبي</v>
      </c>
      <c r="M352" s="436" t="str">
        <f t="shared" si="166"/>
        <v/>
      </c>
      <c r="N352" s="436"/>
      <c r="O352" s="378"/>
      <c r="P352" s="378"/>
      <c r="Q352" s="378"/>
      <c r="R352" s="378"/>
      <c r="S352" s="378"/>
      <c r="T352" s="378"/>
      <c r="U352" s="378">
        <v>350</v>
      </c>
      <c r="V352" s="378"/>
      <c r="W352" s="378"/>
      <c r="X352" s="378"/>
      <c r="Y352" s="378"/>
      <c r="Z352" s="378"/>
      <c r="AA352" s="378"/>
      <c r="AB352" s="378"/>
      <c r="AC352" s="378"/>
      <c r="AD352" s="378"/>
      <c r="AE352" s="378"/>
      <c r="AF352" s="378"/>
      <c r="AG352" s="378"/>
      <c r="AH352" s="378"/>
      <c r="AI352" s="378"/>
      <c r="AJ352" s="378"/>
      <c r="AK352" s="378"/>
      <c r="AL352" s="378"/>
      <c r="AM352" s="378"/>
      <c r="AN352" s="378"/>
      <c r="AO352" s="378"/>
      <c r="AP352" s="378"/>
      <c r="AQ352" s="378"/>
    </row>
    <row r="353" spans="2:43">
      <c r="B353" s="378">
        <v>351</v>
      </c>
      <c r="C353" s="378"/>
      <c r="D353" s="378"/>
      <c r="E353" s="378"/>
      <c r="F353" s="378"/>
      <c r="G353" s="378"/>
      <c r="H353" s="378" t="str">
        <f t="array" aca="1" ref="H353" ca="1">_xlfn.TEXTJOIN("", TRUE, IF(ISNUMBER(--MID(C353, ROW(INDIRECT("1:"&amp;LEN(C353))), 1)), MID(C353, ROW(INDIRECT("1:"&amp;LEN(C353))), 1), ""))</f>
        <v/>
      </c>
      <c r="I353" s="378"/>
      <c r="J353" s="378">
        <f t="shared" si="163"/>
        <v>0</v>
      </c>
      <c r="K353" s="378" t="str">
        <f t="shared" si="164"/>
        <v/>
      </c>
      <c r="L353" s="378" t="str">
        <f t="shared" si="165"/>
        <v>أجنبي</v>
      </c>
      <c r="M353" s="436" t="str">
        <f t="shared" si="166"/>
        <v/>
      </c>
      <c r="N353" s="436"/>
      <c r="O353" s="378"/>
      <c r="P353" s="378"/>
      <c r="Q353" s="378"/>
      <c r="R353" s="378"/>
      <c r="S353" s="378"/>
      <c r="T353" s="378"/>
      <c r="U353" s="378">
        <v>351</v>
      </c>
      <c r="V353" s="378"/>
      <c r="W353" s="378"/>
      <c r="X353" s="378"/>
      <c r="Y353" s="378"/>
      <c r="Z353" s="378"/>
      <c r="AA353" s="378"/>
      <c r="AB353" s="378"/>
      <c r="AC353" s="378"/>
      <c r="AD353" s="378"/>
      <c r="AE353" s="378"/>
      <c r="AF353" s="378"/>
      <c r="AG353" s="378"/>
      <c r="AH353" s="378"/>
      <c r="AI353" s="378"/>
      <c r="AJ353" s="378"/>
      <c r="AK353" s="378"/>
      <c r="AL353" s="378"/>
      <c r="AM353" s="378"/>
      <c r="AN353" s="378"/>
      <c r="AO353" s="378"/>
      <c r="AP353" s="378"/>
      <c r="AQ353" s="378"/>
    </row>
    <row r="354" spans="2:43">
      <c r="B354" s="378">
        <v>352</v>
      </c>
      <c r="C354" s="378"/>
      <c r="D354" s="378"/>
      <c r="E354" s="378"/>
      <c r="F354" s="378"/>
      <c r="G354" s="378"/>
      <c r="H354" s="378" t="str">
        <f t="array" aca="1" ref="H354" ca="1">_xlfn.TEXTJOIN("", TRUE, IF(ISNUMBER(--MID(C354, ROW(INDIRECT("1:"&amp;LEN(C354))), 1)), MID(C354, ROW(INDIRECT("1:"&amp;LEN(C354))), 1), ""))</f>
        <v/>
      </c>
      <c r="I354" s="378"/>
      <c r="J354" s="378">
        <f t="shared" si="163"/>
        <v>0</v>
      </c>
      <c r="K354" s="378" t="str">
        <f t="shared" si="164"/>
        <v/>
      </c>
      <c r="L354" s="378" t="str">
        <f t="shared" si="165"/>
        <v>أجنبي</v>
      </c>
      <c r="M354" s="436" t="str">
        <f t="shared" si="166"/>
        <v/>
      </c>
      <c r="N354" s="436"/>
      <c r="O354" s="378"/>
      <c r="P354" s="378"/>
      <c r="Q354" s="378"/>
      <c r="R354" s="91"/>
      <c r="S354" s="378"/>
      <c r="T354" s="378"/>
      <c r="U354" s="378">
        <v>352</v>
      </c>
      <c r="V354" s="378"/>
      <c r="W354" s="378"/>
      <c r="X354" s="378"/>
      <c r="Y354" s="378"/>
      <c r="Z354" s="378"/>
      <c r="AA354" s="378"/>
      <c r="AB354" s="378"/>
      <c r="AC354" s="378"/>
      <c r="AD354" s="378"/>
      <c r="AE354" s="378"/>
      <c r="AF354" s="378"/>
      <c r="AG354" s="378"/>
      <c r="AH354" s="378"/>
      <c r="AI354" s="378"/>
      <c r="AJ354" s="378"/>
      <c r="AK354" s="378"/>
      <c r="AL354" s="378"/>
      <c r="AM354" s="378"/>
      <c r="AN354" s="378"/>
      <c r="AO354" s="378"/>
      <c r="AP354" s="378"/>
      <c r="AQ354" s="378"/>
    </row>
    <row r="355" spans="2:43">
      <c r="B355" s="378">
        <v>353</v>
      </c>
      <c r="C355" s="378"/>
      <c r="D355" s="378"/>
      <c r="E355" s="378"/>
      <c r="F355" s="378"/>
      <c r="G355" s="378"/>
      <c r="H355" s="378" t="str">
        <f t="array" aca="1" ref="H355" ca="1">_xlfn.TEXTJOIN("", TRUE, IF(ISNUMBER(--MID(C355, ROW(INDIRECT("1:"&amp;LEN(C355))), 1)), MID(C355, ROW(INDIRECT("1:"&amp;LEN(C355))), 1), ""))</f>
        <v/>
      </c>
      <c r="I355" s="378"/>
      <c r="J355" s="378">
        <f t="shared" si="163"/>
        <v>0</v>
      </c>
      <c r="K355" s="378" t="str">
        <f t="shared" si="164"/>
        <v/>
      </c>
      <c r="L355" s="378" t="str">
        <f t="shared" si="165"/>
        <v>أجنبي</v>
      </c>
      <c r="M355" s="436" t="str">
        <f t="shared" si="166"/>
        <v/>
      </c>
      <c r="N355" s="436"/>
      <c r="O355" s="378"/>
      <c r="P355" s="378"/>
      <c r="Q355" s="378"/>
      <c r="R355" s="378"/>
      <c r="S355" s="378"/>
      <c r="T355" s="378"/>
      <c r="U355" s="378">
        <v>353</v>
      </c>
      <c r="V355" s="378"/>
      <c r="W355" s="378"/>
      <c r="X355" s="378"/>
      <c r="Y355" s="378"/>
      <c r="Z355" s="378"/>
      <c r="AA355" s="378"/>
      <c r="AB355" s="378"/>
      <c r="AC355" s="378"/>
      <c r="AD355" s="378"/>
      <c r="AE355" s="378"/>
      <c r="AF355" s="378"/>
      <c r="AG355" s="378"/>
      <c r="AH355" s="378"/>
      <c r="AI355" s="378"/>
      <c r="AJ355" s="378"/>
      <c r="AK355" s="378"/>
      <c r="AL355" s="378"/>
      <c r="AM355" s="378"/>
      <c r="AN355" s="378"/>
      <c r="AO355" s="378"/>
      <c r="AP355" s="378"/>
      <c r="AQ355" s="378"/>
    </row>
    <row r="356" spans="2:43">
      <c r="B356" s="378">
        <v>354</v>
      </c>
      <c r="C356" s="378"/>
      <c r="D356" s="378"/>
      <c r="E356" s="378"/>
      <c r="F356" s="378"/>
      <c r="G356" s="378"/>
      <c r="H356" s="378" t="str">
        <f t="array" aca="1" ref="H356" ca="1">_xlfn.TEXTJOIN("", TRUE, IF(ISNUMBER(--MID(C356, ROW(INDIRECT("1:"&amp;LEN(C356))), 1)), MID(C356, ROW(INDIRECT("1:"&amp;LEN(C356))), 1), ""))</f>
        <v/>
      </c>
      <c r="I356" s="378"/>
      <c r="J356" s="378">
        <f t="shared" si="163"/>
        <v>0</v>
      </c>
      <c r="K356" s="378" t="str">
        <f t="shared" si="164"/>
        <v/>
      </c>
      <c r="L356" s="378" t="str">
        <f t="shared" si="165"/>
        <v>أجنبي</v>
      </c>
      <c r="M356" s="436" t="str">
        <f t="shared" si="166"/>
        <v/>
      </c>
      <c r="N356" s="436"/>
      <c r="O356" s="378"/>
      <c r="P356" s="378"/>
      <c r="Q356" s="378"/>
      <c r="R356" s="91"/>
      <c r="S356" s="378"/>
      <c r="T356" s="378"/>
      <c r="U356" s="378">
        <v>354</v>
      </c>
      <c r="V356" s="378"/>
      <c r="W356" s="378"/>
      <c r="X356" s="378"/>
      <c r="Y356" s="378"/>
      <c r="Z356" s="378"/>
      <c r="AA356" s="378"/>
      <c r="AB356" s="378"/>
      <c r="AC356" s="378"/>
      <c r="AD356" s="378"/>
      <c r="AE356" s="378"/>
      <c r="AF356" s="378"/>
      <c r="AG356" s="378"/>
      <c r="AH356" s="378"/>
      <c r="AI356" s="378"/>
      <c r="AJ356" s="378"/>
      <c r="AK356" s="378"/>
      <c r="AL356" s="378"/>
      <c r="AM356" s="378"/>
      <c r="AN356" s="378"/>
      <c r="AO356" s="378"/>
      <c r="AP356" s="378"/>
      <c r="AQ356" s="378"/>
    </row>
    <row r="357" spans="2:43">
      <c r="B357" s="378">
        <v>355</v>
      </c>
      <c r="C357" s="378"/>
      <c r="D357" s="378"/>
      <c r="E357" s="378"/>
      <c r="F357" s="378"/>
      <c r="G357" s="378"/>
      <c r="H357" s="378" t="str">
        <f t="array" aca="1" ref="H357" ca="1">_xlfn.TEXTJOIN("", TRUE, IF(ISNUMBER(--MID(C357, ROW(INDIRECT("1:"&amp;LEN(C357))), 1)), MID(C357, ROW(INDIRECT("1:"&amp;LEN(C357))), 1), ""))</f>
        <v/>
      </c>
      <c r="I357" s="378"/>
      <c r="J357" s="378">
        <f t="shared" si="163"/>
        <v>0</v>
      </c>
      <c r="K357" s="378" t="str">
        <f t="shared" si="164"/>
        <v/>
      </c>
      <c r="L357" s="378" t="str">
        <f t="shared" si="165"/>
        <v>أجنبي</v>
      </c>
      <c r="M357" s="436" t="str">
        <f t="shared" si="166"/>
        <v/>
      </c>
      <c r="N357" s="436"/>
      <c r="O357" s="378"/>
      <c r="P357" s="378"/>
      <c r="Q357" s="378"/>
      <c r="R357" s="378"/>
      <c r="S357" s="378"/>
      <c r="T357" s="378"/>
      <c r="U357" s="378">
        <v>355</v>
      </c>
      <c r="V357" s="378"/>
      <c r="W357" s="378"/>
      <c r="X357" s="378"/>
      <c r="Y357" s="378"/>
      <c r="Z357" s="378"/>
      <c r="AA357" s="378"/>
      <c r="AB357" s="378"/>
      <c r="AC357" s="378"/>
      <c r="AD357" s="378"/>
      <c r="AE357" s="378"/>
      <c r="AF357" s="378"/>
      <c r="AG357" s="378"/>
      <c r="AH357" s="378"/>
      <c r="AI357" s="378"/>
      <c r="AJ357" s="378"/>
      <c r="AK357" s="378"/>
      <c r="AL357" s="378"/>
      <c r="AM357" s="378"/>
      <c r="AN357" s="378"/>
      <c r="AO357" s="378"/>
      <c r="AP357" s="378"/>
      <c r="AQ357" s="378"/>
    </row>
    <row r="358" spans="2:43">
      <c r="B358" s="378">
        <v>356</v>
      </c>
      <c r="C358" s="378"/>
      <c r="D358" s="378"/>
      <c r="E358" s="378"/>
      <c r="F358" s="378"/>
      <c r="G358" s="378"/>
      <c r="H358" s="378" t="str">
        <f t="array" aca="1" ref="H358" ca="1">_xlfn.TEXTJOIN("", TRUE, IF(ISNUMBER(--MID(C358, ROW(INDIRECT("1:"&amp;LEN(C358))), 1)), MID(C358, ROW(INDIRECT("1:"&amp;LEN(C358))), 1), ""))</f>
        <v/>
      </c>
      <c r="I358" s="378"/>
      <c r="J358" s="378">
        <f t="shared" si="163"/>
        <v>0</v>
      </c>
      <c r="K358" s="378" t="str">
        <f t="shared" si="164"/>
        <v/>
      </c>
      <c r="L358" s="378" t="str">
        <f t="shared" si="165"/>
        <v>أجنبي</v>
      </c>
      <c r="M358" s="436" t="str">
        <f t="shared" si="166"/>
        <v/>
      </c>
      <c r="N358" s="436"/>
      <c r="O358" s="378"/>
      <c r="P358" s="378"/>
      <c r="Q358" s="378"/>
      <c r="R358" s="378"/>
      <c r="S358" s="378"/>
      <c r="T358" s="378"/>
      <c r="U358" s="378">
        <v>356</v>
      </c>
      <c r="V358" s="378"/>
      <c r="W358" s="378"/>
      <c r="X358" s="378"/>
      <c r="Y358" s="378"/>
      <c r="Z358" s="378"/>
      <c r="AA358" s="378"/>
      <c r="AB358" s="378"/>
      <c r="AC358" s="378"/>
      <c r="AD358" s="378"/>
      <c r="AE358" s="378"/>
      <c r="AF358" s="378"/>
      <c r="AG358" s="378"/>
      <c r="AH358" s="378"/>
      <c r="AI358" s="378"/>
      <c r="AJ358" s="378"/>
      <c r="AK358" s="378"/>
      <c r="AL358" s="378"/>
      <c r="AM358" s="378"/>
      <c r="AN358" s="378"/>
      <c r="AO358" s="378"/>
      <c r="AP358" s="378"/>
      <c r="AQ358" s="378"/>
    </row>
    <row r="359" spans="2:43">
      <c r="B359" s="378">
        <v>357</v>
      </c>
      <c r="C359" s="378"/>
      <c r="D359" s="378"/>
      <c r="E359" s="378"/>
      <c r="F359" s="378"/>
      <c r="G359" s="378"/>
      <c r="H359" s="378" t="str">
        <f t="array" aca="1" ref="H359" ca="1">_xlfn.TEXTJOIN("", TRUE, IF(ISNUMBER(--MID(C359, ROW(INDIRECT("1:"&amp;LEN(C359))), 1)), MID(C359, ROW(INDIRECT("1:"&amp;LEN(C359))), 1), ""))</f>
        <v/>
      </c>
      <c r="I359" s="378"/>
      <c r="J359" s="378">
        <f t="shared" si="163"/>
        <v>0</v>
      </c>
      <c r="K359" s="378" t="str">
        <f t="shared" si="164"/>
        <v/>
      </c>
      <c r="L359" s="378" t="str">
        <f t="shared" si="165"/>
        <v>أجنبي</v>
      </c>
      <c r="M359" s="436" t="str">
        <f t="shared" si="166"/>
        <v/>
      </c>
      <c r="N359" s="436"/>
      <c r="O359" s="378"/>
      <c r="P359" s="378"/>
      <c r="Q359" s="378"/>
      <c r="R359" s="378"/>
      <c r="S359" s="378"/>
      <c r="T359" s="378"/>
      <c r="U359" s="378">
        <v>357</v>
      </c>
      <c r="V359" s="378"/>
      <c r="W359" s="378"/>
      <c r="X359" s="378"/>
      <c r="Y359" s="378"/>
      <c r="Z359" s="378"/>
      <c r="AA359" s="378"/>
      <c r="AB359" s="378"/>
      <c r="AC359" s="378"/>
      <c r="AD359" s="378"/>
      <c r="AE359" s="378"/>
      <c r="AF359" s="378"/>
      <c r="AG359" s="378"/>
      <c r="AH359" s="378"/>
      <c r="AI359" s="378"/>
      <c r="AJ359" s="378"/>
      <c r="AK359" s="378"/>
      <c r="AL359" s="378"/>
      <c r="AM359" s="378"/>
      <c r="AN359" s="378"/>
      <c r="AO359" s="378"/>
      <c r="AP359" s="378"/>
      <c r="AQ359" s="378"/>
    </row>
    <row r="360" spans="2:43">
      <c r="B360" s="378">
        <v>358</v>
      </c>
      <c r="C360" s="378"/>
      <c r="D360" s="378"/>
      <c r="E360" s="378"/>
      <c r="F360" s="378"/>
      <c r="G360" s="378"/>
      <c r="H360" s="378" t="str">
        <f t="array" aca="1" ref="H360" ca="1">_xlfn.TEXTJOIN("", TRUE, IF(ISNUMBER(--MID(C360, ROW(INDIRECT("1:"&amp;LEN(C360))), 1)), MID(C360, ROW(INDIRECT("1:"&amp;LEN(C360))), 1), ""))</f>
        <v/>
      </c>
      <c r="I360" s="378"/>
      <c r="J360" s="378">
        <f t="shared" si="163"/>
        <v>0</v>
      </c>
      <c r="K360" s="378" t="str">
        <f t="shared" si="164"/>
        <v/>
      </c>
      <c r="L360" s="378" t="str">
        <f t="shared" si="165"/>
        <v>أجنبي</v>
      </c>
      <c r="M360" s="436" t="str">
        <f t="shared" si="166"/>
        <v/>
      </c>
      <c r="N360" s="436"/>
      <c r="O360" s="378"/>
      <c r="P360" s="378"/>
      <c r="Q360" s="378"/>
      <c r="R360" s="378"/>
      <c r="S360" s="378"/>
      <c r="T360" s="378"/>
      <c r="U360" s="378">
        <v>358</v>
      </c>
      <c r="V360" s="378"/>
      <c r="W360" s="378"/>
      <c r="X360" s="378"/>
      <c r="Y360" s="378"/>
      <c r="Z360" s="378"/>
      <c r="AA360" s="378"/>
      <c r="AB360" s="378"/>
      <c r="AC360" s="378"/>
      <c r="AD360" s="378"/>
      <c r="AE360" s="378"/>
      <c r="AF360" s="378"/>
      <c r="AG360" s="378"/>
      <c r="AH360" s="378"/>
      <c r="AI360" s="378"/>
      <c r="AJ360" s="378"/>
      <c r="AK360" s="378"/>
      <c r="AL360" s="378"/>
      <c r="AM360" s="378"/>
      <c r="AN360" s="378"/>
      <c r="AO360" s="378"/>
      <c r="AP360" s="378"/>
      <c r="AQ360" s="378"/>
    </row>
    <row r="361" spans="2:43">
      <c r="B361" s="378">
        <v>359</v>
      </c>
      <c r="C361" s="378"/>
      <c r="D361" s="378"/>
      <c r="E361" s="378"/>
      <c r="F361" s="378"/>
      <c r="G361" s="378"/>
      <c r="H361" s="378" t="str">
        <f t="array" aca="1" ref="H361" ca="1">_xlfn.TEXTJOIN("", TRUE, IF(ISNUMBER(--MID(C361, ROW(INDIRECT("1:"&amp;LEN(C361))), 1)), MID(C361, ROW(INDIRECT("1:"&amp;LEN(C361))), 1), ""))</f>
        <v/>
      </c>
      <c r="I361" s="378"/>
      <c r="J361" s="378">
        <f t="shared" si="163"/>
        <v>0</v>
      </c>
      <c r="K361" s="378" t="str">
        <f t="shared" si="164"/>
        <v/>
      </c>
      <c r="L361" s="378" t="str">
        <f t="shared" si="165"/>
        <v>أجنبي</v>
      </c>
      <c r="M361" s="436" t="str">
        <f t="shared" si="166"/>
        <v/>
      </c>
      <c r="N361" s="436"/>
      <c r="O361" s="378"/>
      <c r="P361" s="378"/>
      <c r="Q361" s="378"/>
      <c r="R361" s="378"/>
      <c r="S361" s="378"/>
      <c r="T361" s="378"/>
      <c r="U361" s="378">
        <v>359</v>
      </c>
      <c r="V361" s="378"/>
      <c r="W361" s="378"/>
      <c r="X361" s="378"/>
      <c r="Y361" s="378"/>
      <c r="Z361" s="378"/>
      <c r="AA361" s="378"/>
      <c r="AB361" s="378"/>
      <c r="AC361" s="378"/>
      <c r="AD361" s="378"/>
      <c r="AE361" s="378"/>
      <c r="AF361" s="378"/>
      <c r="AG361" s="378"/>
      <c r="AH361" s="378"/>
      <c r="AI361" s="378"/>
      <c r="AJ361" s="378"/>
      <c r="AK361" s="378"/>
      <c r="AL361" s="378"/>
      <c r="AM361" s="378"/>
      <c r="AN361" s="378"/>
      <c r="AO361" s="378"/>
      <c r="AP361" s="378"/>
      <c r="AQ361" s="378"/>
    </row>
    <row r="362" spans="2:43">
      <c r="B362" s="378">
        <v>360</v>
      </c>
      <c r="C362" s="378"/>
      <c r="D362" s="378"/>
      <c r="E362" s="378"/>
      <c r="F362" s="378"/>
      <c r="G362" s="378"/>
      <c r="H362" s="378" t="str">
        <f t="array" aca="1" ref="H362" ca="1">_xlfn.TEXTJOIN("", TRUE, IF(ISNUMBER(--MID(C362, ROW(INDIRECT("1:"&amp;LEN(C362))), 1)), MID(C362, ROW(INDIRECT("1:"&amp;LEN(C362))), 1), ""))</f>
        <v/>
      </c>
      <c r="I362" s="378"/>
      <c r="J362" s="378">
        <f t="shared" si="163"/>
        <v>0</v>
      </c>
      <c r="K362" s="378" t="str">
        <f t="shared" si="164"/>
        <v/>
      </c>
      <c r="L362" s="378" t="str">
        <f t="shared" si="165"/>
        <v>أجنبي</v>
      </c>
      <c r="M362" s="436" t="str">
        <f t="shared" si="166"/>
        <v/>
      </c>
      <c r="N362" s="436"/>
      <c r="O362" s="378"/>
      <c r="P362" s="378"/>
      <c r="Q362" s="378"/>
      <c r="R362" s="378"/>
      <c r="S362" s="378"/>
      <c r="T362" s="378"/>
      <c r="U362" s="378">
        <v>360</v>
      </c>
      <c r="V362" s="378"/>
      <c r="W362" s="378"/>
      <c r="X362" s="378"/>
      <c r="Y362" s="378"/>
      <c r="Z362" s="378"/>
      <c r="AA362" s="378"/>
      <c r="AB362" s="378"/>
      <c r="AC362" s="378"/>
      <c r="AD362" s="378"/>
      <c r="AE362" s="378"/>
      <c r="AF362" s="378"/>
      <c r="AG362" s="378"/>
      <c r="AH362" s="378"/>
      <c r="AI362" s="378"/>
      <c r="AJ362" s="378"/>
      <c r="AK362" s="378"/>
      <c r="AL362" s="378"/>
      <c r="AM362" s="378"/>
      <c r="AN362" s="378"/>
      <c r="AO362" s="378"/>
      <c r="AP362" s="378"/>
      <c r="AQ362" s="378"/>
    </row>
    <row r="363" spans="2:43">
      <c r="B363" s="378">
        <v>361</v>
      </c>
      <c r="C363" s="378"/>
      <c r="D363" s="378"/>
      <c r="E363" s="378"/>
      <c r="F363" s="378"/>
      <c r="G363" s="378"/>
      <c r="H363" s="378" t="str">
        <f t="array" aca="1" ref="H363" ca="1">_xlfn.TEXTJOIN("", TRUE, IF(ISNUMBER(--MID(C363, ROW(INDIRECT("1:"&amp;LEN(C363))), 1)), MID(C363, ROW(INDIRECT("1:"&amp;LEN(C363))), 1), ""))</f>
        <v/>
      </c>
      <c r="I363" s="378"/>
      <c r="J363" s="378">
        <f t="shared" si="163"/>
        <v>0</v>
      </c>
      <c r="K363" s="378" t="str">
        <f t="shared" si="164"/>
        <v/>
      </c>
      <c r="L363" s="378" t="str">
        <f t="shared" si="165"/>
        <v>أجنبي</v>
      </c>
      <c r="M363" s="436" t="str">
        <f t="shared" si="166"/>
        <v/>
      </c>
      <c r="N363" s="436"/>
      <c r="O363" s="378"/>
      <c r="P363" s="378"/>
      <c r="Q363" s="378"/>
      <c r="R363" s="378"/>
      <c r="S363" s="378"/>
      <c r="T363" s="378"/>
      <c r="U363" s="378">
        <v>361</v>
      </c>
      <c r="V363" s="378"/>
      <c r="W363" s="378"/>
      <c r="X363" s="378"/>
      <c r="Y363" s="378"/>
      <c r="Z363" s="378"/>
      <c r="AA363" s="378"/>
      <c r="AB363" s="378"/>
      <c r="AC363" s="378"/>
      <c r="AD363" s="378"/>
      <c r="AE363" s="378"/>
      <c r="AF363" s="378"/>
      <c r="AG363" s="378"/>
      <c r="AH363" s="378"/>
      <c r="AI363" s="378"/>
      <c r="AJ363" s="378"/>
      <c r="AK363" s="378"/>
      <c r="AL363" s="378"/>
      <c r="AM363" s="378"/>
      <c r="AN363" s="378"/>
      <c r="AO363" s="378"/>
      <c r="AP363" s="378"/>
      <c r="AQ363" s="378"/>
    </row>
    <row r="364" spans="2:43">
      <c r="B364" s="378">
        <v>362</v>
      </c>
      <c r="C364" s="378"/>
      <c r="D364" s="378"/>
      <c r="E364" s="378"/>
      <c r="F364" s="378"/>
      <c r="G364" s="378"/>
      <c r="H364" s="378" t="str">
        <f t="array" aca="1" ref="H364" ca="1">_xlfn.TEXTJOIN("", TRUE, IF(ISNUMBER(--MID(C364, ROW(INDIRECT("1:"&amp;LEN(C364))), 1)), MID(C364, ROW(INDIRECT("1:"&amp;LEN(C364))), 1), ""))</f>
        <v/>
      </c>
      <c r="I364" s="378"/>
      <c r="J364" s="378">
        <f t="shared" ref="J364:J367" si="167">IF(LEFT(I364,5)="00966", RIGHT(I364,LEN(I364)-5),
    IF(LEFT(I364,4)="+966", RIGHT(I364,LEN(I364)-4),
        IF(LEFT(I364,3)="966", RIGHT(I364,LEN(I364)-3),
            IF(LEFT(I364,1)="0", RIGHT(I364,LEN(I364)-1), I364)
        )
    )
)</f>
        <v>0</v>
      </c>
      <c r="K364" s="378" t="str">
        <f t="shared" ref="K364:K367" si="168">IF(LEFT(J364,5)="00966", RIGHT(J364,LEN(J364)-5),
    IF(LEFT(J364,4)="+966", RIGHT(J364,LEN(J364)-4),
        IF(LEFT(J364,3)="966", RIGHT(J364,LEN(J364)-3),
            IF(LEFT(J364,1)="0", RIGHT(J364,LEN(J364)-1), J364)
        )
    )
)</f>
        <v/>
      </c>
      <c r="L364" s="378" t="str">
        <f t="shared" ref="L364:L367" si="169">IF(LEFT(K364,1)="5",
    IF(LEN(K364)=9,"سعودي - صحيح",
        IF(LEN(K364)&lt;9,"سعودي - ناقص "&amp;(9-LEN(K364)),"سعودي - زائد "&amp;(LEN(K364)-9))
    ),
"أجنبي")</f>
        <v>أجنبي</v>
      </c>
      <c r="M364" s="436" t="str">
        <f t="shared" ref="M364:M367" si="170">IF(LEFT(K364,1)="5","966"&amp;K364,K364)</f>
        <v/>
      </c>
      <c r="N364" s="436"/>
      <c r="O364" s="378"/>
      <c r="P364" s="378"/>
      <c r="Q364" s="378"/>
      <c r="R364" s="378"/>
      <c r="S364" s="378"/>
      <c r="T364" s="378"/>
      <c r="U364" s="378">
        <v>362</v>
      </c>
      <c r="V364" s="378"/>
      <c r="W364" s="378"/>
      <c r="X364" s="378"/>
      <c r="Y364" s="378"/>
      <c r="Z364" s="378"/>
      <c r="AA364" s="378"/>
      <c r="AB364" s="378"/>
      <c r="AC364" s="378"/>
      <c r="AD364" s="378"/>
      <c r="AE364" s="378"/>
      <c r="AF364" s="378"/>
      <c r="AG364" s="378"/>
      <c r="AH364" s="378"/>
      <c r="AI364" s="378"/>
      <c r="AJ364" s="378"/>
      <c r="AK364" s="378"/>
      <c r="AL364" s="378"/>
      <c r="AM364" s="378"/>
      <c r="AN364" s="378"/>
      <c r="AO364" s="378"/>
      <c r="AP364" s="378"/>
      <c r="AQ364" s="378"/>
    </row>
    <row r="365" spans="2:43">
      <c r="B365" s="378">
        <v>363</v>
      </c>
      <c r="C365" s="378"/>
      <c r="D365" s="378"/>
      <c r="E365" s="378"/>
      <c r="F365" s="378"/>
      <c r="G365" s="378"/>
      <c r="H365" s="378" t="str">
        <f t="array" aca="1" ref="H365" ca="1">_xlfn.TEXTJOIN("", TRUE, IF(ISNUMBER(--MID(C365, ROW(INDIRECT("1:"&amp;LEN(C365))), 1)), MID(C365, ROW(INDIRECT("1:"&amp;LEN(C365))), 1), ""))</f>
        <v/>
      </c>
      <c r="I365" s="378"/>
      <c r="J365" s="378">
        <f t="shared" si="167"/>
        <v>0</v>
      </c>
      <c r="K365" s="378" t="str">
        <f t="shared" si="168"/>
        <v/>
      </c>
      <c r="L365" s="378" t="str">
        <f t="shared" si="169"/>
        <v>أجنبي</v>
      </c>
      <c r="M365" s="436" t="str">
        <f t="shared" si="170"/>
        <v/>
      </c>
      <c r="N365" s="436"/>
      <c r="O365" s="378"/>
      <c r="P365" s="378"/>
      <c r="Q365" s="378"/>
      <c r="R365" s="378"/>
      <c r="S365" s="378"/>
      <c r="T365" s="378"/>
      <c r="U365" s="378">
        <v>363</v>
      </c>
      <c r="V365" s="378"/>
      <c r="W365" s="378"/>
      <c r="X365" s="378"/>
      <c r="Y365" s="378"/>
      <c r="Z365" s="378"/>
      <c r="AA365" s="378"/>
      <c r="AB365" s="378"/>
      <c r="AC365" s="378"/>
      <c r="AD365" s="378"/>
      <c r="AE365" s="378"/>
      <c r="AF365" s="378"/>
      <c r="AG365" s="378"/>
      <c r="AH365" s="378"/>
      <c r="AI365" s="378"/>
      <c r="AJ365" s="378"/>
      <c r="AK365" s="378"/>
      <c r="AL365" s="378"/>
      <c r="AM365" s="378"/>
      <c r="AN365" s="378"/>
      <c r="AO365" s="378"/>
      <c r="AP365" s="378"/>
      <c r="AQ365" s="378"/>
    </row>
    <row r="366" spans="2:43">
      <c r="B366" s="378">
        <v>364</v>
      </c>
      <c r="C366" s="378"/>
      <c r="D366" s="378"/>
      <c r="E366" s="378"/>
      <c r="F366" s="378"/>
      <c r="G366" s="378"/>
      <c r="H366" s="378" t="str">
        <f t="array" aca="1" ref="H366" ca="1">_xlfn.TEXTJOIN("", TRUE, IF(ISNUMBER(--MID(C366, ROW(INDIRECT("1:"&amp;LEN(C366))), 1)), MID(C366, ROW(INDIRECT("1:"&amp;LEN(C366))), 1), ""))</f>
        <v/>
      </c>
      <c r="I366" s="378"/>
      <c r="J366" s="378">
        <f t="shared" si="167"/>
        <v>0</v>
      </c>
      <c r="K366" s="378" t="str">
        <f t="shared" si="168"/>
        <v/>
      </c>
      <c r="L366" s="378" t="str">
        <f t="shared" si="169"/>
        <v>أجنبي</v>
      </c>
      <c r="M366" s="436" t="str">
        <f t="shared" si="170"/>
        <v/>
      </c>
      <c r="N366" s="436"/>
      <c r="O366" s="378"/>
      <c r="P366" s="378"/>
      <c r="Q366" s="378"/>
      <c r="R366" s="378"/>
      <c r="S366" s="378"/>
      <c r="T366" s="378"/>
      <c r="U366" s="378">
        <v>364</v>
      </c>
      <c r="V366" s="378"/>
      <c r="W366" s="378"/>
      <c r="X366" s="378"/>
      <c r="Y366" s="378"/>
      <c r="Z366" s="378"/>
      <c r="AA366" s="378"/>
      <c r="AB366" s="378"/>
      <c r="AC366" s="378"/>
      <c r="AD366" s="378"/>
      <c r="AE366" s="378"/>
      <c r="AF366" s="378"/>
      <c r="AG366" s="378"/>
      <c r="AH366" s="378"/>
      <c r="AI366" s="378"/>
      <c r="AJ366" s="378"/>
      <c r="AK366" s="378"/>
      <c r="AL366" s="378"/>
      <c r="AM366" s="378"/>
      <c r="AN366" s="378"/>
      <c r="AO366" s="378"/>
      <c r="AP366" s="378"/>
      <c r="AQ366" s="378"/>
    </row>
    <row r="367" spans="2:43">
      <c r="B367" s="378">
        <v>365</v>
      </c>
      <c r="C367" s="378"/>
      <c r="D367" s="378"/>
      <c r="E367" s="378"/>
      <c r="F367" s="378"/>
      <c r="G367" s="378"/>
      <c r="H367" s="378" t="str">
        <f t="array" aca="1" ref="H367" ca="1">_xlfn.TEXTJOIN("", TRUE, IF(ISNUMBER(--MID(C367, ROW(INDIRECT("1:"&amp;LEN(C367))), 1)), MID(C367, ROW(INDIRECT("1:"&amp;LEN(C367))), 1), ""))</f>
        <v/>
      </c>
      <c r="I367" s="378"/>
      <c r="J367" s="378">
        <f t="shared" si="167"/>
        <v>0</v>
      </c>
      <c r="K367" s="378" t="str">
        <f t="shared" si="168"/>
        <v/>
      </c>
      <c r="L367" s="378" t="str">
        <f t="shared" si="169"/>
        <v>أجنبي</v>
      </c>
      <c r="M367" s="436" t="str">
        <f t="shared" si="170"/>
        <v/>
      </c>
      <c r="N367" s="436"/>
      <c r="O367" s="378"/>
      <c r="P367" s="378"/>
      <c r="Q367" s="378"/>
      <c r="R367" s="378"/>
      <c r="S367" s="378"/>
      <c r="T367" s="378"/>
      <c r="U367" s="378">
        <v>365</v>
      </c>
      <c r="V367" s="378"/>
      <c r="W367" s="378"/>
      <c r="X367" s="378"/>
      <c r="Y367" s="378"/>
      <c r="Z367" s="378"/>
      <c r="AA367" s="378"/>
      <c r="AB367" s="378"/>
      <c r="AC367" s="378"/>
      <c r="AD367" s="378"/>
      <c r="AE367" s="378"/>
      <c r="AF367" s="378"/>
      <c r="AG367" s="378"/>
      <c r="AH367" s="378"/>
      <c r="AI367" s="378"/>
      <c r="AJ367" s="378"/>
      <c r="AK367" s="378"/>
      <c r="AL367" s="378"/>
      <c r="AM367" s="378"/>
      <c r="AN367" s="378"/>
      <c r="AO367" s="378"/>
      <c r="AP367" s="378"/>
      <c r="AQ367" s="378"/>
    </row>
    <row r="368" spans="2:43">
      <c r="B368" s="378">
        <v>366</v>
      </c>
      <c r="C368" s="378"/>
      <c r="D368" s="378"/>
      <c r="E368" s="378"/>
      <c r="F368" s="378"/>
      <c r="G368" s="378"/>
      <c r="H368" s="378" t="str">
        <f t="array" aca="1" ref="H368" ca="1">_xlfn.TEXTJOIN("", TRUE, IF(ISNUMBER(--MID(C368, ROW(INDIRECT("1:"&amp;LEN(C368))), 1)), MID(C368, ROW(INDIRECT("1:"&amp;LEN(C368))), 1), ""))</f>
        <v/>
      </c>
      <c r="I368" s="378"/>
      <c r="J368" s="378">
        <f t="shared" ref="J368:J376" si="171">IF(LEFT(I368,5)="00966", RIGHT(I368,LEN(I368)-5),
    IF(LEFT(I368,4)="+966", RIGHT(I368,LEN(I368)-4),
        IF(LEFT(I368,3)="966", RIGHT(I368,LEN(I368)-3),
            IF(LEFT(I368,1)="0", RIGHT(I368,LEN(I368)-1), I368)
        )
    )
)</f>
        <v>0</v>
      </c>
      <c r="K368" s="378" t="str">
        <f t="shared" ref="K368:K376" si="172">IF(LEFT(J368,5)="00966", RIGHT(J368,LEN(J368)-5),
    IF(LEFT(J368,4)="+966", RIGHT(J368,LEN(J368)-4),
        IF(LEFT(J368,3)="966", RIGHT(J368,LEN(J368)-3),
            IF(LEFT(J368,1)="0", RIGHT(J368,LEN(J368)-1), J368)
        )
    )
)</f>
        <v/>
      </c>
      <c r="L368" s="378" t="str">
        <f t="shared" ref="L368:L376" si="173">IF(LEFT(K368,1)="5",
    IF(LEN(K368)=9,"سعودي - صحيح",
        IF(LEN(K368)&lt;9,"سعودي - ناقص "&amp;(9-LEN(K368)),"سعودي - زائد "&amp;(LEN(K368)-9))
    ),
"أجنبي")</f>
        <v>أجنبي</v>
      </c>
      <c r="M368" s="436" t="str">
        <f t="shared" ref="M368:M376" si="174">IF(LEFT(K368,1)="5","966"&amp;K368,K368)</f>
        <v/>
      </c>
      <c r="N368" s="436"/>
      <c r="O368" s="378"/>
      <c r="P368" s="378"/>
      <c r="Q368" s="378"/>
      <c r="R368" s="378"/>
      <c r="S368" s="378"/>
      <c r="T368" s="378"/>
      <c r="U368" s="378">
        <v>366</v>
      </c>
      <c r="V368" s="378"/>
      <c r="W368" s="378"/>
      <c r="X368" s="378"/>
      <c r="Y368" s="378"/>
      <c r="Z368" s="378"/>
      <c r="AA368" s="378"/>
      <c r="AB368" s="378"/>
      <c r="AC368" s="378"/>
      <c r="AD368" s="378"/>
      <c r="AE368" s="378"/>
      <c r="AF368" s="378"/>
      <c r="AG368" s="378"/>
      <c r="AH368" s="378"/>
      <c r="AI368" s="378"/>
      <c r="AJ368" s="378"/>
      <c r="AK368" s="378"/>
      <c r="AL368" s="378"/>
      <c r="AM368" s="378"/>
      <c r="AN368" s="378"/>
      <c r="AO368" s="378"/>
      <c r="AP368" s="378"/>
      <c r="AQ368" s="378"/>
    </row>
    <row r="369" spans="2:43">
      <c r="B369" s="378">
        <v>367</v>
      </c>
      <c r="C369" s="378"/>
      <c r="D369" s="378"/>
      <c r="E369" s="378"/>
      <c r="F369" s="378"/>
      <c r="G369" s="378"/>
      <c r="H369" s="378" t="str">
        <f t="array" aca="1" ref="H369" ca="1">_xlfn.TEXTJOIN("", TRUE, IF(ISNUMBER(--MID(C369, ROW(INDIRECT("1:"&amp;LEN(C369))), 1)), MID(C369, ROW(INDIRECT("1:"&amp;LEN(C369))), 1), ""))</f>
        <v/>
      </c>
      <c r="I369" s="378"/>
      <c r="J369" s="378">
        <f t="shared" si="171"/>
        <v>0</v>
      </c>
      <c r="K369" s="378" t="str">
        <f t="shared" si="172"/>
        <v/>
      </c>
      <c r="L369" s="378" t="str">
        <f t="shared" si="173"/>
        <v>أجنبي</v>
      </c>
      <c r="M369" s="436" t="str">
        <f t="shared" si="174"/>
        <v/>
      </c>
      <c r="N369" s="436"/>
      <c r="O369" s="378"/>
      <c r="P369" s="378"/>
      <c r="Q369" s="378"/>
      <c r="R369" s="378"/>
      <c r="S369" s="378"/>
      <c r="T369" s="378"/>
      <c r="U369" s="378">
        <v>367</v>
      </c>
      <c r="V369" s="378"/>
      <c r="W369" s="378"/>
      <c r="X369" s="378"/>
      <c r="Y369" s="378"/>
      <c r="Z369" s="378"/>
      <c r="AA369" s="378"/>
      <c r="AB369" s="378"/>
      <c r="AC369" s="378"/>
      <c r="AD369" s="378"/>
      <c r="AE369" s="378"/>
      <c r="AF369" s="378"/>
      <c r="AG369" s="378"/>
      <c r="AH369" s="378"/>
      <c r="AI369" s="378"/>
      <c r="AJ369" s="378"/>
      <c r="AK369" s="378"/>
      <c r="AL369" s="378"/>
      <c r="AM369" s="378"/>
      <c r="AN369" s="378"/>
      <c r="AO369" s="378"/>
      <c r="AP369" s="378"/>
      <c r="AQ369" s="378"/>
    </row>
    <row r="370" spans="2:43">
      <c r="B370" s="378">
        <v>368</v>
      </c>
      <c r="C370" s="378"/>
      <c r="D370" s="378"/>
      <c r="E370" s="378"/>
      <c r="F370" s="378"/>
      <c r="G370" s="378"/>
      <c r="H370" s="378" t="str">
        <f t="array" aca="1" ref="H370" ca="1">_xlfn.TEXTJOIN("", TRUE, IF(ISNUMBER(--MID(C370, ROW(INDIRECT("1:"&amp;LEN(C370))), 1)), MID(C370, ROW(INDIRECT("1:"&amp;LEN(C370))), 1), ""))</f>
        <v/>
      </c>
      <c r="I370" s="378"/>
      <c r="J370" s="378">
        <f t="shared" si="171"/>
        <v>0</v>
      </c>
      <c r="K370" s="378" t="str">
        <f t="shared" si="172"/>
        <v/>
      </c>
      <c r="L370" s="378" t="str">
        <f t="shared" si="173"/>
        <v>أجنبي</v>
      </c>
      <c r="M370" s="436" t="str">
        <f t="shared" si="174"/>
        <v/>
      </c>
      <c r="N370" s="436"/>
      <c r="O370" s="378"/>
      <c r="P370" s="378"/>
      <c r="Q370" s="378"/>
      <c r="R370" s="378"/>
      <c r="S370" s="378"/>
      <c r="T370" s="378"/>
      <c r="U370" s="378">
        <v>368</v>
      </c>
      <c r="V370" s="378"/>
      <c r="W370" s="378"/>
      <c r="X370" s="378"/>
      <c r="Y370" s="378"/>
      <c r="Z370" s="378"/>
      <c r="AA370" s="378"/>
      <c r="AB370" s="378"/>
      <c r="AC370" s="378"/>
      <c r="AD370" s="378"/>
      <c r="AE370" s="378"/>
      <c r="AF370" s="378"/>
      <c r="AG370" s="378"/>
      <c r="AH370" s="378"/>
      <c r="AI370" s="378"/>
      <c r="AJ370" s="378"/>
      <c r="AK370" s="378"/>
      <c r="AL370" s="378"/>
      <c r="AM370" s="378"/>
      <c r="AN370" s="378"/>
      <c r="AO370" s="378"/>
      <c r="AP370" s="378"/>
      <c r="AQ370" s="378"/>
    </row>
    <row r="371" spans="2:43">
      <c r="B371" s="378">
        <v>369</v>
      </c>
      <c r="C371" s="378"/>
      <c r="D371" s="378"/>
      <c r="E371" s="378"/>
      <c r="F371" s="378"/>
      <c r="G371" s="378"/>
      <c r="H371" s="378" t="str">
        <f t="array" aca="1" ref="H371" ca="1">_xlfn.TEXTJOIN("", TRUE, IF(ISNUMBER(--MID(C371, ROW(INDIRECT("1:"&amp;LEN(C371))), 1)), MID(C371, ROW(INDIRECT("1:"&amp;LEN(C371))), 1), ""))</f>
        <v/>
      </c>
      <c r="I371" s="378"/>
      <c r="J371" s="378">
        <f t="shared" si="171"/>
        <v>0</v>
      </c>
      <c r="K371" s="378" t="str">
        <f t="shared" si="172"/>
        <v/>
      </c>
      <c r="L371" s="378" t="str">
        <f t="shared" si="173"/>
        <v>أجنبي</v>
      </c>
      <c r="M371" s="436" t="str">
        <f t="shared" si="174"/>
        <v/>
      </c>
      <c r="N371" s="436"/>
      <c r="O371" s="378"/>
      <c r="P371" s="378"/>
      <c r="Q371" s="378"/>
      <c r="R371" s="378"/>
      <c r="S371" s="378"/>
      <c r="T371" s="378"/>
      <c r="U371" s="378">
        <v>369</v>
      </c>
      <c r="V371" s="378"/>
      <c r="W371" s="378"/>
      <c r="X371" s="378"/>
      <c r="Y371" s="378"/>
      <c r="Z371" s="378"/>
      <c r="AA371" s="378"/>
      <c r="AB371" s="378"/>
      <c r="AC371" s="378"/>
      <c r="AD371" s="378"/>
      <c r="AE371" s="378"/>
      <c r="AF371" s="378"/>
      <c r="AG371" s="378"/>
      <c r="AH371" s="378"/>
      <c r="AI371" s="378"/>
      <c r="AJ371" s="378"/>
      <c r="AK371" s="378"/>
      <c r="AL371" s="378"/>
      <c r="AM371" s="378"/>
      <c r="AN371" s="378"/>
      <c r="AO371" s="378"/>
      <c r="AP371" s="378"/>
      <c r="AQ371" s="378"/>
    </row>
    <row r="372" spans="2:43">
      <c r="B372" s="378">
        <v>370</v>
      </c>
      <c r="C372" s="378"/>
      <c r="D372" s="378"/>
      <c r="E372" s="378"/>
      <c r="F372" s="378"/>
      <c r="G372" s="378"/>
      <c r="H372" s="378" t="str">
        <f t="array" aca="1" ref="H372" ca="1">_xlfn.TEXTJOIN("", TRUE, IF(ISNUMBER(--MID(C372, ROW(INDIRECT("1:"&amp;LEN(C372))), 1)), MID(C372, ROW(INDIRECT("1:"&amp;LEN(C372))), 1), ""))</f>
        <v/>
      </c>
      <c r="I372" s="378"/>
      <c r="J372" s="378">
        <f t="shared" si="171"/>
        <v>0</v>
      </c>
      <c r="K372" s="378" t="str">
        <f t="shared" si="172"/>
        <v/>
      </c>
      <c r="L372" s="378" t="str">
        <f t="shared" si="173"/>
        <v>أجنبي</v>
      </c>
      <c r="M372" s="436" t="str">
        <f t="shared" si="174"/>
        <v/>
      </c>
      <c r="N372" s="436"/>
      <c r="O372" s="378"/>
      <c r="P372" s="378"/>
      <c r="Q372" s="378"/>
      <c r="R372" s="378"/>
      <c r="S372" s="378"/>
      <c r="T372" s="378"/>
      <c r="U372" s="378">
        <v>370</v>
      </c>
      <c r="V372" s="378"/>
      <c r="W372" s="378"/>
      <c r="X372" s="378"/>
      <c r="Y372" s="378"/>
      <c r="Z372" s="378"/>
      <c r="AA372" s="378"/>
      <c r="AB372" s="378"/>
      <c r="AC372" s="378"/>
      <c r="AD372" s="378"/>
      <c r="AE372" s="378"/>
      <c r="AF372" s="378"/>
      <c r="AG372" s="378"/>
      <c r="AH372" s="378"/>
      <c r="AI372" s="378"/>
      <c r="AJ372" s="378"/>
      <c r="AK372" s="378"/>
      <c r="AL372" s="378"/>
      <c r="AM372" s="378"/>
      <c r="AN372" s="378"/>
      <c r="AO372" s="378"/>
      <c r="AP372" s="378"/>
      <c r="AQ372" s="378"/>
    </row>
    <row r="373" spans="2:43">
      <c r="B373" s="378">
        <v>371</v>
      </c>
      <c r="C373" s="378"/>
      <c r="D373" s="378"/>
      <c r="E373" s="378"/>
      <c r="F373" s="378"/>
      <c r="G373" s="378"/>
      <c r="H373" s="378" t="str">
        <f t="array" aca="1" ref="H373" ca="1">_xlfn.TEXTJOIN("", TRUE, IF(ISNUMBER(--MID(C373, ROW(INDIRECT("1:"&amp;LEN(C373))), 1)), MID(C373, ROW(INDIRECT("1:"&amp;LEN(C373))), 1), ""))</f>
        <v/>
      </c>
      <c r="I373" s="378"/>
      <c r="J373" s="378">
        <f t="shared" si="171"/>
        <v>0</v>
      </c>
      <c r="K373" s="378" t="str">
        <f t="shared" si="172"/>
        <v/>
      </c>
      <c r="L373" s="378" t="str">
        <f t="shared" si="173"/>
        <v>أجنبي</v>
      </c>
      <c r="M373" s="436" t="str">
        <f t="shared" si="174"/>
        <v/>
      </c>
      <c r="N373" s="436"/>
      <c r="O373" s="378"/>
      <c r="P373" s="378"/>
      <c r="Q373" s="378"/>
      <c r="R373" s="378"/>
      <c r="S373" s="378"/>
      <c r="T373" s="378"/>
      <c r="U373" s="378">
        <v>371</v>
      </c>
      <c r="V373" s="378"/>
      <c r="W373" s="378"/>
      <c r="X373" s="378"/>
      <c r="Y373" s="378"/>
      <c r="Z373" s="378"/>
      <c r="AA373" s="378"/>
      <c r="AB373" s="378"/>
      <c r="AC373" s="378"/>
      <c r="AD373" s="378"/>
      <c r="AE373" s="378"/>
      <c r="AF373" s="378"/>
      <c r="AG373" s="378"/>
      <c r="AH373" s="378"/>
      <c r="AI373" s="378"/>
      <c r="AJ373" s="378"/>
      <c r="AK373" s="378"/>
      <c r="AL373" s="378"/>
      <c r="AM373" s="378"/>
      <c r="AN373" s="378"/>
      <c r="AO373" s="378"/>
      <c r="AP373" s="378"/>
      <c r="AQ373" s="378"/>
    </row>
    <row r="374" spans="2:43">
      <c r="B374" s="378">
        <v>372</v>
      </c>
      <c r="C374" s="378"/>
      <c r="D374" s="378"/>
      <c r="E374" s="378"/>
      <c r="F374" s="378"/>
      <c r="G374" s="378"/>
      <c r="H374" s="378" t="str">
        <f t="array" aca="1" ref="H374" ca="1">_xlfn.TEXTJOIN("", TRUE, IF(ISNUMBER(--MID(C374, ROW(INDIRECT("1:"&amp;LEN(C374))), 1)), MID(C374, ROW(INDIRECT("1:"&amp;LEN(C374))), 1), ""))</f>
        <v/>
      </c>
      <c r="I374" s="378"/>
      <c r="J374" s="378">
        <f t="shared" si="171"/>
        <v>0</v>
      </c>
      <c r="K374" s="378" t="str">
        <f t="shared" si="172"/>
        <v/>
      </c>
      <c r="L374" s="378" t="str">
        <f t="shared" si="173"/>
        <v>أجنبي</v>
      </c>
      <c r="M374" s="436" t="str">
        <f t="shared" si="174"/>
        <v/>
      </c>
      <c r="N374" s="436"/>
      <c r="O374" s="378"/>
      <c r="P374" s="378"/>
      <c r="Q374" s="378"/>
      <c r="R374" s="378"/>
      <c r="S374" s="378"/>
      <c r="T374" s="378"/>
      <c r="U374" s="378">
        <v>372</v>
      </c>
      <c r="V374" s="378"/>
      <c r="W374" s="378"/>
      <c r="X374" s="378"/>
      <c r="Y374" s="378"/>
      <c r="Z374" s="378"/>
      <c r="AA374" s="378"/>
      <c r="AB374" s="378"/>
      <c r="AC374" s="378"/>
      <c r="AD374" s="378"/>
      <c r="AE374" s="378"/>
      <c r="AF374" s="378"/>
      <c r="AG374" s="378"/>
      <c r="AH374" s="378"/>
      <c r="AI374" s="378"/>
      <c r="AJ374" s="378"/>
      <c r="AK374" s="378"/>
      <c r="AL374" s="378"/>
      <c r="AM374" s="378"/>
      <c r="AN374" s="378"/>
      <c r="AO374" s="378"/>
      <c r="AP374" s="378"/>
      <c r="AQ374" s="378"/>
    </row>
    <row r="375" spans="2:43">
      <c r="B375" s="378">
        <v>373</v>
      </c>
      <c r="C375" s="378"/>
      <c r="D375" s="378"/>
      <c r="E375" s="378"/>
      <c r="F375" s="378"/>
      <c r="G375" s="378"/>
      <c r="H375" s="378" t="str">
        <f t="array" aca="1" ref="H375" ca="1">_xlfn.TEXTJOIN("", TRUE, IF(ISNUMBER(--MID(C375, ROW(INDIRECT("1:"&amp;LEN(C375))), 1)), MID(C375, ROW(INDIRECT("1:"&amp;LEN(C375))), 1), ""))</f>
        <v/>
      </c>
      <c r="I375" s="378"/>
      <c r="J375" s="378">
        <f t="shared" si="171"/>
        <v>0</v>
      </c>
      <c r="K375" s="378" t="str">
        <f t="shared" si="172"/>
        <v/>
      </c>
      <c r="L375" s="378" t="str">
        <f t="shared" si="173"/>
        <v>أجنبي</v>
      </c>
      <c r="M375" s="436" t="str">
        <f t="shared" si="174"/>
        <v/>
      </c>
      <c r="N375" s="436"/>
      <c r="O375" s="378"/>
      <c r="P375" s="378"/>
      <c r="Q375" s="378"/>
      <c r="R375" s="378"/>
      <c r="S375" s="378"/>
      <c r="T375" s="378"/>
      <c r="U375" s="378">
        <v>373</v>
      </c>
      <c r="V375" s="378"/>
      <c r="W375" s="378"/>
      <c r="X375" s="378"/>
      <c r="Y375" s="378"/>
      <c r="Z375" s="378"/>
      <c r="AA375" s="378"/>
      <c r="AB375" s="378"/>
      <c r="AC375" s="378"/>
      <c r="AD375" s="378"/>
      <c r="AE375" s="378"/>
      <c r="AF375" s="378"/>
      <c r="AG375" s="378"/>
      <c r="AH375" s="378"/>
      <c r="AI375" s="378"/>
      <c r="AJ375" s="378"/>
      <c r="AK375" s="378"/>
      <c r="AL375" s="378"/>
      <c r="AM375" s="378"/>
      <c r="AN375" s="378"/>
      <c r="AO375" s="378"/>
      <c r="AP375" s="378"/>
      <c r="AQ375" s="378"/>
    </row>
    <row r="376" spans="2:43">
      <c r="B376" s="378">
        <v>374</v>
      </c>
      <c r="C376" s="378"/>
      <c r="D376" s="378"/>
      <c r="E376" s="378"/>
      <c r="F376" s="378"/>
      <c r="G376" s="378"/>
      <c r="H376" s="378" t="str">
        <f t="array" aca="1" ref="H376" ca="1">_xlfn.TEXTJOIN("", TRUE, IF(ISNUMBER(--MID(C376, ROW(INDIRECT("1:"&amp;LEN(C376))), 1)), MID(C376, ROW(INDIRECT("1:"&amp;LEN(C376))), 1), ""))</f>
        <v/>
      </c>
      <c r="I376" s="378"/>
      <c r="J376" s="378">
        <f t="shared" si="171"/>
        <v>0</v>
      </c>
      <c r="K376" s="378" t="str">
        <f t="shared" si="172"/>
        <v/>
      </c>
      <c r="L376" s="378" t="str">
        <f t="shared" si="173"/>
        <v>أجنبي</v>
      </c>
      <c r="M376" s="436" t="str">
        <f t="shared" si="174"/>
        <v/>
      </c>
      <c r="N376" s="436"/>
      <c r="O376" s="378"/>
      <c r="P376" s="378"/>
      <c r="Q376" s="378"/>
      <c r="R376" s="378"/>
      <c r="S376" s="378"/>
      <c r="T376" s="378"/>
      <c r="U376" s="378">
        <v>374</v>
      </c>
      <c r="V376" s="378"/>
      <c r="W376" s="378"/>
      <c r="X376" s="378"/>
      <c r="Y376" s="378"/>
      <c r="Z376" s="378"/>
      <c r="AA376" s="378"/>
      <c r="AB376" s="378"/>
      <c r="AC376" s="378"/>
      <c r="AD376" s="378"/>
      <c r="AE376" s="378"/>
      <c r="AF376" s="378"/>
      <c r="AG376" s="378"/>
      <c r="AH376" s="378"/>
      <c r="AI376" s="378"/>
      <c r="AJ376" s="378"/>
      <c r="AK376" s="378"/>
      <c r="AL376" s="378"/>
      <c r="AM376" s="378"/>
      <c r="AN376" s="378"/>
      <c r="AO376" s="378"/>
      <c r="AP376" s="378"/>
      <c r="AQ376" s="378"/>
    </row>
    <row r="377" spans="2:43">
      <c r="B377" s="378">
        <v>375</v>
      </c>
      <c r="C377" s="378"/>
      <c r="D377" s="378"/>
      <c r="E377" s="378"/>
      <c r="F377" s="378"/>
      <c r="G377" s="378"/>
      <c r="H377" s="378" t="str">
        <f t="array" aca="1" ref="H377" ca="1">_xlfn.TEXTJOIN("", TRUE, IF(ISNUMBER(--MID(C377, ROW(INDIRECT("1:"&amp;LEN(C377))), 1)), MID(C377, ROW(INDIRECT("1:"&amp;LEN(C377))), 1), ""))</f>
        <v/>
      </c>
      <c r="I377" s="378"/>
      <c r="J377" s="378">
        <f t="shared" ref="J377:J433" si="175">IF(LEFT(I377,5)="00966", RIGHT(I377,LEN(I377)-5),
    IF(LEFT(I377,4)="+966", RIGHT(I377,LEN(I377)-4),
        IF(LEFT(I377,3)="966", RIGHT(I377,LEN(I377)-3),
            IF(LEFT(I377,1)="0", RIGHT(I377,LEN(I377)-1), I377)
        )
    )
)</f>
        <v>0</v>
      </c>
      <c r="K377" s="378" t="str">
        <f t="shared" ref="K377:K433" si="176">IF(LEFT(J377,5)="00966", RIGHT(J377,LEN(J377)-5),
    IF(LEFT(J377,4)="+966", RIGHT(J377,LEN(J377)-4),
        IF(LEFT(J377,3)="966", RIGHT(J377,LEN(J377)-3),
            IF(LEFT(J377,1)="0", RIGHT(J377,LEN(J377)-1), J377)
        )
    )
)</f>
        <v/>
      </c>
      <c r="L377" s="378" t="str">
        <f t="shared" ref="L377:L433" si="177">IF(LEFT(K377,1)="5",
    IF(LEN(K377)=9,"سعودي - صحيح",
        IF(LEN(K377)&lt;9,"سعودي - ناقص "&amp;(9-LEN(K377)),"سعودي - زائد "&amp;(LEN(K377)-9))
    ),
"أجنبي")</f>
        <v>أجنبي</v>
      </c>
      <c r="M377" s="436" t="str">
        <f t="shared" ref="M377:M433" si="178">IF(LEFT(K377,1)="5","966"&amp;K377,K377)</f>
        <v/>
      </c>
      <c r="N377" s="436"/>
      <c r="O377" s="378"/>
      <c r="P377" s="378"/>
      <c r="Q377" s="378"/>
      <c r="R377" s="378"/>
      <c r="S377" s="378"/>
      <c r="T377" s="378"/>
      <c r="U377" s="378">
        <v>375</v>
      </c>
      <c r="V377" s="378"/>
      <c r="W377" s="378"/>
      <c r="X377" s="378"/>
      <c r="Y377" s="378"/>
      <c r="Z377" s="378"/>
      <c r="AA377" s="378"/>
      <c r="AB377" s="378"/>
      <c r="AC377" s="378"/>
      <c r="AD377" s="378"/>
      <c r="AE377" s="378"/>
      <c r="AF377" s="378"/>
      <c r="AG377" s="378"/>
      <c r="AH377" s="378"/>
      <c r="AI377" s="378"/>
      <c r="AJ377" s="378"/>
      <c r="AK377" s="378"/>
      <c r="AL377" s="378"/>
      <c r="AM377" s="378"/>
      <c r="AN377" s="378"/>
      <c r="AO377" s="378"/>
      <c r="AP377" s="378"/>
      <c r="AQ377" s="378"/>
    </row>
    <row r="378" spans="2:43">
      <c r="B378" s="378">
        <v>376</v>
      </c>
      <c r="C378" s="378"/>
      <c r="D378" s="378"/>
      <c r="E378" s="378"/>
      <c r="F378" s="378"/>
      <c r="G378" s="378"/>
      <c r="H378" s="378" t="str">
        <f t="array" aca="1" ref="H378" ca="1">_xlfn.TEXTJOIN("", TRUE, IF(ISNUMBER(--MID(C378, ROW(INDIRECT("1:"&amp;LEN(C378))), 1)), MID(C378, ROW(INDIRECT("1:"&amp;LEN(C378))), 1), ""))</f>
        <v/>
      </c>
      <c r="I378" s="378"/>
      <c r="J378" s="378">
        <f t="shared" si="175"/>
        <v>0</v>
      </c>
      <c r="K378" s="378" t="str">
        <f t="shared" si="176"/>
        <v/>
      </c>
      <c r="L378" s="378" t="str">
        <f t="shared" si="177"/>
        <v>أجنبي</v>
      </c>
      <c r="M378" s="436" t="str">
        <f t="shared" si="178"/>
        <v/>
      </c>
      <c r="N378" s="436"/>
      <c r="O378" s="378"/>
      <c r="P378" s="378"/>
      <c r="Q378" s="378"/>
      <c r="R378" s="378"/>
      <c r="S378" s="378"/>
      <c r="T378" s="378"/>
      <c r="U378" s="378">
        <v>376</v>
      </c>
      <c r="V378" s="378"/>
      <c r="W378" s="378"/>
      <c r="X378" s="378"/>
      <c r="Y378" s="378"/>
      <c r="Z378" s="378"/>
      <c r="AA378" s="378"/>
      <c r="AB378" s="378"/>
      <c r="AC378" s="378"/>
      <c r="AD378" s="378"/>
      <c r="AE378" s="378"/>
      <c r="AF378" s="378"/>
      <c r="AG378" s="378"/>
      <c r="AH378" s="378"/>
      <c r="AI378" s="378"/>
      <c r="AJ378" s="378"/>
      <c r="AK378" s="378"/>
      <c r="AL378" s="378"/>
      <c r="AM378" s="378"/>
      <c r="AN378" s="378"/>
      <c r="AO378" s="378"/>
      <c r="AP378" s="378"/>
      <c r="AQ378" s="378"/>
    </row>
    <row r="379" spans="2:43">
      <c r="B379" s="378">
        <v>377</v>
      </c>
      <c r="C379" s="378"/>
      <c r="D379" s="378"/>
      <c r="E379" s="378"/>
      <c r="F379" s="378"/>
      <c r="G379" s="378"/>
      <c r="H379" s="378" t="str">
        <f t="array" aca="1" ref="H379" ca="1">_xlfn.TEXTJOIN("", TRUE, IF(ISNUMBER(--MID(C379, ROW(INDIRECT("1:"&amp;LEN(C379))), 1)), MID(C379, ROW(INDIRECT("1:"&amp;LEN(C379))), 1), ""))</f>
        <v/>
      </c>
      <c r="I379" s="378"/>
      <c r="J379" s="378">
        <f t="shared" si="175"/>
        <v>0</v>
      </c>
      <c r="K379" s="378" t="str">
        <f t="shared" si="176"/>
        <v/>
      </c>
      <c r="L379" s="378" t="str">
        <f t="shared" si="177"/>
        <v>أجنبي</v>
      </c>
      <c r="M379" s="436" t="str">
        <f t="shared" si="178"/>
        <v/>
      </c>
      <c r="N379" s="436"/>
      <c r="O379" s="378"/>
      <c r="P379" s="378"/>
      <c r="Q379" s="378"/>
      <c r="R379" s="378"/>
      <c r="S379" s="378"/>
      <c r="T379" s="378"/>
      <c r="U379" s="378">
        <v>377</v>
      </c>
      <c r="V379" s="378"/>
      <c r="W379" s="378"/>
      <c r="X379" s="378"/>
      <c r="Y379" s="378"/>
      <c r="Z379" s="378"/>
      <c r="AA379" s="378"/>
      <c r="AB379" s="378"/>
      <c r="AC379" s="378"/>
      <c r="AD379" s="378"/>
      <c r="AE379" s="378"/>
      <c r="AF379" s="378"/>
      <c r="AG379" s="378"/>
      <c r="AH379" s="378"/>
      <c r="AI379" s="378"/>
      <c r="AJ379" s="378"/>
      <c r="AK379" s="378"/>
      <c r="AL379" s="378"/>
      <c r="AM379" s="378"/>
      <c r="AN379" s="378"/>
      <c r="AO379" s="378"/>
      <c r="AP379" s="378"/>
      <c r="AQ379" s="378"/>
    </row>
    <row r="380" spans="2:43">
      <c r="B380" s="378">
        <v>378</v>
      </c>
      <c r="C380" s="378"/>
      <c r="D380" s="378"/>
      <c r="E380" s="378"/>
      <c r="F380" s="378"/>
      <c r="G380" s="378"/>
      <c r="H380" s="378" t="str">
        <f t="array" aca="1" ref="H380" ca="1">_xlfn.TEXTJOIN("", TRUE, IF(ISNUMBER(--MID(C380, ROW(INDIRECT("1:"&amp;LEN(C380))), 1)), MID(C380, ROW(INDIRECT("1:"&amp;LEN(C380))), 1), ""))</f>
        <v/>
      </c>
      <c r="I380" s="378"/>
      <c r="J380" s="378">
        <f t="shared" si="175"/>
        <v>0</v>
      </c>
      <c r="K380" s="378" t="str">
        <f t="shared" si="176"/>
        <v/>
      </c>
      <c r="L380" s="378" t="str">
        <f t="shared" si="177"/>
        <v>أجنبي</v>
      </c>
      <c r="M380" s="436" t="str">
        <f t="shared" si="178"/>
        <v/>
      </c>
      <c r="N380" s="436"/>
      <c r="O380" s="378"/>
      <c r="P380" s="378"/>
      <c r="Q380" s="378"/>
      <c r="R380" s="378"/>
      <c r="S380" s="378"/>
      <c r="T380" s="378"/>
      <c r="U380" s="378">
        <v>378</v>
      </c>
      <c r="V380" s="378"/>
      <c r="W380" s="378"/>
      <c r="X380" s="378"/>
      <c r="Y380" s="378"/>
      <c r="Z380" s="378"/>
      <c r="AA380" s="378"/>
      <c r="AB380" s="378"/>
      <c r="AC380" s="378"/>
      <c r="AD380" s="378"/>
      <c r="AE380" s="378"/>
      <c r="AF380" s="378"/>
      <c r="AG380" s="378"/>
      <c r="AH380" s="378"/>
      <c r="AI380" s="378"/>
      <c r="AJ380" s="378"/>
      <c r="AK380" s="378"/>
      <c r="AL380" s="378"/>
      <c r="AM380" s="378"/>
      <c r="AN380" s="378"/>
      <c r="AO380" s="378"/>
      <c r="AP380" s="378"/>
      <c r="AQ380" s="378"/>
    </row>
    <row r="381" spans="2:43">
      <c r="B381" s="378">
        <v>379</v>
      </c>
      <c r="C381" s="378"/>
      <c r="D381" s="378"/>
      <c r="E381" s="378"/>
      <c r="F381" s="378"/>
      <c r="G381" s="378"/>
      <c r="H381" s="378" t="str">
        <f t="array" aca="1" ref="H381" ca="1">_xlfn.TEXTJOIN("", TRUE, IF(ISNUMBER(--MID(C381, ROW(INDIRECT("1:"&amp;LEN(C381))), 1)), MID(C381, ROW(INDIRECT("1:"&amp;LEN(C381))), 1), ""))</f>
        <v/>
      </c>
      <c r="I381" s="378"/>
      <c r="J381" s="378">
        <f t="shared" si="175"/>
        <v>0</v>
      </c>
      <c r="K381" s="378" t="str">
        <f t="shared" si="176"/>
        <v/>
      </c>
      <c r="L381" s="378" t="str">
        <f t="shared" si="177"/>
        <v>أجنبي</v>
      </c>
      <c r="M381" s="436" t="str">
        <f t="shared" si="178"/>
        <v/>
      </c>
      <c r="N381" s="436"/>
      <c r="O381" s="378"/>
      <c r="P381" s="378"/>
      <c r="Q381" s="378"/>
      <c r="R381" s="378"/>
      <c r="S381" s="378"/>
      <c r="T381" s="378"/>
      <c r="U381" s="378">
        <v>379</v>
      </c>
      <c r="V381" s="378"/>
      <c r="W381" s="378"/>
      <c r="X381" s="378"/>
      <c r="Y381" s="378"/>
      <c r="Z381" s="378"/>
      <c r="AA381" s="378"/>
      <c r="AB381" s="378"/>
      <c r="AC381" s="378"/>
      <c r="AD381" s="378"/>
      <c r="AE381" s="378"/>
      <c r="AF381" s="378"/>
      <c r="AG381" s="378"/>
      <c r="AH381" s="378"/>
      <c r="AI381" s="378"/>
      <c r="AJ381" s="378"/>
      <c r="AK381" s="378"/>
      <c r="AL381" s="378"/>
      <c r="AM381" s="378"/>
      <c r="AN381" s="378"/>
      <c r="AO381" s="378"/>
      <c r="AP381" s="378"/>
      <c r="AQ381" s="378"/>
    </row>
    <row r="382" spans="2:43">
      <c r="B382" s="378">
        <v>380</v>
      </c>
      <c r="C382" s="378"/>
      <c r="D382" s="378"/>
      <c r="E382" s="378"/>
      <c r="F382" s="378"/>
      <c r="G382" s="378"/>
      <c r="H382" s="378" t="str">
        <f t="array" aca="1" ref="H382" ca="1">_xlfn.TEXTJOIN("", TRUE, IF(ISNUMBER(--MID(C382, ROW(INDIRECT("1:"&amp;LEN(C382))), 1)), MID(C382, ROW(INDIRECT("1:"&amp;LEN(C382))), 1), ""))</f>
        <v/>
      </c>
      <c r="I382" s="378"/>
      <c r="J382" s="378">
        <f t="shared" si="175"/>
        <v>0</v>
      </c>
      <c r="K382" s="378" t="str">
        <f t="shared" si="176"/>
        <v/>
      </c>
      <c r="L382" s="378" t="str">
        <f t="shared" si="177"/>
        <v>أجنبي</v>
      </c>
      <c r="M382" s="436" t="str">
        <f t="shared" si="178"/>
        <v/>
      </c>
      <c r="N382" s="436"/>
      <c r="O382" s="378"/>
      <c r="P382" s="378"/>
      <c r="Q382" s="378"/>
      <c r="R382" s="378"/>
      <c r="S382" s="378"/>
      <c r="T382" s="378"/>
      <c r="U382" s="378">
        <v>380</v>
      </c>
      <c r="V382" s="378"/>
      <c r="W382" s="378"/>
      <c r="X382" s="378"/>
      <c r="Y382" s="378"/>
      <c r="Z382" s="378"/>
      <c r="AA382" s="378"/>
      <c r="AB382" s="378"/>
      <c r="AC382" s="378"/>
      <c r="AD382" s="378"/>
      <c r="AE382" s="378"/>
      <c r="AF382" s="378"/>
      <c r="AG382" s="378"/>
      <c r="AH382" s="378"/>
      <c r="AI382" s="378"/>
      <c r="AJ382" s="378"/>
      <c r="AK382" s="378"/>
      <c r="AL382" s="378"/>
      <c r="AM382" s="378"/>
      <c r="AN382" s="378"/>
      <c r="AO382" s="378"/>
      <c r="AP382" s="378"/>
      <c r="AQ382" s="378"/>
    </row>
    <row r="383" spans="2:43">
      <c r="B383" s="378">
        <v>381</v>
      </c>
      <c r="C383" s="378"/>
      <c r="D383" s="378"/>
      <c r="E383" s="378"/>
      <c r="F383" s="378"/>
      <c r="G383" s="378"/>
      <c r="H383" s="378" t="str">
        <f t="array" aca="1" ref="H383" ca="1">_xlfn.TEXTJOIN("", TRUE, IF(ISNUMBER(--MID(C383, ROW(INDIRECT("1:"&amp;LEN(C383))), 1)), MID(C383, ROW(INDIRECT("1:"&amp;LEN(C383))), 1), ""))</f>
        <v/>
      </c>
      <c r="I383" s="378"/>
      <c r="J383" s="378">
        <f t="shared" si="175"/>
        <v>0</v>
      </c>
      <c r="K383" s="378" t="str">
        <f t="shared" si="176"/>
        <v/>
      </c>
      <c r="L383" s="378" t="str">
        <f t="shared" si="177"/>
        <v>أجنبي</v>
      </c>
      <c r="M383" s="436" t="str">
        <f t="shared" si="178"/>
        <v/>
      </c>
      <c r="N383" s="436"/>
      <c r="O383" s="378"/>
      <c r="P383" s="378"/>
      <c r="Q383" s="378"/>
      <c r="R383" s="378"/>
      <c r="S383" s="378"/>
      <c r="T383" s="378"/>
      <c r="U383" s="378">
        <v>381</v>
      </c>
      <c r="V383" s="378"/>
      <c r="W383" s="378"/>
      <c r="X383" s="378"/>
      <c r="Y383" s="378"/>
      <c r="Z383" s="378"/>
      <c r="AA383" s="378"/>
      <c r="AB383" s="378"/>
      <c r="AC383" s="378"/>
      <c r="AD383" s="378"/>
      <c r="AE383" s="378"/>
      <c r="AF383" s="378"/>
      <c r="AG383" s="378"/>
      <c r="AH383" s="378"/>
      <c r="AI383" s="378"/>
      <c r="AJ383" s="378"/>
      <c r="AK383" s="378"/>
      <c r="AL383" s="378"/>
      <c r="AM383" s="378"/>
      <c r="AN383" s="378"/>
      <c r="AO383" s="378"/>
      <c r="AP383" s="378"/>
      <c r="AQ383" s="378"/>
    </row>
    <row r="384" spans="2:43">
      <c r="B384" s="378">
        <v>382</v>
      </c>
      <c r="C384" s="378"/>
      <c r="D384" s="378"/>
      <c r="E384" s="378"/>
      <c r="F384" s="378"/>
      <c r="G384" s="378"/>
      <c r="H384" s="378" t="str">
        <f t="array" aca="1" ref="H384" ca="1">_xlfn.TEXTJOIN("", TRUE, IF(ISNUMBER(--MID(C384, ROW(INDIRECT("1:"&amp;LEN(C384))), 1)), MID(C384, ROW(INDIRECT("1:"&amp;LEN(C384))), 1), ""))</f>
        <v/>
      </c>
      <c r="I384" s="378"/>
      <c r="J384" s="378">
        <f t="shared" si="175"/>
        <v>0</v>
      </c>
      <c r="K384" s="378" t="str">
        <f t="shared" si="176"/>
        <v/>
      </c>
      <c r="L384" s="378" t="str">
        <f t="shared" si="177"/>
        <v>أجنبي</v>
      </c>
      <c r="M384" s="436" t="str">
        <f t="shared" si="178"/>
        <v/>
      </c>
      <c r="N384" s="436"/>
      <c r="O384" s="378"/>
      <c r="P384" s="378"/>
      <c r="Q384" s="378"/>
      <c r="R384" s="378"/>
      <c r="S384" s="378"/>
      <c r="T384" s="378"/>
      <c r="U384" s="378">
        <v>382</v>
      </c>
      <c r="V384" s="378"/>
      <c r="W384" s="378"/>
      <c r="X384" s="378"/>
      <c r="Y384" s="378"/>
      <c r="Z384" s="378"/>
      <c r="AA384" s="378"/>
      <c r="AB384" s="378"/>
      <c r="AC384" s="378"/>
      <c r="AD384" s="378"/>
      <c r="AE384" s="378"/>
      <c r="AF384" s="378"/>
      <c r="AG384" s="378"/>
      <c r="AH384" s="378"/>
      <c r="AI384" s="378"/>
      <c r="AJ384" s="378"/>
      <c r="AK384" s="378"/>
      <c r="AL384" s="378"/>
      <c r="AM384" s="378"/>
      <c r="AN384" s="378"/>
      <c r="AO384" s="378"/>
      <c r="AP384" s="378"/>
      <c r="AQ384" s="378"/>
    </row>
    <row r="385" spans="2:43">
      <c r="B385" s="378">
        <v>383</v>
      </c>
      <c r="C385" s="378"/>
      <c r="D385" s="378"/>
      <c r="E385" s="378"/>
      <c r="F385" s="378"/>
      <c r="G385" s="378"/>
      <c r="H385" s="378" t="str">
        <f t="array" aca="1" ref="H385" ca="1">_xlfn.TEXTJOIN("", TRUE, IF(ISNUMBER(--MID(C385, ROW(INDIRECT("1:"&amp;LEN(C385))), 1)), MID(C385, ROW(INDIRECT("1:"&amp;LEN(C385))), 1), ""))</f>
        <v/>
      </c>
      <c r="I385" s="378"/>
      <c r="J385" s="378">
        <f t="shared" si="175"/>
        <v>0</v>
      </c>
      <c r="K385" s="378" t="str">
        <f t="shared" si="176"/>
        <v/>
      </c>
      <c r="L385" s="378" t="str">
        <f t="shared" si="177"/>
        <v>أجنبي</v>
      </c>
      <c r="M385" s="436" t="str">
        <f t="shared" si="178"/>
        <v/>
      </c>
      <c r="N385" s="436"/>
      <c r="O385" s="378"/>
      <c r="P385" s="378"/>
      <c r="Q385" s="378"/>
      <c r="R385" s="378"/>
      <c r="S385" s="378"/>
      <c r="T385" s="378"/>
      <c r="U385" s="378">
        <v>383</v>
      </c>
      <c r="V385" s="378"/>
      <c r="W385" s="378"/>
      <c r="X385" s="378"/>
      <c r="Y385" s="378"/>
      <c r="Z385" s="378"/>
      <c r="AA385" s="378"/>
      <c r="AB385" s="378"/>
      <c r="AC385" s="378"/>
      <c r="AD385" s="378"/>
      <c r="AE385" s="378"/>
      <c r="AF385" s="378"/>
      <c r="AG385" s="378"/>
      <c r="AH385" s="378"/>
      <c r="AI385" s="378"/>
      <c r="AJ385" s="378"/>
      <c r="AK385" s="378"/>
      <c r="AL385" s="378"/>
      <c r="AM385" s="378"/>
      <c r="AN385" s="378"/>
      <c r="AO385" s="378"/>
      <c r="AP385" s="378"/>
      <c r="AQ385" s="378"/>
    </row>
    <row r="386" spans="2:43">
      <c r="B386" s="378">
        <v>384</v>
      </c>
      <c r="C386" s="378"/>
      <c r="D386" s="378"/>
      <c r="E386" s="378"/>
      <c r="F386" s="378"/>
      <c r="G386" s="378"/>
      <c r="H386" s="378" t="str">
        <f t="array" aca="1" ref="H386" ca="1">_xlfn.TEXTJOIN("", TRUE, IF(ISNUMBER(--MID(C386, ROW(INDIRECT("1:"&amp;LEN(C386))), 1)), MID(C386, ROW(INDIRECT("1:"&amp;LEN(C386))), 1), ""))</f>
        <v/>
      </c>
      <c r="I386" s="378"/>
      <c r="J386" s="378">
        <f t="shared" si="175"/>
        <v>0</v>
      </c>
      <c r="K386" s="378" t="str">
        <f t="shared" si="176"/>
        <v/>
      </c>
      <c r="L386" s="378" t="str">
        <f t="shared" si="177"/>
        <v>أجنبي</v>
      </c>
      <c r="M386" s="436" t="str">
        <f t="shared" si="178"/>
        <v/>
      </c>
      <c r="N386" s="436"/>
      <c r="O386" s="378"/>
      <c r="P386" s="378"/>
      <c r="Q386" s="378"/>
      <c r="R386" s="378"/>
      <c r="S386" s="378"/>
      <c r="T386" s="378"/>
      <c r="U386" s="378">
        <v>384</v>
      </c>
      <c r="V386" s="378"/>
      <c r="W386" s="378"/>
      <c r="X386" s="378"/>
      <c r="Y386" s="378"/>
      <c r="Z386" s="378"/>
      <c r="AA386" s="378"/>
      <c r="AB386" s="378"/>
      <c r="AC386" s="378"/>
      <c r="AD386" s="378"/>
      <c r="AE386" s="378"/>
      <c r="AF386" s="378"/>
      <c r="AG386" s="378"/>
      <c r="AH386" s="378"/>
      <c r="AI386" s="378"/>
      <c r="AJ386" s="378"/>
      <c r="AK386" s="378"/>
      <c r="AL386" s="378"/>
      <c r="AM386" s="378"/>
      <c r="AN386" s="378"/>
      <c r="AO386" s="378"/>
      <c r="AP386" s="378"/>
      <c r="AQ386" s="378"/>
    </row>
    <row r="387" spans="2:43">
      <c r="B387" s="378">
        <v>385</v>
      </c>
      <c r="C387" s="378"/>
      <c r="D387" s="378"/>
      <c r="E387" s="378"/>
      <c r="F387" s="378"/>
      <c r="G387" s="378"/>
      <c r="H387" s="378" t="str">
        <f t="array" aca="1" ref="H387" ca="1">_xlfn.TEXTJOIN("", TRUE, IF(ISNUMBER(--MID(C387, ROW(INDIRECT("1:"&amp;LEN(C387))), 1)), MID(C387, ROW(INDIRECT("1:"&amp;LEN(C387))), 1), ""))</f>
        <v/>
      </c>
      <c r="I387" s="378"/>
      <c r="J387" s="378">
        <f t="shared" si="175"/>
        <v>0</v>
      </c>
      <c r="K387" s="378" t="str">
        <f t="shared" si="176"/>
        <v/>
      </c>
      <c r="L387" s="378" t="str">
        <f t="shared" si="177"/>
        <v>أجنبي</v>
      </c>
      <c r="M387" s="436" t="str">
        <f t="shared" si="178"/>
        <v/>
      </c>
      <c r="N387" s="436"/>
      <c r="O387" s="378"/>
      <c r="P387" s="378"/>
      <c r="Q387" s="378"/>
      <c r="R387" s="91"/>
      <c r="S387" s="378"/>
      <c r="T387" s="378"/>
      <c r="U387" s="378">
        <v>385</v>
      </c>
      <c r="V387" s="378"/>
      <c r="W387" s="378"/>
      <c r="X387" s="378"/>
      <c r="Y387" s="378"/>
      <c r="Z387" s="378"/>
      <c r="AA387" s="378"/>
      <c r="AB387" s="378"/>
      <c r="AC387" s="378"/>
      <c r="AD387" s="378"/>
      <c r="AE387" s="378"/>
      <c r="AF387" s="378"/>
      <c r="AG387" s="378"/>
      <c r="AH387" s="378"/>
      <c r="AI387" s="378"/>
      <c r="AJ387" s="378"/>
      <c r="AK387" s="378"/>
      <c r="AL387" s="378"/>
      <c r="AM387" s="378"/>
      <c r="AN387" s="378"/>
      <c r="AO387" s="378"/>
      <c r="AP387" s="378"/>
      <c r="AQ387" s="378"/>
    </row>
    <row r="388" spans="2:43">
      <c r="B388" s="378">
        <v>386</v>
      </c>
      <c r="C388" s="378"/>
      <c r="D388" s="378"/>
      <c r="E388" s="378"/>
      <c r="F388" s="378"/>
      <c r="G388" s="378"/>
      <c r="H388" s="378" t="str">
        <f t="array" aca="1" ref="H388" ca="1">_xlfn.TEXTJOIN("", TRUE, IF(ISNUMBER(--MID(C388, ROW(INDIRECT("1:"&amp;LEN(C388))), 1)), MID(C388, ROW(INDIRECT("1:"&amp;LEN(C388))), 1), ""))</f>
        <v/>
      </c>
      <c r="I388" s="378"/>
      <c r="J388" s="378">
        <f t="shared" si="175"/>
        <v>0</v>
      </c>
      <c r="K388" s="378" t="str">
        <f t="shared" si="176"/>
        <v/>
      </c>
      <c r="L388" s="378" t="str">
        <f t="shared" si="177"/>
        <v>أجنبي</v>
      </c>
      <c r="M388" s="436" t="str">
        <f t="shared" si="178"/>
        <v/>
      </c>
      <c r="N388" s="436"/>
      <c r="O388" s="378"/>
      <c r="P388" s="378"/>
      <c r="Q388" s="378"/>
      <c r="R388" s="378"/>
      <c r="S388" s="378"/>
      <c r="T388" s="378"/>
      <c r="U388" s="378">
        <v>386</v>
      </c>
      <c r="V388" s="378"/>
      <c r="W388" s="378"/>
      <c r="X388" s="378"/>
      <c r="Y388" s="378"/>
      <c r="Z388" s="378"/>
      <c r="AA388" s="378"/>
      <c r="AB388" s="378"/>
      <c r="AC388" s="378"/>
      <c r="AD388" s="378"/>
      <c r="AE388" s="378"/>
      <c r="AF388" s="378"/>
      <c r="AG388" s="378"/>
      <c r="AH388" s="378"/>
      <c r="AI388" s="378"/>
      <c r="AJ388" s="378"/>
      <c r="AK388" s="378"/>
      <c r="AL388" s="378"/>
      <c r="AM388" s="378"/>
      <c r="AN388" s="378"/>
      <c r="AO388" s="378"/>
      <c r="AP388" s="378"/>
      <c r="AQ388" s="378"/>
    </row>
    <row r="389" spans="2:43">
      <c r="B389" s="378">
        <v>387</v>
      </c>
      <c r="C389" s="378"/>
      <c r="D389" s="378"/>
      <c r="E389" s="378"/>
      <c r="F389" s="378"/>
      <c r="G389" s="378"/>
      <c r="H389" s="378" t="str">
        <f t="array" aca="1" ref="H389" ca="1">_xlfn.TEXTJOIN("", TRUE, IF(ISNUMBER(--MID(C389, ROW(INDIRECT("1:"&amp;LEN(C389))), 1)), MID(C389, ROW(INDIRECT("1:"&amp;LEN(C389))), 1), ""))</f>
        <v/>
      </c>
      <c r="I389" s="378"/>
      <c r="J389" s="378">
        <f t="shared" si="175"/>
        <v>0</v>
      </c>
      <c r="K389" s="378" t="str">
        <f t="shared" si="176"/>
        <v/>
      </c>
      <c r="L389" s="378" t="str">
        <f t="shared" si="177"/>
        <v>أجنبي</v>
      </c>
      <c r="M389" s="436" t="str">
        <f t="shared" si="178"/>
        <v/>
      </c>
      <c r="N389" s="436"/>
      <c r="O389" s="378"/>
      <c r="P389" s="378"/>
      <c r="Q389" s="378"/>
      <c r="R389" s="91"/>
      <c r="S389" s="378"/>
      <c r="T389" s="378"/>
      <c r="U389" s="378">
        <v>387</v>
      </c>
      <c r="V389" s="378"/>
      <c r="W389" s="378"/>
      <c r="X389" s="378"/>
      <c r="Y389" s="378"/>
      <c r="Z389" s="378"/>
      <c r="AA389" s="378"/>
      <c r="AB389" s="378"/>
      <c r="AC389" s="378"/>
      <c r="AD389" s="378"/>
      <c r="AE389" s="378"/>
      <c r="AF389" s="378"/>
      <c r="AG389" s="378"/>
      <c r="AH389" s="378"/>
      <c r="AI389" s="378"/>
      <c r="AJ389" s="378"/>
      <c r="AK389" s="378"/>
      <c r="AL389" s="378"/>
      <c r="AM389" s="378"/>
      <c r="AN389" s="378"/>
      <c r="AO389" s="378"/>
      <c r="AP389" s="378"/>
      <c r="AQ389" s="378"/>
    </row>
    <row r="390" spans="2:43">
      <c r="B390" s="378">
        <v>388</v>
      </c>
      <c r="C390" s="378"/>
      <c r="D390" s="378"/>
      <c r="E390" s="378"/>
      <c r="F390" s="378"/>
      <c r="G390" s="378"/>
      <c r="H390" s="378" t="str">
        <f t="array" aca="1" ref="H390" ca="1">_xlfn.TEXTJOIN("", TRUE, IF(ISNUMBER(--MID(C390, ROW(INDIRECT("1:"&amp;LEN(C390))), 1)), MID(C390, ROW(INDIRECT("1:"&amp;LEN(C390))), 1), ""))</f>
        <v/>
      </c>
      <c r="I390" s="378"/>
      <c r="J390" s="378">
        <f t="shared" si="175"/>
        <v>0</v>
      </c>
      <c r="K390" s="378" t="str">
        <f t="shared" si="176"/>
        <v/>
      </c>
      <c r="L390" s="378" t="str">
        <f t="shared" si="177"/>
        <v>أجنبي</v>
      </c>
      <c r="M390" s="436" t="str">
        <f t="shared" si="178"/>
        <v/>
      </c>
      <c r="N390" s="436"/>
      <c r="O390" s="378"/>
      <c r="P390" s="378"/>
      <c r="Q390" s="378"/>
      <c r="R390" s="378"/>
      <c r="S390" s="378"/>
      <c r="T390" s="378"/>
      <c r="U390" s="378">
        <v>388</v>
      </c>
      <c r="V390" s="378"/>
      <c r="W390" s="378"/>
      <c r="X390" s="378"/>
      <c r="Y390" s="378"/>
      <c r="Z390" s="378"/>
      <c r="AA390" s="378"/>
      <c r="AB390" s="378"/>
      <c r="AC390" s="378"/>
      <c r="AD390" s="378"/>
      <c r="AE390" s="378"/>
      <c r="AF390" s="378"/>
      <c r="AG390" s="378"/>
      <c r="AH390" s="378"/>
      <c r="AI390" s="378"/>
      <c r="AJ390" s="378"/>
      <c r="AK390" s="378"/>
      <c r="AL390" s="378"/>
      <c r="AM390" s="378"/>
      <c r="AN390" s="378"/>
      <c r="AO390" s="378"/>
      <c r="AP390" s="378"/>
      <c r="AQ390" s="378"/>
    </row>
    <row r="391" spans="2:43">
      <c r="B391" s="378">
        <v>389</v>
      </c>
      <c r="C391" s="378"/>
      <c r="D391" s="378"/>
      <c r="E391" s="378"/>
      <c r="F391" s="378"/>
      <c r="G391" s="378"/>
      <c r="H391" s="378" t="str">
        <f t="array" aca="1" ref="H391" ca="1">_xlfn.TEXTJOIN("", TRUE, IF(ISNUMBER(--MID(C391, ROW(INDIRECT("1:"&amp;LEN(C391))), 1)), MID(C391, ROW(INDIRECT("1:"&amp;LEN(C391))), 1), ""))</f>
        <v/>
      </c>
      <c r="I391" s="378"/>
      <c r="J391" s="378">
        <f t="shared" si="175"/>
        <v>0</v>
      </c>
      <c r="K391" s="378" t="str">
        <f t="shared" si="176"/>
        <v/>
      </c>
      <c r="L391" s="378" t="str">
        <f t="shared" si="177"/>
        <v>أجنبي</v>
      </c>
      <c r="M391" s="436" t="str">
        <f t="shared" si="178"/>
        <v/>
      </c>
      <c r="N391" s="436"/>
      <c r="O391" s="378"/>
      <c r="P391" s="378"/>
      <c r="Q391" s="378"/>
      <c r="R391" s="378"/>
      <c r="S391" s="378"/>
      <c r="T391" s="378"/>
      <c r="U391" s="378">
        <v>389</v>
      </c>
      <c r="V391" s="378"/>
      <c r="W391" s="378"/>
      <c r="X391" s="378"/>
      <c r="Y391" s="378"/>
      <c r="Z391" s="378"/>
      <c r="AA391" s="378"/>
      <c r="AB391" s="378"/>
      <c r="AC391" s="378"/>
      <c r="AD391" s="378"/>
      <c r="AE391" s="378"/>
      <c r="AF391" s="378"/>
      <c r="AG391" s="378"/>
      <c r="AH391" s="378"/>
      <c r="AI391" s="378"/>
      <c r="AJ391" s="378"/>
      <c r="AK391" s="378"/>
      <c r="AL391" s="378"/>
      <c r="AM391" s="378"/>
      <c r="AN391" s="378"/>
      <c r="AO391" s="378"/>
      <c r="AP391" s="378"/>
      <c r="AQ391" s="378"/>
    </row>
    <row r="392" spans="2:43">
      <c r="B392" s="378">
        <v>390</v>
      </c>
      <c r="C392" s="378"/>
      <c r="D392" s="378"/>
      <c r="E392" s="378"/>
      <c r="F392" s="378"/>
      <c r="G392" s="378"/>
      <c r="H392" s="378" t="str">
        <f t="array" aca="1" ref="H392" ca="1">_xlfn.TEXTJOIN("", TRUE, IF(ISNUMBER(--MID(C392, ROW(INDIRECT("1:"&amp;LEN(C392))), 1)), MID(C392, ROW(INDIRECT("1:"&amp;LEN(C392))), 1), ""))</f>
        <v/>
      </c>
      <c r="I392" s="378"/>
      <c r="J392" s="378">
        <f t="shared" si="175"/>
        <v>0</v>
      </c>
      <c r="K392" s="378" t="str">
        <f t="shared" si="176"/>
        <v/>
      </c>
      <c r="L392" s="378" t="str">
        <f t="shared" si="177"/>
        <v>أجنبي</v>
      </c>
      <c r="M392" s="436" t="str">
        <f t="shared" si="178"/>
        <v/>
      </c>
      <c r="N392" s="436"/>
      <c r="O392" s="378"/>
      <c r="P392" s="378"/>
      <c r="Q392" s="378"/>
      <c r="R392" s="378"/>
      <c r="S392" s="378"/>
      <c r="T392" s="378"/>
      <c r="U392" s="378">
        <v>390</v>
      </c>
      <c r="V392" s="378"/>
      <c r="W392" s="378"/>
      <c r="X392" s="378"/>
      <c r="Y392" s="378"/>
      <c r="Z392" s="378"/>
      <c r="AA392" s="378"/>
      <c r="AB392" s="378"/>
      <c r="AC392" s="378"/>
      <c r="AD392" s="378"/>
      <c r="AE392" s="378"/>
      <c r="AF392" s="378"/>
      <c r="AG392" s="378"/>
      <c r="AH392" s="378"/>
      <c r="AI392" s="378"/>
      <c r="AJ392" s="378"/>
      <c r="AK392" s="378"/>
      <c r="AL392" s="378"/>
      <c r="AM392" s="378"/>
      <c r="AN392" s="378"/>
      <c r="AO392" s="378"/>
      <c r="AP392" s="378"/>
      <c r="AQ392" s="378"/>
    </row>
    <row r="393" spans="2:43">
      <c r="B393" s="378">
        <v>391</v>
      </c>
      <c r="C393" s="378"/>
      <c r="D393" s="378"/>
      <c r="E393" s="378"/>
      <c r="F393" s="378"/>
      <c r="G393" s="378"/>
      <c r="H393" s="378" t="str">
        <f t="array" aca="1" ref="H393" ca="1">_xlfn.TEXTJOIN("", TRUE, IF(ISNUMBER(--MID(C393, ROW(INDIRECT("1:"&amp;LEN(C393))), 1)), MID(C393, ROW(INDIRECT("1:"&amp;LEN(C393))), 1), ""))</f>
        <v/>
      </c>
      <c r="I393" s="378"/>
      <c r="J393" s="378">
        <f t="shared" si="175"/>
        <v>0</v>
      </c>
      <c r="K393" s="378" t="str">
        <f t="shared" si="176"/>
        <v/>
      </c>
      <c r="L393" s="378" t="str">
        <f t="shared" si="177"/>
        <v>أجنبي</v>
      </c>
      <c r="M393" s="436" t="str">
        <f t="shared" si="178"/>
        <v/>
      </c>
      <c r="N393" s="436"/>
      <c r="O393" s="378"/>
      <c r="P393" s="378"/>
      <c r="Q393" s="378"/>
      <c r="R393" s="378"/>
      <c r="S393" s="378"/>
      <c r="T393" s="378"/>
      <c r="U393" s="378">
        <v>391</v>
      </c>
      <c r="V393" s="378"/>
      <c r="W393" s="378"/>
      <c r="X393" s="378"/>
      <c r="Y393" s="378"/>
      <c r="Z393" s="378"/>
      <c r="AA393" s="378"/>
      <c r="AB393" s="378"/>
      <c r="AC393" s="378"/>
      <c r="AD393" s="378"/>
      <c r="AE393" s="378"/>
      <c r="AF393" s="378"/>
      <c r="AG393" s="378"/>
      <c r="AH393" s="378"/>
      <c r="AI393" s="378"/>
      <c r="AJ393" s="378"/>
      <c r="AK393" s="378"/>
      <c r="AL393" s="378"/>
      <c r="AM393" s="378"/>
      <c r="AN393" s="378"/>
      <c r="AO393" s="378"/>
      <c r="AP393" s="378"/>
      <c r="AQ393" s="378"/>
    </row>
    <row r="394" spans="2:43">
      <c r="B394" s="378">
        <v>392</v>
      </c>
      <c r="C394" s="378"/>
      <c r="D394" s="378"/>
      <c r="E394" s="378"/>
      <c r="F394" s="378"/>
      <c r="G394" s="378"/>
      <c r="H394" s="378" t="str">
        <f t="array" aca="1" ref="H394" ca="1">_xlfn.TEXTJOIN("", TRUE, IF(ISNUMBER(--MID(C394, ROW(INDIRECT("1:"&amp;LEN(C394))), 1)), MID(C394, ROW(INDIRECT("1:"&amp;LEN(C394))), 1), ""))</f>
        <v/>
      </c>
      <c r="I394" s="378"/>
      <c r="J394" s="378">
        <f t="shared" si="175"/>
        <v>0</v>
      </c>
      <c r="K394" s="378" t="str">
        <f t="shared" si="176"/>
        <v/>
      </c>
      <c r="L394" s="378" t="str">
        <f t="shared" si="177"/>
        <v>أجنبي</v>
      </c>
      <c r="M394" s="436" t="str">
        <f t="shared" si="178"/>
        <v/>
      </c>
      <c r="N394" s="436"/>
      <c r="O394" s="378"/>
      <c r="P394" s="378"/>
      <c r="Q394" s="378"/>
      <c r="R394" s="378"/>
      <c r="S394" s="378"/>
      <c r="T394" s="378"/>
      <c r="U394" s="378">
        <v>392</v>
      </c>
      <c r="V394" s="378"/>
      <c r="W394" s="378"/>
      <c r="X394" s="378"/>
      <c r="Y394" s="378"/>
      <c r="Z394" s="378"/>
      <c r="AA394" s="378"/>
      <c r="AB394" s="378"/>
      <c r="AC394" s="378"/>
      <c r="AD394" s="378"/>
      <c r="AE394" s="378"/>
      <c r="AF394" s="378"/>
      <c r="AG394" s="378"/>
      <c r="AH394" s="378"/>
      <c r="AI394" s="378"/>
      <c r="AJ394" s="378"/>
      <c r="AK394" s="378"/>
      <c r="AL394" s="378"/>
      <c r="AM394" s="378"/>
      <c r="AN394" s="378"/>
      <c r="AO394" s="378"/>
      <c r="AP394" s="378"/>
      <c r="AQ394" s="378"/>
    </row>
    <row r="395" spans="2:43">
      <c r="B395" s="378">
        <v>393</v>
      </c>
      <c r="C395" s="378"/>
      <c r="D395" s="378"/>
      <c r="E395" s="378"/>
      <c r="F395" s="378"/>
      <c r="G395" s="378"/>
      <c r="H395" s="378" t="str">
        <f t="array" aca="1" ref="H395" ca="1">_xlfn.TEXTJOIN("", TRUE, IF(ISNUMBER(--MID(C395, ROW(INDIRECT("1:"&amp;LEN(C395))), 1)), MID(C395, ROW(INDIRECT("1:"&amp;LEN(C395))), 1), ""))</f>
        <v/>
      </c>
      <c r="I395" s="378"/>
      <c r="J395" s="378">
        <f t="shared" si="175"/>
        <v>0</v>
      </c>
      <c r="K395" s="378" t="str">
        <f t="shared" si="176"/>
        <v/>
      </c>
      <c r="L395" s="378" t="str">
        <f t="shared" si="177"/>
        <v>أجنبي</v>
      </c>
      <c r="M395" s="436" t="str">
        <f t="shared" si="178"/>
        <v/>
      </c>
      <c r="N395" s="436"/>
      <c r="O395" s="378"/>
      <c r="P395" s="378"/>
      <c r="Q395" s="378"/>
      <c r="R395" s="378"/>
      <c r="S395" s="378"/>
      <c r="T395" s="378"/>
      <c r="U395" s="378">
        <v>393</v>
      </c>
      <c r="V395" s="378"/>
      <c r="W395" s="378"/>
      <c r="X395" s="378"/>
      <c r="Y395" s="378"/>
      <c r="Z395" s="378"/>
      <c r="AA395" s="378"/>
      <c r="AB395" s="378"/>
      <c r="AC395" s="378"/>
      <c r="AD395" s="378"/>
      <c r="AE395" s="378"/>
      <c r="AF395" s="378"/>
      <c r="AG395" s="378"/>
      <c r="AH395" s="378"/>
      <c r="AI395" s="378"/>
      <c r="AJ395" s="378"/>
      <c r="AK395" s="378"/>
      <c r="AL395" s="378"/>
      <c r="AM395" s="378"/>
      <c r="AN395" s="378"/>
      <c r="AO395" s="378"/>
      <c r="AP395" s="378"/>
      <c r="AQ395" s="378"/>
    </row>
    <row r="396" spans="2:43">
      <c r="B396" s="378">
        <v>394</v>
      </c>
      <c r="C396" s="378"/>
      <c r="D396" s="378"/>
      <c r="E396" s="378"/>
      <c r="F396" s="378"/>
      <c r="G396" s="378"/>
      <c r="H396" s="378" t="str">
        <f t="array" aca="1" ref="H396" ca="1">_xlfn.TEXTJOIN("", TRUE, IF(ISNUMBER(--MID(C396, ROW(INDIRECT("1:"&amp;LEN(C396))), 1)), MID(C396, ROW(INDIRECT("1:"&amp;LEN(C396))), 1), ""))</f>
        <v/>
      </c>
      <c r="I396" s="378"/>
      <c r="J396" s="378">
        <f t="shared" si="175"/>
        <v>0</v>
      </c>
      <c r="K396" s="378" t="str">
        <f t="shared" si="176"/>
        <v/>
      </c>
      <c r="L396" s="378" t="str">
        <f t="shared" si="177"/>
        <v>أجنبي</v>
      </c>
      <c r="M396" s="436" t="str">
        <f t="shared" si="178"/>
        <v/>
      </c>
      <c r="N396" s="436"/>
      <c r="O396" s="378"/>
      <c r="P396" s="378"/>
      <c r="Q396" s="378"/>
      <c r="R396" s="378"/>
      <c r="S396" s="378"/>
      <c r="T396" s="378"/>
      <c r="U396" s="378">
        <v>394</v>
      </c>
      <c r="V396" s="378"/>
      <c r="W396" s="378"/>
      <c r="X396" s="378"/>
      <c r="Y396" s="378"/>
      <c r="Z396" s="378"/>
      <c r="AA396" s="378"/>
      <c r="AB396" s="378"/>
      <c r="AC396" s="378"/>
      <c r="AD396" s="378"/>
      <c r="AE396" s="378"/>
      <c r="AF396" s="378"/>
      <c r="AG396" s="378"/>
      <c r="AH396" s="378"/>
      <c r="AI396" s="378"/>
      <c r="AJ396" s="378"/>
      <c r="AK396" s="378"/>
      <c r="AL396" s="378"/>
      <c r="AM396" s="378"/>
      <c r="AN396" s="378"/>
      <c r="AO396" s="378"/>
      <c r="AP396" s="378"/>
      <c r="AQ396" s="378"/>
    </row>
    <row r="397" spans="2:43">
      <c r="B397" s="378">
        <v>395</v>
      </c>
      <c r="C397" s="378"/>
      <c r="D397" s="378"/>
      <c r="E397" s="378"/>
      <c r="F397" s="378"/>
      <c r="G397" s="378"/>
      <c r="H397" s="378" t="str">
        <f t="array" aca="1" ref="H397" ca="1">_xlfn.TEXTJOIN("", TRUE, IF(ISNUMBER(--MID(C397, ROW(INDIRECT("1:"&amp;LEN(C397))), 1)), MID(C397, ROW(INDIRECT("1:"&amp;LEN(C397))), 1), ""))</f>
        <v/>
      </c>
      <c r="I397" s="378"/>
      <c r="J397" s="378">
        <f t="shared" si="175"/>
        <v>0</v>
      </c>
      <c r="K397" s="378" t="str">
        <f t="shared" si="176"/>
        <v/>
      </c>
      <c r="L397" s="378" t="str">
        <f t="shared" si="177"/>
        <v>أجنبي</v>
      </c>
      <c r="M397" s="436" t="str">
        <f t="shared" si="178"/>
        <v/>
      </c>
      <c r="N397" s="436"/>
      <c r="O397" s="378"/>
      <c r="P397" s="378"/>
      <c r="Q397" s="378"/>
      <c r="R397" s="378"/>
      <c r="S397" s="378"/>
      <c r="T397" s="378"/>
      <c r="U397" s="378">
        <v>395</v>
      </c>
      <c r="V397" s="378"/>
      <c r="W397" s="378"/>
      <c r="X397" s="378"/>
      <c r="Y397" s="378"/>
      <c r="Z397" s="378"/>
      <c r="AA397" s="378"/>
      <c r="AB397" s="378"/>
      <c r="AC397" s="378"/>
      <c r="AD397" s="378"/>
      <c r="AE397" s="378"/>
      <c r="AF397" s="378"/>
      <c r="AG397" s="378"/>
      <c r="AH397" s="378"/>
      <c r="AI397" s="378"/>
      <c r="AJ397" s="378"/>
      <c r="AK397" s="378"/>
      <c r="AL397" s="378"/>
      <c r="AM397" s="378"/>
      <c r="AN397" s="378"/>
      <c r="AO397" s="378"/>
      <c r="AP397" s="378"/>
      <c r="AQ397" s="378"/>
    </row>
    <row r="398" spans="2:43">
      <c r="B398" s="378">
        <v>396</v>
      </c>
      <c r="C398" s="378"/>
      <c r="D398" s="378"/>
      <c r="E398" s="378"/>
      <c r="F398" s="378"/>
      <c r="G398" s="378"/>
      <c r="H398" s="378" t="str">
        <f t="array" aca="1" ref="H398" ca="1">_xlfn.TEXTJOIN("", TRUE, IF(ISNUMBER(--MID(C398, ROW(INDIRECT("1:"&amp;LEN(C398))), 1)), MID(C398, ROW(INDIRECT("1:"&amp;LEN(C398))), 1), ""))</f>
        <v/>
      </c>
      <c r="I398" s="378"/>
      <c r="J398" s="378">
        <f t="shared" si="175"/>
        <v>0</v>
      </c>
      <c r="K398" s="378" t="str">
        <f t="shared" si="176"/>
        <v/>
      </c>
      <c r="L398" s="378" t="str">
        <f t="shared" si="177"/>
        <v>أجنبي</v>
      </c>
      <c r="M398" s="436" t="str">
        <f t="shared" si="178"/>
        <v/>
      </c>
      <c r="N398" s="436"/>
      <c r="O398" s="378"/>
      <c r="P398" s="378"/>
      <c r="Q398" s="378"/>
      <c r="R398" s="378"/>
      <c r="S398" s="378"/>
      <c r="T398" s="378"/>
      <c r="U398" s="378">
        <v>396</v>
      </c>
      <c r="V398" s="378"/>
      <c r="W398" s="378"/>
      <c r="X398" s="378"/>
      <c r="Y398" s="378"/>
      <c r="Z398" s="378"/>
      <c r="AA398" s="378"/>
      <c r="AB398" s="378"/>
      <c r="AC398" s="378"/>
      <c r="AD398" s="378"/>
      <c r="AE398" s="378"/>
      <c r="AF398" s="378"/>
      <c r="AG398" s="378"/>
      <c r="AH398" s="378"/>
      <c r="AI398" s="378"/>
      <c r="AJ398" s="378"/>
      <c r="AK398" s="378"/>
      <c r="AL398" s="378"/>
      <c r="AM398" s="378"/>
      <c r="AN398" s="378"/>
      <c r="AO398" s="378"/>
      <c r="AP398" s="378"/>
      <c r="AQ398" s="378"/>
    </row>
    <row r="399" spans="2:43">
      <c r="B399" s="378">
        <v>397</v>
      </c>
      <c r="C399" s="378"/>
      <c r="D399" s="378"/>
      <c r="E399" s="378"/>
      <c r="F399" s="378"/>
      <c r="G399" s="378"/>
      <c r="H399" s="378" t="str">
        <f t="array" aca="1" ref="H399" ca="1">_xlfn.TEXTJOIN("", TRUE, IF(ISNUMBER(--MID(C399, ROW(INDIRECT("1:"&amp;LEN(C399))), 1)), MID(C399, ROW(INDIRECT("1:"&amp;LEN(C399))), 1), ""))</f>
        <v/>
      </c>
      <c r="I399" s="378"/>
      <c r="J399" s="378">
        <f t="shared" si="175"/>
        <v>0</v>
      </c>
      <c r="K399" s="378" t="str">
        <f t="shared" si="176"/>
        <v/>
      </c>
      <c r="L399" s="378" t="str">
        <f t="shared" si="177"/>
        <v>أجنبي</v>
      </c>
      <c r="M399" s="436" t="str">
        <f t="shared" si="178"/>
        <v/>
      </c>
      <c r="N399" s="436"/>
      <c r="O399" s="378"/>
      <c r="P399" s="378"/>
      <c r="Q399" s="378"/>
      <c r="R399" s="378"/>
      <c r="S399" s="378"/>
      <c r="T399" s="378"/>
      <c r="U399" s="378">
        <v>397</v>
      </c>
      <c r="V399" s="378"/>
      <c r="W399" s="378"/>
      <c r="X399" s="378"/>
      <c r="Y399" s="378"/>
      <c r="Z399" s="378"/>
      <c r="AA399" s="378"/>
      <c r="AB399" s="378"/>
      <c r="AC399" s="378"/>
      <c r="AD399" s="378"/>
      <c r="AE399" s="378"/>
      <c r="AF399" s="378"/>
      <c r="AG399" s="378"/>
      <c r="AH399" s="378"/>
      <c r="AI399" s="378"/>
      <c r="AJ399" s="378"/>
      <c r="AK399" s="378"/>
      <c r="AL399" s="378"/>
      <c r="AM399" s="378"/>
      <c r="AN399" s="378"/>
      <c r="AO399" s="378"/>
      <c r="AP399" s="378"/>
      <c r="AQ399" s="378"/>
    </row>
    <row r="400" spans="2:43">
      <c r="B400" s="378">
        <v>398</v>
      </c>
      <c r="C400" s="378"/>
      <c r="D400" s="378"/>
      <c r="E400" s="378"/>
      <c r="F400" s="378"/>
      <c r="G400" s="378"/>
      <c r="H400" s="378" t="str">
        <f t="array" aca="1" ref="H400" ca="1">_xlfn.TEXTJOIN("", TRUE, IF(ISNUMBER(--MID(C400, ROW(INDIRECT("1:"&amp;LEN(C400))), 1)), MID(C400, ROW(INDIRECT("1:"&amp;LEN(C400))), 1), ""))</f>
        <v/>
      </c>
      <c r="I400" s="378"/>
      <c r="J400" s="378">
        <f t="shared" si="175"/>
        <v>0</v>
      </c>
      <c r="K400" s="378" t="str">
        <f t="shared" si="176"/>
        <v/>
      </c>
      <c r="L400" s="378" t="str">
        <f t="shared" si="177"/>
        <v>أجنبي</v>
      </c>
      <c r="M400" s="436" t="str">
        <f t="shared" si="178"/>
        <v/>
      </c>
      <c r="N400" s="436"/>
      <c r="O400" s="378"/>
      <c r="P400" s="378"/>
      <c r="Q400" s="378"/>
      <c r="R400" s="378"/>
      <c r="S400" s="378"/>
      <c r="T400" s="378"/>
      <c r="U400" s="378">
        <v>398</v>
      </c>
      <c r="V400" s="378"/>
      <c r="W400" s="378"/>
      <c r="X400" s="378"/>
      <c r="Y400" s="378"/>
      <c r="Z400" s="378"/>
      <c r="AA400" s="378"/>
      <c r="AB400" s="378"/>
      <c r="AC400" s="378"/>
      <c r="AD400" s="378"/>
      <c r="AE400" s="378"/>
      <c r="AF400" s="378"/>
      <c r="AG400" s="378"/>
      <c r="AH400" s="378"/>
      <c r="AI400" s="378"/>
      <c r="AJ400" s="378"/>
      <c r="AK400" s="378"/>
      <c r="AL400" s="378"/>
      <c r="AM400" s="378"/>
      <c r="AN400" s="378"/>
      <c r="AO400" s="378"/>
      <c r="AP400" s="378"/>
      <c r="AQ400" s="378"/>
    </row>
    <row r="401" spans="2:43">
      <c r="B401" s="378">
        <v>399</v>
      </c>
      <c r="C401" s="378"/>
      <c r="D401" s="378"/>
      <c r="E401" s="378"/>
      <c r="F401" s="378"/>
      <c r="G401" s="378"/>
      <c r="H401" s="378" t="str">
        <f t="array" aca="1" ref="H401" ca="1">_xlfn.TEXTJOIN("", TRUE, IF(ISNUMBER(--MID(C401, ROW(INDIRECT("1:"&amp;LEN(C401))), 1)), MID(C401, ROW(INDIRECT("1:"&amp;LEN(C401))), 1), ""))</f>
        <v/>
      </c>
      <c r="I401" s="378"/>
      <c r="J401" s="378">
        <f t="shared" si="175"/>
        <v>0</v>
      </c>
      <c r="K401" s="378" t="str">
        <f t="shared" si="176"/>
        <v/>
      </c>
      <c r="L401" s="378" t="str">
        <f t="shared" si="177"/>
        <v>أجنبي</v>
      </c>
      <c r="M401" s="436" t="str">
        <f t="shared" si="178"/>
        <v/>
      </c>
      <c r="N401" s="436"/>
      <c r="O401" s="378"/>
      <c r="P401" s="378"/>
      <c r="Q401" s="378"/>
      <c r="R401" s="378"/>
      <c r="S401" s="378"/>
      <c r="T401" s="378"/>
      <c r="U401" s="378">
        <v>399</v>
      </c>
      <c r="V401" s="378"/>
      <c r="W401" s="378"/>
      <c r="X401" s="378"/>
      <c r="Y401" s="378"/>
      <c r="Z401" s="378"/>
      <c r="AA401" s="378"/>
      <c r="AB401" s="378"/>
      <c r="AC401" s="378"/>
      <c r="AD401" s="378"/>
      <c r="AE401" s="378"/>
      <c r="AF401" s="378"/>
      <c r="AG401" s="378"/>
      <c r="AH401" s="378"/>
      <c r="AI401" s="378"/>
      <c r="AJ401" s="378"/>
      <c r="AK401" s="378"/>
      <c r="AL401" s="378"/>
      <c r="AM401" s="378"/>
      <c r="AN401" s="378"/>
      <c r="AO401" s="378"/>
      <c r="AP401" s="378"/>
      <c r="AQ401" s="378"/>
    </row>
    <row r="402" spans="2:43">
      <c r="B402" s="378">
        <v>400</v>
      </c>
      <c r="C402" s="378"/>
      <c r="D402" s="378"/>
      <c r="E402" s="378"/>
      <c r="F402" s="378"/>
      <c r="G402" s="378"/>
      <c r="H402" s="378" t="str">
        <f t="array" aca="1" ref="H402" ca="1">_xlfn.TEXTJOIN("", TRUE, IF(ISNUMBER(--MID(C402, ROW(INDIRECT("1:"&amp;LEN(C402))), 1)), MID(C402, ROW(INDIRECT("1:"&amp;LEN(C402))), 1), ""))</f>
        <v/>
      </c>
      <c r="I402" s="378"/>
      <c r="J402" s="378">
        <f t="shared" si="175"/>
        <v>0</v>
      </c>
      <c r="K402" s="378" t="str">
        <f t="shared" si="176"/>
        <v/>
      </c>
      <c r="L402" s="378" t="str">
        <f t="shared" si="177"/>
        <v>أجنبي</v>
      </c>
      <c r="M402" s="436" t="str">
        <f t="shared" si="178"/>
        <v/>
      </c>
      <c r="N402" s="436"/>
      <c r="O402" s="378"/>
      <c r="P402" s="378"/>
      <c r="Q402" s="378"/>
      <c r="R402" s="91"/>
      <c r="S402" s="378"/>
      <c r="T402" s="378"/>
      <c r="U402" s="378">
        <v>400</v>
      </c>
      <c r="V402" s="378"/>
      <c r="W402" s="378"/>
      <c r="X402" s="378"/>
      <c r="Y402" s="378"/>
      <c r="Z402" s="378"/>
      <c r="AA402" s="378"/>
      <c r="AB402" s="378"/>
      <c r="AC402" s="378"/>
      <c r="AD402" s="378"/>
      <c r="AE402" s="378"/>
      <c r="AF402" s="378"/>
      <c r="AG402" s="378"/>
      <c r="AH402" s="378"/>
      <c r="AI402" s="378"/>
      <c r="AJ402" s="378"/>
      <c r="AK402" s="378"/>
      <c r="AL402" s="378"/>
      <c r="AM402" s="378"/>
      <c r="AN402" s="378"/>
      <c r="AO402" s="378"/>
      <c r="AP402" s="378"/>
      <c r="AQ402" s="378"/>
    </row>
    <row r="403" spans="2:43">
      <c r="B403" s="378">
        <v>401</v>
      </c>
      <c r="C403" s="378"/>
      <c r="D403" s="378"/>
      <c r="E403" s="378"/>
      <c r="F403" s="378"/>
      <c r="G403" s="378"/>
      <c r="H403" s="378" t="str">
        <f t="array" aca="1" ref="H403" ca="1">_xlfn.TEXTJOIN("", TRUE, IF(ISNUMBER(--MID(C403, ROW(INDIRECT("1:"&amp;LEN(C403))), 1)), MID(C403, ROW(INDIRECT("1:"&amp;LEN(C403))), 1), ""))</f>
        <v/>
      </c>
      <c r="I403" s="378"/>
      <c r="J403" s="378">
        <f t="shared" si="175"/>
        <v>0</v>
      </c>
      <c r="K403" s="378" t="str">
        <f t="shared" si="176"/>
        <v/>
      </c>
      <c r="L403" s="378" t="str">
        <f t="shared" si="177"/>
        <v>أجنبي</v>
      </c>
      <c r="M403" s="436" t="str">
        <f t="shared" si="178"/>
        <v/>
      </c>
      <c r="N403" s="436"/>
      <c r="O403" s="378"/>
      <c r="P403" s="378"/>
      <c r="Q403" s="378"/>
      <c r="R403" s="378"/>
      <c r="S403" s="378"/>
      <c r="T403" s="378"/>
      <c r="U403" s="378">
        <v>401</v>
      </c>
      <c r="V403" s="378"/>
      <c r="W403" s="378"/>
      <c r="X403" s="378"/>
      <c r="Y403" s="378"/>
      <c r="Z403" s="378"/>
      <c r="AA403" s="378"/>
      <c r="AB403" s="378"/>
      <c r="AC403" s="378"/>
      <c r="AD403" s="378"/>
      <c r="AE403" s="378"/>
      <c r="AF403" s="378"/>
      <c r="AG403" s="378"/>
      <c r="AH403" s="378"/>
      <c r="AI403" s="378"/>
      <c r="AJ403" s="378"/>
      <c r="AK403" s="378"/>
      <c r="AL403" s="378"/>
      <c r="AM403" s="378"/>
      <c r="AN403" s="378"/>
      <c r="AO403" s="378"/>
      <c r="AP403" s="378"/>
      <c r="AQ403" s="378"/>
    </row>
    <row r="404" spans="2:43">
      <c r="B404" s="378">
        <v>402</v>
      </c>
      <c r="C404" s="378"/>
      <c r="D404" s="378"/>
      <c r="E404" s="378"/>
      <c r="F404" s="378"/>
      <c r="G404" s="378"/>
      <c r="H404" s="378" t="str">
        <f t="array" aca="1" ref="H404" ca="1">_xlfn.TEXTJOIN("", TRUE, IF(ISNUMBER(--MID(C404, ROW(INDIRECT("1:"&amp;LEN(C404))), 1)), MID(C404, ROW(INDIRECT("1:"&amp;LEN(C404))), 1), ""))</f>
        <v/>
      </c>
      <c r="I404" s="378"/>
      <c r="J404" s="378">
        <f t="shared" si="175"/>
        <v>0</v>
      </c>
      <c r="K404" s="378" t="str">
        <f t="shared" si="176"/>
        <v/>
      </c>
      <c r="L404" s="378" t="str">
        <f t="shared" si="177"/>
        <v>أجنبي</v>
      </c>
      <c r="M404" s="436" t="str">
        <f t="shared" si="178"/>
        <v/>
      </c>
      <c r="N404" s="436"/>
      <c r="O404" s="378"/>
      <c r="P404" s="378"/>
      <c r="Q404" s="378"/>
      <c r="R404" s="378"/>
      <c r="S404" s="378"/>
      <c r="T404" s="378"/>
      <c r="U404" s="378">
        <v>402</v>
      </c>
      <c r="V404" s="378"/>
      <c r="W404" s="378"/>
      <c r="X404" s="378"/>
      <c r="Y404" s="378"/>
      <c r="Z404" s="378"/>
      <c r="AA404" s="378"/>
      <c r="AB404" s="378"/>
      <c r="AC404" s="378"/>
      <c r="AD404" s="378"/>
      <c r="AE404" s="378"/>
      <c r="AF404" s="378"/>
      <c r="AG404" s="378"/>
      <c r="AH404" s="378"/>
      <c r="AI404" s="378"/>
      <c r="AJ404" s="378"/>
      <c r="AK404" s="378"/>
      <c r="AL404" s="378"/>
      <c r="AM404" s="378"/>
      <c r="AN404" s="378"/>
      <c r="AO404" s="378"/>
      <c r="AP404" s="378"/>
      <c r="AQ404" s="378"/>
    </row>
    <row r="405" spans="2:43">
      <c r="B405" s="378">
        <v>403</v>
      </c>
      <c r="C405" s="378"/>
      <c r="D405" s="378"/>
      <c r="E405" s="378"/>
      <c r="F405" s="378"/>
      <c r="G405" s="378"/>
      <c r="H405" s="378" t="str">
        <f t="array" aca="1" ref="H405" ca="1">_xlfn.TEXTJOIN("", TRUE, IF(ISNUMBER(--MID(C405, ROW(INDIRECT("1:"&amp;LEN(C405))), 1)), MID(C405, ROW(INDIRECT("1:"&amp;LEN(C405))), 1), ""))</f>
        <v/>
      </c>
      <c r="I405" s="378"/>
      <c r="J405" s="378">
        <f t="shared" si="175"/>
        <v>0</v>
      </c>
      <c r="K405" s="378" t="str">
        <f t="shared" si="176"/>
        <v/>
      </c>
      <c r="L405" s="378" t="str">
        <f t="shared" si="177"/>
        <v>أجنبي</v>
      </c>
      <c r="M405" s="436" t="str">
        <f t="shared" si="178"/>
        <v/>
      </c>
      <c r="N405" s="436"/>
      <c r="O405" s="378"/>
      <c r="P405" s="378"/>
      <c r="Q405" s="378"/>
      <c r="R405" s="378"/>
      <c r="S405" s="378"/>
      <c r="T405" s="378"/>
      <c r="U405" s="378">
        <v>403</v>
      </c>
      <c r="V405" s="378"/>
      <c r="W405" s="378"/>
      <c r="X405" s="378"/>
      <c r="Y405" s="378"/>
      <c r="Z405" s="378"/>
      <c r="AA405" s="378"/>
      <c r="AB405" s="378"/>
      <c r="AC405" s="378"/>
      <c r="AD405" s="378"/>
      <c r="AE405" s="378"/>
      <c r="AF405" s="378"/>
      <c r="AG405" s="378"/>
      <c r="AH405" s="378"/>
      <c r="AI405" s="378"/>
      <c r="AJ405" s="378"/>
      <c r="AK405" s="378"/>
      <c r="AL405" s="378"/>
      <c r="AM405" s="378"/>
      <c r="AN405" s="378"/>
      <c r="AO405" s="378"/>
      <c r="AP405" s="378"/>
      <c r="AQ405" s="378"/>
    </row>
    <row r="406" spans="2:43">
      <c r="B406" s="378">
        <v>404</v>
      </c>
      <c r="C406" s="378"/>
      <c r="D406" s="378"/>
      <c r="E406" s="378"/>
      <c r="F406" s="378"/>
      <c r="G406" s="378"/>
      <c r="H406" s="378" t="str">
        <f t="array" aca="1" ref="H406" ca="1">_xlfn.TEXTJOIN("", TRUE, IF(ISNUMBER(--MID(C406, ROW(INDIRECT("1:"&amp;LEN(C406))), 1)), MID(C406, ROW(INDIRECT("1:"&amp;LEN(C406))), 1), ""))</f>
        <v/>
      </c>
      <c r="I406" s="378"/>
      <c r="J406" s="378">
        <f t="shared" si="175"/>
        <v>0</v>
      </c>
      <c r="K406" s="378" t="str">
        <f t="shared" si="176"/>
        <v/>
      </c>
      <c r="L406" s="378" t="str">
        <f t="shared" si="177"/>
        <v>أجنبي</v>
      </c>
      <c r="M406" s="436" t="str">
        <f t="shared" si="178"/>
        <v/>
      </c>
      <c r="N406" s="436"/>
      <c r="O406" s="378"/>
      <c r="P406" s="378"/>
      <c r="Q406" s="378"/>
      <c r="R406" s="378"/>
      <c r="S406" s="378"/>
      <c r="T406" s="378"/>
      <c r="U406" s="378">
        <v>404</v>
      </c>
      <c r="V406" s="378"/>
      <c r="W406" s="378"/>
      <c r="X406" s="378"/>
      <c r="Y406" s="378"/>
      <c r="Z406" s="378"/>
      <c r="AA406" s="378"/>
      <c r="AB406" s="378"/>
      <c r="AC406" s="378"/>
      <c r="AD406" s="378"/>
      <c r="AE406" s="378"/>
      <c r="AF406" s="378"/>
      <c r="AG406" s="378"/>
      <c r="AH406" s="378"/>
      <c r="AI406" s="378"/>
      <c r="AJ406" s="378"/>
      <c r="AK406" s="378"/>
      <c r="AL406" s="378"/>
      <c r="AM406" s="378"/>
      <c r="AN406" s="378"/>
      <c r="AO406" s="378"/>
      <c r="AP406" s="378"/>
      <c r="AQ406" s="378"/>
    </row>
    <row r="407" spans="2:43">
      <c r="B407" s="378">
        <v>405</v>
      </c>
      <c r="C407" s="378"/>
      <c r="D407" s="378"/>
      <c r="E407" s="378"/>
      <c r="F407" s="378"/>
      <c r="G407" s="378"/>
      <c r="H407" s="378" t="str">
        <f t="array" aca="1" ref="H407" ca="1">_xlfn.TEXTJOIN("", TRUE, IF(ISNUMBER(--MID(C407, ROW(INDIRECT("1:"&amp;LEN(C407))), 1)), MID(C407, ROW(INDIRECT("1:"&amp;LEN(C407))), 1), ""))</f>
        <v/>
      </c>
      <c r="I407" s="378"/>
      <c r="J407" s="378">
        <f t="shared" si="175"/>
        <v>0</v>
      </c>
      <c r="K407" s="378" t="str">
        <f t="shared" si="176"/>
        <v/>
      </c>
      <c r="L407" s="378" t="str">
        <f t="shared" si="177"/>
        <v>أجنبي</v>
      </c>
      <c r="M407" s="436" t="str">
        <f t="shared" si="178"/>
        <v/>
      </c>
      <c r="N407" s="436"/>
      <c r="O407" s="378"/>
      <c r="P407" s="378"/>
      <c r="Q407" s="378"/>
      <c r="R407" s="378"/>
      <c r="S407" s="378"/>
      <c r="T407" s="378"/>
      <c r="U407" s="378">
        <v>405</v>
      </c>
      <c r="V407" s="378"/>
      <c r="W407" s="378"/>
      <c r="X407" s="378"/>
      <c r="Y407" s="378"/>
      <c r="Z407" s="378"/>
      <c r="AA407" s="378"/>
      <c r="AB407" s="378"/>
      <c r="AC407" s="378"/>
      <c r="AD407" s="378"/>
      <c r="AE407" s="378"/>
      <c r="AF407" s="378"/>
      <c r="AG407" s="378"/>
      <c r="AH407" s="378"/>
      <c r="AI407" s="378"/>
      <c r="AJ407" s="378"/>
      <c r="AK407" s="378"/>
      <c r="AL407" s="378"/>
      <c r="AM407" s="378"/>
      <c r="AN407" s="378"/>
      <c r="AO407" s="378"/>
      <c r="AP407" s="378"/>
      <c r="AQ407" s="378"/>
    </row>
    <row r="408" spans="2:43">
      <c r="B408" s="378">
        <v>406</v>
      </c>
      <c r="C408" s="378"/>
      <c r="D408" s="378"/>
      <c r="E408" s="378"/>
      <c r="F408" s="378"/>
      <c r="G408" s="378"/>
      <c r="H408" s="378" t="str">
        <f t="array" aca="1" ref="H408" ca="1">_xlfn.TEXTJOIN("", TRUE, IF(ISNUMBER(--MID(C408, ROW(INDIRECT("1:"&amp;LEN(C408))), 1)), MID(C408, ROW(INDIRECT("1:"&amp;LEN(C408))), 1), ""))</f>
        <v/>
      </c>
      <c r="I408" s="378"/>
      <c r="J408" s="378">
        <f t="shared" si="175"/>
        <v>0</v>
      </c>
      <c r="K408" s="378" t="str">
        <f t="shared" si="176"/>
        <v/>
      </c>
      <c r="L408" s="378" t="str">
        <f t="shared" si="177"/>
        <v>أجنبي</v>
      </c>
      <c r="M408" s="436" t="str">
        <f t="shared" si="178"/>
        <v/>
      </c>
      <c r="N408" s="436"/>
      <c r="O408" s="378"/>
      <c r="P408" s="378"/>
      <c r="Q408" s="378"/>
      <c r="R408" s="378"/>
      <c r="S408" s="378"/>
      <c r="T408" s="378"/>
      <c r="U408" s="378">
        <v>406</v>
      </c>
      <c r="V408" s="378"/>
      <c r="W408" s="378"/>
      <c r="X408" s="378"/>
      <c r="Y408" s="378"/>
      <c r="Z408" s="378"/>
      <c r="AA408" s="378"/>
      <c r="AB408" s="378"/>
      <c r="AC408" s="378"/>
      <c r="AD408" s="378"/>
      <c r="AE408" s="378"/>
      <c r="AF408" s="378"/>
      <c r="AG408" s="378"/>
      <c r="AH408" s="378"/>
      <c r="AI408" s="378"/>
      <c r="AJ408" s="378"/>
      <c r="AK408" s="378"/>
      <c r="AL408" s="378"/>
      <c r="AM408" s="378"/>
      <c r="AN408" s="378"/>
      <c r="AO408" s="378"/>
      <c r="AP408" s="378"/>
      <c r="AQ408" s="378"/>
    </row>
    <row r="409" spans="2:43">
      <c r="B409" s="378">
        <v>407</v>
      </c>
      <c r="C409" s="378"/>
      <c r="D409" s="378"/>
      <c r="E409" s="378"/>
      <c r="F409" s="378"/>
      <c r="G409" s="378"/>
      <c r="H409" s="378" t="str">
        <f t="array" aca="1" ref="H409" ca="1">_xlfn.TEXTJOIN("", TRUE, IF(ISNUMBER(--MID(C409, ROW(INDIRECT("1:"&amp;LEN(C409))), 1)), MID(C409, ROW(INDIRECT("1:"&amp;LEN(C409))), 1), ""))</f>
        <v/>
      </c>
      <c r="I409" s="378"/>
      <c r="J409" s="378">
        <f t="shared" si="175"/>
        <v>0</v>
      </c>
      <c r="K409" s="378" t="str">
        <f t="shared" si="176"/>
        <v/>
      </c>
      <c r="L409" s="378" t="str">
        <f t="shared" si="177"/>
        <v>أجنبي</v>
      </c>
      <c r="M409" s="436" t="str">
        <f t="shared" si="178"/>
        <v/>
      </c>
      <c r="N409" s="436"/>
      <c r="O409" s="378"/>
      <c r="P409" s="378"/>
      <c r="Q409" s="378"/>
      <c r="R409" s="378"/>
      <c r="S409" s="378"/>
      <c r="T409" s="378"/>
      <c r="U409" s="378">
        <v>407</v>
      </c>
      <c r="V409" s="378"/>
      <c r="W409" s="378"/>
      <c r="X409" s="378"/>
      <c r="Y409" s="378"/>
      <c r="Z409" s="378"/>
      <c r="AA409" s="378"/>
      <c r="AB409" s="378"/>
      <c r="AC409" s="378"/>
      <c r="AD409" s="378"/>
      <c r="AE409" s="378"/>
      <c r="AF409" s="378"/>
      <c r="AG409" s="378"/>
      <c r="AH409" s="378"/>
      <c r="AI409" s="378"/>
      <c r="AJ409" s="378"/>
      <c r="AK409" s="378"/>
      <c r="AL409" s="378"/>
      <c r="AM409" s="378"/>
      <c r="AN409" s="378"/>
      <c r="AO409" s="378"/>
      <c r="AP409" s="378"/>
      <c r="AQ409" s="378"/>
    </row>
    <row r="410" spans="2:43">
      <c r="B410" s="378">
        <v>408</v>
      </c>
      <c r="C410" s="378"/>
      <c r="D410" s="378"/>
      <c r="E410" s="378"/>
      <c r="F410" s="378"/>
      <c r="G410" s="378"/>
      <c r="H410" s="378" t="str">
        <f t="array" aca="1" ref="H410" ca="1">_xlfn.TEXTJOIN("", TRUE, IF(ISNUMBER(--MID(C410, ROW(INDIRECT("1:"&amp;LEN(C410))), 1)), MID(C410, ROW(INDIRECT("1:"&amp;LEN(C410))), 1), ""))</f>
        <v/>
      </c>
      <c r="I410" s="378"/>
      <c r="J410" s="378">
        <f t="shared" si="175"/>
        <v>0</v>
      </c>
      <c r="K410" s="378" t="str">
        <f t="shared" si="176"/>
        <v/>
      </c>
      <c r="L410" s="378" t="str">
        <f t="shared" si="177"/>
        <v>أجنبي</v>
      </c>
      <c r="M410" s="436" t="str">
        <f t="shared" si="178"/>
        <v/>
      </c>
      <c r="N410" s="436"/>
      <c r="O410" s="378"/>
      <c r="P410" s="378"/>
      <c r="Q410" s="378"/>
      <c r="R410" s="378"/>
      <c r="S410" s="378"/>
      <c r="T410" s="378"/>
      <c r="U410" s="378">
        <v>408</v>
      </c>
      <c r="V410" s="378"/>
      <c r="W410" s="378"/>
      <c r="X410" s="378"/>
      <c r="Y410" s="378"/>
      <c r="Z410" s="378"/>
      <c r="AA410" s="378"/>
      <c r="AB410" s="378"/>
      <c r="AC410" s="378"/>
      <c r="AD410" s="378"/>
      <c r="AE410" s="378"/>
      <c r="AF410" s="378"/>
      <c r="AG410" s="378"/>
      <c r="AH410" s="378"/>
      <c r="AI410" s="378"/>
      <c r="AJ410" s="378"/>
      <c r="AK410" s="378"/>
      <c r="AL410" s="378"/>
      <c r="AM410" s="378"/>
      <c r="AN410" s="378"/>
      <c r="AO410" s="378"/>
      <c r="AP410" s="378"/>
      <c r="AQ410" s="378"/>
    </row>
    <row r="411" spans="2:43">
      <c r="B411" s="378">
        <v>409</v>
      </c>
      <c r="C411" s="378"/>
      <c r="D411" s="378"/>
      <c r="E411" s="378"/>
      <c r="F411" s="378"/>
      <c r="G411" s="378"/>
      <c r="H411" s="378" t="str">
        <f t="array" aca="1" ref="H411" ca="1">_xlfn.TEXTJOIN("", TRUE, IF(ISNUMBER(--MID(C411, ROW(INDIRECT("1:"&amp;LEN(C411))), 1)), MID(C411, ROW(INDIRECT("1:"&amp;LEN(C411))), 1), ""))</f>
        <v/>
      </c>
      <c r="I411" s="378"/>
      <c r="J411" s="378">
        <f t="shared" si="175"/>
        <v>0</v>
      </c>
      <c r="K411" s="378" t="str">
        <f t="shared" si="176"/>
        <v/>
      </c>
      <c r="L411" s="378" t="str">
        <f t="shared" si="177"/>
        <v>أجنبي</v>
      </c>
      <c r="M411" s="436" t="str">
        <f t="shared" si="178"/>
        <v/>
      </c>
      <c r="N411" s="436"/>
      <c r="O411" s="378"/>
      <c r="P411" s="378"/>
      <c r="Q411" s="378"/>
      <c r="R411" s="378"/>
      <c r="S411" s="378"/>
      <c r="T411" s="378"/>
      <c r="U411" s="378">
        <v>409</v>
      </c>
      <c r="V411" s="378"/>
      <c r="W411" s="378"/>
      <c r="X411" s="378"/>
      <c r="Y411" s="378"/>
      <c r="Z411" s="378"/>
      <c r="AA411" s="378"/>
      <c r="AB411" s="378"/>
      <c r="AC411" s="378"/>
      <c r="AD411" s="378"/>
      <c r="AE411" s="378"/>
      <c r="AF411" s="378"/>
      <c r="AG411" s="378"/>
      <c r="AH411" s="378"/>
      <c r="AI411" s="378"/>
      <c r="AJ411" s="378"/>
      <c r="AK411" s="378"/>
      <c r="AL411" s="378"/>
      <c r="AM411" s="378"/>
      <c r="AN411" s="378"/>
      <c r="AO411" s="378"/>
      <c r="AP411" s="378"/>
      <c r="AQ411" s="378"/>
    </row>
    <row r="412" spans="2:43">
      <c r="B412" s="378">
        <v>410</v>
      </c>
      <c r="C412" s="378"/>
      <c r="D412" s="378"/>
      <c r="E412" s="378"/>
      <c r="F412" s="378"/>
      <c r="G412" s="378"/>
      <c r="H412" s="378" t="str">
        <f t="array" aca="1" ref="H412" ca="1">_xlfn.TEXTJOIN("", TRUE, IF(ISNUMBER(--MID(C412, ROW(INDIRECT("1:"&amp;LEN(C412))), 1)), MID(C412, ROW(INDIRECT("1:"&amp;LEN(C412))), 1), ""))</f>
        <v/>
      </c>
      <c r="I412" s="378"/>
      <c r="J412" s="378">
        <f t="shared" si="175"/>
        <v>0</v>
      </c>
      <c r="K412" s="378" t="str">
        <f t="shared" si="176"/>
        <v/>
      </c>
      <c r="L412" s="378" t="str">
        <f t="shared" si="177"/>
        <v>أجنبي</v>
      </c>
      <c r="M412" s="436" t="str">
        <f t="shared" si="178"/>
        <v/>
      </c>
      <c r="N412" s="436"/>
      <c r="O412" s="378"/>
      <c r="P412" s="378"/>
      <c r="Q412" s="378"/>
      <c r="R412" s="378"/>
      <c r="S412" s="378"/>
      <c r="T412" s="378"/>
      <c r="U412" s="378">
        <v>410</v>
      </c>
      <c r="V412" s="378"/>
      <c r="W412" s="378"/>
      <c r="X412" s="378"/>
      <c r="Y412" s="378"/>
      <c r="Z412" s="378"/>
      <c r="AA412" s="378"/>
      <c r="AB412" s="378"/>
      <c r="AC412" s="378"/>
      <c r="AD412" s="378"/>
      <c r="AE412" s="378"/>
      <c r="AF412" s="378"/>
      <c r="AG412" s="378"/>
      <c r="AH412" s="378"/>
      <c r="AI412" s="378"/>
      <c r="AJ412" s="378"/>
      <c r="AK412" s="378"/>
      <c r="AL412" s="378"/>
      <c r="AM412" s="378"/>
      <c r="AN412" s="378"/>
      <c r="AO412" s="378"/>
      <c r="AP412" s="378"/>
      <c r="AQ412" s="378"/>
    </row>
    <row r="413" spans="2:43">
      <c r="B413" s="378">
        <v>411</v>
      </c>
      <c r="C413" s="378"/>
      <c r="D413" s="378"/>
      <c r="E413" s="378"/>
      <c r="F413" s="378"/>
      <c r="G413" s="378"/>
      <c r="H413" s="378" t="str">
        <f t="array" aca="1" ref="H413" ca="1">_xlfn.TEXTJOIN("", TRUE, IF(ISNUMBER(--MID(C413, ROW(INDIRECT("1:"&amp;LEN(C413))), 1)), MID(C413, ROW(INDIRECT("1:"&amp;LEN(C413))), 1), ""))</f>
        <v/>
      </c>
      <c r="I413" s="378"/>
      <c r="J413" s="378">
        <f t="shared" si="175"/>
        <v>0</v>
      </c>
      <c r="K413" s="378" t="str">
        <f t="shared" si="176"/>
        <v/>
      </c>
      <c r="L413" s="378" t="str">
        <f t="shared" si="177"/>
        <v>أجنبي</v>
      </c>
      <c r="M413" s="436" t="str">
        <f t="shared" si="178"/>
        <v/>
      </c>
      <c r="N413" s="436"/>
      <c r="O413" s="378"/>
      <c r="P413" s="378"/>
      <c r="Q413" s="378"/>
      <c r="R413" s="378"/>
      <c r="S413" s="378"/>
      <c r="T413" s="378"/>
      <c r="U413" s="378">
        <v>411</v>
      </c>
      <c r="V413" s="378"/>
      <c r="W413" s="378"/>
      <c r="X413" s="378"/>
      <c r="Y413" s="378"/>
      <c r="Z413" s="378"/>
      <c r="AA413" s="378"/>
      <c r="AB413" s="378"/>
      <c r="AC413" s="378"/>
      <c r="AD413" s="378"/>
      <c r="AE413" s="378"/>
      <c r="AF413" s="378"/>
      <c r="AG413" s="378"/>
      <c r="AH413" s="378"/>
      <c r="AI413" s="378"/>
      <c r="AJ413" s="378"/>
      <c r="AK413" s="378"/>
      <c r="AL413" s="378"/>
      <c r="AM413" s="378"/>
      <c r="AN413" s="378"/>
      <c r="AO413" s="378"/>
      <c r="AP413" s="378"/>
      <c r="AQ413" s="378"/>
    </row>
    <row r="414" spans="2:43">
      <c r="B414" s="378">
        <v>412</v>
      </c>
      <c r="C414" s="378"/>
      <c r="D414" s="378"/>
      <c r="E414" s="378"/>
      <c r="F414" s="378"/>
      <c r="G414" s="378"/>
      <c r="H414" s="378" t="str">
        <f t="array" aca="1" ref="H414" ca="1">_xlfn.TEXTJOIN("", TRUE, IF(ISNUMBER(--MID(C414, ROW(INDIRECT("1:"&amp;LEN(C414))), 1)), MID(C414, ROW(INDIRECT("1:"&amp;LEN(C414))), 1), ""))</f>
        <v/>
      </c>
      <c r="I414" s="378"/>
      <c r="J414" s="378">
        <f t="shared" si="175"/>
        <v>0</v>
      </c>
      <c r="K414" s="378" t="str">
        <f t="shared" si="176"/>
        <v/>
      </c>
      <c r="L414" s="378" t="str">
        <f t="shared" si="177"/>
        <v>أجنبي</v>
      </c>
      <c r="M414" s="436" t="str">
        <f t="shared" si="178"/>
        <v/>
      </c>
      <c r="N414" s="436"/>
      <c r="O414" s="378"/>
      <c r="P414" s="378"/>
      <c r="Q414" s="378"/>
      <c r="R414" s="91"/>
      <c r="S414" s="378"/>
      <c r="T414" s="378"/>
      <c r="U414" s="378">
        <v>412</v>
      </c>
      <c r="V414" s="378"/>
      <c r="W414" s="378"/>
      <c r="X414" s="378"/>
      <c r="Y414" s="378"/>
      <c r="Z414" s="378"/>
      <c r="AA414" s="378"/>
      <c r="AB414" s="378"/>
      <c r="AC414" s="378"/>
      <c r="AD414" s="378"/>
      <c r="AE414" s="378"/>
      <c r="AF414" s="378"/>
      <c r="AG414" s="378"/>
      <c r="AH414" s="378"/>
      <c r="AI414" s="378"/>
      <c r="AJ414" s="378"/>
      <c r="AK414" s="378"/>
      <c r="AL414" s="378"/>
      <c r="AM414" s="378"/>
      <c r="AN414" s="378"/>
      <c r="AO414" s="378"/>
      <c r="AP414" s="378"/>
      <c r="AQ414" s="378"/>
    </row>
    <row r="415" spans="2:43">
      <c r="B415" s="378">
        <v>413</v>
      </c>
      <c r="C415" s="378"/>
      <c r="D415" s="378"/>
      <c r="E415" s="378"/>
      <c r="F415" s="378"/>
      <c r="G415" s="378"/>
      <c r="H415" s="378" t="str">
        <f t="array" aca="1" ref="H415" ca="1">_xlfn.TEXTJOIN("", TRUE, IF(ISNUMBER(--MID(C415, ROW(INDIRECT("1:"&amp;LEN(C415))), 1)), MID(C415, ROW(INDIRECT("1:"&amp;LEN(C415))), 1), ""))</f>
        <v/>
      </c>
      <c r="I415" s="378"/>
      <c r="J415" s="378">
        <f t="shared" si="175"/>
        <v>0</v>
      </c>
      <c r="K415" s="378" t="str">
        <f t="shared" si="176"/>
        <v/>
      </c>
      <c r="L415" s="378" t="str">
        <f t="shared" si="177"/>
        <v>أجنبي</v>
      </c>
      <c r="M415" s="436" t="str">
        <f t="shared" si="178"/>
        <v/>
      </c>
      <c r="N415" s="436"/>
      <c r="O415" s="378"/>
      <c r="P415" s="378"/>
      <c r="Q415" s="378"/>
      <c r="R415" s="91"/>
      <c r="S415" s="378"/>
      <c r="T415" s="378"/>
      <c r="U415" s="378">
        <v>413</v>
      </c>
      <c r="V415" s="378"/>
      <c r="W415" s="378"/>
      <c r="X415" s="378"/>
      <c r="Y415" s="378"/>
      <c r="Z415" s="378"/>
      <c r="AA415" s="378"/>
      <c r="AB415" s="378"/>
      <c r="AC415" s="378"/>
      <c r="AD415" s="378"/>
      <c r="AE415" s="378"/>
      <c r="AF415" s="378"/>
      <c r="AG415" s="378"/>
      <c r="AH415" s="378"/>
      <c r="AI415" s="378"/>
      <c r="AJ415" s="378"/>
      <c r="AK415" s="378"/>
      <c r="AL415" s="378"/>
      <c r="AM415" s="378"/>
      <c r="AN415" s="378"/>
      <c r="AO415" s="378"/>
      <c r="AP415" s="378"/>
      <c r="AQ415" s="378"/>
    </row>
    <row r="416" spans="2:43">
      <c r="B416" s="378">
        <v>414</v>
      </c>
      <c r="C416" s="378"/>
      <c r="D416" s="378"/>
      <c r="E416" s="378"/>
      <c r="F416" s="378"/>
      <c r="G416" s="378"/>
      <c r="H416" s="378" t="str">
        <f t="array" aca="1" ref="H416" ca="1">_xlfn.TEXTJOIN("", TRUE, IF(ISNUMBER(--MID(C416, ROW(INDIRECT("1:"&amp;LEN(C416))), 1)), MID(C416, ROW(INDIRECT("1:"&amp;LEN(C416))), 1), ""))</f>
        <v/>
      </c>
      <c r="I416" s="378"/>
      <c r="J416" s="378">
        <f t="shared" si="175"/>
        <v>0</v>
      </c>
      <c r="K416" s="378" t="str">
        <f t="shared" si="176"/>
        <v/>
      </c>
      <c r="L416" s="378" t="str">
        <f t="shared" si="177"/>
        <v>أجنبي</v>
      </c>
      <c r="M416" s="436" t="str">
        <f t="shared" si="178"/>
        <v/>
      </c>
      <c r="N416" s="436"/>
      <c r="O416" s="378"/>
      <c r="P416" s="378"/>
      <c r="Q416" s="378"/>
      <c r="R416" s="378"/>
      <c r="S416" s="378"/>
      <c r="T416" s="378"/>
      <c r="U416" s="378">
        <v>414</v>
      </c>
      <c r="V416" s="378"/>
      <c r="W416" s="378"/>
      <c r="X416" s="378"/>
      <c r="Y416" s="378"/>
      <c r="Z416" s="378"/>
      <c r="AA416" s="378"/>
      <c r="AB416" s="378"/>
      <c r="AC416" s="378"/>
      <c r="AD416" s="378"/>
      <c r="AE416" s="378"/>
      <c r="AF416" s="378"/>
      <c r="AG416" s="378"/>
      <c r="AH416" s="378"/>
      <c r="AI416" s="378"/>
      <c r="AJ416" s="378"/>
      <c r="AK416" s="378"/>
      <c r="AL416" s="378"/>
      <c r="AM416" s="378"/>
      <c r="AN416" s="378"/>
      <c r="AO416" s="378"/>
      <c r="AP416" s="378"/>
      <c r="AQ416" s="378"/>
    </row>
    <row r="417" spans="2:43">
      <c r="B417" s="378">
        <v>415</v>
      </c>
      <c r="C417" s="378"/>
      <c r="D417" s="378"/>
      <c r="E417" s="378"/>
      <c r="F417" s="378"/>
      <c r="G417" s="378"/>
      <c r="H417" s="378" t="str">
        <f t="array" aca="1" ref="H417" ca="1">_xlfn.TEXTJOIN("", TRUE, IF(ISNUMBER(--MID(C417, ROW(INDIRECT("1:"&amp;LEN(C417))), 1)), MID(C417, ROW(INDIRECT("1:"&amp;LEN(C417))), 1), ""))</f>
        <v/>
      </c>
      <c r="I417" s="378"/>
      <c r="J417" s="378">
        <f t="shared" si="175"/>
        <v>0</v>
      </c>
      <c r="K417" s="378" t="str">
        <f t="shared" si="176"/>
        <v/>
      </c>
      <c r="L417" s="378" t="str">
        <f t="shared" si="177"/>
        <v>أجنبي</v>
      </c>
      <c r="M417" s="436" t="str">
        <f t="shared" si="178"/>
        <v/>
      </c>
      <c r="N417" s="436"/>
      <c r="O417" s="378"/>
      <c r="P417" s="378"/>
      <c r="Q417" s="378"/>
      <c r="R417" s="378"/>
      <c r="S417" s="378"/>
      <c r="T417" s="378"/>
      <c r="U417" s="378">
        <v>415</v>
      </c>
      <c r="V417" s="378"/>
      <c r="W417" s="378"/>
      <c r="X417" s="378"/>
      <c r="Y417" s="378"/>
      <c r="Z417" s="378"/>
      <c r="AA417" s="378"/>
      <c r="AB417" s="378"/>
      <c r="AC417" s="378"/>
      <c r="AD417" s="378"/>
      <c r="AE417" s="378"/>
      <c r="AF417" s="378"/>
      <c r="AG417" s="378"/>
      <c r="AH417" s="378"/>
      <c r="AI417" s="378"/>
      <c r="AJ417" s="378"/>
      <c r="AK417" s="378"/>
      <c r="AL417" s="378"/>
      <c r="AM417" s="378"/>
      <c r="AN417" s="378"/>
      <c r="AO417" s="378"/>
      <c r="AP417" s="378"/>
      <c r="AQ417" s="378"/>
    </row>
    <row r="418" spans="2:43">
      <c r="B418" s="378">
        <v>416</v>
      </c>
      <c r="C418" s="378"/>
      <c r="D418" s="378"/>
      <c r="E418" s="378"/>
      <c r="F418" s="378"/>
      <c r="G418" s="378"/>
      <c r="H418" s="378" t="str">
        <f t="array" aca="1" ref="H418" ca="1">_xlfn.TEXTJOIN("", TRUE, IF(ISNUMBER(--MID(C418, ROW(INDIRECT("1:"&amp;LEN(C418))), 1)), MID(C418, ROW(INDIRECT("1:"&amp;LEN(C418))), 1), ""))</f>
        <v/>
      </c>
      <c r="I418" s="378"/>
      <c r="J418" s="378">
        <f t="shared" si="175"/>
        <v>0</v>
      </c>
      <c r="K418" s="378" t="str">
        <f t="shared" si="176"/>
        <v/>
      </c>
      <c r="L418" s="378" t="str">
        <f t="shared" si="177"/>
        <v>أجنبي</v>
      </c>
      <c r="M418" s="436" t="str">
        <f t="shared" si="178"/>
        <v/>
      </c>
      <c r="N418" s="436"/>
      <c r="O418" s="378"/>
      <c r="P418" s="378"/>
      <c r="Q418" s="378"/>
      <c r="R418" s="91"/>
      <c r="S418" s="378"/>
      <c r="T418" s="378"/>
      <c r="U418" s="378">
        <v>416</v>
      </c>
      <c r="V418" s="378"/>
      <c r="W418" s="378"/>
      <c r="X418" s="378"/>
      <c r="Y418" s="378"/>
      <c r="Z418" s="378"/>
      <c r="AA418" s="378"/>
      <c r="AB418" s="378"/>
      <c r="AC418" s="378"/>
      <c r="AD418" s="378"/>
      <c r="AE418" s="378"/>
      <c r="AF418" s="378"/>
      <c r="AG418" s="378"/>
      <c r="AH418" s="378"/>
      <c r="AI418" s="378"/>
      <c r="AJ418" s="378"/>
      <c r="AK418" s="378"/>
      <c r="AL418" s="378"/>
      <c r="AM418" s="378"/>
      <c r="AN418" s="378"/>
      <c r="AO418" s="378"/>
      <c r="AP418" s="378"/>
      <c r="AQ418" s="378"/>
    </row>
    <row r="419" spans="2:43">
      <c r="B419" s="378">
        <v>417</v>
      </c>
      <c r="C419" s="378"/>
      <c r="D419" s="378"/>
      <c r="E419" s="378"/>
      <c r="F419" s="378"/>
      <c r="G419" s="378"/>
      <c r="H419" s="378" t="str">
        <f t="array" aca="1" ref="H419" ca="1">_xlfn.TEXTJOIN("", TRUE, IF(ISNUMBER(--MID(C419, ROW(INDIRECT("1:"&amp;LEN(C419))), 1)), MID(C419, ROW(INDIRECT("1:"&amp;LEN(C419))), 1), ""))</f>
        <v/>
      </c>
      <c r="I419" s="378"/>
      <c r="J419" s="378">
        <f t="shared" si="175"/>
        <v>0</v>
      </c>
      <c r="K419" s="378" t="str">
        <f t="shared" si="176"/>
        <v/>
      </c>
      <c r="L419" s="378" t="str">
        <f t="shared" si="177"/>
        <v>أجنبي</v>
      </c>
      <c r="M419" s="436" t="str">
        <f t="shared" si="178"/>
        <v/>
      </c>
      <c r="N419" s="436"/>
      <c r="O419" s="378"/>
      <c r="P419" s="378"/>
      <c r="Q419" s="378"/>
      <c r="R419" s="378"/>
      <c r="S419" s="378"/>
      <c r="T419" s="378"/>
      <c r="U419" s="378">
        <v>417</v>
      </c>
      <c r="V419" s="378"/>
      <c r="W419" s="378"/>
      <c r="X419" s="378"/>
      <c r="Y419" s="378"/>
      <c r="Z419" s="378"/>
      <c r="AA419" s="378"/>
      <c r="AB419" s="378"/>
      <c r="AC419" s="378"/>
      <c r="AD419" s="378"/>
      <c r="AE419" s="378"/>
      <c r="AF419" s="378"/>
      <c r="AG419" s="378"/>
      <c r="AH419" s="378"/>
      <c r="AI419" s="378"/>
      <c r="AJ419" s="378"/>
      <c r="AK419" s="378"/>
      <c r="AL419" s="378"/>
      <c r="AM419" s="378"/>
      <c r="AN419" s="378"/>
      <c r="AO419" s="378"/>
      <c r="AP419" s="378"/>
      <c r="AQ419" s="378"/>
    </row>
    <row r="420" spans="2:43">
      <c r="B420" s="378">
        <v>418</v>
      </c>
      <c r="C420" s="378"/>
      <c r="D420" s="378"/>
      <c r="E420" s="378"/>
      <c r="F420" s="378"/>
      <c r="G420" s="378"/>
      <c r="H420" s="378" t="str">
        <f t="array" aca="1" ref="H420" ca="1">_xlfn.TEXTJOIN("", TRUE, IF(ISNUMBER(--MID(C420, ROW(INDIRECT("1:"&amp;LEN(C420))), 1)), MID(C420, ROW(INDIRECT("1:"&amp;LEN(C420))), 1), ""))</f>
        <v/>
      </c>
      <c r="I420" s="378"/>
      <c r="J420" s="378">
        <f t="shared" si="175"/>
        <v>0</v>
      </c>
      <c r="K420" s="378" t="str">
        <f t="shared" si="176"/>
        <v/>
      </c>
      <c r="L420" s="378" t="str">
        <f t="shared" si="177"/>
        <v>أجنبي</v>
      </c>
      <c r="M420" s="436" t="str">
        <f t="shared" si="178"/>
        <v/>
      </c>
      <c r="N420" s="436"/>
      <c r="O420" s="378"/>
      <c r="P420" s="378"/>
      <c r="Q420" s="378"/>
      <c r="R420" s="378"/>
      <c r="S420" s="378"/>
      <c r="T420" s="378"/>
      <c r="U420" s="378">
        <v>418</v>
      </c>
      <c r="V420" s="378"/>
      <c r="W420" s="378"/>
      <c r="X420" s="378"/>
      <c r="Y420" s="378"/>
      <c r="Z420" s="378"/>
      <c r="AA420" s="378"/>
      <c r="AB420" s="378"/>
      <c r="AC420" s="378"/>
      <c r="AD420" s="378"/>
      <c r="AE420" s="378"/>
      <c r="AF420" s="378"/>
      <c r="AG420" s="378"/>
      <c r="AH420" s="378"/>
      <c r="AI420" s="378"/>
      <c r="AJ420" s="378"/>
      <c r="AK420" s="378"/>
      <c r="AL420" s="378"/>
      <c r="AM420" s="378"/>
      <c r="AN420" s="378"/>
      <c r="AO420" s="378"/>
      <c r="AP420" s="378"/>
      <c r="AQ420" s="378"/>
    </row>
    <row r="421" spans="2:43">
      <c r="B421" s="378">
        <v>419</v>
      </c>
      <c r="C421" s="378"/>
      <c r="D421" s="378"/>
      <c r="E421" s="378"/>
      <c r="F421" s="378"/>
      <c r="G421" s="378"/>
      <c r="H421" s="378" t="str">
        <f t="array" aca="1" ref="H421" ca="1">_xlfn.TEXTJOIN("", TRUE, IF(ISNUMBER(--MID(C421, ROW(INDIRECT("1:"&amp;LEN(C421))), 1)), MID(C421, ROW(INDIRECT("1:"&amp;LEN(C421))), 1), ""))</f>
        <v/>
      </c>
      <c r="I421" s="378"/>
      <c r="J421" s="378">
        <f t="shared" si="175"/>
        <v>0</v>
      </c>
      <c r="K421" s="378" t="str">
        <f t="shared" si="176"/>
        <v/>
      </c>
      <c r="L421" s="378" t="str">
        <f t="shared" si="177"/>
        <v>أجنبي</v>
      </c>
      <c r="M421" s="436" t="str">
        <f t="shared" si="178"/>
        <v/>
      </c>
      <c r="N421" s="436"/>
      <c r="O421" s="378"/>
      <c r="P421" s="378"/>
      <c r="Q421" s="378"/>
      <c r="R421" s="91"/>
      <c r="S421" s="378"/>
      <c r="T421" s="378"/>
      <c r="U421" s="378">
        <v>419</v>
      </c>
      <c r="V421" s="378"/>
      <c r="W421" s="378"/>
      <c r="X421" s="378"/>
      <c r="Y421" s="378"/>
      <c r="Z421" s="378"/>
      <c r="AA421" s="378"/>
      <c r="AB421" s="378"/>
      <c r="AC421" s="378"/>
      <c r="AD421" s="378"/>
      <c r="AE421" s="378"/>
      <c r="AF421" s="378"/>
      <c r="AG421" s="378"/>
      <c r="AH421" s="378"/>
      <c r="AI421" s="378"/>
      <c r="AJ421" s="378"/>
      <c r="AK421" s="378"/>
      <c r="AL421" s="378"/>
      <c r="AM421" s="378"/>
      <c r="AN421" s="378"/>
      <c r="AO421" s="378"/>
      <c r="AP421" s="378"/>
      <c r="AQ421" s="378"/>
    </row>
    <row r="422" spans="2:43">
      <c r="B422" s="378">
        <v>420</v>
      </c>
      <c r="C422" s="378"/>
      <c r="D422" s="378"/>
      <c r="E422" s="378"/>
      <c r="F422" s="378"/>
      <c r="G422" s="378"/>
      <c r="H422" s="378" t="str">
        <f t="array" aca="1" ref="H422" ca="1">_xlfn.TEXTJOIN("", TRUE, IF(ISNUMBER(--MID(C422, ROW(INDIRECT("1:"&amp;LEN(C422))), 1)), MID(C422, ROW(INDIRECT("1:"&amp;LEN(C422))), 1), ""))</f>
        <v/>
      </c>
      <c r="I422" s="378"/>
      <c r="J422" s="378">
        <f t="shared" si="175"/>
        <v>0</v>
      </c>
      <c r="K422" s="378" t="str">
        <f t="shared" si="176"/>
        <v/>
      </c>
      <c r="L422" s="378" t="str">
        <f t="shared" si="177"/>
        <v>أجنبي</v>
      </c>
      <c r="M422" s="436" t="str">
        <f t="shared" si="178"/>
        <v/>
      </c>
      <c r="N422" s="436"/>
      <c r="O422" s="378"/>
      <c r="P422" s="378"/>
      <c r="Q422" s="378"/>
      <c r="R422" s="378"/>
      <c r="S422" s="378"/>
      <c r="T422" s="378"/>
      <c r="U422" s="378">
        <v>420</v>
      </c>
      <c r="V422" s="378"/>
      <c r="W422" s="378"/>
      <c r="X422" s="378"/>
      <c r="Y422" s="378"/>
      <c r="Z422" s="378"/>
      <c r="AA422" s="378"/>
      <c r="AB422" s="378"/>
      <c r="AC422" s="378"/>
      <c r="AD422" s="378"/>
      <c r="AE422" s="378"/>
      <c r="AF422" s="378"/>
      <c r="AG422" s="378"/>
      <c r="AH422" s="378"/>
      <c r="AI422" s="378"/>
      <c r="AJ422" s="378"/>
      <c r="AK422" s="378"/>
      <c r="AL422" s="378"/>
      <c r="AM422" s="378"/>
      <c r="AN422" s="378"/>
      <c r="AO422" s="378"/>
      <c r="AP422" s="378"/>
      <c r="AQ422" s="378"/>
    </row>
    <row r="423" spans="2:43">
      <c r="B423" s="378">
        <v>421</v>
      </c>
      <c r="C423" s="378"/>
      <c r="D423" s="378"/>
      <c r="E423" s="378"/>
      <c r="F423" s="378"/>
      <c r="G423" s="378"/>
      <c r="H423" s="378" t="str">
        <f t="array" aca="1" ref="H423" ca="1">_xlfn.TEXTJOIN("", TRUE, IF(ISNUMBER(--MID(C423, ROW(INDIRECT("1:"&amp;LEN(C423))), 1)), MID(C423, ROW(INDIRECT("1:"&amp;LEN(C423))), 1), ""))</f>
        <v/>
      </c>
      <c r="I423" s="378"/>
      <c r="J423" s="378">
        <f t="shared" si="175"/>
        <v>0</v>
      </c>
      <c r="K423" s="378" t="str">
        <f t="shared" si="176"/>
        <v/>
      </c>
      <c r="L423" s="378" t="str">
        <f t="shared" si="177"/>
        <v>أجنبي</v>
      </c>
      <c r="M423" s="436" t="str">
        <f t="shared" si="178"/>
        <v/>
      </c>
      <c r="N423" s="436"/>
      <c r="O423" s="378"/>
      <c r="P423" s="378"/>
      <c r="Q423" s="378"/>
      <c r="R423" s="378"/>
      <c r="S423" s="378"/>
      <c r="T423" s="378"/>
      <c r="U423" s="378">
        <v>421</v>
      </c>
      <c r="V423" s="378"/>
      <c r="W423" s="378"/>
      <c r="X423" s="378"/>
      <c r="Y423" s="378"/>
      <c r="Z423" s="378"/>
      <c r="AA423" s="378"/>
      <c r="AB423" s="378"/>
      <c r="AC423" s="378"/>
      <c r="AD423" s="378"/>
      <c r="AE423" s="378"/>
      <c r="AF423" s="378"/>
      <c r="AG423" s="378"/>
      <c r="AH423" s="378"/>
      <c r="AI423" s="378"/>
      <c r="AJ423" s="378"/>
      <c r="AK423" s="378"/>
      <c r="AL423" s="378"/>
      <c r="AM423" s="378"/>
      <c r="AN423" s="378"/>
      <c r="AO423" s="378"/>
      <c r="AP423" s="378"/>
      <c r="AQ423" s="378"/>
    </row>
    <row r="424" spans="2:43">
      <c r="B424" s="378">
        <v>422</v>
      </c>
      <c r="C424" s="378"/>
      <c r="D424" s="378"/>
      <c r="E424" s="378"/>
      <c r="F424" s="378"/>
      <c r="G424" s="378"/>
      <c r="H424" s="378" t="str">
        <f t="array" aca="1" ref="H424" ca="1">_xlfn.TEXTJOIN("", TRUE, IF(ISNUMBER(--MID(C424, ROW(INDIRECT("1:"&amp;LEN(C424))), 1)), MID(C424, ROW(INDIRECT("1:"&amp;LEN(C424))), 1), ""))</f>
        <v/>
      </c>
      <c r="I424" s="378"/>
      <c r="J424" s="378">
        <f t="shared" si="175"/>
        <v>0</v>
      </c>
      <c r="K424" s="378" t="str">
        <f t="shared" si="176"/>
        <v/>
      </c>
      <c r="L424" s="378" t="str">
        <f t="shared" si="177"/>
        <v>أجنبي</v>
      </c>
      <c r="M424" s="436" t="str">
        <f t="shared" si="178"/>
        <v/>
      </c>
      <c r="N424" s="436"/>
      <c r="O424" s="378"/>
      <c r="P424" s="378"/>
      <c r="Q424" s="378"/>
      <c r="R424" s="91"/>
      <c r="S424" s="378"/>
      <c r="T424" s="378"/>
      <c r="U424" s="378">
        <v>422</v>
      </c>
      <c r="V424" s="378"/>
      <c r="W424" s="378"/>
      <c r="X424" s="378"/>
      <c r="Y424" s="378"/>
      <c r="Z424" s="378"/>
      <c r="AA424" s="378"/>
      <c r="AB424" s="378"/>
      <c r="AC424" s="378"/>
      <c r="AD424" s="378"/>
      <c r="AE424" s="378"/>
      <c r="AF424" s="378"/>
      <c r="AG424" s="378"/>
      <c r="AH424" s="378"/>
      <c r="AI424" s="378"/>
      <c r="AJ424" s="378"/>
      <c r="AK424" s="378"/>
      <c r="AL424" s="378"/>
      <c r="AM424" s="378"/>
      <c r="AN424" s="378"/>
      <c r="AO424" s="378"/>
      <c r="AP424" s="378"/>
      <c r="AQ424" s="378"/>
    </row>
    <row r="425" spans="2:43">
      <c r="B425" s="378">
        <v>423</v>
      </c>
      <c r="C425" s="378"/>
      <c r="D425" s="378"/>
      <c r="E425" s="378"/>
      <c r="F425" s="378"/>
      <c r="G425" s="378"/>
      <c r="H425" s="378" t="str">
        <f t="array" aca="1" ref="H425" ca="1">_xlfn.TEXTJOIN("", TRUE, IF(ISNUMBER(--MID(C425, ROW(INDIRECT("1:"&amp;LEN(C425))), 1)), MID(C425, ROW(INDIRECT("1:"&amp;LEN(C425))), 1), ""))</f>
        <v/>
      </c>
      <c r="I425" s="378"/>
      <c r="J425" s="378">
        <f t="shared" si="175"/>
        <v>0</v>
      </c>
      <c r="K425" s="378" t="str">
        <f t="shared" si="176"/>
        <v/>
      </c>
      <c r="L425" s="378" t="str">
        <f t="shared" si="177"/>
        <v>أجنبي</v>
      </c>
      <c r="M425" s="436" t="str">
        <f t="shared" si="178"/>
        <v/>
      </c>
      <c r="N425" s="436"/>
      <c r="O425" s="378"/>
      <c r="P425" s="378"/>
      <c r="Q425" s="378"/>
      <c r="R425" s="378"/>
      <c r="S425" s="378"/>
      <c r="T425" s="378"/>
      <c r="U425" s="378">
        <v>423</v>
      </c>
      <c r="V425" s="378"/>
      <c r="W425" s="378"/>
      <c r="X425" s="378"/>
      <c r="Y425" s="378"/>
      <c r="Z425" s="378"/>
      <c r="AA425" s="378"/>
      <c r="AB425" s="378"/>
      <c r="AC425" s="378"/>
      <c r="AD425" s="378"/>
      <c r="AE425" s="378"/>
      <c r="AF425" s="378"/>
      <c r="AG425" s="378"/>
      <c r="AH425" s="378"/>
      <c r="AI425" s="378"/>
      <c r="AJ425" s="378"/>
      <c r="AK425" s="378"/>
      <c r="AL425" s="378"/>
      <c r="AM425" s="378"/>
      <c r="AN425" s="378"/>
      <c r="AO425" s="378"/>
      <c r="AP425" s="378"/>
      <c r="AQ425" s="378"/>
    </row>
    <row r="426" spans="2:43">
      <c r="B426" s="378">
        <v>424</v>
      </c>
      <c r="C426" s="378"/>
      <c r="D426" s="378"/>
      <c r="E426" s="378"/>
      <c r="F426" s="378"/>
      <c r="G426" s="378"/>
      <c r="H426" s="378" t="str">
        <f t="array" aca="1" ref="H426" ca="1">_xlfn.TEXTJOIN("", TRUE, IF(ISNUMBER(--MID(C426, ROW(INDIRECT("1:"&amp;LEN(C426))), 1)), MID(C426, ROW(INDIRECT("1:"&amp;LEN(C426))), 1), ""))</f>
        <v/>
      </c>
      <c r="I426" s="378"/>
      <c r="J426" s="378">
        <f t="shared" si="175"/>
        <v>0</v>
      </c>
      <c r="K426" s="378" t="str">
        <f t="shared" si="176"/>
        <v/>
      </c>
      <c r="L426" s="378" t="str">
        <f t="shared" si="177"/>
        <v>أجنبي</v>
      </c>
      <c r="M426" s="436" t="str">
        <f t="shared" si="178"/>
        <v/>
      </c>
      <c r="N426" s="436"/>
      <c r="O426" s="378"/>
      <c r="P426" s="378"/>
      <c r="Q426" s="378"/>
      <c r="R426" s="91"/>
      <c r="S426" s="378"/>
      <c r="T426" s="378"/>
      <c r="U426" s="378">
        <v>424</v>
      </c>
      <c r="V426" s="378"/>
      <c r="W426" s="378"/>
      <c r="X426" s="378"/>
      <c r="Y426" s="378"/>
      <c r="Z426" s="378"/>
      <c r="AA426" s="378"/>
      <c r="AB426" s="378"/>
      <c r="AC426" s="378"/>
      <c r="AD426" s="378"/>
      <c r="AE426" s="378"/>
      <c r="AF426" s="378"/>
      <c r="AG426" s="378"/>
      <c r="AH426" s="378"/>
      <c r="AI426" s="378"/>
      <c r="AJ426" s="378"/>
      <c r="AK426" s="378"/>
      <c r="AL426" s="378"/>
      <c r="AM426" s="378"/>
      <c r="AN426" s="378"/>
      <c r="AO426" s="378"/>
      <c r="AP426" s="378"/>
      <c r="AQ426" s="378"/>
    </row>
    <row r="427" spans="2:43">
      <c r="B427" s="378">
        <v>425</v>
      </c>
      <c r="C427" s="378"/>
      <c r="D427" s="378"/>
      <c r="E427" s="378"/>
      <c r="F427" s="378"/>
      <c r="G427" s="378"/>
      <c r="H427" s="378" t="str">
        <f t="array" aca="1" ref="H427" ca="1">_xlfn.TEXTJOIN("", TRUE, IF(ISNUMBER(--MID(C427, ROW(INDIRECT("1:"&amp;LEN(C427))), 1)), MID(C427, ROW(INDIRECT("1:"&amp;LEN(C427))), 1), ""))</f>
        <v/>
      </c>
      <c r="I427" s="378"/>
      <c r="J427" s="378">
        <f t="shared" si="175"/>
        <v>0</v>
      </c>
      <c r="K427" s="378" t="str">
        <f t="shared" si="176"/>
        <v/>
      </c>
      <c r="L427" s="378" t="str">
        <f t="shared" si="177"/>
        <v>أجنبي</v>
      </c>
      <c r="M427" s="436" t="str">
        <f t="shared" si="178"/>
        <v/>
      </c>
      <c r="N427" s="436"/>
      <c r="O427" s="378"/>
      <c r="P427" s="378"/>
      <c r="Q427" s="378"/>
      <c r="R427" s="378"/>
      <c r="S427" s="378"/>
      <c r="T427" s="378"/>
      <c r="U427" s="378">
        <v>425</v>
      </c>
      <c r="V427" s="378"/>
      <c r="W427" s="378"/>
      <c r="X427" s="378"/>
      <c r="Y427" s="378"/>
      <c r="Z427" s="378"/>
      <c r="AA427" s="378"/>
      <c r="AB427" s="378"/>
      <c r="AC427" s="378"/>
      <c r="AD427" s="378"/>
      <c r="AE427" s="378"/>
      <c r="AF427" s="378"/>
      <c r="AG427" s="378"/>
      <c r="AH427" s="378"/>
      <c r="AI427" s="378"/>
      <c r="AJ427" s="378"/>
      <c r="AK427" s="378"/>
      <c r="AL427" s="378"/>
      <c r="AM427" s="378"/>
      <c r="AN427" s="378"/>
      <c r="AO427" s="378"/>
      <c r="AP427" s="378"/>
      <c r="AQ427" s="378"/>
    </row>
    <row r="428" spans="2:43">
      <c r="B428" s="378">
        <v>426</v>
      </c>
      <c r="C428" s="378"/>
      <c r="D428" s="378"/>
      <c r="E428" s="378"/>
      <c r="F428" s="378"/>
      <c r="G428" s="378"/>
      <c r="H428" s="378" t="str">
        <f t="array" aca="1" ref="H428" ca="1">_xlfn.TEXTJOIN("", TRUE, IF(ISNUMBER(--MID(C428, ROW(INDIRECT("1:"&amp;LEN(C428))), 1)), MID(C428, ROW(INDIRECT("1:"&amp;LEN(C428))), 1), ""))</f>
        <v/>
      </c>
      <c r="I428" s="378"/>
      <c r="J428" s="378">
        <f t="shared" si="175"/>
        <v>0</v>
      </c>
      <c r="K428" s="378" t="str">
        <f t="shared" si="176"/>
        <v/>
      </c>
      <c r="L428" s="378" t="str">
        <f t="shared" si="177"/>
        <v>أجنبي</v>
      </c>
      <c r="M428" s="436" t="str">
        <f t="shared" si="178"/>
        <v/>
      </c>
      <c r="N428" s="436"/>
      <c r="O428" s="378"/>
      <c r="P428" s="378"/>
      <c r="Q428" s="378"/>
      <c r="R428" s="378"/>
      <c r="S428" s="378"/>
      <c r="T428" s="378"/>
      <c r="U428" s="378">
        <v>426</v>
      </c>
      <c r="V428" s="378"/>
      <c r="W428" s="378"/>
      <c r="X428" s="378"/>
      <c r="Y428" s="378"/>
      <c r="Z428" s="378"/>
      <c r="AA428" s="378"/>
      <c r="AB428" s="378"/>
      <c r="AC428" s="378"/>
      <c r="AD428" s="378"/>
      <c r="AE428" s="378"/>
      <c r="AF428" s="378"/>
      <c r="AG428" s="378"/>
      <c r="AH428" s="378"/>
      <c r="AI428" s="378"/>
      <c r="AJ428" s="378"/>
      <c r="AK428" s="378"/>
      <c r="AL428" s="378"/>
      <c r="AM428" s="378"/>
      <c r="AN428" s="378"/>
      <c r="AO428" s="378"/>
      <c r="AP428" s="378"/>
      <c r="AQ428" s="378"/>
    </row>
    <row r="429" spans="2:43">
      <c r="B429" s="378">
        <v>427</v>
      </c>
      <c r="C429" s="378"/>
      <c r="D429" s="378"/>
      <c r="E429" s="378"/>
      <c r="F429" s="378"/>
      <c r="G429" s="378"/>
      <c r="H429" s="378" t="str">
        <f t="array" aca="1" ref="H429" ca="1">_xlfn.TEXTJOIN("", TRUE, IF(ISNUMBER(--MID(C429, ROW(INDIRECT("1:"&amp;LEN(C429))), 1)), MID(C429, ROW(INDIRECT("1:"&amp;LEN(C429))), 1), ""))</f>
        <v/>
      </c>
      <c r="I429" s="378"/>
      <c r="J429" s="378">
        <f t="shared" si="175"/>
        <v>0</v>
      </c>
      <c r="K429" s="378" t="str">
        <f t="shared" si="176"/>
        <v/>
      </c>
      <c r="L429" s="378" t="str">
        <f t="shared" si="177"/>
        <v>أجنبي</v>
      </c>
      <c r="M429" s="436" t="str">
        <f t="shared" si="178"/>
        <v/>
      </c>
      <c r="N429" s="436"/>
      <c r="O429" s="378"/>
      <c r="P429" s="378"/>
      <c r="Q429" s="378"/>
      <c r="R429" s="378"/>
      <c r="S429" s="378"/>
      <c r="T429" s="378"/>
      <c r="U429" s="378">
        <v>427</v>
      </c>
      <c r="V429" s="378"/>
      <c r="W429" s="378"/>
      <c r="X429" s="378"/>
      <c r="Y429" s="378"/>
      <c r="Z429" s="378"/>
      <c r="AA429" s="378"/>
      <c r="AB429" s="378"/>
      <c r="AC429" s="378"/>
      <c r="AD429" s="378"/>
      <c r="AE429" s="378"/>
      <c r="AF429" s="378"/>
      <c r="AG429" s="378"/>
      <c r="AH429" s="378"/>
      <c r="AI429" s="378"/>
      <c r="AJ429" s="378"/>
      <c r="AK429" s="378"/>
      <c r="AL429" s="378"/>
      <c r="AM429" s="378"/>
      <c r="AN429" s="378"/>
      <c r="AO429" s="378"/>
      <c r="AP429" s="378"/>
      <c r="AQ429" s="378"/>
    </row>
    <row r="430" spans="2:43">
      <c r="B430" s="378">
        <v>428</v>
      </c>
      <c r="C430" s="378"/>
      <c r="D430" s="378"/>
      <c r="E430" s="378"/>
      <c r="F430" s="378"/>
      <c r="G430" s="378"/>
      <c r="H430" s="378" t="str">
        <f t="array" aca="1" ref="H430" ca="1">_xlfn.TEXTJOIN("", TRUE, IF(ISNUMBER(--MID(C430, ROW(INDIRECT("1:"&amp;LEN(C430))), 1)), MID(C430, ROW(INDIRECT("1:"&amp;LEN(C430))), 1), ""))</f>
        <v/>
      </c>
      <c r="I430" s="378"/>
      <c r="J430" s="378">
        <f t="shared" si="175"/>
        <v>0</v>
      </c>
      <c r="K430" s="378" t="str">
        <f t="shared" si="176"/>
        <v/>
      </c>
      <c r="L430" s="378" t="str">
        <f t="shared" si="177"/>
        <v>أجنبي</v>
      </c>
      <c r="M430" s="436" t="str">
        <f t="shared" si="178"/>
        <v/>
      </c>
      <c r="N430" s="436"/>
      <c r="O430" s="378"/>
      <c r="P430" s="378"/>
      <c r="Q430" s="378"/>
      <c r="R430" s="378"/>
      <c r="S430" s="378"/>
      <c r="T430" s="378"/>
      <c r="U430" s="378">
        <v>428</v>
      </c>
      <c r="V430" s="378"/>
      <c r="W430" s="378"/>
      <c r="X430" s="378"/>
      <c r="Y430" s="378"/>
      <c r="Z430" s="378"/>
      <c r="AA430" s="378"/>
      <c r="AB430" s="378"/>
      <c r="AC430" s="378"/>
      <c r="AD430" s="378"/>
      <c r="AE430" s="378"/>
      <c r="AF430" s="378"/>
      <c r="AG430" s="378"/>
      <c r="AH430" s="378"/>
      <c r="AI430" s="378"/>
      <c r="AJ430" s="378"/>
      <c r="AK430" s="378"/>
      <c r="AL430" s="378"/>
      <c r="AM430" s="378"/>
      <c r="AN430" s="378"/>
      <c r="AO430" s="378"/>
      <c r="AP430" s="378"/>
      <c r="AQ430" s="378"/>
    </row>
    <row r="431" spans="2:43">
      <c r="B431" s="378">
        <v>429</v>
      </c>
      <c r="C431" s="378"/>
      <c r="D431" s="378"/>
      <c r="E431" s="378"/>
      <c r="F431" s="378"/>
      <c r="G431" s="378"/>
      <c r="H431" s="378" t="str">
        <f t="array" aca="1" ref="H431" ca="1">_xlfn.TEXTJOIN("", TRUE, IF(ISNUMBER(--MID(C431, ROW(INDIRECT("1:"&amp;LEN(C431))), 1)), MID(C431, ROW(INDIRECT("1:"&amp;LEN(C431))), 1), ""))</f>
        <v/>
      </c>
      <c r="I431" s="378"/>
      <c r="J431" s="378">
        <f t="shared" si="175"/>
        <v>0</v>
      </c>
      <c r="K431" s="378" t="str">
        <f t="shared" si="176"/>
        <v/>
      </c>
      <c r="L431" s="378" t="str">
        <f t="shared" si="177"/>
        <v>أجنبي</v>
      </c>
      <c r="M431" s="436" t="str">
        <f t="shared" si="178"/>
        <v/>
      </c>
      <c r="N431" s="436"/>
      <c r="O431" s="378"/>
      <c r="P431" s="378"/>
      <c r="Q431" s="378"/>
      <c r="R431" s="378"/>
      <c r="S431" s="378"/>
      <c r="T431" s="378"/>
      <c r="U431" s="378">
        <v>429</v>
      </c>
      <c r="V431" s="378"/>
      <c r="W431" s="378"/>
      <c r="X431" s="378"/>
      <c r="Y431" s="378"/>
      <c r="Z431" s="378"/>
      <c r="AA431" s="378"/>
      <c r="AB431" s="378"/>
      <c r="AC431" s="378"/>
      <c r="AD431" s="378"/>
      <c r="AE431" s="378"/>
      <c r="AF431" s="378"/>
      <c r="AG431" s="378"/>
      <c r="AH431" s="378"/>
      <c r="AI431" s="378"/>
      <c r="AJ431" s="378"/>
      <c r="AK431" s="378"/>
      <c r="AL431" s="378"/>
      <c r="AM431" s="378"/>
      <c r="AN431" s="378"/>
      <c r="AO431" s="378"/>
      <c r="AP431" s="378"/>
      <c r="AQ431" s="378"/>
    </row>
    <row r="432" spans="2:43">
      <c r="B432" s="378">
        <v>430</v>
      </c>
      <c r="C432" s="378"/>
      <c r="D432" s="378"/>
      <c r="E432" s="378"/>
      <c r="F432" s="378"/>
      <c r="G432" s="378"/>
      <c r="H432" s="378" t="str">
        <f t="array" aca="1" ref="H432" ca="1">_xlfn.TEXTJOIN("", TRUE, IF(ISNUMBER(--MID(C432, ROW(INDIRECT("1:"&amp;LEN(C432))), 1)), MID(C432, ROW(INDIRECT("1:"&amp;LEN(C432))), 1), ""))</f>
        <v/>
      </c>
      <c r="I432" s="378"/>
      <c r="J432" s="378">
        <f t="shared" si="175"/>
        <v>0</v>
      </c>
      <c r="K432" s="378" t="str">
        <f t="shared" si="176"/>
        <v/>
      </c>
      <c r="L432" s="378" t="str">
        <f t="shared" si="177"/>
        <v>أجنبي</v>
      </c>
      <c r="M432" s="436" t="str">
        <f t="shared" si="178"/>
        <v/>
      </c>
      <c r="N432" s="436"/>
      <c r="O432" s="378"/>
      <c r="P432" s="378"/>
      <c r="Q432" s="378"/>
      <c r="R432" s="378"/>
      <c r="S432" s="378"/>
      <c r="T432" s="378"/>
      <c r="U432" s="378">
        <v>430</v>
      </c>
      <c r="V432" s="378"/>
      <c r="W432" s="378"/>
      <c r="X432" s="378"/>
      <c r="Y432" s="378"/>
      <c r="Z432" s="378"/>
      <c r="AA432" s="378"/>
      <c r="AB432" s="378"/>
      <c r="AC432" s="378"/>
      <c r="AD432" s="378"/>
      <c r="AE432" s="378"/>
      <c r="AF432" s="378"/>
      <c r="AG432" s="378"/>
      <c r="AH432" s="378"/>
      <c r="AI432" s="378"/>
      <c r="AJ432" s="378"/>
      <c r="AK432" s="378"/>
      <c r="AL432" s="378"/>
      <c r="AM432" s="378"/>
      <c r="AN432" s="378"/>
      <c r="AO432" s="378"/>
      <c r="AP432" s="378"/>
      <c r="AQ432" s="378"/>
    </row>
    <row r="433" spans="2:43">
      <c r="B433" s="378">
        <v>431</v>
      </c>
      <c r="C433" s="378"/>
      <c r="D433" s="378"/>
      <c r="E433" s="378"/>
      <c r="F433" s="378"/>
      <c r="G433" s="378"/>
      <c r="H433" s="378" t="str">
        <f t="array" aca="1" ref="H433" ca="1">_xlfn.TEXTJOIN("", TRUE, IF(ISNUMBER(--MID(C433, ROW(INDIRECT("1:"&amp;LEN(C433))), 1)), MID(C433, ROW(INDIRECT("1:"&amp;LEN(C433))), 1), ""))</f>
        <v/>
      </c>
      <c r="I433" s="378"/>
      <c r="J433" s="378">
        <f t="shared" si="175"/>
        <v>0</v>
      </c>
      <c r="K433" s="378" t="str">
        <f t="shared" si="176"/>
        <v/>
      </c>
      <c r="L433" s="378" t="str">
        <f t="shared" si="177"/>
        <v>أجنبي</v>
      </c>
      <c r="M433" s="436" t="str">
        <f t="shared" si="178"/>
        <v/>
      </c>
      <c r="N433" s="436"/>
      <c r="O433" s="378"/>
      <c r="P433" s="378"/>
      <c r="Q433" s="378"/>
      <c r="R433" s="378"/>
      <c r="S433" s="378"/>
      <c r="T433" s="378"/>
      <c r="U433" s="378">
        <v>431</v>
      </c>
      <c r="V433" s="378"/>
      <c r="W433" s="378"/>
      <c r="X433" s="378"/>
      <c r="Y433" s="378"/>
      <c r="Z433" s="378"/>
      <c r="AA433" s="378"/>
      <c r="AB433" s="378"/>
      <c r="AC433" s="378"/>
      <c r="AD433" s="378"/>
      <c r="AE433" s="378"/>
      <c r="AF433" s="378"/>
      <c r="AG433" s="378"/>
      <c r="AH433" s="378"/>
      <c r="AI433" s="378"/>
      <c r="AJ433" s="378"/>
      <c r="AK433" s="378"/>
      <c r="AL433" s="378"/>
      <c r="AM433" s="378"/>
      <c r="AN433" s="378"/>
      <c r="AO433" s="378"/>
      <c r="AP433" s="378"/>
      <c r="AQ433" s="378"/>
    </row>
    <row r="434" spans="2:43">
      <c r="B434" s="447"/>
      <c r="C434" s="439"/>
      <c r="D434" s="378"/>
      <c r="E434" s="432"/>
      <c r="F434" s="378"/>
      <c r="G434" s="378"/>
      <c r="H434" s="378" t="str">
        <f t="array" aca="1" ref="H434" ca="1">_xlfn.TEXTJOIN("", TRUE, IF(ISNUMBER(--MID(C434, ROW(INDIRECT("1:"&amp;LEN(C434))), 1)), MID(C434, ROW(INDIRECT("1:"&amp;LEN(C434))), 1), ""))</f>
        <v/>
      </c>
      <c r="I434" s="378"/>
      <c r="J434" s="378">
        <f t="shared" ref="J434:J453" si="179">IF(LEFT(I434,5)="00966", RIGHT(I434,LEN(I434)-5),
    IF(LEFT(I434,4)="+966", RIGHT(I434,LEN(I434)-4),
        IF(LEFT(I434,3)="966", RIGHT(I434,LEN(I434)-3),
            IF(LEFT(I434,1)="0", RIGHT(I434,LEN(I434)-1), I434)
        )
    )
)</f>
        <v>0</v>
      </c>
      <c r="K434" s="378" t="str">
        <f t="shared" ref="K434:K453" si="180">IF(LEFT(J434,5)="00966", RIGHT(J434,LEN(J434)-5),
    IF(LEFT(J434,4)="+966", RIGHT(J434,LEN(J434)-4),
        IF(LEFT(J434,3)="966", RIGHT(J434,LEN(J434)-3),
            IF(LEFT(J434,1)="0", RIGHT(J434,LEN(J434)-1), J434)
        )
    )
)</f>
        <v/>
      </c>
      <c r="L434" s="378" t="str">
        <f t="shared" ref="L434:L453" si="181">IF(LEFT(K434,1)="5",
    IF(LEN(K434)=9,"سعودي - صحيح",
        IF(LEN(K434)&lt;9,"سعودي - ناقص "&amp;(9-LEN(K434)),"سعودي - زائد "&amp;(LEN(K434)-9))
    ),
"أجنبي")</f>
        <v>أجنبي</v>
      </c>
      <c r="M434" s="436" t="str">
        <f t="shared" ref="M434:M453" si="182">IF(LEFT(K434,1)="5","966"&amp;K434,K434)</f>
        <v/>
      </c>
      <c r="N434" s="436"/>
      <c r="O434" s="378"/>
      <c r="P434" s="378"/>
      <c r="Q434" s="378"/>
      <c r="R434" s="91"/>
      <c r="S434" s="378"/>
      <c r="T434" s="378"/>
      <c r="U434" s="378">
        <v>432</v>
      </c>
      <c r="V434" s="378"/>
      <c r="W434" s="378"/>
      <c r="X434" s="378"/>
      <c r="Y434" s="378"/>
      <c r="Z434" s="378"/>
      <c r="AA434" s="378"/>
      <c r="AB434" s="378"/>
      <c r="AC434" s="378"/>
      <c r="AD434" s="378"/>
      <c r="AE434" s="378"/>
      <c r="AF434" s="378"/>
      <c r="AG434" s="378"/>
      <c r="AH434" s="378"/>
      <c r="AI434" s="378"/>
      <c r="AJ434" s="378"/>
      <c r="AK434" s="378"/>
      <c r="AL434" s="378"/>
      <c r="AM434" s="378"/>
      <c r="AN434" s="378"/>
      <c r="AO434" s="378"/>
      <c r="AP434" s="378"/>
      <c r="AQ434" s="378"/>
    </row>
    <row r="435" spans="2:43">
      <c r="B435" s="447"/>
      <c r="C435" s="439"/>
      <c r="D435" s="378"/>
      <c r="E435" s="432"/>
      <c r="F435" s="378"/>
      <c r="G435" s="378"/>
      <c r="H435" s="378" t="str">
        <f t="array" aca="1" ref="H435" ca="1">_xlfn.TEXTJOIN("", TRUE, IF(ISNUMBER(--MID(C435, ROW(INDIRECT("1:"&amp;LEN(C435))), 1)), MID(C435, ROW(INDIRECT("1:"&amp;LEN(C435))), 1), ""))</f>
        <v/>
      </c>
      <c r="I435" s="378"/>
      <c r="J435" s="378">
        <f t="shared" si="179"/>
        <v>0</v>
      </c>
      <c r="K435" s="378" t="str">
        <f t="shared" si="180"/>
        <v/>
      </c>
      <c r="L435" s="378" t="str">
        <f t="shared" si="181"/>
        <v>أجنبي</v>
      </c>
      <c r="M435" s="436" t="str">
        <f t="shared" si="182"/>
        <v/>
      </c>
      <c r="N435" s="436"/>
      <c r="O435" s="378"/>
      <c r="P435" s="378"/>
      <c r="Q435" s="378"/>
      <c r="R435" s="91"/>
      <c r="S435" s="378"/>
      <c r="T435" s="378"/>
      <c r="U435" s="378">
        <v>433</v>
      </c>
      <c r="V435" s="378"/>
      <c r="W435" s="378"/>
      <c r="X435" s="378"/>
      <c r="Y435" s="378"/>
      <c r="Z435" s="378"/>
      <c r="AA435" s="378"/>
      <c r="AB435" s="378"/>
      <c r="AC435" s="378"/>
      <c r="AD435" s="378"/>
      <c r="AE435" s="378"/>
      <c r="AF435" s="378"/>
      <c r="AG435" s="378"/>
      <c r="AH435" s="378"/>
      <c r="AI435" s="378"/>
      <c r="AJ435" s="378"/>
      <c r="AK435" s="378"/>
      <c r="AL435" s="378"/>
      <c r="AM435" s="378"/>
      <c r="AN435" s="378"/>
      <c r="AO435" s="378"/>
      <c r="AP435" s="378"/>
      <c r="AQ435" s="378"/>
    </row>
    <row r="436" spans="2:43">
      <c r="B436" s="447"/>
      <c r="C436" s="439"/>
      <c r="D436" s="378"/>
      <c r="E436" s="433"/>
      <c r="F436" s="378"/>
      <c r="G436" s="378"/>
      <c r="H436" s="378" t="str">
        <f t="array" aca="1" ref="H436" ca="1">_xlfn.TEXTJOIN("", TRUE, IF(ISNUMBER(--MID(C436, ROW(INDIRECT("1:"&amp;LEN(C436))), 1)), MID(C436, ROW(INDIRECT("1:"&amp;LEN(C436))), 1), ""))</f>
        <v/>
      </c>
      <c r="I436" s="378"/>
      <c r="J436" s="378">
        <f t="shared" si="179"/>
        <v>0</v>
      </c>
      <c r="K436" s="378" t="str">
        <f t="shared" si="180"/>
        <v/>
      </c>
      <c r="L436" s="378" t="str">
        <f t="shared" si="181"/>
        <v>أجنبي</v>
      </c>
      <c r="M436" s="436" t="str">
        <f t="shared" si="182"/>
        <v/>
      </c>
      <c r="N436" s="436"/>
      <c r="O436" s="378"/>
      <c r="P436" s="378"/>
      <c r="Q436" s="378"/>
      <c r="R436" s="91"/>
      <c r="S436" s="378"/>
      <c r="T436" s="378"/>
      <c r="U436" s="378">
        <v>434</v>
      </c>
      <c r="V436" s="378"/>
      <c r="W436" s="378"/>
      <c r="X436" s="378"/>
      <c r="Y436" s="378"/>
      <c r="Z436" s="378"/>
      <c r="AA436" s="378"/>
      <c r="AB436" s="378"/>
      <c r="AC436" s="378"/>
      <c r="AD436" s="378"/>
      <c r="AE436" s="378"/>
      <c r="AF436" s="378"/>
      <c r="AG436" s="378"/>
      <c r="AH436" s="378"/>
      <c r="AI436" s="378"/>
      <c r="AJ436" s="378"/>
      <c r="AK436" s="378"/>
      <c r="AL436" s="378"/>
      <c r="AM436" s="378"/>
      <c r="AN436" s="378"/>
      <c r="AO436" s="378"/>
      <c r="AP436" s="378"/>
      <c r="AQ436" s="378"/>
    </row>
    <row r="437" spans="2:43">
      <c r="B437" s="447"/>
      <c r="C437" s="439"/>
      <c r="D437" s="378"/>
      <c r="E437" s="432"/>
      <c r="F437" s="378"/>
      <c r="G437" s="378"/>
      <c r="H437" s="378" t="str">
        <f t="array" aca="1" ref="H437" ca="1">_xlfn.TEXTJOIN("", TRUE, IF(ISNUMBER(--MID(C437, ROW(INDIRECT("1:"&amp;LEN(C437))), 1)), MID(C437, ROW(INDIRECT("1:"&amp;LEN(C437))), 1), ""))</f>
        <v/>
      </c>
      <c r="I437" s="378"/>
      <c r="J437" s="378">
        <f t="shared" si="179"/>
        <v>0</v>
      </c>
      <c r="K437" s="378" t="str">
        <f t="shared" si="180"/>
        <v/>
      </c>
      <c r="L437" s="378" t="str">
        <f t="shared" si="181"/>
        <v>أجنبي</v>
      </c>
      <c r="M437" s="436" t="str">
        <f t="shared" si="182"/>
        <v/>
      </c>
      <c r="N437" s="436"/>
      <c r="O437" s="378"/>
      <c r="P437" s="378"/>
      <c r="Q437" s="378"/>
      <c r="R437" s="91"/>
      <c r="S437" s="378"/>
      <c r="T437" s="378"/>
      <c r="U437" s="378">
        <v>435</v>
      </c>
      <c r="V437" s="378"/>
      <c r="W437" s="378"/>
      <c r="X437" s="378"/>
      <c r="Y437" s="378"/>
      <c r="Z437" s="378"/>
      <c r="AA437" s="378"/>
      <c r="AB437" s="378"/>
      <c r="AC437" s="378"/>
      <c r="AD437" s="378"/>
      <c r="AE437" s="378"/>
      <c r="AF437" s="378"/>
      <c r="AG437" s="378"/>
      <c r="AH437" s="378"/>
      <c r="AI437" s="378"/>
      <c r="AJ437" s="378"/>
      <c r="AK437" s="378"/>
      <c r="AL437" s="378"/>
      <c r="AM437" s="378"/>
      <c r="AN437" s="378"/>
      <c r="AO437" s="378"/>
      <c r="AP437" s="378"/>
      <c r="AQ437" s="378"/>
    </row>
    <row r="438" spans="2:43">
      <c r="B438" s="447"/>
      <c r="C438" s="439"/>
      <c r="D438" s="378"/>
      <c r="E438" s="432"/>
      <c r="F438" s="378"/>
      <c r="G438" s="378"/>
      <c r="H438" s="378" t="str">
        <f t="array" aca="1" ref="H438" ca="1">_xlfn.TEXTJOIN("", TRUE, IF(ISNUMBER(--MID(C438, ROW(INDIRECT("1:"&amp;LEN(C438))), 1)), MID(C438, ROW(INDIRECT("1:"&amp;LEN(C438))), 1), ""))</f>
        <v/>
      </c>
      <c r="I438" s="378"/>
      <c r="J438" s="378">
        <f t="shared" si="179"/>
        <v>0</v>
      </c>
      <c r="K438" s="378" t="str">
        <f t="shared" si="180"/>
        <v/>
      </c>
      <c r="L438" s="378" t="str">
        <f t="shared" si="181"/>
        <v>أجنبي</v>
      </c>
      <c r="M438" s="436" t="str">
        <f t="shared" si="182"/>
        <v/>
      </c>
      <c r="N438" s="436"/>
      <c r="O438" s="378"/>
      <c r="P438" s="378"/>
      <c r="Q438" s="378"/>
      <c r="R438" s="91"/>
      <c r="S438" s="378"/>
      <c r="T438" s="378"/>
      <c r="U438" s="378">
        <v>436</v>
      </c>
      <c r="V438" s="378"/>
      <c r="W438" s="378"/>
      <c r="X438" s="378"/>
      <c r="Y438" s="378"/>
      <c r="Z438" s="378"/>
      <c r="AA438" s="378"/>
      <c r="AB438" s="378"/>
      <c r="AC438" s="378"/>
      <c r="AD438" s="378"/>
      <c r="AE438" s="378"/>
      <c r="AF438" s="378"/>
      <c r="AG438" s="378"/>
      <c r="AH438" s="378"/>
      <c r="AI438" s="378"/>
      <c r="AJ438" s="378"/>
      <c r="AK438" s="378"/>
      <c r="AL438" s="378"/>
      <c r="AM438" s="378"/>
      <c r="AN438" s="378"/>
      <c r="AO438" s="378"/>
      <c r="AP438" s="378"/>
      <c r="AQ438" s="378"/>
    </row>
    <row r="439" spans="2:43">
      <c r="B439" s="447"/>
      <c r="C439" s="439"/>
      <c r="D439" s="378"/>
      <c r="E439" s="433"/>
      <c r="F439" s="378"/>
      <c r="G439" s="378"/>
      <c r="H439" s="378" t="str">
        <f t="array" aca="1" ref="H439" ca="1">_xlfn.TEXTJOIN("", TRUE, IF(ISNUMBER(--MID(C439, ROW(INDIRECT("1:"&amp;LEN(C439))), 1)), MID(C439, ROW(INDIRECT("1:"&amp;LEN(C439))), 1), ""))</f>
        <v/>
      </c>
      <c r="I439" s="378"/>
      <c r="J439" s="378">
        <f t="shared" si="179"/>
        <v>0</v>
      </c>
      <c r="K439" s="378" t="str">
        <f t="shared" si="180"/>
        <v/>
      </c>
      <c r="L439" s="378" t="str">
        <f t="shared" si="181"/>
        <v>أجنبي</v>
      </c>
      <c r="M439" s="436" t="str">
        <f t="shared" si="182"/>
        <v/>
      </c>
      <c r="N439" s="436"/>
      <c r="O439" s="378"/>
      <c r="P439" s="378"/>
      <c r="Q439" s="378"/>
      <c r="R439" s="91"/>
      <c r="S439" s="378"/>
      <c r="T439" s="378"/>
      <c r="U439" s="378">
        <v>437</v>
      </c>
      <c r="V439" s="378"/>
      <c r="W439" s="378"/>
      <c r="X439" s="378"/>
      <c r="Y439" s="378"/>
      <c r="Z439" s="378"/>
      <c r="AA439" s="378"/>
      <c r="AB439" s="378"/>
      <c r="AC439" s="378"/>
      <c r="AD439" s="378"/>
      <c r="AE439" s="378"/>
      <c r="AF439" s="378"/>
      <c r="AG439" s="378"/>
      <c r="AH439" s="378"/>
      <c r="AI439" s="378"/>
      <c r="AJ439" s="378"/>
      <c r="AK439" s="378"/>
      <c r="AL439" s="378"/>
      <c r="AM439" s="378"/>
      <c r="AN439" s="378"/>
      <c r="AO439" s="378"/>
      <c r="AP439" s="378"/>
      <c r="AQ439" s="378"/>
    </row>
    <row r="440" spans="2:43">
      <c r="B440" s="447"/>
      <c r="C440" s="439"/>
      <c r="D440" s="378"/>
      <c r="E440" s="432"/>
      <c r="F440" s="378"/>
      <c r="G440" s="378"/>
      <c r="H440" s="378" t="str">
        <f t="array" aca="1" ref="H440" ca="1">_xlfn.TEXTJOIN("", TRUE, IF(ISNUMBER(--MID(C440, ROW(INDIRECT("1:"&amp;LEN(C440))), 1)), MID(C440, ROW(INDIRECT("1:"&amp;LEN(C440))), 1), ""))</f>
        <v/>
      </c>
      <c r="I440" s="378"/>
      <c r="J440" s="378">
        <f t="shared" si="179"/>
        <v>0</v>
      </c>
      <c r="K440" s="378" t="str">
        <f t="shared" si="180"/>
        <v/>
      </c>
      <c r="L440" s="378" t="str">
        <f t="shared" si="181"/>
        <v>أجنبي</v>
      </c>
      <c r="M440" s="436" t="str">
        <f t="shared" si="182"/>
        <v/>
      </c>
      <c r="N440" s="436"/>
      <c r="O440" s="378"/>
      <c r="P440" s="378"/>
      <c r="Q440" s="378"/>
      <c r="R440" s="91"/>
      <c r="S440" s="378"/>
      <c r="T440" s="378"/>
      <c r="U440" s="378">
        <v>438</v>
      </c>
      <c r="V440" s="378"/>
      <c r="W440" s="378"/>
      <c r="X440" s="378"/>
      <c r="Y440" s="378"/>
      <c r="Z440" s="378"/>
      <c r="AA440" s="378"/>
      <c r="AB440" s="378"/>
      <c r="AC440" s="378"/>
      <c r="AD440" s="378"/>
      <c r="AE440" s="378"/>
      <c r="AF440" s="378"/>
      <c r="AG440" s="378"/>
      <c r="AH440" s="378"/>
      <c r="AI440" s="378"/>
      <c r="AJ440" s="378"/>
      <c r="AK440" s="378"/>
      <c r="AL440" s="378"/>
      <c r="AM440" s="378"/>
      <c r="AN440" s="378"/>
      <c r="AO440" s="378"/>
      <c r="AP440" s="378"/>
      <c r="AQ440" s="378"/>
    </row>
    <row r="441" spans="2:43">
      <c r="B441" s="447"/>
      <c r="C441" s="439"/>
      <c r="D441" s="378"/>
      <c r="E441" s="432"/>
      <c r="F441" s="378"/>
      <c r="G441" s="378"/>
      <c r="H441" s="378" t="str">
        <f t="array" aca="1" ref="H441" ca="1">_xlfn.TEXTJOIN("", TRUE, IF(ISNUMBER(--MID(C441, ROW(INDIRECT("1:"&amp;LEN(C441))), 1)), MID(C441, ROW(INDIRECT("1:"&amp;LEN(C441))), 1), ""))</f>
        <v/>
      </c>
      <c r="I441" s="378"/>
      <c r="J441" s="378">
        <f t="shared" si="179"/>
        <v>0</v>
      </c>
      <c r="K441" s="378" t="str">
        <f t="shared" si="180"/>
        <v/>
      </c>
      <c r="L441" s="378" t="str">
        <f t="shared" si="181"/>
        <v>أجنبي</v>
      </c>
      <c r="M441" s="436" t="str">
        <f t="shared" si="182"/>
        <v/>
      </c>
      <c r="N441" s="436"/>
      <c r="O441" s="378"/>
      <c r="P441" s="378"/>
      <c r="Q441" s="378"/>
      <c r="R441" s="91"/>
      <c r="S441" s="378"/>
      <c r="T441" s="378"/>
      <c r="U441" s="378">
        <v>439</v>
      </c>
      <c r="V441" s="378"/>
      <c r="W441" s="378"/>
      <c r="X441" s="378"/>
      <c r="Y441" s="378"/>
      <c r="Z441" s="378"/>
      <c r="AA441" s="378"/>
      <c r="AB441" s="378"/>
      <c r="AC441" s="378"/>
      <c r="AD441" s="378"/>
      <c r="AE441" s="378"/>
      <c r="AF441" s="378"/>
      <c r="AG441" s="378"/>
      <c r="AH441" s="378"/>
      <c r="AI441" s="378"/>
      <c r="AJ441" s="378"/>
      <c r="AK441" s="378"/>
      <c r="AL441" s="378"/>
      <c r="AM441" s="378"/>
      <c r="AN441" s="378"/>
      <c r="AO441" s="378"/>
      <c r="AP441" s="378"/>
      <c r="AQ441" s="378"/>
    </row>
    <row r="442" spans="2:43">
      <c r="B442" s="447"/>
      <c r="C442" s="439"/>
      <c r="D442" s="378"/>
      <c r="E442" s="432"/>
      <c r="F442" s="378"/>
      <c r="G442" s="378"/>
      <c r="H442" s="378" t="str">
        <f t="array" aca="1" ref="H442" ca="1">_xlfn.TEXTJOIN("", TRUE, IF(ISNUMBER(--MID(C442, ROW(INDIRECT("1:"&amp;LEN(C442))), 1)), MID(C442, ROW(INDIRECT("1:"&amp;LEN(C442))), 1), ""))</f>
        <v/>
      </c>
      <c r="I442" s="378"/>
      <c r="J442" s="378">
        <f t="shared" si="179"/>
        <v>0</v>
      </c>
      <c r="K442" s="378" t="str">
        <f t="shared" si="180"/>
        <v/>
      </c>
      <c r="L442" s="378" t="str">
        <f t="shared" si="181"/>
        <v>أجنبي</v>
      </c>
      <c r="M442" s="436" t="str">
        <f t="shared" si="182"/>
        <v/>
      </c>
      <c r="N442" s="436"/>
      <c r="O442" s="378"/>
      <c r="P442" s="378"/>
      <c r="Q442" s="378"/>
      <c r="R442" s="91"/>
      <c r="S442" s="378"/>
      <c r="T442" s="378"/>
      <c r="U442" s="378">
        <v>440</v>
      </c>
      <c r="V442" s="378"/>
      <c r="W442" s="378"/>
      <c r="X442" s="378"/>
      <c r="Y442" s="378"/>
      <c r="Z442" s="378"/>
      <c r="AA442" s="378"/>
      <c r="AB442" s="378"/>
      <c r="AC442" s="378"/>
      <c r="AD442" s="378"/>
      <c r="AE442" s="378"/>
      <c r="AF442" s="378"/>
      <c r="AG442" s="378"/>
      <c r="AH442" s="378"/>
      <c r="AI442" s="378"/>
      <c r="AJ442" s="378"/>
      <c r="AK442" s="378"/>
      <c r="AL442" s="378"/>
      <c r="AM442" s="378"/>
      <c r="AN442" s="378"/>
      <c r="AO442" s="378"/>
      <c r="AP442" s="378"/>
      <c r="AQ442" s="378"/>
    </row>
    <row r="443" spans="2:43">
      <c r="B443" s="447"/>
      <c r="C443" s="439"/>
      <c r="D443" s="378"/>
      <c r="E443" s="432"/>
      <c r="F443" s="378"/>
      <c r="G443" s="378"/>
      <c r="H443" s="378" t="str">
        <f t="array" aca="1" ref="H443" ca="1">_xlfn.TEXTJOIN("", TRUE, IF(ISNUMBER(--MID(C443, ROW(INDIRECT("1:"&amp;LEN(C443))), 1)), MID(C443, ROW(INDIRECT("1:"&amp;LEN(C443))), 1), ""))</f>
        <v/>
      </c>
      <c r="I443" s="378"/>
      <c r="J443" s="378">
        <f t="shared" si="179"/>
        <v>0</v>
      </c>
      <c r="K443" s="378" t="str">
        <f t="shared" si="180"/>
        <v/>
      </c>
      <c r="L443" s="378" t="str">
        <f t="shared" si="181"/>
        <v>أجنبي</v>
      </c>
      <c r="M443" s="436" t="str">
        <f t="shared" si="182"/>
        <v/>
      </c>
      <c r="N443" s="436"/>
      <c r="O443" s="378"/>
      <c r="P443" s="378"/>
      <c r="Q443" s="378"/>
      <c r="R443" s="91"/>
      <c r="S443" s="378"/>
      <c r="T443" s="378"/>
      <c r="U443" s="378">
        <v>441</v>
      </c>
      <c r="V443" s="378"/>
      <c r="W443" s="378"/>
      <c r="X443" s="378"/>
      <c r="Y443" s="378"/>
      <c r="Z443" s="378"/>
      <c r="AA443" s="378"/>
      <c r="AB443" s="378"/>
      <c r="AC443" s="378"/>
      <c r="AD443" s="378"/>
      <c r="AE443" s="378"/>
      <c r="AF443" s="378"/>
      <c r="AG443" s="378"/>
      <c r="AH443" s="378"/>
      <c r="AI443" s="378"/>
      <c r="AJ443" s="378"/>
      <c r="AK443" s="378"/>
      <c r="AL443" s="378"/>
      <c r="AM443" s="378"/>
      <c r="AN443" s="378"/>
      <c r="AO443" s="378"/>
      <c r="AP443" s="378"/>
      <c r="AQ443" s="378"/>
    </row>
    <row r="444" spans="2:43">
      <c r="B444" s="447"/>
      <c r="C444" s="439"/>
      <c r="D444" s="378"/>
      <c r="E444" s="432"/>
      <c r="F444" s="378"/>
      <c r="G444" s="378"/>
      <c r="H444" s="378" t="str">
        <f t="array" aca="1" ref="H444" ca="1">_xlfn.TEXTJOIN("", TRUE, IF(ISNUMBER(--MID(C444, ROW(INDIRECT("1:"&amp;LEN(C444))), 1)), MID(C444, ROW(INDIRECT("1:"&amp;LEN(C444))), 1), ""))</f>
        <v/>
      </c>
      <c r="I444" s="378"/>
      <c r="J444" s="378">
        <f t="shared" si="179"/>
        <v>0</v>
      </c>
      <c r="K444" s="378" t="str">
        <f t="shared" si="180"/>
        <v/>
      </c>
      <c r="L444" s="378" t="str">
        <f t="shared" si="181"/>
        <v>أجنبي</v>
      </c>
      <c r="M444" s="436" t="str">
        <f t="shared" si="182"/>
        <v/>
      </c>
      <c r="N444" s="436"/>
      <c r="O444" s="378"/>
      <c r="P444" s="378"/>
      <c r="Q444" s="378"/>
      <c r="R444" s="91"/>
      <c r="S444" s="378"/>
      <c r="T444" s="378"/>
      <c r="U444" s="378">
        <v>442</v>
      </c>
      <c r="V444" s="378"/>
      <c r="W444" s="378"/>
      <c r="X444" s="378"/>
      <c r="Y444" s="378"/>
      <c r="Z444" s="378"/>
      <c r="AA444" s="378"/>
      <c r="AB444" s="378"/>
      <c r="AC444" s="378"/>
      <c r="AD444" s="378"/>
      <c r="AE444" s="378"/>
      <c r="AF444" s="378"/>
      <c r="AG444" s="378"/>
      <c r="AH444" s="378"/>
      <c r="AI444" s="378"/>
      <c r="AJ444" s="378"/>
      <c r="AK444" s="378"/>
      <c r="AL444" s="378"/>
      <c r="AM444" s="378"/>
      <c r="AN444" s="378"/>
      <c r="AO444" s="378"/>
      <c r="AP444" s="378"/>
      <c r="AQ444" s="378"/>
    </row>
    <row r="445" spans="2:43">
      <c r="B445" s="447"/>
      <c r="C445" s="439"/>
      <c r="D445" s="378"/>
      <c r="E445" s="433"/>
      <c r="F445" s="378"/>
      <c r="G445" s="378"/>
      <c r="H445" s="378" t="str">
        <f t="array" aca="1" ref="H445" ca="1">_xlfn.TEXTJOIN("", TRUE, IF(ISNUMBER(--MID(C445, ROW(INDIRECT("1:"&amp;LEN(C445))), 1)), MID(C445, ROW(INDIRECT("1:"&amp;LEN(C445))), 1), ""))</f>
        <v/>
      </c>
      <c r="I445" s="378"/>
      <c r="J445" s="378">
        <f t="shared" si="179"/>
        <v>0</v>
      </c>
      <c r="K445" s="378" t="str">
        <f t="shared" si="180"/>
        <v/>
      </c>
      <c r="L445" s="378" t="str">
        <f t="shared" si="181"/>
        <v>أجنبي</v>
      </c>
      <c r="M445" s="436" t="str">
        <f t="shared" si="182"/>
        <v/>
      </c>
      <c r="N445" s="436"/>
      <c r="O445" s="378"/>
      <c r="P445" s="378"/>
      <c r="Q445" s="378"/>
      <c r="R445" s="91"/>
      <c r="S445" s="378"/>
      <c r="T445" s="378"/>
      <c r="U445" s="378">
        <v>443</v>
      </c>
      <c r="V445" s="378"/>
      <c r="W445" s="378"/>
      <c r="X445" s="378"/>
      <c r="Y445" s="378"/>
      <c r="Z445" s="378"/>
      <c r="AA445" s="378"/>
      <c r="AB445" s="378"/>
      <c r="AC445" s="378"/>
      <c r="AD445" s="378"/>
      <c r="AE445" s="378"/>
      <c r="AF445" s="378"/>
      <c r="AG445" s="378"/>
      <c r="AH445" s="378"/>
      <c r="AI445" s="378"/>
      <c r="AJ445" s="378"/>
      <c r="AK445" s="378"/>
      <c r="AL445" s="378"/>
      <c r="AM445" s="378"/>
      <c r="AN445" s="378"/>
      <c r="AO445" s="378"/>
      <c r="AP445" s="378"/>
      <c r="AQ445" s="378"/>
    </row>
    <row r="446" spans="2:43">
      <c r="B446" s="447"/>
      <c r="C446" s="439"/>
      <c r="D446" s="378"/>
      <c r="E446" s="432"/>
      <c r="F446" s="378"/>
      <c r="G446" s="378"/>
      <c r="H446" s="378" t="str">
        <f t="array" aca="1" ref="H446" ca="1">_xlfn.TEXTJOIN("", TRUE, IF(ISNUMBER(--MID(C446, ROW(INDIRECT("1:"&amp;LEN(C446))), 1)), MID(C446, ROW(INDIRECT("1:"&amp;LEN(C446))), 1), ""))</f>
        <v/>
      </c>
      <c r="I446" s="378"/>
      <c r="J446" s="378">
        <f t="shared" si="179"/>
        <v>0</v>
      </c>
      <c r="K446" s="378" t="str">
        <f t="shared" si="180"/>
        <v/>
      </c>
      <c r="L446" s="378" t="str">
        <f t="shared" si="181"/>
        <v>أجنبي</v>
      </c>
      <c r="M446" s="436" t="str">
        <f t="shared" si="182"/>
        <v/>
      </c>
      <c r="N446" s="436"/>
      <c r="O446" s="378"/>
      <c r="P446" s="378"/>
      <c r="Q446" s="378"/>
      <c r="R446" s="91"/>
      <c r="S446" s="378"/>
      <c r="T446" s="378"/>
      <c r="U446" s="378">
        <v>444</v>
      </c>
      <c r="V446" s="378"/>
      <c r="W446" s="378"/>
      <c r="X446" s="378"/>
      <c r="Y446" s="378"/>
      <c r="Z446" s="378"/>
      <c r="AA446" s="378"/>
      <c r="AB446" s="378"/>
      <c r="AC446" s="378"/>
      <c r="AD446" s="378"/>
      <c r="AE446" s="378"/>
      <c r="AF446" s="378"/>
      <c r="AG446" s="378"/>
      <c r="AH446" s="378"/>
      <c r="AI446" s="378"/>
      <c r="AJ446" s="378"/>
      <c r="AK446" s="378"/>
      <c r="AL446" s="378"/>
      <c r="AM446" s="378"/>
      <c r="AN446" s="378"/>
      <c r="AO446" s="378"/>
      <c r="AP446" s="378"/>
      <c r="AQ446" s="378"/>
    </row>
    <row r="447" spans="2:43">
      <c r="B447" s="447"/>
      <c r="C447" s="439"/>
      <c r="D447" s="378"/>
      <c r="E447" s="432"/>
      <c r="F447" s="378"/>
      <c r="G447" s="378"/>
      <c r="H447" s="378" t="str">
        <f t="array" aca="1" ref="H447" ca="1">_xlfn.TEXTJOIN("", TRUE, IF(ISNUMBER(--MID(C447, ROW(INDIRECT("1:"&amp;LEN(C447))), 1)), MID(C447, ROW(INDIRECT("1:"&amp;LEN(C447))), 1), ""))</f>
        <v/>
      </c>
      <c r="I447" s="378"/>
      <c r="J447" s="378">
        <f t="shared" si="179"/>
        <v>0</v>
      </c>
      <c r="K447" s="378" t="str">
        <f t="shared" si="180"/>
        <v/>
      </c>
      <c r="L447" s="378" t="str">
        <f t="shared" si="181"/>
        <v>أجنبي</v>
      </c>
      <c r="M447" s="436" t="str">
        <f t="shared" si="182"/>
        <v/>
      </c>
      <c r="N447" s="436"/>
      <c r="O447" s="378"/>
      <c r="P447" s="378"/>
      <c r="Q447" s="378"/>
      <c r="R447" s="91"/>
      <c r="S447" s="378"/>
      <c r="T447" s="378"/>
      <c r="U447" s="378">
        <v>445</v>
      </c>
      <c r="V447" s="378"/>
      <c r="W447" s="378"/>
      <c r="X447" s="378"/>
      <c r="Y447" s="378"/>
      <c r="Z447" s="378"/>
      <c r="AA447" s="378"/>
      <c r="AB447" s="378"/>
      <c r="AC447" s="378"/>
      <c r="AD447" s="378"/>
      <c r="AE447" s="378"/>
      <c r="AF447" s="378"/>
      <c r="AG447" s="378"/>
      <c r="AH447" s="378"/>
      <c r="AI447" s="378"/>
      <c r="AJ447" s="378"/>
      <c r="AK447" s="378"/>
      <c r="AL447" s="378"/>
      <c r="AM447" s="378"/>
      <c r="AN447" s="378"/>
      <c r="AO447" s="378"/>
      <c r="AP447" s="378"/>
      <c r="AQ447" s="378"/>
    </row>
    <row r="448" spans="2:43">
      <c r="B448" s="447"/>
      <c r="C448" s="439"/>
      <c r="D448" s="378"/>
      <c r="E448" s="432"/>
      <c r="F448" s="378"/>
      <c r="G448" s="378"/>
      <c r="H448" s="378" t="str">
        <f t="array" aca="1" ref="H448" ca="1">_xlfn.TEXTJOIN("", TRUE, IF(ISNUMBER(--MID(C448, ROW(INDIRECT("1:"&amp;LEN(C448))), 1)), MID(C448, ROW(INDIRECT("1:"&amp;LEN(C448))), 1), ""))</f>
        <v/>
      </c>
      <c r="I448" s="378"/>
      <c r="J448" s="378">
        <f t="shared" si="179"/>
        <v>0</v>
      </c>
      <c r="K448" s="378" t="str">
        <f t="shared" si="180"/>
        <v/>
      </c>
      <c r="L448" s="378" t="str">
        <f t="shared" si="181"/>
        <v>أجنبي</v>
      </c>
      <c r="M448" s="436" t="str">
        <f t="shared" si="182"/>
        <v/>
      </c>
      <c r="N448" s="436"/>
      <c r="O448" s="378"/>
      <c r="P448" s="378"/>
      <c r="Q448" s="378"/>
      <c r="R448" s="91"/>
      <c r="S448" s="378"/>
      <c r="T448" s="378"/>
      <c r="U448" s="378">
        <v>446</v>
      </c>
      <c r="V448" s="378"/>
      <c r="W448" s="378"/>
      <c r="X448" s="378"/>
      <c r="Y448" s="378"/>
      <c r="Z448" s="378"/>
      <c r="AA448" s="378"/>
      <c r="AB448" s="378"/>
      <c r="AC448" s="378"/>
      <c r="AD448" s="378"/>
      <c r="AE448" s="378"/>
      <c r="AF448" s="378"/>
      <c r="AG448" s="378"/>
      <c r="AH448" s="378"/>
      <c r="AI448" s="378"/>
      <c r="AJ448" s="378"/>
      <c r="AK448" s="378"/>
      <c r="AL448" s="378"/>
      <c r="AM448" s="378"/>
      <c r="AN448" s="378"/>
      <c r="AO448" s="378"/>
      <c r="AP448" s="378"/>
      <c r="AQ448" s="378"/>
    </row>
    <row r="449" spans="2:43">
      <c r="B449" s="447"/>
      <c r="C449" s="439"/>
      <c r="D449" s="378"/>
      <c r="E449" s="432"/>
      <c r="F449" s="378"/>
      <c r="G449" s="378"/>
      <c r="H449" s="378" t="str">
        <f t="array" aca="1" ref="H449" ca="1">_xlfn.TEXTJOIN("", TRUE, IF(ISNUMBER(--MID(C449, ROW(INDIRECT("1:"&amp;LEN(C449))), 1)), MID(C449, ROW(INDIRECT("1:"&amp;LEN(C449))), 1), ""))</f>
        <v/>
      </c>
      <c r="I449" s="378"/>
      <c r="J449" s="378">
        <f t="shared" si="179"/>
        <v>0</v>
      </c>
      <c r="K449" s="378" t="str">
        <f t="shared" si="180"/>
        <v/>
      </c>
      <c r="L449" s="378" t="str">
        <f t="shared" si="181"/>
        <v>أجنبي</v>
      </c>
      <c r="M449" s="436" t="str">
        <f t="shared" si="182"/>
        <v/>
      </c>
      <c r="N449" s="436"/>
      <c r="O449" s="378"/>
      <c r="P449" s="378"/>
      <c r="Q449" s="378"/>
      <c r="R449" s="91"/>
      <c r="S449" s="378"/>
      <c r="T449" s="378"/>
      <c r="U449" s="378">
        <v>447</v>
      </c>
      <c r="V449" s="378"/>
      <c r="W449" s="378"/>
      <c r="X449" s="378"/>
      <c r="Y449" s="378"/>
      <c r="Z449" s="378"/>
      <c r="AA449" s="378"/>
      <c r="AB449" s="378"/>
      <c r="AC449" s="378"/>
      <c r="AD449" s="378"/>
      <c r="AE449" s="378"/>
      <c r="AF449" s="378"/>
      <c r="AG449" s="378"/>
      <c r="AH449" s="378"/>
      <c r="AI449" s="378"/>
      <c r="AJ449" s="378"/>
      <c r="AK449" s="378"/>
      <c r="AL449" s="378"/>
      <c r="AM449" s="378"/>
      <c r="AN449" s="378"/>
      <c r="AO449" s="378"/>
      <c r="AP449" s="378"/>
      <c r="AQ449" s="378"/>
    </row>
    <row r="450" spans="2:43">
      <c r="B450" s="447"/>
      <c r="C450" s="439"/>
      <c r="D450" s="378"/>
      <c r="E450" s="432"/>
      <c r="F450" s="378"/>
      <c r="G450" s="378"/>
      <c r="H450" s="378" t="str">
        <f t="array" aca="1" ref="H450" ca="1">_xlfn.TEXTJOIN("", TRUE, IF(ISNUMBER(--MID(C450, ROW(INDIRECT("1:"&amp;LEN(C450))), 1)), MID(C450, ROW(INDIRECT("1:"&amp;LEN(C450))), 1), ""))</f>
        <v/>
      </c>
      <c r="I450" s="378"/>
      <c r="J450" s="378">
        <f t="shared" si="179"/>
        <v>0</v>
      </c>
      <c r="K450" s="378" t="str">
        <f t="shared" si="180"/>
        <v/>
      </c>
      <c r="L450" s="378" t="str">
        <f t="shared" si="181"/>
        <v>أجنبي</v>
      </c>
      <c r="M450" s="436" t="str">
        <f t="shared" si="182"/>
        <v/>
      </c>
      <c r="N450" s="436"/>
      <c r="O450" s="378"/>
      <c r="P450" s="378"/>
      <c r="Q450" s="378"/>
      <c r="R450" s="91"/>
      <c r="S450" s="378"/>
      <c r="T450" s="378"/>
      <c r="U450" s="378">
        <v>448</v>
      </c>
      <c r="V450" s="378"/>
      <c r="W450" s="378"/>
      <c r="X450" s="378"/>
      <c r="Y450" s="378"/>
      <c r="Z450" s="378"/>
      <c r="AA450" s="378"/>
      <c r="AB450" s="378"/>
      <c r="AC450" s="378"/>
      <c r="AD450" s="378"/>
      <c r="AE450" s="378"/>
      <c r="AF450" s="378"/>
      <c r="AG450" s="378"/>
      <c r="AH450" s="378"/>
      <c r="AI450" s="378"/>
      <c r="AJ450" s="378"/>
      <c r="AK450" s="378"/>
      <c r="AL450" s="378"/>
      <c r="AM450" s="378"/>
      <c r="AN450" s="378"/>
      <c r="AO450" s="378"/>
      <c r="AP450" s="378"/>
      <c r="AQ450" s="378"/>
    </row>
    <row r="451" spans="2:43">
      <c r="B451" s="447"/>
      <c r="C451" s="439"/>
      <c r="D451" s="378"/>
      <c r="E451" s="433"/>
      <c r="F451" s="378"/>
      <c r="G451" s="378"/>
      <c r="H451" s="378" t="str">
        <f t="array" aca="1" ref="H451" ca="1">_xlfn.TEXTJOIN("", TRUE, IF(ISNUMBER(--MID(C451, ROW(INDIRECT("1:"&amp;LEN(C451))), 1)), MID(C451, ROW(INDIRECT("1:"&amp;LEN(C451))), 1), ""))</f>
        <v/>
      </c>
      <c r="I451" s="378"/>
      <c r="J451" s="378">
        <f t="shared" si="179"/>
        <v>0</v>
      </c>
      <c r="K451" s="378" t="str">
        <f t="shared" si="180"/>
        <v/>
      </c>
      <c r="L451" s="378" t="str">
        <f t="shared" si="181"/>
        <v>أجنبي</v>
      </c>
      <c r="M451" s="436" t="str">
        <f t="shared" si="182"/>
        <v/>
      </c>
      <c r="N451" s="436"/>
      <c r="O451" s="378"/>
      <c r="P451" s="378"/>
      <c r="Q451" s="378"/>
      <c r="R451" s="91"/>
      <c r="S451" s="378"/>
      <c r="T451" s="378"/>
      <c r="U451" s="378">
        <v>449</v>
      </c>
      <c r="V451" s="378"/>
      <c r="W451" s="378"/>
      <c r="X451" s="378"/>
      <c r="Y451" s="378"/>
      <c r="Z451" s="378"/>
      <c r="AA451" s="378"/>
      <c r="AB451" s="378"/>
      <c r="AC451" s="378"/>
      <c r="AD451" s="378"/>
      <c r="AE451" s="378"/>
      <c r="AF451" s="378"/>
      <c r="AG451" s="378"/>
      <c r="AH451" s="378"/>
      <c r="AI451" s="378"/>
      <c r="AJ451" s="378"/>
      <c r="AK451" s="378"/>
      <c r="AL451" s="378"/>
      <c r="AM451" s="378"/>
      <c r="AN451" s="378"/>
      <c r="AO451" s="378"/>
      <c r="AP451" s="378"/>
      <c r="AQ451" s="378"/>
    </row>
    <row r="452" spans="2:43">
      <c r="B452" s="447"/>
      <c r="C452" s="439"/>
      <c r="D452" s="378"/>
      <c r="E452" s="432"/>
      <c r="F452" s="378"/>
      <c r="G452" s="378"/>
      <c r="H452" s="378" t="str">
        <f t="array" aca="1" ref="H452" ca="1">_xlfn.TEXTJOIN("", TRUE, IF(ISNUMBER(--MID(C452, ROW(INDIRECT("1:"&amp;LEN(C452))), 1)), MID(C452, ROW(INDIRECT("1:"&amp;LEN(C452))), 1), ""))</f>
        <v/>
      </c>
      <c r="I452" s="378"/>
      <c r="J452" s="378">
        <f t="shared" si="179"/>
        <v>0</v>
      </c>
      <c r="K452" s="378" t="str">
        <f t="shared" si="180"/>
        <v/>
      </c>
      <c r="L452" s="378" t="str">
        <f t="shared" si="181"/>
        <v>أجنبي</v>
      </c>
      <c r="M452" s="436" t="str">
        <f t="shared" si="182"/>
        <v/>
      </c>
      <c r="N452" s="436"/>
      <c r="O452" s="378"/>
      <c r="P452" s="378"/>
      <c r="Q452" s="378"/>
      <c r="R452" s="91"/>
      <c r="S452" s="378"/>
      <c r="T452" s="378"/>
      <c r="U452" s="378">
        <v>450</v>
      </c>
      <c r="V452" s="378"/>
      <c r="W452" s="378"/>
      <c r="X452" s="378"/>
      <c r="Y452" s="378"/>
      <c r="Z452" s="378"/>
      <c r="AA452" s="378"/>
      <c r="AB452" s="378"/>
      <c r="AC452" s="378"/>
      <c r="AD452" s="378"/>
      <c r="AE452" s="378"/>
      <c r="AF452" s="378"/>
      <c r="AG452" s="378"/>
      <c r="AH452" s="378"/>
      <c r="AI452" s="378"/>
      <c r="AJ452" s="378"/>
      <c r="AK452" s="378"/>
      <c r="AL452" s="378"/>
      <c r="AM452" s="378"/>
      <c r="AN452" s="378"/>
      <c r="AO452" s="378"/>
      <c r="AP452" s="378"/>
      <c r="AQ452" s="378"/>
    </row>
    <row r="453" spans="2:43">
      <c r="B453" s="447"/>
      <c r="C453" s="470"/>
      <c r="D453" s="378"/>
      <c r="E453" s="432"/>
      <c r="F453" s="378"/>
      <c r="G453" s="378"/>
      <c r="H453" s="378" t="str">
        <f t="array" aca="1" ref="H453" ca="1">_xlfn.TEXTJOIN("", TRUE, IF(ISNUMBER(--MID(C453, ROW(INDIRECT("1:"&amp;LEN(C453))), 1)), MID(C453, ROW(INDIRECT("1:"&amp;LEN(C453))), 1), ""))</f>
        <v/>
      </c>
      <c r="I453" s="378"/>
      <c r="J453" s="378">
        <f t="shared" si="179"/>
        <v>0</v>
      </c>
      <c r="K453" s="378" t="str">
        <f t="shared" si="180"/>
        <v/>
      </c>
      <c r="L453" s="378" t="str">
        <f t="shared" si="181"/>
        <v>أجنبي</v>
      </c>
      <c r="M453" s="436" t="str">
        <f t="shared" si="182"/>
        <v/>
      </c>
      <c r="N453" s="436"/>
      <c r="O453" s="378"/>
      <c r="P453" s="378"/>
      <c r="Q453" s="378"/>
      <c r="R453" s="91"/>
      <c r="S453" s="378"/>
      <c r="T453" s="378"/>
      <c r="U453" s="378">
        <v>451</v>
      </c>
      <c r="V453" s="378"/>
      <c r="W453" s="378"/>
      <c r="X453" s="378"/>
      <c r="Y453" s="378"/>
      <c r="Z453" s="378"/>
      <c r="AA453" s="378"/>
      <c r="AB453" s="378"/>
      <c r="AC453" s="378"/>
      <c r="AD453" s="378"/>
      <c r="AE453" s="378"/>
      <c r="AF453" s="378"/>
      <c r="AG453" s="378"/>
      <c r="AH453" s="378"/>
      <c r="AI453" s="378"/>
      <c r="AJ453" s="378"/>
      <c r="AK453" s="378"/>
      <c r="AL453" s="378"/>
      <c r="AM453" s="378"/>
      <c r="AN453" s="378"/>
      <c r="AO453" s="378"/>
      <c r="AP453" s="378"/>
      <c r="AQ453" s="378"/>
    </row>
    <row r="454" spans="2:43">
      <c r="B454" s="447"/>
      <c r="C454" s="378"/>
      <c r="D454" s="378"/>
      <c r="E454" s="378"/>
      <c r="F454" s="378"/>
      <c r="G454" s="378"/>
      <c r="H454" s="378"/>
      <c r="I454" s="378"/>
      <c r="J454" s="378"/>
      <c r="K454" s="378"/>
      <c r="L454" s="378"/>
      <c r="M454" s="378"/>
      <c r="N454" s="378"/>
      <c r="O454" s="378"/>
      <c r="P454" s="378"/>
      <c r="Q454" s="378"/>
      <c r="R454" s="378"/>
      <c r="S454" s="378"/>
      <c r="T454" s="378"/>
      <c r="U454" s="378"/>
      <c r="V454" s="378"/>
      <c r="W454" s="378"/>
      <c r="X454" s="378"/>
      <c r="Y454" s="378"/>
      <c r="Z454" s="378"/>
      <c r="AA454" s="378"/>
      <c r="AB454" s="378"/>
      <c r="AC454" s="378"/>
      <c r="AD454" s="378"/>
      <c r="AE454" s="378"/>
      <c r="AF454" s="378"/>
      <c r="AG454" s="378"/>
      <c r="AH454" s="378"/>
      <c r="AI454" s="378"/>
      <c r="AJ454" s="378"/>
      <c r="AK454" s="378"/>
      <c r="AL454" s="378"/>
      <c r="AM454" s="378"/>
      <c r="AN454" s="378"/>
      <c r="AO454" s="378"/>
      <c r="AP454" s="378"/>
      <c r="AQ454" s="378"/>
    </row>
    <row r="455" spans="2:43">
      <c r="B455" s="447"/>
      <c r="C455" s="378"/>
      <c r="D455" s="378"/>
      <c r="E455" s="378"/>
      <c r="F455" s="378"/>
      <c r="G455" s="378"/>
      <c r="H455" s="378"/>
      <c r="I455" s="378"/>
      <c r="J455" s="378"/>
      <c r="K455" s="378"/>
      <c r="L455" s="378"/>
      <c r="M455" s="378"/>
      <c r="N455" s="378"/>
      <c r="O455" s="378"/>
      <c r="P455" s="378"/>
      <c r="Q455" s="378"/>
      <c r="R455" s="378"/>
      <c r="S455" s="378"/>
      <c r="T455" s="378"/>
      <c r="U455" s="378"/>
      <c r="V455" s="378"/>
      <c r="W455" s="378"/>
      <c r="X455" s="378"/>
      <c r="Y455" s="378"/>
      <c r="Z455" s="378"/>
      <c r="AA455" s="378"/>
      <c r="AB455" s="378"/>
      <c r="AC455" s="378"/>
      <c r="AD455" s="378"/>
      <c r="AE455" s="378"/>
      <c r="AF455" s="378"/>
      <c r="AG455" s="378"/>
      <c r="AH455" s="378"/>
      <c r="AI455" s="378"/>
      <c r="AJ455" s="378"/>
      <c r="AK455" s="378"/>
      <c r="AL455" s="378"/>
      <c r="AM455" s="378"/>
      <c r="AN455" s="378"/>
      <c r="AO455" s="378"/>
      <c r="AP455" s="378"/>
      <c r="AQ455" s="378"/>
    </row>
    <row r="456" spans="2:43">
      <c r="B456" s="447"/>
      <c r="C456" s="378"/>
      <c r="D456" s="378"/>
      <c r="E456" s="378"/>
      <c r="F456" s="378"/>
      <c r="G456" s="378"/>
      <c r="H456" s="378"/>
      <c r="I456" s="378"/>
      <c r="J456" s="378"/>
      <c r="K456" s="378"/>
      <c r="L456" s="378"/>
      <c r="M456" s="378"/>
      <c r="N456" s="378"/>
      <c r="O456" s="378"/>
      <c r="P456" s="378"/>
      <c r="Q456" s="378"/>
      <c r="R456" s="378"/>
      <c r="S456" s="378"/>
      <c r="T456" s="378"/>
      <c r="U456" s="378"/>
      <c r="V456" s="378"/>
      <c r="W456" s="378"/>
      <c r="X456" s="378"/>
      <c r="Y456" s="378"/>
      <c r="Z456" s="378"/>
      <c r="AA456" s="378"/>
      <c r="AB456" s="378"/>
      <c r="AC456" s="378"/>
      <c r="AD456" s="378"/>
      <c r="AE456" s="378"/>
      <c r="AF456" s="378"/>
      <c r="AG456" s="378"/>
      <c r="AH456" s="378"/>
      <c r="AI456" s="378"/>
      <c r="AJ456" s="378"/>
      <c r="AK456" s="378"/>
      <c r="AL456" s="378"/>
      <c r="AM456" s="378"/>
      <c r="AN456" s="378"/>
      <c r="AO456" s="378"/>
      <c r="AP456" s="378"/>
      <c r="AQ456" s="378"/>
    </row>
    <row r="457" spans="2:43">
      <c r="B457" s="447"/>
      <c r="C457" s="378"/>
      <c r="D457" s="378"/>
      <c r="E457" s="378"/>
      <c r="F457" s="378"/>
      <c r="G457" s="378"/>
      <c r="H457" s="378"/>
      <c r="I457" s="378"/>
      <c r="J457" s="378"/>
      <c r="K457" s="378"/>
      <c r="L457" s="378"/>
      <c r="M457" s="378"/>
      <c r="N457" s="378"/>
      <c r="O457" s="378"/>
      <c r="P457" s="378"/>
      <c r="Q457" s="378"/>
      <c r="R457" s="378"/>
      <c r="S457" s="378"/>
      <c r="T457" s="378"/>
      <c r="U457" s="378"/>
      <c r="V457" s="378"/>
      <c r="W457" s="378"/>
      <c r="X457" s="378"/>
      <c r="Y457" s="378"/>
      <c r="Z457" s="378"/>
      <c r="AA457" s="378"/>
      <c r="AB457" s="378"/>
      <c r="AC457" s="378"/>
      <c r="AD457" s="378"/>
      <c r="AE457" s="378"/>
      <c r="AF457" s="378"/>
      <c r="AG457" s="378"/>
      <c r="AH457" s="378"/>
      <c r="AI457" s="378"/>
      <c r="AJ457" s="378"/>
      <c r="AK457" s="378"/>
      <c r="AL457" s="378"/>
      <c r="AM457" s="378"/>
      <c r="AN457" s="378"/>
      <c r="AO457" s="378"/>
      <c r="AP457" s="378"/>
      <c r="AQ457" s="378"/>
    </row>
    <row r="458" spans="2:43">
      <c r="B458" s="447"/>
      <c r="C458" s="378"/>
      <c r="D458" s="378"/>
      <c r="E458" s="378"/>
      <c r="F458" s="378"/>
      <c r="G458" s="378"/>
      <c r="H458" s="378"/>
      <c r="I458" s="378"/>
      <c r="J458" s="378"/>
      <c r="K458" s="378"/>
      <c r="L458" s="378"/>
      <c r="M458" s="378"/>
      <c r="N458" s="378"/>
      <c r="O458" s="378"/>
      <c r="P458" s="378"/>
      <c r="Q458" s="378"/>
      <c r="R458" s="378"/>
      <c r="S458" s="378"/>
      <c r="T458" s="378"/>
      <c r="U458" s="378"/>
      <c r="V458" s="378"/>
      <c r="W458" s="378"/>
      <c r="X458" s="378"/>
      <c r="Y458" s="378"/>
      <c r="Z458" s="378"/>
      <c r="AA458" s="378"/>
      <c r="AB458" s="378"/>
      <c r="AC458" s="378"/>
      <c r="AD458" s="378"/>
      <c r="AE458" s="378"/>
      <c r="AF458" s="378"/>
      <c r="AG458" s="378"/>
      <c r="AH458" s="378"/>
      <c r="AI458" s="378"/>
      <c r="AJ458" s="378"/>
      <c r="AK458" s="378"/>
      <c r="AL458" s="378"/>
      <c r="AM458" s="378"/>
      <c r="AN458" s="378"/>
      <c r="AO458" s="378"/>
      <c r="AP458" s="378"/>
      <c r="AQ458" s="378"/>
    </row>
    <row r="459" spans="2:43">
      <c r="B459" s="447"/>
      <c r="C459" s="378"/>
      <c r="D459" s="378"/>
      <c r="E459" s="378"/>
      <c r="F459" s="378"/>
      <c r="G459" s="378"/>
      <c r="H459" s="378"/>
      <c r="I459" s="378"/>
      <c r="J459" s="378"/>
      <c r="K459" s="378"/>
      <c r="L459" s="378"/>
      <c r="M459" s="378"/>
      <c r="N459" s="378"/>
      <c r="O459" s="378"/>
      <c r="P459" s="378"/>
      <c r="Q459" s="378"/>
      <c r="R459" s="378"/>
      <c r="S459" s="378"/>
      <c r="T459" s="378"/>
      <c r="U459" s="378"/>
      <c r="V459" s="378"/>
      <c r="W459" s="378"/>
      <c r="X459" s="378"/>
      <c r="Y459" s="378"/>
      <c r="Z459" s="378"/>
      <c r="AA459" s="378"/>
      <c r="AB459" s="378"/>
      <c r="AC459" s="378"/>
      <c r="AD459" s="378"/>
      <c r="AE459" s="378"/>
      <c r="AF459" s="378"/>
      <c r="AG459" s="378"/>
      <c r="AH459" s="378"/>
      <c r="AI459" s="378"/>
      <c r="AJ459" s="378"/>
      <c r="AK459" s="378"/>
      <c r="AL459" s="378"/>
      <c r="AM459" s="378"/>
      <c r="AN459" s="378"/>
      <c r="AO459" s="378"/>
      <c r="AP459" s="378"/>
      <c r="AQ459" s="378"/>
    </row>
    <row r="460" spans="2:43">
      <c r="B460" s="447"/>
      <c r="C460" s="378"/>
      <c r="D460" s="378"/>
      <c r="E460" s="378"/>
      <c r="F460" s="378"/>
      <c r="G460" s="378"/>
      <c r="H460" s="378"/>
      <c r="I460" s="378"/>
      <c r="J460" s="378"/>
      <c r="K460" s="378"/>
      <c r="L460" s="378"/>
      <c r="M460" s="378"/>
      <c r="N460" s="378"/>
      <c r="O460" s="378"/>
      <c r="P460" s="378"/>
      <c r="Q460" s="378"/>
      <c r="R460" s="378"/>
      <c r="S460" s="378"/>
      <c r="T460" s="378"/>
      <c r="U460" s="378"/>
      <c r="V460" s="378"/>
      <c r="W460" s="378"/>
      <c r="X460" s="378"/>
      <c r="Y460" s="378"/>
      <c r="Z460" s="378"/>
      <c r="AA460" s="378"/>
      <c r="AB460" s="378"/>
      <c r="AC460" s="378"/>
      <c r="AD460" s="378"/>
      <c r="AE460" s="378"/>
      <c r="AF460" s="378"/>
      <c r="AG460" s="378"/>
      <c r="AH460" s="378"/>
      <c r="AI460" s="378"/>
      <c r="AJ460" s="378"/>
      <c r="AK460" s="378"/>
      <c r="AL460" s="378"/>
      <c r="AM460" s="378"/>
      <c r="AN460" s="378"/>
      <c r="AO460" s="378"/>
      <c r="AP460" s="378"/>
      <c r="AQ460" s="378"/>
    </row>
    <row r="461" spans="2:43">
      <c r="B461" s="447"/>
      <c r="C461" s="378"/>
      <c r="D461" s="378"/>
      <c r="E461" s="378"/>
      <c r="F461" s="378"/>
      <c r="G461" s="378"/>
      <c r="H461" s="378"/>
      <c r="I461" s="378"/>
      <c r="J461" s="378"/>
      <c r="K461" s="378"/>
      <c r="L461" s="378"/>
      <c r="M461" s="378"/>
      <c r="N461" s="378"/>
      <c r="O461" s="378"/>
      <c r="P461" s="378"/>
      <c r="Q461" s="378"/>
      <c r="R461" s="378"/>
      <c r="S461" s="378"/>
      <c r="T461" s="378"/>
      <c r="U461" s="378"/>
      <c r="V461" s="378"/>
      <c r="W461" s="378"/>
      <c r="X461" s="378"/>
      <c r="Y461" s="378"/>
      <c r="Z461" s="378"/>
      <c r="AA461" s="378"/>
      <c r="AB461" s="378"/>
      <c r="AC461" s="378"/>
      <c r="AD461" s="378"/>
      <c r="AE461" s="378"/>
      <c r="AF461" s="378"/>
      <c r="AG461" s="378"/>
      <c r="AH461" s="378"/>
      <c r="AI461" s="378"/>
      <c r="AJ461" s="378"/>
      <c r="AK461" s="378"/>
      <c r="AL461" s="378"/>
      <c r="AM461" s="378"/>
      <c r="AN461" s="378"/>
      <c r="AO461" s="378"/>
      <c r="AP461" s="378"/>
      <c r="AQ461" s="378"/>
    </row>
    <row r="462" spans="2:43">
      <c r="B462" s="447"/>
      <c r="C462" s="378"/>
      <c r="D462" s="378"/>
      <c r="E462" s="378"/>
      <c r="F462" s="378"/>
      <c r="G462" s="378"/>
      <c r="H462" s="378"/>
      <c r="I462" s="378"/>
      <c r="J462" s="378"/>
      <c r="K462" s="378"/>
      <c r="L462" s="378"/>
      <c r="M462" s="378"/>
      <c r="N462" s="378"/>
      <c r="O462" s="378"/>
      <c r="P462" s="378"/>
      <c r="Q462" s="378"/>
      <c r="R462" s="378"/>
      <c r="S462" s="378"/>
      <c r="T462" s="378"/>
      <c r="U462" s="378"/>
      <c r="V462" s="378"/>
      <c r="W462" s="378"/>
      <c r="X462" s="378"/>
      <c r="Y462" s="378"/>
      <c r="Z462" s="378"/>
      <c r="AA462" s="378"/>
      <c r="AB462" s="378"/>
      <c r="AC462" s="378"/>
      <c r="AD462" s="378"/>
      <c r="AE462" s="378"/>
      <c r="AF462" s="378"/>
      <c r="AG462" s="378"/>
      <c r="AH462" s="378"/>
      <c r="AI462" s="378"/>
      <c r="AJ462" s="378"/>
      <c r="AK462" s="378"/>
      <c r="AL462" s="378"/>
      <c r="AM462" s="378"/>
      <c r="AN462" s="378"/>
      <c r="AO462" s="378"/>
      <c r="AP462" s="378"/>
      <c r="AQ462" s="378"/>
    </row>
    <row r="463" spans="2:43">
      <c r="B463" s="447"/>
      <c r="C463" s="378"/>
      <c r="D463" s="378"/>
      <c r="E463" s="378"/>
      <c r="F463" s="378"/>
      <c r="G463" s="378"/>
      <c r="H463" s="378"/>
      <c r="I463" s="378"/>
      <c r="J463" s="378"/>
      <c r="K463" s="378"/>
      <c r="L463" s="378"/>
      <c r="M463" s="378"/>
      <c r="N463" s="378"/>
      <c r="O463" s="378"/>
      <c r="P463" s="378"/>
      <c r="Q463" s="378"/>
      <c r="R463" s="378"/>
      <c r="S463" s="378"/>
      <c r="T463" s="378"/>
      <c r="U463" s="378"/>
      <c r="V463" s="378"/>
      <c r="W463" s="378"/>
      <c r="X463" s="378"/>
      <c r="Y463" s="378"/>
      <c r="Z463" s="378"/>
      <c r="AA463" s="378"/>
      <c r="AB463" s="378"/>
      <c r="AC463" s="378"/>
      <c r="AD463" s="378"/>
      <c r="AE463" s="378"/>
      <c r="AF463" s="378"/>
      <c r="AG463" s="378"/>
      <c r="AH463" s="378"/>
      <c r="AI463" s="378"/>
      <c r="AJ463" s="378"/>
      <c r="AK463" s="378"/>
      <c r="AL463" s="378"/>
      <c r="AM463" s="378"/>
      <c r="AN463" s="378"/>
      <c r="AO463" s="378"/>
      <c r="AP463" s="378"/>
      <c r="AQ463" s="378"/>
    </row>
    <row r="464" spans="2:43">
      <c r="B464" s="447"/>
      <c r="C464" s="378"/>
      <c r="D464" s="378"/>
      <c r="E464" s="378"/>
      <c r="F464" s="378"/>
      <c r="G464" s="378"/>
      <c r="H464" s="378"/>
      <c r="I464" s="378"/>
      <c r="J464" s="378"/>
      <c r="K464" s="378"/>
      <c r="L464" s="378"/>
      <c r="M464" s="378"/>
      <c r="N464" s="378"/>
      <c r="O464" s="378"/>
      <c r="P464" s="378"/>
      <c r="Q464" s="378"/>
      <c r="R464" s="378"/>
      <c r="S464" s="378"/>
      <c r="T464" s="378"/>
      <c r="U464" s="378"/>
      <c r="V464" s="378"/>
      <c r="W464" s="378"/>
      <c r="X464" s="378"/>
      <c r="Y464" s="378"/>
      <c r="Z464" s="378"/>
      <c r="AA464" s="378"/>
      <c r="AB464" s="378"/>
      <c r="AC464" s="378"/>
      <c r="AD464" s="378"/>
      <c r="AE464" s="378"/>
      <c r="AF464" s="378"/>
      <c r="AG464" s="378"/>
      <c r="AH464" s="378"/>
      <c r="AI464" s="378"/>
      <c r="AJ464" s="378"/>
      <c r="AK464" s="378"/>
      <c r="AL464" s="378"/>
      <c r="AM464" s="378"/>
      <c r="AN464" s="378"/>
      <c r="AO464" s="378"/>
      <c r="AP464" s="378"/>
      <c r="AQ464" s="378"/>
    </row>
    <row r="465" spans="2:43">
      <c r="B465" s="447"/>
      <c r="C465" s="378"/>
      <c r="D465" s="378"/>
      <c r="E465" s="378"/>
      <c r="F465" s="378"/>
      <c r="G465" s="378"/>
      <c r="H465" s="378"/>
      <c r="I465" s="378"/>
      <c r="J465" s="378"/>
      <c r="K465" s="378"/>
      <c r="L465" s="378"/>
      <c r="M465" s="378"/>
      <c r="N465" s="378"/>
      <c r="O465" s="378"/>
      <c r="P465" s="378"/>
      <c r="Q465" s="378"/>
      <c r="R465" s="378"/>
      <c r="S465" s="378"/>
      <c r="T465" s="378"/>
      <c r="U465" s="378"/>
      <c r="V465" s="378"/>
      <c r="W465" s="378"/>
      <c r="X465" s="378"/>
      <c r="Y465" s="378"/>
      <c r="Z465" s="378"/>
      <c r="AA465" s="378"/>
      <c r="AB465" s="378"/>
      <c r="AC465" s="378"/>
      <c r="AD465" s="378"/>
      <c r="AE465" s="378"/>
      <c r="AF465" s="378"/>
      <c r="AG465" s="378"/>
      <c r="AH465" s="378"/>
      <c r="AI465" s="378"/>
      <c r="AJ465" s="378"/>
      <c r="AK465" s="378"/>
      <c r="AL465" s="378"/>
      <c r="AM465" s="378"/>
      <c r="AN465" s="378"/>
      <c r="AO465" s="378"/>
      <c r="AP465" s="378"/>
      <c r="AQ465" s="378"/>
    </row>
    <row r="466" spans="2:43">
      <c r="B466" s="447"/>
      <c r="C466" s="378"/>
      <c r="D466" s="378"/>
      <c r="E466" s="378"/>
      <c r="F466" s="378"/>
      <c r="G466" s="378"/>
      <c r="H466" s="378"/>
      <c r="I466" s="378"/>
      <c r="J466" s="378"/>
      <c r="K466" s="378"/>
      <c r="L466" s="378"/>
      <c r="M466" s="378"/>
      <c r="N466" s="378"/>
      <c r="O466" s="378"/>
      <c r="P466" s="378"/>
      <c r="Q466" s="378"/>
      <c r="R466" s="378"/>
      <c r="S466" s="378"/>
      <c r="T466" s="378"/>
      <c r="U466" s="378"/>
      <c r="V466" s="378"/>
      <c r="W466" s="378"/>
      <c r="X466" s="378"/>
      <c r="Y466" s="378"/>
      <c r="Z466" s="378"/>
      <c r="AA466" s="378"/>
      <c r="AB466" s="378"/>
      <c r="AC466" s="378"/>
      <c r="AD466" s="378"/>
      <c r="AE466" s="378"/>
      <c r="AF466" s="378"/>
      <c r="AG466" s="378"/>
      <c r="AH466" s="378"/>
      <c r="AI466" s="378"/>
      <c r="AJ466" s="378"/>
      <c r="AK466" s="378"/>
      <c r="AL466" s="378"/>
      <c r="AM466" s="378"/>
      <c r="AN466" s="378"/>
      <c r="AO466" s="378"/>
      <c r="AP466" s="378"/>
      <c r="AQ466" s="378"/>
    </row>
    <row r="467" spans="2:43">
      <c r="B467" s="447"/>
      <c r="C467" s="378"/>
      <c r="D467" s="378"/>
      <c r="E467" s="378"/>
      <c r="F467" s="378"/>
      <c r="G467" s="378"/>
      <c r="H467" s="378"/>
      <c r="I467" s="378"/>
      <c r="J467" s="378"/>
      <c r="K467" s="378"/>
      <c r="L467" s="378"/>
      <c r="M467" s="378"/>
      <c r="N467" s="378"/>
      <c r="O467" s="378"/>
      <c r="P467" s="378"/>
      <c r="Q467" s="378"/>
      <c r="R467" s="378"/>
      <c r="S467" s="378"/>
      <c r="T467" s="378"/>
      <c r="U467" s="378"/>
      <c r="V467" s="378"/>
      <c r="W467" s="378"/>
      <c r="X467" s="378"/>
      <c r="Y467" s="378"/>
      <c r="Z467" s="378"/>
      <c r="AA467" s="378"/>
      <c r="AB467" s="378"/>
      <c r="AC467" s="378"/>
      <c r="AD467" s="378"/>
      <c r="AE467" s="378"/>
      <c r="AF467" s="378"/>
      <c r="AG467" s="378"/>
      <c r="AH467" s="378"/>
      <c r="AI467" s="378"/>
      <c r="AJ467" s="378"/>
      <c r="AK467" s="378"/>
      <c r="AL467" s="378"/>
      <c r="AM467" s="378"/>
      <c r="AN467" s="378"/>
      <c r="AO467" s="378"/>
      <c r="AP467" s="378"/>
      <c r="AQ467" s="378"/>
    </row>
    <row r="468" spans="2:43">
      <c r="B468" s="447"/>
      <c r="C468" s="378"/>
      <c r="D468" s="378"/>
      <c r="E468" s="378"/>
      <c r="F468" s="378"/>
      <c r="G468" s="378"/>
      <c r="H468" s="378"/>
      <c r="I468" s="378"/>
      <c r="J468" s="378"/>
      <c r="K468" s="378"/>
      <c r="L468" s="378"/>
      <c r="M468" s="378"/>
      <c r="N468" s="378"/>
      <c r="O468" s="378"/>
      <c r="P468" s="378"/>
      <c r="Q468" s="378"/>
      <c r="R468" s="378"/>
      <c r="S468" s="378"/>
      <c r="T468" s="378"/>
      <c r="U468" s="378"/>
      <c r="V468" s="378"/>
      <c r="W468" s="378"/>
      <c r="X468" s="378"/>
      <c r="Y468" s="378"/>
      <c r="Z468" s="378"/>
      <c r="AA468" s="378"/>
      <c r="AB468" s="378"/>
      <c r="AC468" s="378"/>
      <c r="AD468" s="378"/>
      <c r="AE468" s="378"/>
      <c r="AF468" s="378"/>
      <c r="AG468" s="378"/>
      <c r="AH468" s="378"/>
      <c r="AI468" s="378"/>
      <c r="AJ468" s="378"/>
      <c r="AK468" s="378"/>
      <c r="AL468" s="378"/>
      <c r="AM468" s="378"/>
      <c r="AN468" s="378"/>
      <c r="AO468" s="378"/>
      <c r="AP468" s="378"/>
      <c r="AQ468" s="378"/>
    </row>
    <row r="469" spans="2:43">
      <c r="B469" s="447"/>
      <c r="C469" s="378"/>
      <c r="D469" s="378"/>
      <c r="E469" s="378"/>
      <c r="F469" s="378"/>
      <c r="G469" s="378"/>
      <c r="H469" s="378"/>
      <c r="I469" s="378"/>
      <c r="J469" s="378"/>
      <c r="K469" s="378"/>
      <c r="L469" s="378"/>
      <c r="M469" s="378"/>
      <c r="N469" s="378"/>
      <c r="O469" s="378"/>
      <c r="P469" s="378"/>
      <c r="Q469" s="378"/>
      <c r="R469" s="378"/>
      <c r="S469" s="378"/>
      <c r="T469" s="378"/>
      <c r="U469" s="378"/>
      <c r="V469" s="378"/>
      <c r="W469" s="378"/>
      <c r="X469" s="378"/>
      <c r="Y469" s="378"/>
      <c r="Z469" s="378"/>
      <c r="AA469" s="378"/>
      <c r="AB469" s="378"/>
      <c r="AC469" s="378"/>
      <c r="AD469" s="378"/>
      <c r="AE469" s="378"/>
      <c r="AF469" s="378"/>
      <c r="AG469" s="378"/>
      <c r="AH469" s="378"/>
      <c r="AI469" s="378"/>
      <c r="AJ469" s="378"/>
      <c r="AK469" s="378"/>
      <c r="AL469" s="378"/>
      <c r="AM469" s="378"/>
      <c r="AN469" s="378"/>
      <c r="AO469" s="378"/>
      <c r="AP469" s="378"/>
      <c r="AQ469" s="378"/>
    </row>
    <row r="470" spans="2:43">
      <c r="B470" s="447"/>
      <c r="C470" s="378"/>
      <c r="D470" s="378"/>
      <c r="E470" s="378"/>
      <c r="F470" s="378"/>
      <c r="G470" s="378"/>
      <c r="H470" s="378"/>
      <c r="I470" s="378"/>
      <c r="J470" s="378"/>
      <c r="K470" s="378"/>
      <c r="L470" s="378"/>
      <c r="M470" s="378"/>
      <c r="N470" s="378"/>
      <c r="O470" s="378"/>
      <c r="P470" s="378"/>
      <c r="Q470" s="378"/>
      <c r="R470" s="378"/>
      <c r="S470" s="378"/>
      <c r="T470" s="378"/>
      <c r="U470" s="378"/>
      <c r="V470" s="378"/>
      <c r="W470" s="378"/>
      <c r="X470" s="378"/>
      <c r="Y470" s="378"/>
      <c r="Z470" s="378"/>
      <c r="AA470" s="378"/>
      <c r="AB470" s="378"/>
      <c r="AC470" s="378"/>
      <c r="AD470" s="378"/>
      <c r="AE470" s="378"/>
      <c r="AF470" s="378"/>
      <c r="AG470" s="378"/>
      <c r="AH470" s="378"/>
      <c r="AI470" s="378"/>
      <c r="AJ470" s="378"/>
      <c r="AK470" s="378"/>
      <c r="AL470" s="378"/>
      <c r="AM470" s="378"/>
      <c r="AN470" s="378"/>
      <c r="AO470" s="378"/>
      <c r="AP470" s="378"/>
      <c r="AQ470" s="378"/>
    </row>
    <row r="471" spans="2:43">
      <c r="B471" s="447"/>
      <c r="C471" s="378"/>
      <c r="D471" s="378"/>
      <c r="E471" s="378"/>
      <c r="F471" s="378"/>
      <c r="G471" s="378"/>
      <c r="H471" s="378"/>
      <c r="I471" s="378"/>
      <c r="J471" s="378"/>
      <c r="K471" s="378"/>
      <c r="L471" s="378"/>
      <c r="M471" s="378"/>
      <c r="N471" s="378"/>
      <c r="O471" s="378"/>
      <c r="P471" s="378"/>
      <c r="Q471" s="378"/>
      <c r="R471" s="378"/>
      <c r="S471" s="378"/>
      <c r="T471" s="378"/>
      <c r="U471" s="378"/>
      <c r="V471" s="378"/>
      <c r="W471" s="378"/>
      <c r="X471" s="378"/>
      <c r="Y471" s="378"/>
      <c r="Z471" s="378"/>
      <c r="AA471" s="378"/>
      <c r="AB471" s="378"/>
      <c r="AC471" s="378"/>
      <c r="AD471" s="378"/>
      <c r="AE471" s="378"/>
      <c r="AF471" s="378"/>
      <c r="AG471" s="378"/>
      <c r="AH471" s="378"/>
      <c r="AI471" s="378"/>
      <c r="AJ471" s="378"/>
      <c r="AK471" s="378"/>
      <c r="AL471" s="378"/>
      <c r="AM471" s="378"/>
      <c r="AN471" s="378"/>
      <c r="AO471" s="378"/>
      <c r="AP471" s="378"/>
      <c r="AQ471" s="378"/>
    </row>
    <row r="472" spans="2:43">
      <c r="B472" s="447"/>
      <c r="C472" s="378"/>
      <c r="D472" s="378"/>
      <c r="E472" s="378"/>
      <c r="F472" s="378"/>
      <c r="G472" s="378"/>
      <c r="H472" s="378"/>
      <c r="I472" s="378"/>
      <c r="J472" s="378"/>
      <c r="K472" s="378"/>
      <c r="L472" s="378"/>
      <c r="M472" s="378"/>
      <c r="N472" s="378"/>
      <c r="O472" s="378"/>
      <c r="P472" s="378"/>
      <c r="Q472" s="378"/>
      <c r="R472" s="378"/>
      <c r="S472" s="378"/>
      <c r="T472" s="378"/>
      <c r="U472" s="378"/>
      <c r="V472" s="378"/>
      <c r="W472" s="378"/>
      <c r="X472" s="378"/>
      <c r="Y472" s="378"/>
      <c r="Z472" s="378"/>
      <c r="AA472" s="378"/>
      <c r="AB472" s="378"/>
      <c r="AC472" s="378"/>
      <c r="AD472" s="378"/>
      <c r="AE472" s="378"/>
      <c r="AF472" s="378"/>
      <c r="AG472" s="378"/>
      <c r="AH472" s="378"/>
      <c r="AI472" s="378"/>
      <c r="AJ472" s="378"/>
      <c r="AK472" s="378"/>
      <c r="AL472" s="378"/>
      <c r="AM472" s="378"/>
      <c r="AN472" s="378"/>
      <c r="AO472" s="378"/>
      <c r="AP472" s="378"/>
      <c r="AQ472" s="378"/>
    </row>
    <row r="473" spans="2:43">
      <c r="B473" s="447"/>
      <c r="C473" s="378"/>
      <c r="D473" s="378"/>
      <c r="E473" s="378"/>
      <c r="F473" s="378"/>
      <c r="G473" s="378"/>
      <c r="H473" s="378"/>
      <c r="I473" s="378"/>
      <c r="J473" s="378"/>
      <c r="K473" s="378"/>
      <c r="L473" s="378"/>
      <c r="M473" s="378"/>
      <c r="N473" s="378"/>
      <c r="O473" s="378"/>
      <c r="P473" s="378"/>
      <c r="Q473" s="378"/>
      <c r="R473" s="378"/>
      <c r="S473" s="378"/>
      <c r="T473" s="378"/>
      <c r="U473" s="378"/>
      <c r="V473" s="378"/>
      <c r="W473" s="378"/>
      <c r="X473" s="378"/>
      <c r="Y473" s="378"/>
      <c r="Z473" s="378"/>
      <c r="AA473" s="378"/>
      <c r="AB473" s="378"/>
      <c r="AC473" s="378"/>
      <c r="AD473" s="378"/>
      <c r="AE473" s="378"/>
      <c r="AF473" s="378"/>
      <c r="AG473" s="378"/>
      <c r="AH473" s="378"/>
      <c r="AI473" s="378"/>
      <c r="AJ473" s="378"/>
      <c r="AK473" s="378"/>
      <c r="AL473" s="378"/>
      <c r="AM473" s="378"/>
      <c r="AN473" s="378"/>
      <c r="AO473" s="378"/>
      <c r="AP473" s="378"/>
      <c r="AQ473" s="378"/>
    </row>
    <row r="474" spans="2:43">
      <c r="B474" s="447"/>
      <c r="C474" s="378"/>
      <c r="D474" s="378"/>
      <c r="E474" s="378"/>
      <c r="F474" s="378"/>
      <c r="G474" s="378"/>
      <c r="H474" s="378"/>
      <c r="I474" s="378"/>
      <c r="J474" s="378"/>
      <c r="K474" s="378"/>
      <c r="L474" s="378"/>
      <c r="M474" s="378"/>
      <c r="N474" s="378"/>
      <c r="O474" s="378"/>
      <c r="P474" s="378"/>
      <c r="Q474" s="378"/>
      <c r="R474" s="378"/>
      <c r="S474" s="378"/>
      <c r="T474" s="378"/>
      <c r="U474" s="378"/>
      <c r="V474" s="378"/>
      <c r="W474" s="378"/>
      <c r="X474" s="378"/>
      <c r="Y474" s="378"/>
      <c r="Z474" s="378"/>
      <c r="AA474" s="378"/>
      <c r="AB474" s="378"/>
      <c r="AC474" s="378"/>
      <c r="AD474" s="378"/>
      <c r="AE474" s="378"/>
      <c r="AF474" s="378"/>
      <c r="AG474" s="378"/>
      <c r="AH474" s="378"/>
      <c r="AI474" s="378"/>
      <c r="AJ474" s="378"/>
      <c r="AK474" s="378"/>
      <c r="AL474" s="378"/>
      <c r="AM474" s="378"/>
      <c r="AN474" s="378"/>
      <c r="AO474" s="378"/>
      <c r="AP474" s="378"/>
      <c r="AQ474" s="378"/>
    </row>
    <row r="475" spans="2:43">
      <c r="B475" s="447"/>
      <c r="C475" s="378"/>
      <c r="D475" s="378"/>
      <c r="E475" s="378"/>
      <c r="F475" s="378"/>
      <c r="G475" s="378"/>
      <c r="H475" s="378"/>
      <c r="I475" s="378"/>
      <c r="J475" s="378"/>
      <c r="K475" s="378"/>
      <c r="L475" s="378"/>
      <c r="M475" s="378"/>
      <c r="N475" s="378"/>
      <c r="O475" s="378"/>
      <c r="P475" s="378"/>
      <c r="Q475" s="378"/>
      <c r="R475" s="378"/>
      <c r="S475" s="378"/>
      <c r="T475" s="378"/>
      <c r="U475" s="378"/>
      <c r="V475" s="378"/>
      <c r="W475" s="378"/>
      <c r="X475" s="378"/>
      <c r="Y475" s="378"/>
      <c r="Z475" s="378"/>
      <c r="AA475" s="378"/>
      <c r="AB475" s="378"/>
      <c r="AC475" s="378"/>
      <c r="AD475" s="378"/>
      <c r="AE475" s="378"/>
      <c r="AF475" s="378"/>
      <c r="AG475" s="378"/>
      <c r="AH475" s="378"/>
      <c r="AI475" s="378"/>
      <c r="AJ475" s="378"/>
      <c r="AK475" s="378"/>
      <c r="AL475" s="378"/>
      <c r="AM475" s="378"/>
      <c r="AN475" s="378"/>
      <c r="AO475" s="378"/>
      <c r="AP475" s="378"/>
      <c r="AQ475" s="378"/>
    </row>
    <row r="476" spans="2:43">
      <c r="B476" s="447"/>
      <c r="C476" s="378"/>
      <c r="D476" s="378"/>
      <c r="E476" s="378"/>
      <c r="F476" s="378"/>
      <c r="G476" s="378"/>
      <c r="H476" s="378"/>
      <c r="I476" s="378"/>
      <c r="J476" s="378"/>
      <c r="K476" s="378"/>
      <c r="L476" s="378"/>
      <c r="M476" s="378"/>
      <c r="N476" s="378"/>
      <c r="O476" s="378"/>
      <c r="P476" s="378"/>
      <c r="Q476" s="378"/>
      <c r="R476" s="378"/>
      <c r="S476" s="378"/>
      <c r="T476" s="378"/>
      <c r="U476" s="378"/>
      <c r="V476" s="378"/>
      <c r="W476" s="378"/>
      <c r="X476" s="378"/>
      <c r="Y476" s="378"/>
      <c r="Z476" s="378"/>
      <c r="AA476" s="378"/>
      <c r="AB476" s="378"/>
      <c r="AC476" s="378"/>
      <c r="AD476" s="378"/>
      <c r="AE476" s="378"/>
      <c r="AF476" s="378"/>
      <c r="AG476" s="378"/>
      <c r="AH476" s="378"/>
      <c r="AI476" s="378"/>
      <c r="AJ476" s="378"/>
      <c r="AK476" s="378"/>
      <c r="AL476" s="378"/>
      <c r="AM476" s="378"/>
      <c r="AN476" s="378"/>
      <c r="AO476" s="378"/>
      <c r="AP476" s="378"/>
      <c r="AQ476" s="378"/>
    </row>
    <row r="477" spans="2:43">
      <c r="B477" s="447"/>
      <c r="C477" s="378"/>
      <c r="D477" s="378"/>
      <c r="E477" s="378"/>
      <c r="F477" s="378"/>
      <c r="G477" s="378"/>
      <c r="H477" s="378"/>
      <c r="I477" s="378"/>
      <c r="J477" s="378"/>
      <c r="K477" s="378"/>
      <c r="L477" s="378"/>
      <c r="M477" s="378"/>
      <c r="N477" s="378"/>
      <c r="O477" s="378"/>
      <c r="P477" s="378"/>
      <c r="Q477" s="378"/>
      <c r="R477" s="378"/>
      <c r="S477" s="378"/>
      <c r="T477" s="378"/>
      <c r="U477" s="378"/>
      <c r="V477" s="378"/>
      <c r="W477" s="378"/>
      <c r="X477" s="378"/>
      <c r="Y477" s="378"/>
      <c r="Z477" s="378"/>
      <c r="AA477" s="378"/>
      <c r="AB477" s="378"/>
      <c r="AC477" s="378"/>
      <c r="AD477" s="378"/>
      <c r="AE477" s="378"/>
      <c r="AF477" s="378"/>
      <c r="AG477" s="378"/>
      <c r="AH477" s="378"/>
      <c r="AI477" s="378"/>
      <c r="AJ477" s="378"/>
      <c r="AK477" s="378"/>
      <c r="AL477" s="378"/>
      <c r="AM477" s="378"/>
      <c r="AN477" s="378"/>
      <c r="AO477" s="378"/>
      <c r="AP477" s="378"/>
      <c r="AQ477" s="378"/>
    </row>
    <row r="478" spans="2:43">
      <c r="B478" s="447"/>
      <c r="C478" s="378"/>
      <c r="D478" s="378"/>
      <c r="E478" s="378"/>
      <c r="F478" s="378"/>
      <c r="G478" s="378"/>
      <c r="H478" s="378"/>
      <c r="I478" s="378"/>
      <c r="J478" s="378"/>
      <c r="K478" s="378"/>
      <c r="L478" s="378"/>
      <c r="M478" s="378"/>
      <c r="N478" s="378"/>
      <c r="O478" s="378"/>
      <c r="P478" s="378"/>
      <c r="Q478" s="378"/>
      <c r="R478" s="378"/>
      <c r="S478" s="378"/>
      <c r="T478" s="378"/>
      <c r="U478" s="378"/>
      <c r="V478" s="378"/>
      <c r="W478" s="378"/>
      <c r="X478" s="378"/>
      <c r="Y478" s="378"/>
      <c r="Z478" s="378"/>
      <c r="AA478" s="378"/>
      <c r="AB478" s="378"/>
      <c r="AC478" s="378"/>
      <c r="AD478" s="378"/>
      <c r="AE478" s="378"/>
      <c r="AF478" s="378"/>
      <c r="AG478" s="378"/>
      <c r="AH478" s="378"/>
      <c r="AI478" s="378"/>
      <c r="AJ478" s="378"/>
      <c r="AK478" s="378"/>
      <c r="AL478" s="378"/>
      <c r="AM478" s="378"/>
      <c r="AN478" s="378"/>
      <c r="AO478" s="378"/>
      <c r="AP478" s="378"/>
      <c r="AQ478" s="378"/>
    </row>
    <row r="479" spans="2:43">
      <c r="B479" s="447"/>
      <c r="C479" s="378"/>
      <c r="D479" s="378"/>
      <c r="E479" s="378"/>
      <c r="F479" s="378"/>
      <c r="G479" s="378"/>
      <c r="H479" s="378"/>
      <c r="I479" s="378"/>
      <c r="J479" s="378"/>
      <c r="K479" s="378"/>
      <c r="L479" s="378"/>
      <c r="M479" s="378"/>
      <c r="N479" s="378"/>
      <c r="O479" s="378"/>
      <c r="P479" s="378"/>
      <c r="Q479" s="378"/>
      <c r="R479" s="378"/>
      <c r="S479" s="378"/>
      <c r="T479" s="378"/>
      <c r="U479" s="378"/>
      <c r="V479" s="378"/>
      <c r="W479" s="378"/>
      <c r="X479" s="378"/>
      <c r="Y479" s="378"/>
      <c r="Z479" s="378"/>
      <c r="AA479" s="378"/>
      <c r="AB479" s="378"/>
      <c r="AC479" s="378"/>
      <c r="AD479" s="378"/>
      <c r="AE479" s="378"/>
      <c r="AF479" s="378"/>
      <c r="AG479" s="378"/>
      <c r="AH479" s="378"/>
      <c r="AI479" s="378"/>
      <c r="AJ479" s="378"/>
      <c r="AK479" s="378"/>
      <c r="AL479" s="378"/>
      <c r="AM479" s="378"/>
      <c r="AN479" s="378"/>
      <c r="AO479" s="378"/>
      <c r="AP479" s="378"/>
      <c r="AQ479" s="378"/>
    </row>
    <row r="480" spans="2:43">
      <c r="B480" s="447"/>
      <c r="C480" s="378"/>
      <c r="D480" s="378"/>
      <c r="E480" s="378"/>
      <c r="F480" s="378"/>
      <c r="G480" s="378"/>
      <c r="H480" s="378"/>
      <c r="I480" s="378"/>
      <c r="J480" s="378"/>
      <c r="K480" s="378"/>
      <c r="L480" s="378"/>
      <c r="M480" s="378"/>
      <c r="N480" s="378"/>
      <c r="O480" s="378"/>
      <c r="P480" s="378"/>
      <c r="Q480" s="378"/>
      <c r="R480" s="378"/>
      <c r="S480" s="378"/>
      <c r="T480" s="378"/>
      <c r="U480" s="378"/>
      <c r="V480" s="378"/>
      <c r="W480" s="378"/>
      <c r="X480" s="378"/>
      <c r="Y480" s="378"/>
      <c r="Z480" s="378"/>
      <c r="AA480" s="378"/>
      <c r="AB480" s="378"/>
      <c r="AC480" s="378"/>
      <c r="AD480" s="378"/>
      <c r="AE480" s="378"/>
      <c r="AF480" s="378"/>
      <c r="AG480" s="378"/>
      <c r="AH480" s="378"/>
      <c r="AI480" s="378"/>
      <c r="AJ480" s="378"/>
      <c r="AK480" s="378"/>
      <c r="AL480" s="378"/>
      <c r="AM480" s="378"/>
      <c r="AN480" s="378"/>
      <c r="AO480" s="378"/>
      <c r="AP480" s="378"/>
      <c r="AQ480" s="378"/>
    </row>
    <row r="481" spans="2:43">
      <c r="B481" s="447"/>
      <c r="C481" s="378"/>
      <c r="D481" s="378"/>
      <c r="E481" s="378"/>
      <c r="F481" s="378"/>
      <c r="G481" s="378"/>
      <c r="H481" s="378"/>
      <c r="I481" s="378"/>
      <c r="J481" s="378"/>
      <c r="K481" s="378"/>
      <c r="L481" s="378"/>
      <c r="M481" s="378"/>
      <c r="N481" s="378"/>
      <c r="O481" s="378"/>
      <c r="P481" s="378"/>
      <c r="Q481" s="378"/>
      <c r="R481" s="378"/>
      <c r="S481" s="378"/>
      <c r="T481" s="378"/>
      <c r="U481" s="378"/>
      <c r="V481" s="378"/>
      <c r="W481" s="378"/>
      <c r="X481" s="378"/>
      <c r="Y481" s="378"/>
      <c r="Z481" s="378"/>
      <c r="AA481" s="378"/>
      <c r="AB481" s="378"/>
      <c r="AC481" s="378"/>
      <c r="AD481" s="378"/>
      <c r="AE481" s="378"/>
      <c r="AF481" s="378"/>
      <c r="AG481" s="378"/>
      <c r="AH481" s="378"/>
      <c r="AI481" s="378"/>
      <c r="AJ481" s="378"/>
      <c r="AK481" s="378"/>
      <c r="AL481" s="378"/>
      <c r="AM481" s="378"/>
      <c r="AN481" s="378"/>
      <c r="AO481" s="378"/>
      <c r="AP481" s="378"/>
      <c r="AQ481" s="378"/>
    </row>
    <row r="482" spans="2:43">
      <c r="B482" s="447"/>
      <c r="C482" s="378"/>
      <c r="D482" s="378"/>
      <c r="E482" s="378"/>
      <c r="F482" s="378"/>
      <c r="G482" s="378"/>
      <c r="H482" s="378"/>
      <c r="I482" s="378"/>
      <c r="J482" s="378"/>
      <c r="K482" s="378"/>
      <c r="L482" s="378"/>
      <c r="M482" s="378"/>
      <c r="N482" s="378"/>
      <c r="O482" s="378"/>
      <c r="P482" s="378"/>
      <c r="Q482" s="378"/>
      <c r="R482" s="378"/>
      <c r="S482" s="378"/>
      <c r="T482" s="378"/>
      <c r="U482" s="378"/>
      <c r="V482" s="378"/>
      <c r="W482" s="378"/>
      <c r="X482" s="378"/>
      <c r="Y482" s="378"/>
      <c r="Z482" s="378"/>
      <c r="AA482" s="378"/>
      <c r="AB482" s="378"/>
      <c r="AC482" s="378"/>
      <c r="AD482" s="378"/>
      <c r="AE482" s="378"/>
      <c r="AF482" s="378"/>
      <c r="AG482" s="378"/>
      <c r="AH482" s="378"/>
      <c r="AI482" s="378"/>
      <c r="AJ482" s="378"/>
      <c r="AK482" s="378"/>
      <c r="AL482" s="378"/>
      <c r="AM482" s="378"/>
      <c r="AN482" s="378"/>
      <c r="AO482" s="378"/>
      <c r="AP482" s="378"/>
      <c r="AQ482" s="378"/>
    </row>
    <row r="483" spans="2:43">
      <c r="B483" s="447"/>
      <c r="C483" s="378"/>
      <c r="D483" s="378"/>
      <c r="E483" s="378"/>
      <c r="F483" s="378"/>
      <c r="G483" s="378"/>
      <c r="H483" s="378"/>
      <c r="I483" s="378"/>
      <c r="J483" s="378"/>
      <c r="K483" s="378"/>
      <c r="L483" s="378"/>
      <c r="M483" s="378"/>
      <c r="N483" s="378"/>
      <c r="O483" s="378"/>
      <c r="P483" s="378"/>
      <c r="Q483" s="378"/>
      <c r="R483" s="378"/>
      <c r="S483" s="378"/>
      <c r="T483" s="378"/>
      <c r="U483" s="378"/>
      <c r="V483" s="378"/>
      <c r="W483" s="378"/>
      <c r="X483" s="378"/>
      <c r="Y483" s="378"/>
      <c r="Z483" s="378"/>
      <c r="AA483" s="378"/>
      <c r="AB483" s="378"/>
      <c r="AC483" s="378"/>
      <c r="AD483" s="378"/>
      <c r="AE483" s="378"/>
      <c r="AF483" s="378"/>
      <c r="AG483" s="378"/>
      <c r="AH483" s="378"/>
      <c r="AI483" s="378"/>
      <c r="AJ483" s="378"/>
      <c r="AK483" s="378"/>
      <c r="AL483" s="378"/>
      <c r="AM483" s="378"/>
      <c r="AN483" s="378"/>
      <c r="AO483" s="378"/>
      <c r="AP483" s="378"/>
      <c r="AQ483" s="378"/>
    </row>
    <row r="484" spans="2:43">
      <c r="B484" s="447"/>
      <c r="C484" s="378"/>
      <c r="D484" s="378"/>
      <c r="E484" s="378"/>
      <c r="F484" s="378"/>
      <c r="G484" s="378"/>
      <c r="H484" s="378"/>
      <c r="I484" s="378"/>
      <c r="J484" s="378"/>
      <c r="K484" s="378"/>
      <c r="L484" s="378"/>
      <c r="M484" s="378"/>
      <c r="N484" s="378"/>
      <c r="O484" s="378"/>
      <c r="P484" s="378"/>
      <c r="Q484" s="378"/>
      <c r="R484" s="378"/>
      <c r="S484" s="378"/>
      <c r="T484" s="378"/>
      <c r="U484" s="378"/>
      <c r="V484" s="378"/>
      <c r="W484" s="378"/>
      <c r="X484" s="378"/>
      <c r="Y484" s="378"/>
      <c r="Z484" s="378"/>
      <c r="AA484" s="378"/>
      <c r="AB484" s="378"/>
      <c r="AC484" s="378"/>
      <c r="AD484" s="378"/>
      <c r="AE484" s="378"/>
      <c r="AF484" s="378"/>
      <c r="AG484" s="378"/>
      <c r="AH484" s="378"/>
      <c r="AI484" s="378"/>
      <c r="AJ484" s="378"/>
      <c r="AK484" s="378"/>
      <c r="AL484" s="378"/>
      <c r="AM484" s="378"/>
      <c r="AN484" s="378"/>
      <c r="AO484" s="378"/>
      <c r="AP484" s="378"/>
      <c r="AQ484" s="378"/>
    </row>
    <row r="485" spans="2:43">
      <c r="B485" s="447"/>
      <c r="C485" s="378"/>
      <c r="D485" s="378"/>
      <c r="E485" s="378"/>
      <c r="F485" s="378"/>
      <c r="G485" s="378"/>
      <c r="H485" s="378"/>
      <c r="I485" s="378"/>
      <c r="J485" s="378"/>
      <c r="K485" s="378"/>
      <c r="L485" s="378"/>
      <c r="M485" s="378"/>
      <c r="N485" s="378"/>
      <c r="O485" s="378"/>
      <c r="P485" s="378"/>
      <c r="Q485" s="378"/>
      <c r="R485" s="378"/>
      <c r="S485" s="378"/>
      <c r="T485" s="378"/>
      <c r="U485" s="378"/>
      <c r="V485" s="378"/>
      <c r="W485" s="378"/>
      <c r="X485" s="378"/>
      <c r="Y485" s="378"/>
      <c r="Z485" s="378"/>
      <c r="AA485" s="378"/>
      <c r="AB485" s="378"/>
      <c r="AC485" s="378"/>
      <c r="AD485" s="378"/>
      <c r="AE485" s="378"/>
      <c r="AF485" s="378"/>
      <c r="AG485" s="378"/>
      <c r="AH485" s="378"/>
      <c r="AI485" s="378"/>
      <c r="AJ485" s="378"/>
      <c r="AK485" s="378"/>
      <c r="AL485" s="378"/>
      <c r="AM485" s="378"/>
      <c r="AN485" s="378"/>
      <c r="AO485" s="378"/>
      <c r="AP485" s="378"/>
      <c r="AQ485" s="378"/>
    </row>
    <row r="486" spans="2:43">
      <c r="B486" s="447"/>
      <c r="C486" s="378"/>
      <c r="D486" s="378"/>
      <c r="E486" s="378"/>
      <c r="F486" s="378"/>
      <c r="G486" s="378"/>
      <c r="H486" s="378"/>
      <c r="I486" s="378"/>
      <c r="J486" s="378"/>
      <c r="K486" s="378"/>
      <c r="L486" s="378"/>
      <c r="M486" s="378"/>
      <c r="N486" s="378"/>
      <c r="O486" s="378"/>
      <c r="P486" s="378"/>
      <c r="Q486" s="378"/>
      <c r="R486" s="378"/>
      <c r="S486" s="378"/>
      <c r="T486" s="378"/>
      <c r="U486" s="378"/>
      <c r="V486" s="378"/>
      <c r="W486" s="378"/>
      <c r="X486" s="378"/>
      <c r="Y486" s="378"/>
      <c r="Z486" s="378"/>
      <c r="AA486" s="378"/>
      <c r="AB486" s="378"/>
      <c r="AC486" s="378"/>
      <c r="AD486" s="378"/>
      <c r="AE486" s="378"/>
      <c r="AF486" s="378"/>
      <c r="AG486" s="378"/>
      <c r="AH486" s="378"/>
      <c r="AI486" s="378"/>
      <c r="AJ486" s="378"/>
      <c r="AK486" s="378"/>
      <c r="AL486" s="378"/>
      <c r="AM486" s="378"/>
      <c r="AN486" s="378"/>
      <c r="AO486" s="378"/>
      <c r="AP486" s="378"/>
      <c r="AQ486" s="378"/>
    </row>
    <row r="487" spans="2:43">
      <c r="B487" s="447"/>
      <c r="C487" s="378"/>
      <c r="D487" s="378"/>
      <c r="E487" s="378"/>
      <c r="F487" s="378"/>
      <c r="G487" s="378"/>
      <c r="H487" s="378"/>
      <c r="I487" s="378"/>
      <c r="J487" s="378"/>
      <c r="K487" s="378"/>
      <c r="L487" s="378"/>
      <c r="M487" s="378"/>
      <c r="N487" s="378"/>
      <c r="O487" s="378"/>
      <c r="P487" s="378"/>
      <c r="Q487" s="378"/>
      <c r="R487" s="378"/>
      <c r="S487" s="378"/>
      <c r="T487" s="378"/>
      <c r="U487" s="378"/>
      <c r="V487" s="378"/>
      <c r="W487" s="378"/>
      <c r="X487" s="378"/>
      <c r="Y487" s="378"/>
      <c r="Z487" s="378"/>
      <c r="AA487" s="378"/>
      <c r="AB487" s="378"/>
      <c r="AC487" s="378"/>
      <c r="AD487" s="378"/>
      <c r="AE487" s="378"/>
      <c r="AF487" s="378"/>
      <c r="AG487" s="378"/>
      <c r="AH487" s="378"/>
      <c r="AI487" s="378"/>
      <c r="AJ487" s="378"/>
      <c r="AK487" s="378"/>
      <c r="AL487" s="378"/>
      <c r="AM487" s="378"/>
      <c r="AN487" s="378"/>
      <c r="AO487" s="378"/>
      <c r="AP487" s="378"/>
      <c r="AQ487" s="378"/>
    </row>
    <row r="488" spans="2:43">
      <c r="B488" s="447"/>
      <c r="C488" s="378"/>
      <c r="D488" s="378"/>
      <c r="E488" s="378"/>
      <c r="F488" s="378"/>
      <c r="G488" s="378"/>
      <c r="H488" s="378"/>
      <c r="I488" s="378"/>
      <c r="J488" s="378"/>
      <c r="K488" s="378"/>
      <c r="L488" s="378"/>
      <c r="M488" s="378"/>
      <c r="N488" s="378"/>
      <c r="O488" s="378"/>
      <c r="P488" s="378"/>
      <c r="Q488" s="378"/>
      <c r="R488" s="378"/>
      <c r="S488" s="378"/>
      <c r="T488" s="378"/>
      <c r="U488" s="378"/>
      <c r="V488" s="378"/>
      <c r="W488" s="378"/>
      <c r="X488" s="378"/>
      <c r="Y488" s="378"/>
      <c r="Z488" s="378"/>
      <c r="AA488" s="378"/>
      <c r="AB488" s="378"/>
      <c r="AC488" s="378"/>
      <c r="AD488" s="378"/>
      <c r="AE488" s="378"/>
      <c r="AF488" s="378"/>
      <c r="AG488" s="378"/>
      <c r="AH488" s="378"/>
      <c r="AI488" s="378"/>
      <c r="AJ488" s="378"/>
      <c r="AK488" s="378"/>
      <c r="AL488" s="378"/>
      <c r="AM488" s="378"/>
      <c r="AN488" s="378"/>
      <c r="AO488" s="378"/>
      <c r="AP488" s="378"/>
      <c r="AQ488" s="378"/>
    </row>
    <row r="489" spans="2:43">
      <c r="B489" s="447"/>
      <c r="C489" s="378"/>
      <c r="D489" s="378"/>
      <c r="E489" s="378"/>
      <c r="F489" s="378"/>
      <c r="G489" s="378"/>
      <c r="H489" s="378"/>
      <c r="I489" s="378"/>
      <c r="J489" s="378"/>
      <c r="K489" s="378"/>
      <c r="L489" s="378"/>
      <c r="M489" s="378"/>
      <c r="N489" s="378"/>
      <c r="O489" s="378"/>
      <c r="P489" s="378"/>
      <c r="Q489" s="378"/>
      <c r="R489" s="378"/>
      <c r="S489" s="378"/>
      <c r="T489" s="378"/>
      <c r="U489" s="378"/>
      <c r="V489" s="378"/>
      <c r="W489" s="378"/>
      <c r="X489" s="378"/>
      <c r="Y489" s="378"/>
      <c r="Z489" s="378"/>
      <c r="AA489" s="378"/>
      <c r="AB489" s="378"/>
      <c r="AC489" s="378"/>
      <c r="AD489" s="378"/>
      <c r="AE489" s="378"/>
      <c r="AF489" s="378"/>
      <c r="AG489" s="378"/>
      <c r="AH489" s="378"/>
      <c r="AI489" s="378"/>
      <c r="AJ489" s="378"/>
      <c r="AK489" s="378"/>
      <c r="AL489" s="378"/>
      <c r="AM489" s="378"/>
      <c r="AN489" s="378"/>
      <c r="AO489" s="378"/>
      <c r="AP489" s="378"/>
      <c r="AQ489" s="378"/>
    </row>
    <row r="490" spans="2:43">
      <c r="B490" s="447"/>
      <c r="C490" s="378"/>
      <c r="D490" s="378"/>
      <c r="E490" s="378"/>
      <c r="F490" s="378"/>
      <c r="G490" s="378"/>
      <c r="H490" s="378"/>
      <c r="I490" s="378"/>
      <c r="J490" s="378"/>
      <c r="K490" s="378"/>
      <c r="L490" s="378"/>
      <c r="M490" s="378"/>
      <c r="N490" s="378"/>
      <c r="O490" s="378"/>
      <c r="P490" s="378"/>
      <c r="Q490" s="378"/>
      <c r="R490" s="378"/>
      <c r="S490" s="378"/>
      <c r="T490" s="378"/>
      <c r="U490" s="378"/>
      <c r="V490" s="378"/>
      <c r="W490" s="378"/>
      <c r="X490" s="378"/>
      <c r="Y490" s="378"/>
      <c r="Z490" s="378"/>
      <c r="AA490" s="378"/>
      <c r="AB490" s="378"/>
      <c r="AC490" s="378"/>
      <c r="AD490" s="378"/>
      <c r="AE490" s="378"/>
      <c r="AF490" s="378"/>
      <c r="AG490" s="378"/>
      <c r="AH490" s="378"/>
      <c r="AI490" s="378"/>
      <c r="AJ490" s="378"/>
      <c r="AK490" s="378"/>
      <c r="AL490" s="378"/>
      <c r="AM490" s="378"/>
      <c r="AN490" s="378"/>
      <c r="AO490" s="378"/>
      <c r="AP490" s="378"/>
      <c r="AQ490" s="378"/>
    </row>
    <row r="491" spans="2:43">
      <c r="B491" s="447"/>
      <c r="C491" s="378"/>
      <c r="D491" s="378"/>
      <c r="E491" s="378"/>
      <c r="F491" s="378"/>
      <c r="G491" s="378"/>
      <c r="H491" s="378"/>
      <c r="I491" s="378"/>
      <c r="J491" s="378"/>
      <c r="K491" s="378"/>
      <c r="L491" s="378"/>
      <c r="M491" s="378"/>
      <c r="N491" s="378"/>
      <c r="O491" s="378"/>
      <c r="P491" s="378"/>
      <c r="Q491" s="378"/>
      <c r="R491" s="378"/>
      <c r="S491" s="378"/>
      <c r="T491" s="378"/>
      <c r="U491" s="378"/>
      <c r="V491" s="378"/>
      <c r="W491" s="378"/>
      <c r="X491" s="378"/>
      <c r="Y491" s="378"/>
      <c r="Z491" s="378"/>
      <c r="AA491" s="378"/>
      <c r="AB491" s="378"/>
      <c r="AC491" s="378"/>
      <c r="AD491" s="378"/>
      <c r="AE491" s="378"/>
      <c r="AF491" s="378"/>
      <c r="AG491" s="378"/>
      <c r="AH491" s="378"/>
      <c r="AI491" s="378"/>
      <c r="AJ491" s="378"/>
      <c r="AK491" s="378"/>
      <c r="AL491" s="378"/>
      <c r="AM491" s="378"/>
      <c r="AN491" s="378"/>
      <c r="AO491" s="378"/>
      <c r="AP491" s="378"/>
      <c r="AQ491" s="378"/>
    </row>
    <row r="492" spans="2:43">
      <c r="B492" s="447"/>
      <c r="C492" s="378"/>
      <c r="D492" s="378"/>
      <c r="E492" s="378"/>
      <c r="F492" s="378"/>
      <c r="G492" s="378"/>
      <c r="H492" s="378"/>
      <c r="I492" s="378"/>
      <c r="J492" s="378"/>
      <c r="K492" s="378"/>
      <c r="L492" s="378"/>
      <c r="M492" s="378"/>
      <c r="N492" s="378"/>
      <c r="O492" s="378"/>
      <c r="P492" s="378"/>
      <c r="Q492" s="378"/>
      <c r="R492" s="378"/>
      <c r="S492" s="378"/>
      <c r="T492" s="378"/>
      <c r="U492" s="378"/>
      <c r="V492" s="378"/>
      <c r="W492" s="378"/>
      <c r="X492" s="378"/>
      <c r="Y492" s="378"/>
      <c r="Z492" s="378"/>
      <c r="AA492" s="378"/>
      <c r="AB492" s="378"/>
      <c r="AC492" s="378"/>
      <c r="AD492" s="378"/>
      <c r="AE492" s="378"/>
      <c r="AF492" s="378"/>
      <c r="AG492" s="378"/>
      <c r="AH492" s="378"/>
      <c r="AI492" s="378"/>
      <c r="AJ492" s="378"/>
      <c r="AK492" s="378"/>
      <c r="AL492" s="378"/>
      <c r="AM492" s="378"/>
      <c r="AN492" s="378"/>
      <c r="AO492" s="378"/>
      <c r="AP492" s="378"/>
      <c r="AQ492" s="378"/>
    </row>
    <row r="493" spans="2:43">
      <c r="B493" s="447"/>
      <c r="C493" s="378"/>
      <c r="D493" s="378"/>
      <c r="E493" s="378"/>
      <c r="F493" s="378"/>
      <c r="G493" s="378"/>
      <c r="H493" s="378"/>
      <c r="I493" s="378"/>
      <c r="J493" s="378"/>
      <c r="K493" s="378"/>
      <c r="L493" s="378"/>
      <c r="M493" s="378"/>
      <c r="N493" s="378"/>
      <c r="O493" s="378"/>
      <c r="P493" s="378"/>
      <c r="Q493" s="378"/>
      <c r="R493" s="378"/>
      <c r="S493" s="378"/>
      <c r="T493" s="378"/>
      <c r="U493" s="378"/>
      <c r="V493" s="378"/>
      <c r="W493" s="378"/>
      <c r="X493" s="378"/>
      <c r="Y493" s="378"/>
      <c r="Z493" s="378"/>
      <c r="AA493" s="378"/>
      <c r="AB493" s="378"/>
      <c r="AC493" s="378"/>
      <c r="AD493" s="378"/>
      <c r="AE493" s="378"/>
      <c r="AF493" s="378"/>
      <c r="AG493" s="378"/>
      <c r="AH493" s="378"/>
      <c r="AI493" s="378"/>
      <c r="AJ493" s="378"/>
      <c r="AK493" s="378"/>
      <c r="AL493" s="378"/>
      <c r="AM493" s="378"/>
      <c r="AN493" s="378"/>
      <c r="AO493" s="378"/>
      <c r="AP493" s="378"/>
      <c r="AQ493" s="378"/>
    </row>
    <row r="494" spans="2:43">
      <c r="B494" s="447"/>
      <c r="C494" s="378"/>
      <c r="D494" s="378"/>
      <c r="E494" s="378"/>
      <c r="F494" s="378"/>
      <c r="G494" s="378"/>
      <c r="H494" s="378"/>
      <c r="I494" s="378"/>
      <c r="J494" s="378"/>
      <c r="K494" s="378"/>
      <c r="L494" s="378"/>
      <c r="M494" s="378"/>
      <c r="N494" s="378"/>
      <c r="O494" s="378"/>
      <c r="P494" s="378"/>
      <c r="Q494" s="378"/>
      <c r="R494" s="378"/>
      <c r="S494" s="378"/>
      <c r="T494" s="378"/>
      <c r="U494" s="378"/>
      <c r="V494" s="378"/>
      <c r="W494" s="378"/>
      <c r="X494" s="378"/>
      <c r="Y494" s="378"/>
      <c r="Z494" s="378"/>
      <c r="AA494" s="378"/>
      <c r="AB494" s="378"/>
      <c r="AC494" s="378"/>
      <c r="AD494" s="378"/>
      <c r="AE494" s="378"/>
      <c r="AF494" s="378"/>
      <c r="AG494" s="378"/>
      <c r="AH494" s="378"/>
      <c r="AI494" s="378"/>
      <c r="AJ494" s="378"/>
      <c r="AK494" s="378"/>
      <c r="AL494" s="378"/>
      <c r="AM494" s="378"/>
      <c r="AN494" s="378"/>
      <c r="AO494" s="378"/>
      <c r="AP494" s="378"/>
      <c r="AQ494" s="378"/>
    </row>
    <row r="495" spans="2:43">
      <c r="B495" s="447"/>
      <c r="C495" s="378"/>
      <c r="D495" s="378"/>
      <c r="E495" s="378"/>
      <c r="F495" s="378"/>
      <c r="G495" s="378"/>
      <c r="H495" s="378"/>
      <c r="I495" s="378"/>
      <c r="J495" s="378"/>
      <c r="K495" s="378"/>
      <c r="L495" s="378"/>
      <c r="M495" s="378"/>
      <c r="N495" s="378"/>
      <c r="O495" s="378"/>
      <c r="P495" s="378"/>
      <c r="Q495" s="378"/>
      <c r="R495" s="378"/>
      <c r="S495" s="378"/>
      <c r="T495" s="378"/>
      <c r="U495" s="378"/>
      <c r="V495" s="378"/>
      <c r="W495" s="378"/>
      <c r="X495" s="378"/>
      <c r="Y495" s="378"/>
      <c r="Z495" s="378"/>
      <c r="AA495" s="378"/>
      <c r="AB495" s="378"/>
      <c r="AC495" s="378"/>
      <c r="AD495" s="378"/>
      <c r="AE495" s="378"/>
      <c r="AF495" s="378"/>
      <c r="AG495" s="378"/>
      <c r="AH495" s="378"/>
      <c r="AI495" s="378"/>
      <c r="AJ495" s="378"/>
      <c r="AK495" s="378"/>
      <c r="AL495" s="378"/>
      <c r="AM495" s="378"/>
      <c r="AN495" s="378"/>
      <c r="AO495" s="378"/>
      <c r="AP495" s="378"/>
      <c r="AQ495" s="378"/>
    </row>
    <row r="496" spans="2:43">
      <c r="B496" s="447"/>
      <c r="C496" s="378"/>
      <c r="D496" s="378"/>
      <c r="E496" s="378"/>
      <c r="F496" s="378"/>
      <c r="G496" s="378"/>
      <c r="H496" s="378"/>
      <c r="I496" s="378"/>
      <c r="J496" s="378"/>
      <c r="K496" s="378"/>
      <c r="L496" s="378"/>
      <c r="M496" s="378"/>
      <c r="N496" s="378"/>
      <c r="O496" s="378"/>
      <c r="P496" s="378"/>
      <c r="Q496" s="378"/>
      <c r="R496" s="378"/>
      <c r="S496" s="378"/>
      <c r="T496" s="378"/>
      <c r="U496" s="378"/>
      <c r="V496" s="378"/>
      <c r="W496" s="378"/>
      <c r="X496" s="378"/>
      <c r="Y496" s="378"/>
      <c r="Z496" s="378"/>
      <c r="AA496" s="378"/>
      <c r="AB496" s="378"/>
      <c r="AC496" s="378"/>
      <c r="AD496" s="378"/>
      <c r="AE496" s="378"/>
      <c r="AF496" s="378"/>
      <c r="AG496" s="378"/>
      <c r="AH496" s="378"/>
      <c r="AI496" s="378"/>
      <c r="AJ496" s="378"/>
      <c r="AK496" s="378"/>
      <c r="AL496" s="378"/>
      <c r="AM496" s="378"/>
      <c r="AN496" s="378"/>
      <c r="AO496" s="378"/>
      <c r="AP496" s="378"/>
      <c r="AQ496" s="378"/>
    </row>
    <row r="497" spans="2:43">
      <c r="B497" s="447"/>
      <c r="C497" s="378"/>
      <c r="D497" s="378"/>
      <c r="E497" s="378"/>
      <c r="F497" s="378"/>
      <c r="G497" s="378"/>
      <c r="H497" s="378"/>
      <c r="I497" s="378"/>
      <c r="J497" s="378"/>
      <c r="K497" s="378"/>
      <c r="L497" s="378"/>
      <c r="M497" s="378"/>
      <c r="N497" s="378"/>
      <c r="O497" s="378"/>
      <c r="P497" s="378"/>
      <c r="Q497" s="378"/>
      <c r="R497" s="378"/>
      <c r="S497" s="378"/>
      <c r="T497" s="378"/>
      <c r="U497" s="378"/>
      <c r="V497" s="378"/>
      <c r="W497" s="378"/>
      <c r="X497" s="378"/>
      <c r="Y497" s="378"/>
      <c r="Z497" s="378"/>
      <c r="AA497" s="378"/>
      <c r="AB497" s="378"/>
      <c r="AC497" s="378"/>
      <c r="AD497" s="378"/>
      <c r="AE497" s="378"/>
      <c r="AF497" s="378"/>
      <c r="AG497" s="378"/>
      <c r="AH497" s="378"/>
      <c r="AI497" s="378"/>
      <c r="AJ497" s="378"/>
      <c r="AK497" s="378"/>
      <c r="AL497" s="378"/>
      <c r="AM497" s="378"/>
      <c r="AN497" s="378"/>
      <c r="AO497" s="378"/>
      <c r="AP497" s="378"/>
      <c r="AQ497" s="378"/>
    </row>
    <row r="498" spans="2:43">
      <c r="B498" s="447"/>
      <c r="C498" s="378"/>
      <c r="D498" s="378"/>
      <c r="E498" s="378"/>
      <c r="F498" s="378"/>
      <c r="G498" s="378"/>
      <c r="H498" s="378"/>
      <c r="I498" s="378"/>
      <c r="J498" s="378"/>
      <c r="K498" s="378"/>
      <c r="L498" s="378"/>
      <c r="M498" s="378"/>
      <c r="N498" s="378"/>
      <c r="O498" s="378"/>
      <c r="P498" s="378"/>
      <c r="Q498" s="378"/>
      <c r="R498" s="378"/>
      <c r="S498" s="378"/>
      <c r="T498" s="378"/>
      <c r="U498" s="378"/>
      <c r="V498" s="378"/>
      <c r="W498" s="378"/>
      <c r="X498" s="378"/>
      <c r="Y498" s="378"/>
      <c r="Z498" s="378"/>
      <c r="AA498" s="378"/>
      <c r="AB498" s="378"/>
      <c r="AC498" s="378"/>
      <c r="AD498" s="378"/>
      <c r="AE498" s="378"/>
      <c r="AF498" s="378"/>
      <c r="AG498" s="378"/>
      <c r="AH498" s="378"/>
      <c r="AI498" s="378"/>
      <c r="AJ498" s="378"/>
      <c r="AK498" s="378"/>
      <c r="AL498" s="378"/>
      <c r="AM498" s="378"/>
      <c r="AN498" s="378"/>
      <c r="AO498" s="378"/>
      <c r="AP498" s="378"/>
      <c r="AQ498" s="378"/>
    </row>
    <row r="499" spans="2:43">
      <c r="B499" s="447"/>
      <c r="C499" s="378"/>
      <c r="D499" s="378"/>
      <c r="E499" s="378"/>
      <c r="F499" s="378"/>
      <c r="G499" s="378"/>
      <c r="H499" s="378"/>
      <c r="I499" s="378"/>
      <c r="J499" s="378"/>
      <c r="K499" s="378"/>
      <c r="L499" s="378"/>
      <c r="M499" s="378"/>
      <c r="N499" s="378"/>
      <c r="O499" s="378"/>
      <c r="P499" s="378"/>
      <c r="Q499" s="378"/>
      <c r="R499" s="378"/>
      <c r="S499" s="378"/>
      <c r="T499" s="378"/>
      <c r="U499" s="378"/>
      <c r="V499" s="378"/>
      <c r="W499" s="378"/>
      <c r="X499" s="378"/>
      <c r="Y499" s="378"/>
      <c r="Z499" s="378"/>
      <c r="AA499" s="378"/>
      <c r="AB499" s="378"/>
      <c r="AC499" s="378"/>
      <c r="AD499" s="378"/>
      <c r="AE499" s="378"/>
      <c r="AF499" s="378"/>
      <c r="AG499" s="378"/>
      <c r="AH499" s="378"/>
      <c r="AI499" s="378"/>
      <c r="AJ499" s="378"/>
      <c r="AK499" s="378"/>
      <c r="AL499" s="378"/>
      <c r="AM499" s="378"/>
      <c r="AN499" s="378"/>
      <c r="AO499" s="378"/>
      <c r="AP499" s="378"/>
      <c r="AQ499" s="378"/>
    </row>
    <row r="500" spans="2:43">
      <c r="B500" s="447"/>
      <c r="C500" s="378"/>
      <c r="D500" s="378"/>
      <c r="E500" s="378"/>
      <c r="F500" s="378"/>
      <c r="G500" s="378"/>
      <c r="H500" s="378"/>
      <c r="I500" s="378"/>
      <c r="J500" s="378"/>
      <c r="K500" s="378"/>
      <c r="L500" s="378"/>
      <c r="M500" s="378"/>
      <c r="N500" s="378"/>
      <c r="O500" s="378"/>
      <c r="P500" s="378"/>
      <c r="Q500" s="378"/>
      <c r="R500" s="378"/>
      <c r="S500" s="378"/>
      <c r="T500" s="378"/>
      <c r="U500" s="378"/>
      <c r="V500" s="378"/>
      <c r="W500" s="378"/>
      <c r="X500" s="378"/>
      <c r="Y500" s="378"/>
      <c r="Z500" s="378"/>
      <c r="AA500" s="378"/>
      <c r="AB500" s="378"/>
      <c r="AC500" s="378"/>
      <c r="AD500" s="378"/>
      <c r="AE500" s="378"/>
      <c r="AF500" s="378"/>
      <c r="AG500" s="378"/>
      <c r="AH500" s="378"/>
      <c r="AI500" s="378"/>
      <c r="AJ500" s="378"/>
      <c r="AK500" s="378"/>
      <c r="AL500" s="378"/>
      <c r="AM500" s="378"/>
      <c r="AN500" s="378"/>
      <c r="AO500" s="378"/>
      <c r="AP500" s="378"/>
      <c r="AQ500" s="378"/>
    </row>
    <row r="501" spans="2:43">
      <c r="B501" s="447"/>
      <c r="C501" s="378"/>
      <c r="D501" s="378"/>
      <c r="E501" s="378"/>
      <c r="F501" s="378"/>
      <c r="G501" s="378"/>
      <c r="H501" s="378"/>
      <c r="I501" s="378"/>
      <c r="J501" s="378"/>
      <c r="K501" s="378"/>
      <c r="L501" s="378"/>
      <c r="M501" s="378"/>
      <c r="N501" s="378"/>
      <c r="O501" s="378"/>
      <c r="P501" s="378"/>
      <c r="Q501" s="378"/>
      <c r="R501" s="378"/>
      <c r="S501" s="378"/>
      <c r="T501" s="378"/>
      <c r="U501" s="378"/>
      <c r="V501" s="378"/>
      <c r="W501" s="378"/>
      <c r="X501" s="378"/>
      <c r="Y501" s="378"/>
      <c r="Z501" s="378"/>
      <c r="AA501" s="378"/>
      <c r="AB501" s="378"/>
      <c r="AC501" s="378"/>
      <c r="AD501" s="378"/>
      <c r="AE501" s="378"/>
      <c r="AF501" s="378"/>
      <c r="AG501" s="378"/>
      <c r="AH501" s="378"/>
      <c r="AI501" s="378"/>
      <c r="AJ501" s="378"/>
      <c r="AK501" s="378"/>
      <c r="AL501" s="378"/>
      <c r="AM501" s="378"/>
      <c r="AN501" s="378"/>
      <c r="AO501" s="378"/>
      <c r="AP501" s="378"/>
      <c r="AQ501" s="378"/>
    </row>
    <row r="502" spans="2:43">
      <c r="B502" s="447"/>
      <c r="C502" s="378"/>
      <c r="D502" s="378"/>
      <c r="E502" s="378"/>
      <c r="F502" s="378"/>
      <c r="G502" s="378"/>
      <c r="H502" s="378"/>
      <c r="I502" s="378"/>
      <c r="J502" s="378"/>
      <c r="K502" s="378"/>
      <c r="L502" s="378"/>
      <c r="M502" s="378"/>
      <c r="N502" s="378"/>
      <c r="O502" s="378"/>
      <c r="P502" s="378"/>
      <c r="Q502" s="378"/>
      <c r="R502" s="378"/>
      <c r="S502" s="378"/>
      <c r="T502" s="378"/>
      <c r="U502" s="378"/>
      <c r="V502" s="378"/>
      <c r="W502" s="378"/>
      <c r="X502" s="378"/>
      <c r="Y502" s="378"/>
      <c r="Z502" s="378"/>
      <c r="AA502" s="378"/>
      <c r="AB502" s="378"/>
      <c r="AC502" s="378"/>
      <c r="AD502" s="378"/>
      <c r="AE502" s="378"/>
      <c r="AF502" s="378"/>
      <c r="AG502" s="378"/>
      <c r="AH502" s="378"/>
      <c r="AI502" s="378"/>
      <c r="AJ502" s="378"/>
      <c r="AK502" s="378"/>
      <c r="AL502" s="378"/>
      <c r="AM502" s="378"/>
      <c r="AN502" s="378"/>
      <c r="AO502" s="378"/>
      <c r="AP502" s="378"/>
      <c r="AQ502" s="378"/>
    </row>
    <row r="503" spans="2:43">
      <c r="B503" s="447"/>
      <c r="C503" s="378"/>
      <c r="D503" s="378"/>
      <c r="E503" s="378"/>
      <c r="F503" s="378"/>
      <c r="G503" s="378"/>
      <c r="H503" s="378"/>
      <c r="I503" s="378"/>
      <c r="J503" s="378"/>
      <c r="K503" s="378"/>
      <c r="L503" s="378"/>
      <c r="M503" s="378"/>
      <c r="N503" s="378"/>
      <c r="O503" s="378"/>
      <c r="P503" s="378"/>
      <c r="Q503" s="378"/>
      <c r="R503" s="378"/>
      <c r="S503" s="378"/>
      <c r="T503" s="378"/>
      <c r="U503" s="378"/>
      <c r="V503" s="378"/>
      <c r="W503" s="378"/>
      <c r="X503" s="378"/>
      <c r="Y503" s="378"/>
      <c r="Z503" s="378"/>
      <c r="AA503" s="378"/>
      <c r="AB503" s="378"/>
      <c r="AC503" s="378"/>
      <c r="AD503" s="378"/>
      <c r="AE503" s="378"/>
      <c r="AF503" s="378"/>
      <c r="AG503" s="378"/>
      <c r="AH503" s="378"/>
      <c r="AI503" s="378"/>
      <c r="AJ503" s="378"/>
      <c r="AK503" s="378"/>
      <c r="AL503" s="378"/>
      <c r="AM503" s="378"/>
      <c r="AN503" s="378"/>
      <c r="AO503" s="378"/>
      <c r="AP503" s="378"/>
      <c r="AQ503" s="378"/>
    </row>
    <row r="504" spans="2:43">
      <c r="B504" s="447"/>
      <c r="C504" s="378"/>
      <c r="D504" s="378"/>
      <c r="E504" s="378"/>
      <c r="F504" s="378"/>
      <c r="G504" s="378"/>
      <c r="H504" s="378"/>
      <c r="I504" s="378"/>
      <c r="J504" s="378"/>
      <c r="K504" s="378"/>
      <c r="L504" s="378"/>
      <c r="M504" s="378"/>
      <c r="N504" s="378"/>
      <c r="O504" s="378"/>
      <c r="P504" s="378"/>
      <c r="Q504" s="378"/>
      <c r="R504" s="378"/>
      <c r="S504" s="378"/>
      <c r="T504" s="378"/>
      <c r="U504" s="378"/>
      <c r="V504" s="378"/>
      <c r="W504" s="378"/>
      <c r="X504" s="378"/>
      <c r="Y504" s="378"/>
      <c r="Z504" s="378"/>
      <c r="AA504" s="378"/>
      <c r="AB504" s="378"/>
      <c r="AC504" s="378"/>
      <c r="AD504" s="378"/>
      <c r="AE504" s="378"/>
      <c r="AF504" s="378"/>
      <c r="AG504" s="378"/>
      <c r="AH504" s="378"/>
      <c r="AI504" s="378"/>
      <c r="AJ504" s="378"/>
      <c r="AK504" s="378"/>
      <c r="AL504" s="378"/>
      <c r="AM504" s="378"/>
      <c r="AN504" s="378"/>
      <c r="AO504" s="378"/>
      <c r="AP504" s="378"/>
      <c r="AQ504" s="378"/>
    </row>
    <row r="505" spans="2:43">
      <c r="B505" s="447"/>
      <c r="C505" s="378"/>
      <c r="D505" s="378"/>
      <c r="E505" s="378"/>
      <c r="F505" s="378"/>
      <c r="G505" s="378"/>
      <c r="H505" s="378"/>
      <c r="I505" s="378"/>
      <c r="J505" s="378"/>
      <c r="K505" s="378"/>
      <c r="L505" s="378"/>
      <c r="M505" s="378"/>
      <c r="N505" s="378"/>
      <c r="O505" s="378"/>
      <c r="P505" s="378"/>
      <c r="Q505" s="378"/>
      <c r="R505" s="378"/>
      <c r="S505" s="378"/>
      <c r="T505" s="378"/>
      <c r="U505" s="378"/>
      <c r="V505" s="378"/>
      <c r="W505" s="378"/>
      <c r="X505" s="378"/>
      <c r="Y505" s="378"/>
      <c r="Z505" s="378"/>
      <c r="AA505" s="378"/>
      <c r="AB505" s="378"/>
      <c r="AC505" s="378"/>
      <c r="AD505" s="378"/>
      <c r="AE505" s="378"/>
      <c r="AF505" s="378"/>
      <c r="AG505" s="378"/>
      <c r="AH505" s="378"/>
      <c r="AI505" s="378"/>
      <c r="AJ505" s="378"/>
      <c r="AK505" s="378"/>
      <c r="AL505" s="378"/>
      <c r="AM505" s="378"/>
      <c r="AN505" s="378"/>
      <c r="AO505" s="378"/>
      <c r="AP505" s="378"/>
      <c r="AQ505" s="378"/>
    </row>
    <row r="506" spans="2:43">
      <c r="B506" s="447"/>
      <c r="C506" s="378"/>
      <c r="D506" s="378"/>
      <c r="E506" s="378"/>
      <c r="F506" s="378"/>
      <c r="G506" s="378"/>
      <c r="H506" s="378"/>
      <c r="I506" s="378"/>
      <c r="J506" s="378"/>
      <c r="K506" s="378"/>
      <c r="L506" s="378"/>
      <c r="M506" s="378"/>
      <c r="N506" s="378"/>
      <c r="O506" s="378"/>
      <c r="P506" s="378"/>
      <c r="Q506" s="378"/>
      <c r="R506" s="378"/>
      <c r="S506" s="378"/>
      <c r="T506" s="378"/>
      <c r="U506" s="378"/>
      <c r="V506" s="378"/>
      <c r="W506" s="378"/>
      <c r="X506" s="378"/>
      <c r="Y506" s="378"/>
      <c r="Z506" s="378"/>
      <c r="AA506" s="378"/>
      <c r="AB506" s="378"/>
      <c r="AC506" s="378"/>
      <c r="AD506" s="378"/>
      <c r="AE506" s="378"/>
      <c r="AF506" s="378"/>
      <c r="AG506" s="378"/>
      <c r="AH506" s="378"/>
      <c r="AI506" s="378"/>
      <c r="AJ506" s="378"/>
      <c r="AK506" s="378"/>
      <c r="AL506" s="378"/>
      <c r="AM506" s="378"/>
      <c r="AN506" s="378"/>
      <c r="AO506" s="378"/>
      <c r="AP506" s="378"/>
      <c r="AQ506" s="378"/>
    </row>
    <row r="507" spans="2:43">
      <c r="B507" s="447"/>
      <c r="C507" s="378"/>
      <c r="D507" s="378"/>
      <c r="E507" s="378"/>
      <c r="F507" s="378"/>
      <c r="G507" s="378"/>
      <c r="H507" s="378"/>
      <c r="I507" s="378"/>
      <c r="J507" s="378"/>
      <c r="K507" s="378"/>
      <c r="L507" s="378"/>
      <c r="M507" s="378"/>
      <c r="N507" s="378"/>
      <c r="O507" s="378"/>
      <c r="P507" s="378"/>
      <c r="Q507" s="378"/>
      <c r="R507" s="378"/>
      <c r="S507" s="378"/>
      <c r="T507" s="378"/>
      <c r="U507" s="378"/>
      <c r="V507" s="378"/>
      <c r="W507" s="378"/>
      <c r="X507" s="378"/>
      <c r="Y507" s="378"/>
      <c r="Z507" s="378"/>
      <c r="AA507" s="378"/>
      <c r="AB507" s="378"/>
      <c r="AC507" s="378"/>
      <c r="AD507" s="378"/>
      <c r="AE507" s="378"/>
      <c r="AF507" s="378"/>
      <c r="AG507" s="378"/>
      <c r="AH507" s="378"/>
      <c r="AI507" s="378"/>
      <c r="AJ507" s="378"/>
      <c r="AK507" s="378"/>
      <c r="AL507" s="378"/>
      <c r="AM507" s="378"/>
      <c r="AN507" s="378"/>
      <c r="AO507" s="378"/>
      <c r="AP507" s="378"/>
      <c r="AQ507" s="378"/>
    </row>
    <row r="508" spans="2:43">
      <c r="B508" s="447"/>
      <c r="C508" s="378"/>
      <c r="D508" s="378"/>
      <c r="E508" s="378"/>
      <c r="F508" s="378"/>
      <c r="G508" s="378"/>
      <c r="H508" s="378"/>
      <c r="I508" s="378"/>
      <c r="J508" s="378"/>
      <c r="K508" s="378"/>
      <c r="L508" s="378"/>
      <c r="M508" s="378"/>
      <c r="N508" s="378"/>
      <c r="O508" s="378"/>
      <c r="P508" s="378"/>
      <c r="Q508" s="378"/>
      <c r="R508" s="378"/>
      <c r="S508" s="378"/>
      <c r="T508" s="378"/>
      <c r="U508" s="378"/>
      <c r="V508" s="378"/>
      <c r="W508" s="378"/>
      <c r="X508" s="378"/>
      <c r="Y508" s="378"/>
      <c r="Z508" s="378"/>
      <c r="AA508" s="378"/>
      <c r="AB508" s="378"/>
      <c r="AC508" s="378"/>
      <c r="AD508" s="378"/>
      <c r="AE508" s="378"/>
      <c r="AF508" s="378"/>
      <c r="AG508" s="378"/>
      <c r="AH508" s="378"/>
      <c r="AI508" s="378"/>
      <c r="AJ508" s="378"/>
      <c r="AK508" s="378"/>
      <c r="AL508" s="378"/>
      <c r="AM508" s="378"/>
      <c r="AN508" s="378"/>
      <c r="AO508" s="378"/>
      <c r="AP508" s="378"/>
      <c r="AQ508" s="378"/>
    </row>
    <row r="509" spans="2:43">
      <c r="B509" s="447"/>
      <c r="C509" s="378"/>
      <c r="D509" s="378"/>
      <c r="E509" s="378"/>
      <c r="F509" s="378"/>
      <c r="G509" s="378"/>
      <c r="H509" s="378"/>
      <c r="I509" s="378"/>
      <c r="J509" s="378"/>
      <c r="K509" s="378"/>
      <c r="L509" s="378"/>
      <c r="M509" s="378"/>
      <c r="N509" s="378"/>
      <c r="O509" s="378"/>
      <c r="P509" s="378"/>
      <c r="Q509" s="378"/>
      <c r="R509" s="378"/>
      <c r="S509" s="378"/>
      <c r="T509" s="378"/>
      <c r="U509" s="378"/>
      <c r="V509" s="378"/>
      <c r="W509" s="378"/>
      <c r="X509" s="378"/>
      <c r="Y509" s="378"/>
      <c r="Z509" s="378"/>
      <c r="AA509" s="378"/>
      <c r="AB509" s="378"/>
      <c r="AC509" s="378"/>
      <c r="AD509" s="378"/>
      <c r="AE509" s="378"/>
      <c r="AF509" s="378"/>
      <c r="AG509" s="378"/>
      <c r="AH509" s="378"/>
      <c r="AI509" s="378"/>
      <c r="AJ509" s="378"/>
      <c r="AK509" s="378"/>
      <c r="AL509" s="378"/>
      <c r="AM509" s="378"/>
      <c r="AN509" s="378"/>
      <c r="AO509" s="378"/>
      <c r="AP509" s="378"/>
      <c r="AQ509" s="378"/>
    </row>
    <row r="510" spans="2:43">
      <c r="B510" s="447"/>
      <c r="C510" s="378"/>
      <c r="D510" s="378"/>
      <c r="E510" s="378"/>
      <c r="F510" s="378"/>
      <c r="G510" s="378"/>
      <c r="H510" s="378"/>
      <c r="I510" s="378"/>
      <c r="J510" s="378"/>
      <c r="K510" s="378"/>
      <c r="L510" s="378"/>
      <c r="M510" s="378"/>
      <c r="N510" s="378"/>
      <c r="O510" s="378"/>
      <c r="P510" s="378"/>
      <c r="Q510" s="378"/>
      <c r="R510" s="378"/>
      <c r="S510" s="378"/>
      <c r="T510" s="378"/>
      <c r="U510" s="378"/>
      <c r="V510" s="378"/>
      <c r="W510" s="378"/>
      <c r="X510" s="378"/>
      <c r="Y510" s="378"/>
      <c r="Z510" s="378"/>
      <c r="AA510" s="378"/>
      <c r="AB510" s="378"/>
      <c r="AC510" s="378"/>
      <c r="AD510" s="378"/>
      <c r="AE510" s="378"/>
      <c r="AF510" s="378"/>
      <c r="AG510" s="378"/>
      <c r="AH510" s="378"/>
      <c r="AI510" s="378"/>
      <c r="AJ510" s="378"/>
      <c r="AK510" s="378"/>
      <c r="AL510" s="378"/>
      <c r="AM510" s="378"/>
      <c r="AN510" s="378"/>
      <c r="AO510" s="378"/>
      <c r="AP510" s="378"/>
      <c r="AQ510" s="378"/>
    </row>
    <row r="511" spans="2:43">
      <c r="B511" s="447"/>
      <c r="C511" s="378"/>
      <c r="D511" s="378"/>
      <c r="E511" s="378"/>
      <c r="F511" s="378"/>
      <c r="G511" s="378"/>
      <c r="H511" s="378"/>
      <c r="I511" s="378"/>
      <c r="J511" s="378"/>
      <c r="K511" s="378"/>
      <c r="L511" s="378"/>
      <c r="M511" s="378"/>
      <c r="N511" s="378"/>
      <c r="O511" s="378"/>
      <c r="P511" s="378"/>
      <c r="Q511" s="378"/>
      <c r="R511" s="378"/>
      <c r="S511" s="378"/>
      <c r="T511" s="378"/>
      <c r="U511" s="378"/>
      <c r="V511" s="378"/>
      <c r="W511" s="378"/>
      <c r="X511" s="378"/>
      <c r="Y511" s="378"/>
      <c r="Z511" s="378"/>
      <c r="AA511" s="378"/>
      <c r="AB511" s="378"/>
      <c r="AC511" s="378"/>
      <c r="AD511" s="378"/>
      <c r="AE511" s="378"/>
      <c r="AF511" s="378"/>
      <c r="AG511" s="378"/>
      <c r="AH511" s="378"/>
      <c r="AI511" s="378"/>
      <c r="AJ511" s="378"/>
      <c r="AK511" s="378"/>
      <c r="AL511" s="378"/>
      <c r="AM511" s="378"/>
      <c r="AN511" s="378"/>
      <c r="AO511" s="378"/>
      <c r="AP511" s="378"/>
      <c r="AQ511" s="378"/>
    </row>
    <row r="512" spans="2:43">
      <c r="B512" s="447"/>
      <c r="C512" s="378"/>
      <c r="D512" s="378"/>
      <c r="E512" s="378"/>
      <c r="F512" s="378"/>
      <c r="G512" s="378"/>
      <c r="H512" s="378"/>
      <c r="I512" s="378"/>
      <c r="J512" s="378"/>
      <c r="K512" s="378"/>
      <c r="L512" s="378"/>
      <c r="M512" s="378"/>
      <c r="N512" s="378"/>
      <c r="O512" s="378"/>
      <c r="P512" s="378"/>
      <c r="Q512" s="378"/>
      <c r="R512" s="378"/>
      <c r="S512" s="378"/>
      <c r="T512" s="378"/>
      <c r="U512" s="378"/>
      <c r="V512" s="378"/>
      <c r="W512" s="378"/>
      <c r="X512" s="378"/>
      <c r="Y512" s="378"/>
      <c r="Z512" s="378"/>
      <c r="AA512" s="378"/>
      <c r="AB512" s="378"/>
      <c r="AC512" s="378"/>
      <c r="AD512" s="378"/>
      <c r="AE512" s="378"/>
      <c r="AF512" s="378"/>
      <c r="AG512" s="378"/>
      <c r="AH512" s="378"/>
      <c r="AI512" s="378"/>
      <c r="AJ512" s="378"/>
      <c r="AK512" s="378"/>
      <c r="AL512" s="378"/>
      <c r="AM512" s="378"/>
      <c r="AN512" s="378"/>
      <c r="AO512" s="378"/>
      <c r="AP512" s="378"/>
      <c r="AQ512" s="378"/>
    </row>
    <row r="513" spans="2:43">
      <c r="B513" s="447"/>
      <c r="C513" s="378"/>
      <c r="D513" s="378"/>
      <c r="E513" s="378"/>
      <c r="F513" s="378"/>
      <c r="G513" s="378"/>
      <c r="H513" s="378"/>
      <c r="I513" s="378"/>
      <c r="J513" s="378"/>
      <c r="K513" s="378"/>
      <c r="L513" s="378"/>
      <c r="M513" s="378"/>
      <c r="N513" s="378"/>
      <c r="O513" s="378"/>
      <c r="P513" s="378"/>
      <c r="Q513" s="378"/>
      <c r="R513" s="378"/>
      <c r="S513" s="378"/>
      <c r="T513" s="378"/>
      <c r="U513" s="378"/>
      <c r="V513" s="378"/>
      <c r="W513" s="378"/>
      <c r="X513" s="378"/>
      <c r="Y513" s="378"/>
      <c r="Z513" s="378"/>
      <c r="AA513" s="378"/>
      <c r="AB513" s="378"/>
      <c r="AC513" s="378"/>
      <c r="AD513" s="378"/>
      <c r="AE513" s="378"/>
      <c r="AF513" s="378"/>
      <c r="AG513" s="378"/>
      <c r="AH513" s="378"/>
      <c r="AI513" s="378"/>
      <c r="AJ513" s="378"/>
      <c r="AK513" s="378"/>
      <c r="AL513" s="378"/>
      <c r="AM513" s="378"/>
      <c r="AN513" s="378"/>
      <c r="AO513" s="378"/>
      <c r="AP513" s="378"/>
      <c r="AQ513" s="378"/>
    </row>
    <row r="514" spans="2:43">
      <c r="B514" s="447"/>
      <c r="C514" s="378"/>
      <c r="D514" s="378"/>
      <c r="E514" s="378"/>
      <c r="F514" s="378"/>
      <c r="G514" s="378"/>
      <c r="H514" s="378"/>
      <c r="I514" s="378"/>
      <c r="J514" s="378"/>
      <c r="K514" s="378"/>
      <c r="L514" s="378"/>
      <c r="M514" s="378"/>
      <c r="N514" s="378"/>
      <c r="O514" s="378"/>
      <c r="P514" s="378"/>
      <c r="Q514" s="378"/>
      <c r="R514" s="378"/>
      <c r="S514" s="378"/>
      <c r="T514" s="378"/>
      <c r="U514" s="378"/>
      <c r="V514" s="378"/>
      <c r="W514" s="378"/>
      <c r="X514" s="378"/>
      <c r="Y514" s="378"/>
      <c r="Z514" s="378"/>
      <c r="AA514" s="378"/>
      <c r="AB514" s="378"/>
      <c r="AC514" s="378"/>
      <c r="AD514" s="378"/>
      <c r="AE514" s="378"/>
      <c r="AF514" s="378"/>
      <c r="AG514" s="378"/>
      <c r="AH514" s="378"/>
      <c r="AI514" s="378"/>
      <c r="AJ514" s="378"/>
      <c r="AK514" s="378"/>
      <c r="AL514" s="378"/>
      <c r="AM514" s="378"/>
      <c r="AN514" s="378"/>
      <c r="AO514" s="378"/>
      <c r="AP514" s="378"/>
      <c r="AQ514" s="378"/>
    </row>
    <row r="515" spans="2:43">
      <c r="B515" s="447"/>
      <c r="C515" s="378"/>
      <c r="D515" s="378"/>
      <c r="E515" s="378"/>
      <c r="F515" s="378"/>
      <c r="G515" s="378"/>
      <c r="H515" s="378"/>
      <c r="I515" s="378"/>
      <c r="J515" s="378"/>
      <c r="K515" s="378"/>
      <c r="L515" s="378"/>
      <c r="M515" s="378"/>
      <c r="N515" s="378"/>
      <c r="O515" s="378"/>
      <c r="P515" s="378"/>
      <c r="Q515" s="378"/>
      <c r="R515" s="378"/>
      <c r="S515" s="378"/>
      <c r="T515" s="378"/>
      <c r="U515" s="378"/>
      <c r="V515" s="378"/>
      <c r="W515" s="378"/>
      <c r="X515" s="378"/>
      <c r="Y515" s="378"/>
      <c r="Z515" s="378"/>
      <c r="AA515" s="378"/>
      <c r="AB515" s="378"/>
      <c r="AC515" s="378"/>
      <c r="AD515" s="378"/>
      <c r="AE515" s="378"/>
      <c r="AF515" s="378"/>
      <c r="AG515" s="378"/>
      <c r="AH515" s="378"/>
      <c r="AI515" s="378"/>
      <c r="AJ515" s="378"/>
      <c r="AK515" s="378"/>
      <c r="AL515" s="378"/>
      <c r="AM515" s="378"/>
      <c r="AN515" s="378"/>
      <c r="AO515" s="378"/>
      <c r="AP515" s="378"/>
      <c r="AQ515" s="378"/>
    </row>
    <row r="516" spans="2:43">
      <c r="B516" s="447"/>
      <c r="C516" s="378"/>
      <c r="D516" s="378"/>
      <c r="E516" s="378"/>
      <c r="F516" s="378"/>
      <c r="G516" s="378"/>
      <c r="H516" s="378"/>
      <c r="I516" s="378"/>
      <c r="J516" s="378"/>
      <c r="K516" s="378"/>
      <c r="L516" s="378"/>
      <c r="M516" s="378"/>
      <c r="N516" s="378"/>
      <c r="O516" s="378"/>
      <c r="P516" s="378"/>
      <c r="Q516" s="378"/>
      <c r="R516" s="378"/>
      <c r="S516" s="378"/>
      <c r="T516" s="378"/>
      <c r="U516" s="378"/>
      <c r="V516" s="378"/>
      <c r="W516" s="378"/>
      <c r="X516" s="378"/>
      <c r="Y516" s="378"/>
      <c r="Z516" s="378"/>
      <c r="AA516" s="378"/>
      <c r="AB516" s="378"/>
      <c r="AC516" s="378"/>
      <c r="AD516" s="378"/>
      <c r="AE516" s="378"/>
      <c r="AF516" s="378"/>
      <c r="AG516" s="378"/>
      <c r="AH516" s="378"/>
      <c r="AI516" s="378"/>
      <c r="AJ516" s="378"/>
      <c r="AK516" s="378"/>
      <c r="AL516" s="378"/>
      <c r="AM516" s="378"/>
      <c r="AN516" s="378"/>
      <c r="AO516" s="378"/>
      <c r="AP516" s="378"/>
      <c r="AQ516" s="378"/>
    </row>
    <row r="517" spans="2:43">
      <c r="B517" s="447"/>
      <c r="C517" s="378"/>
      <c r="D517" s="378"/>
      <c r="E517" s="378"/>
      <c r="F517" s="378"/>
      <c r="G517" s="378"/>
      <c r="H517" s="378"/>
      <c r="I517" s="378"/>
      <c r="J517" s="378"/>
      <c r="K517" s="378"/>
      <c r="L517" s="378"/>
      <c r="M517" s="378"/>
      <c r="N517" s="378"/>
      <c r="O517" s="378"/>
      <c r="P517" s="378"/>
      <c r="Q517" s="378"/>
      <c r="R517" s="378"/>
      <c r="S517" s="378"/>
      <c r="T517" s="378"/>
      <c r="U517" s="378"/>
      <c r="V517" s="378"/>
      <c r="W517" s="378"/>
      <c r="X517" s="378"/>
      <c r="Y517" s="378"/>
      <c r="Z517" s="378"/>
      <c r="AA517" s="378"/>
      <c r="AB517" s="378"/>
      <c r="AC517" s="378"/>
      <c r="AD517" s="378"/>
      <c r="AE517" s="378"/>
      <c r="AF517" s="378"/>
      <c r="AG517" s="378"/>
      <c r="AH517" s="378"/>
      <c r="AI517" s="378"/>
      <c r="AJ517" s="378"/>
      <c r="AK517" s="378"/>
      <c r="AL517" s="378"/>
      <c r="AM517" s="378"/>
      <c r="AN517" s="378"/>
      <c r="AO517" s="378"/>
      <c r="AP517" s="378"/>
      <c r="AQ517" s="378"/>
    </row>
    <row r="518" spans="2:43">
      <c r="B518" s="447"/>
      <c r="C518" s="378"/>
      <c r="D518" s="378"/>
      <c r="E518" s="378"/>
      <c r="F518" s="378"/>
      <c r="G518" s="378"/>
      <c r="H518" s="378"/>
      <c r="I518" s="378"/>
      <c r="J518" s="378"/>
      <c r="K518" s="378"/>
      <c r="L518" s="378"/>
      <c r="M518" s="378"/>
      <c r="N518" s="378"/>
      <c r="O518" s="378"/>
      <c r="P518" s="378"/>
      <c r="Q518" s="378"/>
      <c r="R518" s="378"/>
      <c r="S518" s="378"/>
      <c r="T518" s="378"/>
      <c r="U518" s="378"/>
      <c r="V518" s="378"/>
      <c r="W518" s="378"/>
      <c r="X518" s="378"/>
      <c r="Y518" s="378"/>
      <c r="Z518" s="378"/>
      <c r="AA518" s="378"/>
      <c r="AB518" s="378"/>
      <c r="AC518" s="378"/>
      <c r="AD518" s="378"/>
      <c r="AE518" s="378"/>
      <c r="AF518" s="378"/>
      <c r="AG518" s="378"/>
      <c r="AH518" s="378"/>
      <c r="AI518" s="378"/>
      <c r="AJ518" s="378"/>
      <c r="AK518" s="378"/>
      <c r="AL518" s="378"/>
      <c r="AM518" s="378"/>
      <c r="AN518" s="378"/>
      <c r="AO518" s="378"/>
      <c r="AP518" s="378"/>
      <c r="AQ518" s="378"/>
    </row>
    <row r="519" spans="2:43">
      <c r="B519" s="447"/>
      <c r="C519" s="378"/>
      <c r="D519" s="378"/>
      <c r="E519" s="378"/>
      <c r="F519" s="378"/>
      <c r="G519" s="378"/>
      <c r="H519" s="378"/>
      <c r="I519" s="378"/>
      <c r="J519" s="378"/>
      <c r="K519" s="378"/>
      <c r="L519" s="378"/>
      <c r="M519" s="378"/>
      <c r="N519" s="378"/>
      <c r="O519" s="378"/>
      <c r="P519" s="378"/>
      <c r="Q519" s="378"/>
      <c r="R519" s="378"/>
      <c r="S519" s="378"/>
      <c r="T519" s="378"/>
      <c r="U519" s="378"/>
      <c r="V519" s="378"/>
      <c r="W519" s="378"/>
      <c r="X519" s="378"/>
      <c r="Y519" s="378"/>
      <c r="Z519" s="378"/>
      <c r="AA519" s="378"/>
      <c r="AB519" s="378"/>
      <c r="AC519" s="378"/>
      <c r="AD519" s="378"/>
      <c r="AE519" s="378"/>
      <c r="AF519" s="378"/>
      <c r="AG519" s="378"/>
      <c r="AH519" s="378"/>
      <c r="AI519" s="378"/>
      <c r="AJ519" s="378"/>
      <c r="AK519" s="378"/>
      <c r="AL519" s="378"/>
      <c r="AM519" s="378"/>
      <c r="AN519" s="378"/>
      <c r="AO519" s="378"/>
      <c r="AP519" s="378"/>
      <c r="AQ519" s="378"/>
    </row>
    <row r="520" spans="2:43">
      <c r="B520" s="447"/>
      <c r="C520" s="378"/>
      <c r="D520" s="378"/>
      <c r="E520" s="378"/>
      <c r="F520" s="378"/>
      <c r="G520" s="378"/>
      <c r="H520" s="378"/>
      <c r="I520" s="378"/>
      <c r="J520" s="378"/>
      <c r="K520" s="378"/>
      <c r="L520" s="378"/>
      <c r="M520" s="378"/>
      <c r="N520" s="378"/>
      <c r="O520" s="378"/>
      <c r="P520" s="378"/>
      <c r="Q520" s="378"/>
      <c r="R520" s="378"/>
      <c r="S520" s="378"/>
      <c r="T520" s="378"/>
      <c r="U520" s="378"/>
      <c r="V520" s="378"/>
      <c r="W520" s="378"/>
      <c r="X520" s="378"/>
      <c r="Y520" s="378"/>
      <c r="Z520" s="378"/>
      <c r="AA520" s="378"/>
      <c r="AB520" s="378"/>
      <c r="AC520" s="378"/>
      <c r="AD520" s="378"/>
      <c r="AE520" s="378"/>
      <c r="AF520" s="378"/>
      <c r="AG520" s="378"/>
      <c r="AH520" s="378"/>
      <c r="AI520" s="378"/>
      <c r="AJ520" s="378"/>
      <c r="AK520" s="378"/>
      <c r="AL520" s="378"/>
      <c r="AM520" s="378"/>
      <c r="AN520" s="378"/>
      <c r="AO520" s="378"/>
      <c r="AP520" s="378"/>
      <c r="AQ520" s="378"/>
    </row>
    <row r="521" spans="2:43">
      <c r="B521" s="447"/>
      <c r="C521" s="378"/>
      <c r="D521" s="378"/>
      <c r="E521" s="378"/>
      <c r="F521" s="378"/>
      <c r="G521" s="378"/>
      <c r="H521" s="378"/>
      <c r="I521" s="378"/>
      <c r="J521" s="378"/>
      <c r="K521" s="378"/>
      <c r="L521" s="378"/>
      <c r="M521" s="378"/>
      <c r="N521" s="378"/>
      <c r="O521" s="378"/>
      <c r="P521" s="378"/>
      <c r="Q521" s="378"/>
      <c r="R521" s="378"/>
      <c r="S521" s="378"/>
      <c r="T521" s="378"/>
      <c r="U521" s="378"/>
      <c r="V521" s="378"/>
      <c r="W521" s="378"/>
      <c r="X521" s="378"/>
      <c r="Y521" s="378"/>
      <c r="Z521" s="378"/>
      <c r="AA521" s="378"/>
      <c r="AB521" s="378"/>
      <c r="AC521" s="378"/>
      <c r="AD521" s="378"/>
      <c r="AE521" s="378"/>
      <c r="AF521" s="378"/>
      <c r="AG521" s="378"/>
      <c r="AH521" s="378"/>
      <c r="AI521" s="378"/>
      <c r="AJ521" s="378"/>
      <c r="AK521" s="378"/>
      <c r="AL521" s="378"/>
      <c r="AM521" s="378"/>
      <c r="AN521" s="378"/>
      <c r="AO521" s="378"/>
      <c r="AP521" s="378"/>
      <c r="AQ521" s="378"/>
    </row>
    <row r="522" spans="2:43">
      <c r="B522" s="447"/>
      <c r="C522" s="378"/>
      <c r="D522" s="378"/>
      <c r="E522" s="378"/>
      <c r="F522" s="378"/>
      <c r="G522" s="378"/>
      <c r="H522" s="378"/>
      <c r="I522" s="378"/>
      <c r="J522" s="378"/>
      <c r="K522" s="378"/>
      <c r="L522" s="378"/>
      <c r="M522" s="378"/>
      <c r="N522" s="378"/>
      <c r="O522" s="378"/>
      <c r="P522" s="378"/>
      <c r="Q522" s="378"/>
      <c r="R522" s="378"/>
      <c r="S522" s="378"/>
      <c r="T522" s="378"/>
      <c r="U522" s="378"/>
      <c r="V522" s="378"/>
      <c r="W522" s="378"/>
      <c r="X522" s="378"/>
      <c r="Y522" s="378"/>
      <c r="Z522" s="378"/>
      <c r="AA522" s="378"/>
      <c r="AB522" s="378"/>
      <c r="AC522" s="378"/>
      <c r="AD522" s="378"/>
      <c r="AE522" s="378"/>
      <c r="AF522" s="378"/>
      <c r="AG522" s="378"/>
      <c r="AH522" s="378"/>
      <c r="AI522" s="378"/>
      <c r="AJ522" s="378"/>
      <c r="AK522" s="378"/>
      <c r="AL522" s="378"/>
      <c r="AM522" s="378"/>
      <c r="AN522" s="378"/>
      <c r="AO522" s="378"/>
      <c r="AP522" s="378"/>
      <c r="AQ522" s="378"/>
    </row>
    <row r="523" spans="2:43">
      <c r="B523" s="447"/>
      <c r="C523" s="378"/>
      <c r="D523" s="378"/>
      <c r="E523" s="378"/>
      <c r="F523" s="378"/>
      <c r="G523" s="378"/>
      <c r="H523" s="378"/>
      <c r="I523" s="378"/>
      <c r="J523" s="378"/>
      <c r="K523" s="378"/>
      <c r="L523" s="378"/>
      <c r="M523" s="378"/>
      <c r="N523" s="378"/>
      <c r="O523" s="378"/>
      <c r="P523" s="378"/>
      <c r="Q523" s="378"/>
      <c r="R523" s="378"/>
      <c r="S523" s="378"/>
      <c r="T523" s="378"/>
      <c r="U523" s="378"/>
      <c r="V523" s="378"/>
      <c r="W523" s="378"/>
      <c r="X523" s="378"/>
      <c r="Y523" s="378"/>
      <c r="Z523" s="378"/>
      <c r="AA523" s="378"/>
      <c r="AB523" s="378"/>
      <c r="AC523" s="378"/>
      <c r="AD523" s="378"/>
      <c r="AE523" s="378"/>
      <c r="AF523" s="378"/>
      <c r="AG523" s="378"/>
      <c r="AH523" s="378"/>
      <c r="AI523" s="378"/>
      <c r="AJ523" s="378"/>
      <c r="AK523" s="378"/>
      <c r="AL523" s="378"/>
      <c r="AM523" s="378"/>
      <c r="AN523" s="378"/>
      <c r="AO523" s="378"/>
      <c r="AP523" s="378"/>
      <c r="AQ523" s="378"/>
    </row>
    <row r="524" spans="2:43">
      <c r="B524" s="447"/>
      <c r="C524" s="378"/>
      <c r="D524" s="378"/>
      <c r="E524" s="378"/>
      <c r="F524" s="378"/>
      <c r="G524" s="378"/>
      <c r="H524" s="378"/>
      <c r="I524" s="378"/>
      <c r="J524" s="378"/>
      <c r="K524" s="378"/>
      <c r="L524" s="378"/>
      <c r="M524" s="378"/>
      <c r="N524" s="378"/>
      <c r="O524" s="378"/>
      <c r="P524" s="378"/>
      <c r="Q524" s="378"/>
      <c r="R524" s="378"/>
      <c r="S524" s="378"/>
      <c r="T524" s="378"/>
      <c r="U524" s="378"/>
      <c r="V524" s="378"/>
      <c r="W524" s="378"/>
      <c r="X524" s="378"/>
      <c r="Y524" s="378"/>
      <c r="Z524" s="378"/>
      <c r="AA524" s="378"/>
      <c r="AB524" s="378"/>
      <c r="AC524" s="378"/>
      <c r="AD524" s="378"/>
      <c r="AE524" s="378"/>
      <c r="AF524" s="378"/>
      <c r="AG524" s="378"/>
      <c r="AH524" s="378"/>
      <c r="AI524" s="378"/>
      <c r="AJ524" s="378"/>
      <c r="AK524" s="378"/>
      <c r="AL524" s="378"/>
      <c r="AM524" s="378"/>
      <c r="AN524" s="378"/>
      <c r="AO524" s="378"/>
      <c r="AP524" s="378"/>
      <c r="AQ524" s="378"/>
    </row>
    <row r="525" spans="2:43">
      <c r="B525" s="447"/>
      <c r="C525" s="378"/>
      <c r="D525" s="378"/>
      <c r="E525" s="378"/>
      <c r="F525" s="378"/>
      <c r="G525" s="378"/>
      <c r="H525" s="378"/>
      <c r="I525" s="378"/>
      <c r="J525" s="378"/>
      <c r="K525" s="378"/>
      <c r="L525" s="378"/>
      <c r="M525" s="378"/>
      <c r="N525" s="378"/>
      <c r="O525" s="378"/>
      <c r="P525" s="378"/>
      <c r="Q525" s="378"/>
      <c r="R525" s="378"/>
      <c r="S525" s="378"/>
      <c r="T525" s="378"/>
      <c r="U525" s="378"/>
      <c r="V525" s="378"/>
      <c r="W525" s="378"/>
      <c r="X525" s="378"/>
      <c r="Y525" s="378"/>
      <c r="Z525" s="378"/>
      <c r="AA525" s="378"/>
      <c r="AB525" s="378"/>
      <c r="AC525" s="378"/>
      <c r="AD525" s="378"/>
      <c r="AE525" s="378"/>
      <c r="AF525" s="378"/>
      <c r="AG525" s="378"/>
      <c r="AH525" s="378"/>
      <c r="AI525" s="378"/>
      <c r="AJ525" s="378"/>
      <c r="AK525" s="378"/>
      <c r="AL525" s="378"/>
      <c r="AM525" s="378"/>
      <c r="AN525" s="378"/>
      <c r="AO525" s="378"/>
      <c r="AP525" s="378"/>
      <c r="AQ525" s="378"/>
    </row>
    <row r="526" spans="2:43">
      <c r="B526" s="447"/>
      <c r="C526" s="378"/>
      <c r="D526" s="378"/>
      <c r="E526" s="378"/>
      <c r="F526" s="378"/>
      <c r="G526" s="378"/>
      <c r="H526" s="378"/>
      <c r="I526" s="378"/>
      <c r="J526" s="378"/>
      <c r="K526" s="378"/>
      <c r="L526" s="378"/>
      <c r="M526" s="378"/>
      <c r="N526" s="378"/>
      <c r="O526" s="378"/>
      <c r="P526" s="378"/>
      <c r="Q526" s="378"/>
      <c r="R526" s="378"/>
      <c r="S526" s="378"/>
      <c r="T526" s="378"/>
      <c r="U526" s="378"/>
      <c r="V526" s="378"/>
      <c r="W526" s="378"/>
      <c r="X526" s="378"/>
      <c r="Y526" s="378"/>
      <c r="Z526" s="378"/>
      <c r="AA526" s="378"/>
      <c r="AB526" s="378"/>
      <c r="AC526" s="378"/>
      <c r="AD526" s="378"/>
      <c r="AE526" s="378"/>
      <c r="AF526" s="378"/>
      <c r="AG526" s="378"/>
      <c r="AH526" s="378"/>
      <c r="AI526" s="378"/>
      <c r="AJ526" s="378"/>
      <c r="AK526" s="378"/>
      <c r="AL526" s="378"/>
      <c r="AM526" s="378"/>
      <c r="AN526" s="378"/>
      <c r="AO526" s="378"/>
      <c r="AP526" s="378"/>
      <c r="AQ526" s="378"/>
    </row>
    <row r="527" spans="2:43">
      <c r="B527" s="447"/>
      <c r="C527" s="378"/>
      <c r="D527" s="378"/>
      <c r="E527" s="378"/>
      <c r="F527" s="378"/>
      <c r="G527" s="378"/>
      <c r="H527" s="378"/>
      <c r="I527" s="378"/>
      <c r="J527" s="378"/>
      <c r="K527" s="378"/>
      <c r="L527" s="378"/>
      <c r="M527" s="378"/>
      <c r="N527" s="378"/>
      <c r="O527" s="378"/>
      <c r="P527" s="378"/>
      <c r="Q527" s="378"/>
      <c r="R527" s="378"/>
      <c r="S527" s="378"/>
      <c r="T527" s="378"/>
      <c r="U527" s="378"/>
      <c r="V527" s="378"/>
      <c r="W527" s="378"/>
      <c r="X527" s="378"/>
      <c r="Y527" s="378"/>
      <c r="Z527" s="378"/>
      <c r="AA527" s="378"/>
      <c r="AB527" s="378"/>
      <c r="AC527" s="378"/>
      <c r="AD527" s="378"/>
      <c r="AE527" s="378"/>
      <c r="AF527" s="378"/>
      <c r="AG527" s="378"/>
      <c r="AH527" s="378"/>
      <c r="AI527" s="378"/>
      <c r="AJ527" s="378"/>
      <c r="AK527" s="378"/>
      <c r="AL527" s="378"/>
      <c r="AM527" s="378"/>
      <c r="AN527" s="378"/>
      <c r="AO527" s="378"/>
      <c r="AP527" s="378"/>
      <c r="AQ527" s="378"/>
    </row>
    <row r="528" spans="2:43">
      <c r="B528" s="447"/>
      <c r="C528" s="378"/>
      <c r="D528" s="378"/>
      <c r="E528" s="378"/>
      <c r="F528" s="378"/>
      <c r="G528" s="378"/>
      <c r="H528" s="378"/>
      <c r="I528" s="378"/>
      <c r="J528" s="378"/>
      <c r="K528" s="378"/>
      <c r="L528" s="378"/>
      <c r="M528" s="378"/>
      <c r="N528" s="378"/>
      <c r="O528" s="378"/>
      <c r="P528" s="378"/>
      <c r="Q528" s="378"/>
      <c r="R528" s="378"/>
      <c r="S528" s="378"/>
      <c r="T528" s="378"/>
      <c r="U528" s="378"/>
      <c r="V528" s="378"/>
      <c r="W528" s="378"/>
      <c r="X528" s="378"/>
      <c r="Y528" s="378"/>
      <c r="Z528" s="378"/>
      <c r="AA528" s="378"/>
      <c r="AB528" s="378"/>
      <c r="AC528" s="378"/>
      <c r="AD528" s="378"/>
      <c r="AE528" s="378"/>
      <c r="AF528" s="378"/>
      <c r="AG528" s="378"/>
      <c r="AH528" s="378"/>
      <c r="AI528" s="378"/>
      <c r="AJ528" s="378"/>
      <c r="AK528" s="378"/>
      <c r="AL528" s="378"/>
      <c r="AM528" s="378"/>
      <c r="AN528" s="378"/>
      <c r="AO528" s="378"/>
      <c r="AP528" s="378"/>
      <c r="AQ528" s="378"/>
    </row>
    <row r="529" spans="2:43">
      <c r="B529" s="447"/>
      <c r="C529" s="378"/>
      <c r="D529" s="378"/>
      <c r="E529" s="378"/>
      <c r="F529" s="378"/>
      <c r="G529" s="378"/>
      <c r="H529" s="378"/>
      <c r="I529" s="378"/>
      <c r="J529" s="378"/>
      <c r="K529" s="378"/>
      <c r="L529" s="378"/>
      <c r="M529" s="378"/>
      <c r="N529" s="378"/>
      <c r="O529" s="378"/>
      <c r="P529" s="378"/>
      <c r="Q529" s="378"/>
      <c r="R529" s="378"/>
      <c r="S529" s="378"/>
      <c r="T529" s="378"/>
      <c r="U529" s="378"/>
      <c r="V529" s="378"/>
      <c r="W529" s="378"/>
      <c r="X529" s="378"/>
      <c r="Y529" s="378"/>
      <c r="Z529" s="378"/>
      <c r="AA529" s="378"/>
      <c r="AB529" s="378"/>
      <c r="AC529" s="378"/>
      <c r="AD529" s="378"/>
      <c r="AE529" s="378"/>
      <c r="AF529" s="378"/>
      <c r="AG529" s="378"/>
      <c r="AH529" s="378"/>
      <c r="AI529" s="378"/>
      <c r="AJ529" s="378"/>
      <c r="AK529" s="378"/>
      <c r="AL529" s="378"/>
      <c r="AM529" s="378"/>
      <c r="AN529" s="378"/>
      <c r="AO529" s="378"/>
      <c r="AP529" s="378"/>
      <c r="AQ529" s="378"/>
    </row>
    <row r="530" spans="2:43">
      <c r="B530" s="447"/>
      <c r="C530" s="378"/>
      <c r="D530" s="378"/>
      <c r="E530" s="378"/>
      <c r="F530" s="378"/>
      <c r="G530" s="378"/>
      <c r="H530" s="378"/>
      <c r="I530" s="378"/>
      <c r="J530" s="378"/>
      <c r="K530" s="378"/>
      <c r="L530" s="378"/>
      <c r="M530" s="378"/>
      <c r="N530" s="378"/>
      <c r="O530" s="378"/>
      <c r="P530" s="378"/>
      <c r="Q530" s="378"/>
      <c r="R530" s="378"/>
      <c r="S530" s="378"/>
      <c r="T530" s="378"/>
      <c r="U530" s="378"/>
      <c r="V530" s="378"/>
      <c r="W530" s="378"/>
      <c r="X530" s="378"/>
      <c r="Y530" s="378"/>
      <c r="Z530" s="378"/>
      <c r="AA530" s="378"/>
      <c r="AB530" s="378"/>
      <c r="AC530" s="378"/>
      <c r="AD530" s="378"/>
      <c r="AE530" s="378"/>
      <c r="AF530" s="378"/>
      <c r="AG530" s="378"/>
      <c r="AH530" s="378"/>
      <c r="AI530" s="378"/>
      <c r="AJ530" s="378"/>
      <c r="AK530" s="378"/>
      <c r="AL530" s="378"/>
      <c r="AM530" s="378"/>
      <c r="AN530" s="378"/>
      <c r="AO530" s="378"/>
      <c r="AP530" s="378"/>
      <c r="AQ530" s="378"/>
    </row>
    <row r="531" spans="2:43">
      <c r="B531" s="447"/>
      <c r="C531" s="378"/>
      <c r="D531" s="378"/>
      <c r="E531" s="378"/>
      <c r="F531" s="378"/>
      <c r="G531" s="378"/>
      <c r="H531" s="378"/>
      <c r="I531" s="378"/>
      <c r="J531" s="378"/>
      <c r="K531" s="378"/>
      <c r="L531" s="378"/>
      <c r="M531" s="378"/>
      <c r="N531" s="378"/>
      <c r="O531" s="378"/>
      <c r="P531" s="378"/>
      <c r="Q531" s="378"/>
      <c r="R531" s="378"/>
      <c r="S531" s="378"/>
      <c r="T531" s="378"/>
      <c r="U531" s="378"/>
      <c r="V531" s="378"/>
      <c r="W531" s="378"/>
      <c r="X531" s="378"/>
      <c r="Y531" s="378"/>
      <c r="Z531" s="378"/>
      <c r="AA531" s="378"/>
      <c r="AB531" s="378"/>
      <c r="AC531" s="378"/>
      <c r="AD531" s="378"/>
      <c r="AE531" s="378"/>
      <c r="AF531" s="378"/>
      <c r="AG531" s="378"/>
      <c r="AH531" s="378"/>
      <c r="AI531" s="378"/>
      <c r="AJ531" s="378"/>
      <c r="AK531" s="378"/>
      <c r="AL531" s="378"/>
      <c r="AM531" s="378"/>
      <c r="AN531" s="378"/>
      <c r="AO531" s="378"/>
      <c r="AP531" s="378"/>
      <c r="AQ531" s="378"/>
    </row>
    <row r="532" spans="2:43">
      <c r="B532" s="447"/>
      <c r="C532" s="378"/>
      <c r="D532" s="378"/>
      <c r="E532" s="378"/>
      <c r="F532" s="378"/>
      <c r="G532" s="378"/>
      <c r="H532" s="378"/>
      <c r="I532" s="378"/>
      <c r="J532" s="378"/>
      <c r="K532" s="378"/>
      <c r="L532" s="378"/>
      <c r="M532" s="378"/>
      <c r="N532" s="378"/>
      <c r="O532" s="378"/>
      <c r="P532" s="378"/>
      <c r="Q532" s="378"/>
      <c r="R532" s="378"/>
      <c r="S532" s="378"/>
      <c r="T532" s="378"/>
      <c r="U532" s="378"/>
      <c r="V532" s="378"/>
      <c r="W532" s="378"/>
      <c r="X532" s="378"/>
      <c r="Y532" s="378"/>
      <c r="Z532" s="378"/>
      <c r="AA532" s="378"/>
      <c r="AB532" s="378"/>
      <c r="AC532" s="378"/>
      <c r="AD532" s="378"/>
      <c r="AE532" s="378"/>
      <c r="AF532" s="378"/>
      <c r="AG532" s="378"/>
      <c r="AH532" s="378"/>
      <c r="AI532" s="378"/>
      <c r="AJ532" s="378"/>
      <c r="AK532" s="378"/>
      <c r="AL532" s="378"/>
      <c r="AM532" s="378"/>
      <c r="AN532" s="378"/>
      <c r="AO532" s="378"/>
      <c r="AP532" s="378"/>
      <c r="AQ532" s="378"/>
    </row>
    <row r="533" spans="2:43">
      <c r="B533" s="447"/>
      <c r="C533" s="378"/>
      <c r="D533" s="378"/>
      <c r="E533" s="378"/>
      <c r="F533" s="378"/>
      <c r="G533" s="378"/>
      <c r="H533" s="378"/>
      <c r="I533" s="378"/>
      <c r="J533" s="378"/>
      <c r="K533" s="378"/>
      <c r="L533" s="378"/>
      <c r="M533" s="378"/>
      <c r="N533" s="378"/>
      <c r="O533" s="378"/>
      <c r="P533" s="378"/>
      <c r="Q533" s="378"/>
      <c r="R533" s="378"/>
      <c r="S533" s="378"/>
      <c r="T533" s="378"/>
      <c r="U533" s="378"/>
      <c r="V533" s="378"/>
      <c r="W533" s="378"/>
      <c r="X533" s="378"/>
      <c r="Y533" s="378"/>
      <c r="Z533" s="378"/>
      <c r="AA533" s="378"/>
      <c r="AB533" s="378"/>
      <c r="AC533" s="378"/>
      <c r="AD533" s="378"/>
      <c r="AE533" s="378"/>
      <c r="AF533" s="378"/>
      <c r="AG533" s="378"/>
      <c r="AH533" s="378"/>
      <c r="AI533" s="378"/>
      <c r="AJ533" s="378"/>
      <c r="AK533" s="378"/>
      <c r="AL533" s="378"/>
      <c r="AM533" s="378"/>
      <c r="AN533" s="378"/>
      <c r="AO533" s="378"/>
      <c r="AP533" s="378"/>
      <c r="AQ533" s="378"/>
    </row>
    <row r="534" spans="2:43">
      <c r="B534" s="447"/>
      <c r="C534" s="378"/>
      <c r="D534" s="378"/>
      <c r="E534" s="378"/>
      <c r="F534" s="378"/>
      <c r="G534" s="378"/>
      <c r="H534" s="378"/>
      <c r="I534" s="378"/>
      <c r="J534" s="378"/>
      <c r="K534" s="378"/>
      <c r="L534" s="378"/>
      <c r="M534" s="378"/>
      <c r="N534" s="378"/>
      <c r="O534" s="378"/>
      <c r="P534" s="378"/>
      <c r="Q534" s="378"/>
      <c r="R534" s="378"/>
      <c r="S534" s="378"/>
      <c r="T534" s="378"/>
      <c r="U534" s="378"/>
      <c r="V534" s="378"/>
      <c r="W534" s="378"/>
      <c r="X534" s="378"/>
      <c r="Y534" s="378"/>
      <c r="Z534" s="378"/>
      <c r="AA534" s="378"/>
      <c r="AB534" s="378"/>
      <c r="AC534" s="378"/>
      <c r="AD534" s="378"/>
      <c r="AE534" s="378"/>
      <c r="AF534" s="378"/>
      <c r="AG534" s="378"/>
      <c r="AH534" s="378"/>
      <c r="AI534" s="378"/>
      <c r="AJ534" s="378"/>
      <c r="AK534" s="378"/>
      <c r="AL534" s="378"/>
      <c r="AM534" s="378"/>
      <c r="AN534" s="378"/>
      <c r="AO534" s="378"/>
      <c r="AP534" s="378"/>
      <c r="AQ534" s="378"/>
    </row>
    <row r="535" spans="2:43">
      <c r="B535" s="447"/>
      <c r="C535" s="378"/>
      <c r="D535" s="378"/>
      <c r="E535" s="378"/>
      <c r="F535" s="378"/>
      <c r="G535" s="378"/>
      <c r="H535" s="378"/>
      <c r="I535" s="378"/>
      <c r="J535" s="378"/>
      <c r="K535" s="378"/>
      <c r="L535" s="378"/>
      <c r="M535" s="378"/>
      <c r="N535" s="378"/>
      <c r="O535" s="378"/>
      <c r="P535" s="378"/>
      <c r="Q535" s="378"/>
      <c r="R535" s="378"/>
      <c r="S535" s="378"/>
      <c r="T535" s="378"/>
      <c r="U535" s="378"/>
      <c r="V535" s="378"/>
      <c r="W535" s="378"/>
      <c r="X535" s="378"/>
      <c r="Y535" s="378"/>
      <c r="Z535" s="378"/>
      <c r="AA535" s="378"/>
      <c r="AB535" s="378"/>
      <c r="AC535" s="378"/>
      <c r="AD535" s="378"/>
      <c r="AE535" s="378"/>
      <c r="AF535" s="378"/>
      <c r="AG535" s="378"/>
      <c r="AH535" s="378"/>
      <c r="AI535" s="378"/>
      <c r="AJ535" s="378"/>
      <c r="AK535" s="378"/>
      <c r="AL535" s="378"/>
      <c r="AM535" s="378"/>
      <c r="AN535" s="378"/>
      <c r="AO535" s="378"/>
      <c r="AP535" s="378"/>
      <c r="AQ535" s="378"/>
    </row>
    <row r="536" spans="2:43">
      <c r="B536" s="447"/>
      <c r="C536" s="378"/>
      <c r="D536" s="378"/>
      <c r="E536" s="378"/>
      <c r="F536" s="378"/>
      <c r="G536" s="378"/>
      <c r="H536" s="378"/>
      <c r="I536" s="378"/>
      <c r="J536" s="378"/>
      <c r="K536" s="378"/>
      <c r="L536" s="378"/>
      <c r="M536" s="378"/>
      <c r="N536" s="378"/>
      <c r="O536" s="378"/>
      <c r="P536" s="378"/>
      <c r="Q536" s="378"/>
      <c r="R536" s="378"/>
      <c r="S536" s="378"/>
      <c r="T536" s="378"/>
      <c r="U536" s="378"/>
      <c r="V536" s="378"/>
      <c r="W536" s="378"/>
      <c r="X536" s="378"/>
      <c r="Y536" s="378"/>
      <c r="Z536" s="378"/>
      <c r="AA536" s="378"/>
      <c r="AB536" s="378"/>
      <c r="AC536" s="378"/>
      <c r="AD536" s="378"/>
      <c r="AE536" s="378"/>
      <c r="AF536" s="378"/>
      <c r="AG536" s="378"/>
      <c r="AH536" s="378"/>
      <c r="AI536" s="378"/>
      <c r="AJ536" s="378"/>
      <c r="AK536" s="378"/>
      <c r="AL536" s="378"/>
      <c r="AM536" s="378"/>
      <c r="AN536" s="378"/>
      <c r="AO536" s="378"/>
      <c r="AP536" s="378"/>
      <c r="AQ536" s="378"/>
    </row>
    <row r="537" spans="2:43">
      <c r="B537" s="447"/>
      <c r="C537" s="378"/>
      <c r="D537" s="378"/>
      <c r="E537" s="378"/>
      <c r="F537" s="378"/>
      <c r="G537" s="378"/>
      <c r="H537" s="378"/>
      <c r="I537" s="378"/>
      <c r="J537" s="378"/>
      <c r="K537" s="378"/>
      <c r="L537" s="378"/>
      <c r="M537" s="378"/>
      <c r="N537" s="378"/>
      <c r="O537" s="378"/>
      <c r="P537" s="378"/>
      <c r="Q537" s="378"/>
      <c r="R537" s="378"/>
      <c r="S537" s="378"/>
      <c r="T537" s="378"/>
      <c r="U537" s="378"/>
      <c r="V537" s="378"/>
      <c r="W537" s="378"/>
      <c r="X537" s="378"/>
      <c r="Y537" s="378"/>
      <c r="Z537" s="378"/>
      <c r="AA537" s="378"/>
      <c r="AB537" s="378"/>
      <c r="AC537" s="378"/>
      <c r="AD537" s="378"/>
      <c r="AE537" s="378"/>
      <c r="AF537" s="378"/>
      <c r="AG537" s="378"/>
      <c r="AH537" s="378"/>
      <c r="AI537" s="378"/>
      <c r="AJ537" s="378"/>
      <c r="AK537" s="378"/>
      <c r="AL537" s="378"/>
      <c r="AM537" s="378"/>
      <c r="AN537" s="378"/>
      <c r="AO537" s="378"/>
      <c r="AP537" s="378"/>
      <c r="AQ537" s="378"/>
    </row>
    <row r="538" spans="2:43">
      <c r="B538" s="447"/>
      <c r="C538" s="378"/>
      <c r="D538" s="378"/>
      <c r="E538" s="378"/>
      <c r="F538" s="378"/>
      <c r="G538" s="378"/>
      <c r="H538" s="378"/>
      <c r="I538" s="378"/>
      <c r="J538" s="378"/>
      <c r="K538" s="378"/>
      <c r="L538" s="378"/>
      <c r="M538" s="378"/>
      <c r="N538" s="378"/>
      <c r="O538" s="378"/>
      <c r="P538" s="378"/>
      <c r="Q538" s="378"/>
      <c r="R538" s="378"/>
      <c r="S538" s="378"/>
      <c r="T538" s="378"/>
      <c r="U538" s="378"/>
      <c r="V538" s="378"/>
      <c r="W538" s="378"/>
      <c r="X538" s="378"/>
      <c r="Y538" s="378"/>
      <c r="Z538" s="378"/>
      <c r="AA538" s="378"/>
      <c r="AB538" s="378"/>
      <c r="AC538" s="378"/>
      <c r="AD538" s="378"/>
      <c r="AE538" s="378"/>
      <c r="AF538" s="378"/>
      <c r="AG538" s="378"/>
      <c r="AH538" s="378"/>
      <c r="AI538" s="378"/>
      <c r="AJ538" s="378"/>
      <c r="AK538" s="378"/>
      <c r="AL538" s="378"/>
      <c r="AM538" s="378"/>
      <c r="AN538" s="378"/>
      <c r="AO538" s="378"/>
      <c r="AP538" s="378"/>
      <c r="AQ538" s="378"/>
    </row>
    <row r="539" spans="2:43">
      <c r="B539" s="447"/>
      <c r="C539" s="378"/>
      <c r="D539" s="378"/>
      <c r="E539" s="378"/>
      <c r="F539" s="378"/>
      <c r="G539" s="378"/>
      <c r="H539" s="378"/>
      <c r="I539" s="378"/>
      <c r="J539" s="378"/>
      <c r="K539" s="378"/>
      <c r="L539" s="378"/>
      <c r="M539" s="378"/>
      <c r="N539" s="378"/>
      <c r="O539" s="378"/>
      <c r="P539" s="378"/>
      <c r="Q539" s="378"/>
      <c r="R539" s="378"/>
      <c r="S539" s="378"/>
      <c r="T539" s="378"/>
      <c r="U539" s="378"/>
      <c r="V539" s="378"/>
      <c r="W539" s="378"/>
      <c r="X539" s="378"/>
      <c r="Y539" s="378"/>
      <c r="Z539" s="378"/>
      <c r="AA539" s="378"/>
      <c r="AB539" s="378"/>
      <c r="AC539" s="378"/>
      <c r="AD539" s="378"/>
      <c r="AE539" s="378"/>
      <c r="AF539" s="378"/>
      <c r="AG539" s="378"/>
      <c r="AH539" s="378"/>
      <c r="AI539" s="378"/>
      <c r="AJ539" s="378"/>
      <c r="AK539" s="378"/>
      <c r="AL539" s="378"/>
      <c r="AM539" s="378"/>
      <c r="AN539" s="378"/>
      <c r="AO539" s="378"/>
      <c r="AP539" s="378"/>
      <c r="AQ539" s="378"/>
    </row>
    <row r="540" spans="2:43">
      <c r="B540" s="447"/>
      <c r="C540" s="378"/>
      <c r="D540" s="378"/>
      <c r="E540" s="378"/>
      <c r="F540" s="378"/>
      <c r="G540" s="378"/>
      <c r="H540" s="378"/>
      <c r="I540" s="378"/>
      <c r="J540" s="378"/>
      <c r="K540" s="378"/>
      <c r="L540" s="378"/>
      <c r="M540" s="378"/>
      <c r="N540" s="378"/>
      <c r="O540" s="378"/>
      <c r="P540" s="378"/>
      <c r="Q540" s="378"/>
      <c r="R540" s="378"/>
      <c r="S540" s="378"/>
      <c r="T540" s="378"/>
      <c r="U540" s="378"/>
      <c r="V540" s="378"/>
      <c r="W540" s="378"/>
      <c r="X540" s="378"/>
      <c r="Y540" s="378"/>
      <c r="Z540" s="378"/>
      <c r="AA540" s="378"/>
      <c r="AB540" s="378"/>
      <c r="AC540" s="378"/>
      <c r="AD540" s="378"/>
      <c r="AE540" s="378"/>
      <c r="AF540" s="378"/>
      <c r="AG540" s="378"/>
      <c r="AH540" s="378"/>
      <c r="AI540" s="378"/>
      <c r="AJ540" s="378"/>
      <c r="AK540" s="378"/>
      <c r="AL540" s="378"/>
      <c r="AM540" s="378"/>
      <c r="AN540" s="378"/>
      <c r="AO540" s="378"/>
      <c r="AP540" s="378"/>
      <c r="AQ540" s="378"/>
    </row>
    <row r="541" spans="2:43">
      <c r="B541" s="447"/>
      <c r="C541" s="378"/>
      <c r="D541" s="378"/>
      <c r="E541" s="378"/>
      <c r="F541" s="378"/>
      <c r="G541" s="378"/>
      <c r="H541" s="378"/>
      <c r="I541" s="378"/>
      <c r="J541" s="378"/>
      <c r="K541" s="378"/>
      <c r="L541" s="378"/>
      <c r="M541" s="378"/>
      <c r="N541" s="378"/>
      <c r="O541" s="378"/>
      <c r="P541" s="378"/>
      <c r="Q541" s="378"/>
      <c r="R541" s="378"/>
      <c r="S541" s="378"/>
      <c r="T541" s="378"/>
      <c r="U541" s="378"/>
      <c r="V541" s="378"/>
      <c r="W541" s="378"/>
      <c r="X541" s="378"/>
      <c r="Y541" s="378"/>
      <c r="Z541" s="378"/>
      <c r="AA541" s="378"/>
      <c r="AB541" s="378"/>
      <c r="AC541" s="378"/>
      <c r="AD541" s="378"/>
      <c r="AE541" s="378"/>
      <c r="AF541" s="378"/>
      <c r="AG541" s="378"/>
      <c r="AH541" s="378"/>
      <c r="AI541" s="378"/>
      <c r="AJ541" s="378"/>
      <c r="AK541" s="378"/>
      <c r="AL541" s="378"/>
      <c r="AM541" s="378"/>
      <c r="AN541" s="378"/>
      <c r="AO541" s="378"/>
      <c r="AP541" s="378"/>
      <c r="AQ541" s="378"/>
    </row>
    <row r="542" spans="2:43">
      <c r="B542" s="447"/>
      <c r="C542" s="378"/>
      <c r="D542" s="378"/>
      <c r="E542" s="378"/>
      <c r="F542" s="378"/>
      <c r="G542" s="378"/>
      <c r="H542" s="378"/>
      <c r="I542" s="378"/>
      <c r="J542" s="378"/>
      <c r="K542" s="378"/>
      <c r="L542" s="378"/>
      <c r="M542" s="378"/>
      <c r="N542" s="378"/>
      <c r="O542" s="378"/>
      <c r="P542" s="378"/>
      <c r="Q542" s="378"/>
      <c r="R542" s="378"/>
      <c r="S542" s="378"/>
      <c r="T542" s="378"/>
      <c r="U542" s="378"/>
      <c r="V542" s="378"/>
      <c r="W542" s="378"/>
      <c r="X542" s="378"/>
      <c r="Y542" s="378"/>
      <c r="Z542" s="378"/>
      <c r="AA542" s="378"/>
      <c r="AB542" s="378"/>
      <c r="AC542" s="378"/>
      <c r="AD542" s="378"/>
      <c r="AE542" s="378"/>
      <c r="AF542" s="378"/>
      <c r="AG542" s="378"/>
      <c r="AH542" s="378"/>
      <c r="AI542" s="378"/>
      <c r="AJ542" s="378"/>
      <c r="AK542" s="378"/>
      <c r="AL542" s="378"/>
      <c r="AM542" s="378"/>
      <c r="AN542" s="378"/>
      <c r="AO542" s="378"/>
      <c r="AP542" s="378"/>
      <c r="AQ542" s="378"/>
    </row>
    <row r="543" spans="2:43">
      <c r="B543" s="447"/>
      <c r="C543" s="378"/>
      <c r="D543" s="378"/>
      <c r="E543" s="378"/>
      <c r="F543" s="378"/>
      <c r="G543" s="378"/>
      <c r="H543" s="378"/>
      <c r="I543" s="378"/>
      <c r="J543" s="378"/>
      <c r="K543" s="378"/>
      <c r="L543" s="378"/>
      <c r="M543" s="378"/>
      <c r="N543" s="378"/>
      <c r="O543" s="378"/>
      <c r="P543" s="378"/>
      <c r="Q543" s="378"/>
      <c r="R543" s="378"/>
      <c r="S543" s="378"/>
      <c r="T543" s="378"/>
      <c r="U543" s="378"/>
      <c r="V543" s="378"/>
      <c r="W543" s="378"/>
      <c r="X543" s="378"/>
      <c r="Y543" s="378"/>
      <c r="Z543" s="378"/>
      <c r="AA543" s="378"/>
      <c r="AB543" s="378"/>
      <c r="AC543" s="378"/>
      <c r="AD543" s="378"/>
      <c r="AE543" s="378"/>
      <c r="AF543" s="378"/>
      <c r="AG543" s="378"/>
      <c r="AH543" s="378"/>
      <c r="AI543" s="378"/>
      <c r="AJ543" s="378"/>
      <c r="AK543" s="378"/>
      <c r="AL543" s="378"/>
      <c r="AM543" s="378"/>
      <c r="AN543" s="378"/>
      <c r="AO543" s="378"/>
      <c r="AP543" s="378"/>
      <c r="AQ543" s="378"/>
    </row>
    <row r="544" spans="2:43">
      <c r="B544" s="447"/>
      <c r="C544" s="378"/>
      <c r="D544" s="378"/>
      <c r="E544" s="378"/>
      <c r="F544" s="378"/>
      <c r="G544" s="378"/>
      <c r="H544" s="378"/>
      <c r="I544" s="378"/>
      <c r="J544" s="378"/>
      <c r="K544" s="378"/>
      <c r="L544" s="378"/>
      <c r="M544" s="378"/>
      <c r="N544" s="378"/>
      <c r="O544" s="378"/>
      <c r="P544" s="378"/>
      <c r="Q544" s="378"/>
      <c r="R544" s="378"/>
      <c r="S544" s="378"/>
      <c r="T544" s="378"/>
      <c r="U544" s="378"/>
      <c r="V544" s="378"/>
      <c r="W544" s="378"/>
      <c r="X544" s="378"/>
      <c r="Y544" s="378"/>
      <c r="Z544" s="378"/>
      <c r="AA544" s="378"/>
      <c r="AB544" s="378"/>
      <c r="AC544" s="378"/>
      <c r="AD544" s="378"/>
      <c r="AE544" s="378"/>
      <c r="AF544" s="378"/>
      <c r="AG544" s="378"/>
      <c r="AH544" s="378"/>
      <c r="AI544" s="378"/>
      <c r="AJ544" s="378"/>
      <c r="AK544" s="378"/>
      <c r="AL544" s="378"/>
      <c r="AM544" s="378"/>
      <c r="AN544" s="378"/>
      <c r="AO544" s="378"/>
      <c r="AP544" s="378"/>
      <c r="AQ544" s="378"/>
    </row>
    <row r="545" spans="2:43">
      <c r="B545" s="447"/>
      <c r="C545" s="378"/>
      <c r="D545" s="378"/>
      <c r="E545" s="378"/>
      <c r="F545" s="378"/>
      <c r="G545" s="378"/>
      <c r="H545" s="378"/>
      <c r="I545" s="378"/>
      <c r="J545" s="378"/>
      <c r="K545" s="378"/>
      <c r="L545" s="378"/>
      <c r="M545" s="378"/>
      <c r="N545" s="378"/>
      <c r="O545" s="378"/>
      <c r="P545" s="378"/>
      <c r="Q545" s="378"/>
      <c r="R545" s="378"/>
      <c r="S545" s="378"/>
      <c r="T545" s="378"/>
      <c r="U545" s="378"/>
      <c r="V545" s="378"/>
      <c r="W545" s="378"/>
      <c r="X545" s="378"/>
      <c r="Y545" s="378"/>
      <c r="Z545" s="378"/>
      <c r="AA545" s="378"/>
      <c r="AB545" s="378"/>
      <c r="AC545" s="378"/>
      <c r="AD545" s="378"/>
      <c r="AE545" s="378"/>
      <c r="AF545" s="378"/>
      <c r="AG545" s="378"/>
      <c r="AH545" s="378"/>
      <c r="AI545" s="378"/>
      <c r="AJ545" s="378"/>
      <c r="AK545" s="378"/>
      <c r="AL545" s="378"/>
      <c r="AM545" s="378"/>
      <c r="AN545" s="378"/>
      <c r="AO545" s="378"/>
      <c r="AP545" s="378"/>
      <c r="AQ545" s="378"/>
    </row>
    <row r="546" spans="2:43">
      <c r="B546" s="447"/>
      <c r="C546" s="378"/>
      <c r="D546" s="378"/>
      <c r="E546" s="378"/>
      <c r="F546" s="378"/>
      <c r="G546" s="378"/>
      <c r="H546" s="378"/>
      <c r="I546" s="378"/>
      <c r="J546" s="378"/>
      <c r="K546" s="378"/>
      <c r="L546" s="378"/>
      <c r="M546" s="378"/>
      <c r="N546" s="378"/>
      <c r="O546" s="378"/>
      <c r="P546" s="378"/>
      <c r="Q546" s="378"/>
      <c r="R546" s="378"/>
      <c r="S546" s="378"/>
      <c r="T546" s="378"/>
      <c r="U546" s="378"/>
      <c r="V546" s="378"/>
      <c r="W546" s="378"/>
      <c r="X546" s="378"/>
      <c r="Y546" s="378"/>
      <c r="Z546" s="378"/>
      <c r="AA546" s="378"/>
      <c r="AB546" s="378"/>
      <c r="AC546" s="378"/>
      <c r="AD546" s="378"/>
      <c r="AE546" s="378"/>
      <c r="AF546" s="378"/>
      <c r="AG546" s="378"/>
      <c r="AH546" s="378"/>
      <c r="AI546" s="378"/>
      <c r="AJ546" s="378"/>
      <c r="AK546" s="378"/>
      <c r="AL546" s="378"/>
      <c r="AM546" s="378"/>
      <c r="AN546" s="378"/>
      <c r="AO546" s="378"/>
      <c r="AP546" s="378"/>
      <c r="AQ546" s="378"/>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ورقة28"/>
  <dimension ref="A1:CN240"/>
  <sheetViews>
    <sheetView rightToLeft="1" workbookViewId="0"/>
  </sheetViews>
  <sheetFormatPr defaultRowHeight="15.5"/>
  <sheetData>
    <row r="1" spans="1:92">
      <c r="A1" s="2">
        <f ca="1">TODAY()</f>
        <v>46323</v>
      </c>
    </row>
    <row r="2" spans="1:92" ht="20">
      <c r="B2" s="90"/>
      <c r="J2" s="202"/>
      <c r="K2" s="202"/>
      <c r="BU2" s="26"/>
      <c r="BV2" s="26"/>
      <c r="BW2" s="26"/>
      <c r="BX2" s="26"/>
      <c r="BY2" s="26"/>
      <c r="BZ2" s="26"/>
    </row>
    <row r="3" spans="1:92" ht="20">
      <c r="B3" s="90"/>
      <c r="BU3" s="34"/>
      <c r="BV3" s="35"/>
      <c r="BW3" s="35"/>
      <c r="BX3" s="35"/>
      <c r="BY3" s="36"/>
      <c r="BZ3" s="26"/>
    </row>
    <row r="4" spans="1:92" ht="20">
      <c r="B4" s="90"/>
      <c r="BU4" s="37"/>
      <c r="BV4" s="748" t="s">
        <v>179</v>
      </c>
      <c r="BW4" s="788"/>
      <c r="BX4" s="239">
        <v>565</v>
      </c>
      <c r="BY4" s="38"/>
      <c r="BZ4" s="26"/>
      <c r="CN4" s="3" t="str">
        <f t="array" ref="CN4">_xlfn.UNIQUE(_xlfn._xlws.FILTER(A$1:A$1003, Y$1:Y$1003=BX4, ""))</f>
        <v/>
      </c>
    </row>
    <row r="5" spans="1:92" ht="20">
      <c r="B5" s="90"/>
      <c r="K5" s="202"/>
      <c r="BU5" s="37"/>
      <c r="BV5" s="47"/>
      <c r="BW5" s="47"/>
      <c r="BX5" s="47"/>
      <c r="BY5" s="38"/>
      <c r="BZ5" s="26"/>
    </row>
    <row r="6" spans="1:92" ht="20">
      <c r="B6" s="90"/>
      <c r="BU6" s="37"/>
      <c r="BV6" s="748" t="s">
        <v>169</v>
      </c>
      <c r="BW6" s="748"/>
      <c r="BX6" s="239">
        <v>2</v>
      </c>
      <c r="BY6" s="38"/>
      <c r="BZ6" s="26"/>
    </row>
    <row r="7" spans="1:92" ht="20">
      <c r="B7" s="90"/>
      <c r="BU7" s="37"/>
      <c r="BV7" s="46"/>
      <c r="BW7" s="47"/>
      <c r="BX7" s="47"/>
      <c r="BY7" s="38"/>
      <c r="BZ7" s="26"/>
    </row>
    <row r="8" spans="1:92" ht="20">
      <c r="B8" s="90"/>
      <c r="BU8" s="37"/>
      <c r="BV8" s="46" t="s">
        <v>246</v>
      </c>
      <c r="BY8" s="38"/>
      <c r="BZ8" s="26"/>
    </row>
    <row r="9" spans="1:92" ht="20">
      <c r="A9" s="203"/>
      <c r="B9" s="90"/>
      <c r="J9" s="203"/>
      <c r="K9" s="203"/>
      <c r="L9" s="203"/>
      <c r="M9" s="203"/>
      <c r="N9" s="203"/>
      <c r="O9" s="203"/>
      <c r="P9" s="203"/>
      <c r="Q9" s="203"/>
      <c r="R9" s="203"/>
      <c r="S9" s="203"/>
      <c r="T9" s="203"/>
      <c r="U9" s="203"/>
      <c r="V9" s="203"/>
      <c r="W9" s="203"/>
      <c r="X9" s="203"/>
      <c r="Y9" s="203"/>
      <c r="Z9" s="203"/>
      <c r="AA9" s="203"/>
      <c r="AB9" s="203"/>
      <c r="AC9" s="203"/>
      <c r="AD9" s="203"/>
      <c r="AE9" s="203"/>
      <c r="AF9" s="203"/>
      <c r="AG9" s="203"/>
      <c r="AH9" s="203"/>
      <c r="AI9" s="203"/>
      <c r="AJ9" s="203"/>
      <c r="AK9" s="203"/>
      <c r="AL9" s="203"/>
      <c r="AM9" s="203"/>
      <c r="AN9" s="203"/>
      <c r="AO9" s="203"/>
      <c r="AP9" s="203"/>
      <c r="AQ9" s="203"/>
      <c r="BU9" s="261"/>
      <c r="BV9" s="748" t="s">
        <v>247</v>
      </c>
      <c r="BW9" s="748"/>
      <c r="BX9" s="260"/>
      <c r="BY9" s="38"/>
      <c r="BZ9" s="26"/>
    </row>
    <row r="10" spans="1:92" ht="20">
      <c r="A10" s="203"/>
      <c r="B10" s="90"/>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BU10" s="37"/>
      <c r="BV10" s="46" t="s">
        <v>88</v>
      </c>
      <c r="BW10" s="46"/>
      <c r="BX10" s="26"/>
      <c r="BY10" s="38"/>
      <c r="BZ10" s="26"/>
    </row>
    <row r="11" spans="1:92" ht="20">
      <c r="A11" s="203"/>
      <c r="B11" s="90"/>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BU11" s="37"/>
      <c r="BV11" s="46" t="s">
        <v>459</v>
      </c>
      <c r="BW11" s="46"/>
      <c r="BX11" s="31"/>
      <c r="BY11" s="38"/>
      <c r="BZ11" s="26"/>
    </row>
    <row r="12" spans="1:92" ht="20">
      <c r="A12" s="203"/>
      <c r="B12" s="90"/>
      <c r="J12" s="203"/>
      <c r="K12" s="203"/>
      <c r="L12" s="203"/>
      <c r="M12" s="203"/>
      <c r="N12" s="203"/>
      <c r="O12" s="203"/>
      <c r="P12" s="203"/>
      <c r="Q12" s="203"/>
      <c r="R12" s="203"/>
      <c r="S12" s="203"/>
      <c r="T12" s="203"/>
      <c r="U12" s="203"/>
      <c r="V12" s="203"/>
      <c r="W12" s="203"/>
      <c r="X12" s="203"/>
      <c r="Y12" s="203"/>
      <c r="Z12" s="203"/>
      <c r="AA12" s="203"/>
      <c r="AB12" s="203"/>
      <c r="AO12" s="203"/>
      <c r="AP12" s="203"/>
      <c r="AQ12" s="203"/>
      <c r="BU12" s="37"/>
      <c r="BX12" s="31"/>
      <c r="BY12" s="38"/>
      <c r="BZ12" s="26"/>
    </row>
    <row r="13" spans="1:92" ht="20">
      <c r="A13" s="203"/>
      <c r="B13" s="90"/>
      <c r="J13" s="203"/>
      <c r="K13" s="203"/>
      <c r="L13" s="203"/>
      <c r="M13" s="203"/>
      <c r="N13" s="203"/>
      <c r="O13" s="203"/>
      <c r="P13" s="203"/>
      <c r="Q13" s="203"/>
      <c r="R13" s="203"/>
      <c r="S13" s="203"/>
      <c r="T13" s="203"/>
      <c r="U13" s="203"/>
      <c r="V13" s="203"/>
      <c r="W13" s="203"/>
      <c r="X13" s="203"/>
      <c r="Y13" s="203"/>
      <c r="Z13" s="203"/>
      <c r="AA13" s="203"/>
      <c r="AB13" s="203"/>
      <c r="AO13" s="203"/>
      <c r="AP13" s="203"/>
      <c r="AQ13" s="203"/>
      <c r="BU13" s="37"/>
      <c r="BV13" s="46" t="s">
        <v>460</v>
      </c>
      <c r="BW13" s="46"/>
      <c r="BX13" s="31"/>
      <c r="BY13" s="38"/>
      <c r="BZ13" s="26"/>
    </row>
    <row r="14" spans="1:92" ht="20">
      <c r="A14" s="203"/>
      <c r="B14" s="90"/>
      <c r="J14" s="203"/>
      <c r="K14" s="203"/>
      <c r="L14" s="203"/>
      <c r="M14" s="203"/>
      <c r="N14" s="203"/>
      <c r="O14" s="203"/>
      <c r="P14" s="203"/>
      <c r="Q14" s="203"/>
      <c r="R14" s="203"/>
      <c r="S14" s="203"/>
      <c r="T14" s="203"/>
      <c r="U14" s="203"/>
      <c r="V14" s="203"/>
      <c r="W14" s="203"/>
      <c r="X14" s="203"/>
      <c r="Y14" s="203"/>
      <c r="Z14" s="203"/>
      <c r="AA14" s="203"/>
      <c r="AB14" s="203"/>
      <c r="AC14" s="189">
        <v>7200246676</v>
      </c>
      <c r="AD14" s="188">
        <v>1500000</v>
      </c>
      <c r="AE14" s="196" t="s">
        <v>91</v>
      </c>
      <c r="AF14" s="196" t="s">
        <v>183</v>
      </c>
      <c r="AG14" s="199">
        <v>45497</v>
      </c>
      <c r="AH14" s="199">
        <v>45862</v>
      </c>
      <c r="AI14" s="189">
        <v>6200224667</v>
      </c>
      <c r="AJ14" s="201">
        <v>505920230</v>
      </c>
      <c r="AK14" s="196" t="s">
        <v>182</v>
      </c>
      <c r="AO14" s="203"/>
      <c r="AP14" s="203"/>
      <c r="AQ14" s="203"/>
      <c r="BU14" s="37"/>
      <c r="BV14" s="26" t="s">
        <v>522</v>
      </c>
      <c r="BW14" s="49"/>
      <c r="BX14" s="26"/>
      <c r="BY14" s="38"/>
      <c r="BZ14" s="26"/>
    </row>
    <row r="15" spans="1:92" ht="20">
      <c r="A15" s="203"/>
      <c r="B15" s="90"/>
      <c r="J15" s="203"/>
      <c r="K15" s="203"/>
      <c r="L15" s="203"/>
      <c r="M15" s="203"/>
      <c r="N15" s="203"/>
      <c r="O15" s="203"/>
      <c r="P15" s="203"/>
      <c r="Q15" s="203"/>
      <c r="R15" s="203"/>
      <c r="S15" s="203"/>
      <c r="T15" s="203"/>
      <c r="U15" s="203"/>
      <c r="V15" s="203"/>
      <c r="W15" s="203"/>
      <c r="X15" s="203"/>
      <c r="Y15" s="203"/>
      <c r="Z15" s="203"/>
      <c r="AA15" s="203"/>
      <c r="AB15" s="203"/>
      <c r="AC15" s="189">
        <v>7200248841</v>
      </c>
      <c r="AD15" s="188">
        <v>48000</v>
      </c>
      <c r="AE15" s="189">
        <v>102</v>
      </c>
      <c r="AF15" s="196" t="s">
        <v>185</v>
      </c>
      <c r="AG15" s="199">
        <v>45500</v>
      </c>
      <c r="AH15" s="199">
        <v>45865</v>
      </c>
      <c r="AI15" s="189">
        <v>6200228667</v>
      </c>
      <c r="AJ15" s="201">
        <v>541666787</v>
      </c>
      <c r="AK15" s="196" t="s">
        <v>184</v>
      </c>
      <c r="AO15" s="203"/>
      <c r="AP15" s="203"/>
      <c r="AQ15" s="203"/>
      <c r="BU15" s="37"/>
      <c r="BV15" s="31" t="s">
        <v>523</v>
      </c>
      <c r="BW15" s="49"/>
      <c r="BX15" s="31"/>
      <c r="BY15" s="38"/>
      <c r="BZ15" s="26"/>
    </row>
    <row r="16" spans="1:92" ht="20">
      <c r="A16" s="203"/>
      <c r="B16" s="90"/>
      <c r="J16" s="203"/>
      <c r="K16" s="203"/>
      <c r="L16" s="203"/>
      <c r="M16" s="203"/>
      <c r="N16" s="203"/>
      <c r="O16" s="203"/>
      <c r="P16" s="203"/>
      <c r="Q16" s="203"/>
      <c r="R16" s="203"/>
      <c r="S16" s="203"/>
      <c r="T16" s="203"/>
      <c r="U16" s="203"/>
      <c r="V16" s="203"/>
      <c r="W16" s="203"/>
      <c r="X16" s="203"/>
      <c r="Y16" s="203"/>
      <c r="Z16" s="203"/>
      <c r="AA16" s="203"/>
      <c r="AB16" s="203"/>
      <c r="AC16" s="189">
        <v>7200251483</v>
      </c>
      <c r="AD16" s="188">
        <v>990220</v>
      </c>
      <c r="AE16" s="196" t="s">
        <v>91</v>
      </c>
      <c r="AF16" s="196" t="s">
        <v>187</v>
      </c>
      <c r="AG16" s="199">
        <v>45503</v>
      </c>
      <c r="AH16" s="199">
        <v>45868</v>
      </c>
      <c r="AI16" s="189">
        <v>6200231227</v>
      </c>
      <c r="AJ16" s="201">
        <v>550202500</v>
      </c>
      <c r="AK16" s="196" t="s">
        <v>186</v>
      </c>
      <c r="AO16" s="203"/>
      <c r="AP16" s="203"/>
      <c r="AQ16" s="203"/>
      <c r="BU16" s="37"/>
      <c r="BV16" s="26" t="s">
        <v>526</v>
      </c>
      <c r="BW16" s="49"/>
      <c r="BX16" s="26"/>
      <c r="BY16" s="38"/>
      <c r="BZ16" s="26"/>
    </row>
    <row r="17" spans="1:86" ht="20">
      <c r="A17" s="203"/>
      <c r="B17" s="90"/>
      <c r="J17" s="203"/>
      <c r="K17" s="203"/>
      <c r="L17" s="203"/>
      <c r="M17" s="203"/>
      <c r="N17" s="203"/>
      <c r="O17" s="203"/>
      <c r="P17" s="203"/>
      <c r="Q17" s="203"/>
      <c r="R17" s="203"/>
      <c r="S17" s="203"/>
      <c r="T17" s="203"/>
      <c r="U17" s="203"/>
      <c r="V17" s="203"/>
      <c r="W17" s="203"/>
      <c r="X17" s="203"/>
      <c r="Y17" s="203"/>
      <c r="Z17" s="203"/>
      <c r="AA17" s="203"/>
      <c r="AB17" s="203"/>
      <c r="AC17" s="189">
        <v>7200252366</v>
      </c>
      <c r="AD17" s="188">
        <v>637900</v>
      </c>
      <c r="AE17" s="196" t="s">
        <v>91</v>
      </c>
      <c r="AF17" s="196" t="s">
        <v>189</v>
      </c>
      <c r="AG17" s="199">
        <v>45504</v>
      </c>
      <c r="AH17" s="199">
        <v>45869</v>
      </c>
      <c r="AI17" s="189">
        <v>6200232595</v>
      </c>
      <c r="AJ17" s="201">
        <v>501308552</v>
      </c>
      <c r="AK17" s="196" t="s">
        <v>188</v>
      </c>
      <c r="AL17" s="203"/>
      <c r="AM17" s="203"/>
      <c r="AN17" s="203"/>
      <c r="AO17" s="203"/>
      <c r="AP17" s="203"/>
      <c r="AQ17" s="203"/>
      <c r="BU17" s="37"/>
      <c r="BV17" s="26" t="s">
        <v>524</v>
      </c>
      <c r="BW17" s="48"/>
      <c r="BX17" s="44"/>
      <c r="BY17" s="38"/>
      <c r="BZ17" s="26"/>
    </row>
    <row r="18" spans="1:86" ht="20">
      <c r="A18" s="203"/>
      <c r="B18" s="90"/>
      <c r="J18" s="203"/>
      <c r="K18" s="203"/>
      <c r="L18" s="203"/>
      <c r="M18" s="203"/>
      <c r="N18" s="203"/>
      <c r="O18" s="203"/>
      <c r="P18" s="203"/>
      <c r="Q18" s="203"/>
      <c r="R18" s="203"/>
      <c r="S18" s="203"/>
      <c r="T18" s="203"/>
      <c r="U18" s="203"/>
      <c r="V18" s="203"/>
      <c r="W18" s="203"/>
      <c r="X18" s="203"/>
      <c r="Y18" s="203"/>
      <c r="Z18" s="203"/>
      <c r="AA18" s="203"/>
      <c r="AB18" s="203"/>
      <c r="AC18" s="189">
        <v>7200257477</v>
      </c>
      <c r="AD18" s="188">
        <v>630000</v>
      </c>
      <c r="AE18" s="196" t="s">
        <v>91</v>
      </c>
      <c r="AF18" s="196" t="s">
        <v>191</v>
      </c>
      <c r="AG18" s="199">
        <v>45510</v>
      </c>
      <c r="AH18" s="199">
        <v>45875</v>
      </c>
      <c r="AI18" s="189">
        <v>6200237761</v>
      </c>
      <c r="AJ18" s="201">
        <v>505389300</v>
      </c>
      <c r="AK18" s="196" t="s">
        <v>190</v>
      </c>
      <c r="AL18" s="203"/>
      <c r="AM18" s="203"/>
      <c r="AN18" s="203"/>
      <c r="AO18" s="203"/>
      <c r="AP18" s="203"/>
      <c r="AQ18" s="203"/>
      <c r="BU18" s="37"/>
      <c r="BV18" s="45" t="s">
        <v>525</v>
      </c>
      <c r="BW18" s="49"/>
      <c r="BX18" s="26"/>
      <c r="BY18" s="38"/>
      <c r="BZ18" s="26"/>
    </row>
    <row r="19" spans="1:86" ht="20">
      <c r="A19" s="203"/>
      <c r="B19" s="90"/>
      <c r="J19" s="203"/>
      <c r="K19" s="203"/>
      <c r="L19" s="203"/>
      <c r="M19" s="203"/>
      <c r="N19" s="203"/>
      <c r="O19" s="203"/>
      <c r="P19" s="203"/>
      <c r="Q19" s="203"/>
      <c r="R19" s="203"/>
      <c r="S19" s="203"/>
      <c r="T19" s="203"/>
      <c r="U19" s="203"/>
      <c r="V19" s="203"/>
      <c r="W19" s="203"/>
      <c r="X19" s="203"/>
      <c r="Y19" s="203"/>
      <c r="Z19" s="203"/>
      <c r="AA19" s="203"/>
      <c r="AB19" s="203"/>
      <c r="AC19" s="189">
        <v>7200313813</v>
      </c>
      <c r="AD19" s="188">
        <v>3750000</v>
      </c>
      <c r="AE19" s="196" t="s">
        <v>91</v>
      </c>
      <c r="AF19" s="196" t="s">
        <v>194</v>
      </c>
      <c r="AG19" s="199">
        <v>45572</v>
      </c>
      <c r="AH19" s="199">
        <v>45937</v>
      </c>
      <c r="AI19" s="189">
        <v>6200293841</v>
      </c>
      <c r="AJ19" s="201">
        <v>564999026</v>
      </c>
      <c r="AK19" s="196" t="s">
        <v>193</v>
      </c>
      <c r="AL19" s="203"/>
      <c r="AM19" s="203"/>
      <c r="AN19" s="203"/>
      <c r="AO19" s="203"/>
      <c r="AP19" s="203"/>
      <c r="AQ19" s="203"/>
      <c r="BU19" s="37"/>
      <c r="BV19" s="31"/>
      <c r="BW19" s="49"/>
      <c r="BX19" s="31"/>
      <c r="BY19" s="38"/>
      <c r="BZ19" s="26"/>
    </row>
    <row r="20" spans="1:86" ht="20">
      <c r="A20" s="203"/>
      <c r="B20" s="90"/>
      <c r="J20" s="203"/>
      <c r="K20" s="203"/>
      <c r="L20" s="203"/>
      <c r="M20" s="203"/>
      <c r="N20" s="203"/>
      <c r="O20" s="203"/>
      <c r="P20" s="203"/>
      <c r="Q20" s="203"/>
      <c r="R20" s="203"/>
      <c r="S20" s="203"/>
      <c r="T20" s="203"/>
      <c r="U20" s="203"/>
      <c r="V20" s="203"/>
      <c r="W20" s="203"/>
      <c r="X20" s="203"/>
      <c r="Y20" s="203"/>
      <c r="Z20" s="203"/>
      <c r="AA20" s="203"/>
      <c r="AB20" s="203"/>
      <c r="AC20" s="189">
        <v>7200358402</v>
      </c>
      <c r="AD20" s="188">
        <v>3450000</v>
      </c>
      <c r="AE20" s="196" t="s">
        <v>91</v>
      </c>
      <c r="AF20" s="196" t="s">
        <v>192</v>
      </c>
      <c r="AG20" s="199">
        <v>45620</v>
      </c>
      <c r="AH20" s="199">
        <v>45985</v>
      </c>
      <c r="AI20" s="189">
        <v>6200317610</v>
      </c>
      <c r="AJ20" s="201">
        <v>561450999</v>
      </c>
      <c r="AK20" s="196" t="s">
        <v>195</v>
      </c>
      <c r="AL20" s="203"/>
      <c r="AM20" s="203"/>
      <c r="AN20" s="203"/>
      <c r="AO20" s="203"/>
      <c r="AP20" s="203"/>
      <c r="AQ20" s="203"/>
      <c r="BU20" s="37"/>
      <c r="BV20" s="31"/>
      <c r="BW20" s="49"/>
      <c r="BX20" s="26"/>
      <c r="BY20" s="38"/>
      <c r="BZ20" s="26"/>
    </row>
    <row r="21" spans="1:86" ht="20">
      <c r="A21" s="203"/>
      <c r="B21" s="90"/>
      <c r="J21" s="203"/>
      <c r="K21" s="203"/>
      <c r="L21" s="203"/>
      <c r="M21" s="203"/>
      <c r="N21" s="203"/>
      <c r="O21" s="203"/>
      <c r="P21" s="203"/>
      <c r="Q21" s="203"/>
      <c r="R21" s="203"/>
      <c r="S21" s="203"/>
      <c r="T21" s="203"/>
      <c r="U21" s="203"/>
      <c r="V21" s="203"/>
      <c r="W21" s="203"/>
      <c r="X21" s="203"/>
      <c r="Y21" s="203"/>
      <c r="Z21" s="203"/>
      <c r="AA21" s="203"/>
      <c r="AB21" s="189">
        <v>7200419619</v>
      </c>
      <c r="AC21" s="188">
        <v>36000</v>
      </c>
      <c r="AD21" s="196">
        <v>102</v>
      </c>
      <c r="AE21" s="196" t="s">
        <v>199</v>
      </c>
      <c r="AF21" s="199">
        <v>45681</v>
      </c>
      <c r="AG21" s="199">
        <v>46046</v>
      </c>
      <c r="AH21" s="189">
        <v>6200287623</v>
      </c>
      <c r="AI21" s="201">
        <v>509099899</v>
      </c>
      <c r="AJ21" s="196" t="s">
        <v>198</v>
      </c>
      <c r="AK21" s="203"/>
      <c r="AL21" s="203"/>
      <c r="AM21" s="203"/>
      <c r="AN21" s="203"/>
      <c r="AO21" s="203"/>
      <c r="AP21" s="203"/>
      <c r="AQ21" s="203"/>
      <c r="BU21" s="37"/>
      <c r="BV21" s="31"/>
      <c r="BW21" s="49"/>
      <c r="BX21" s="31"/>
      <c r="BY21" s="38"/>
      <c r="BZ21" s="26"/>
    </row>
    <row r="22" spans="1:86" ht="20">
      <c r="A22" s="203"/>
      <c r="B22" s="90"/>
      <c r="J22" s="203"/>
      <c r="K22" s="203"/>
      <c r="L22" s="203"/>
      <c r="M22" s="203"/>
      <c r="N22" s="203"/>
      <c r="O22" s="203"/>
      <c r="P22" s="203"/>
      <c r="Q22" s="203"/>
      <c r="R22" s="203"/>
      <c r="S22" s="203"/>
      <c r="T22" s="203"/>
      <c r="U22" s="203"/>
      <c r="V22" s="203"/>
      <c r="W22" s="203"/>
      <c r="X22" s="203"/>
      <c r="Y22" s="203"/>
      <c r="Z22" s="203"/>
      <c r="AA22" s="203"/>
      <c r="AB22" s="203"/>
      <c r="AC22" s="203"/>
      <c r="AD22" s="189">
        <v>7200423225</v>
      </c>
      <c r="AE22" s="188">
        <v>12000</v>
      </c>
      <c r="AF22" s="196">
        <v>103</v>
      </c>
      <c r="AG22" s="196" t="s">
        <v>200</v>
      </c>
      <c r="AH22" s="199">
        <v>45685</v>
      </c>
      <c r="AI22" s="199">
        <v>46050</v>
      </c>
      <c r="AJ22" s="189"/>
      <c r="AK22" s="201">
        <v>541666787</v>
      </c>
      <c r="AL22" s="196" t="s">
        <v>184</v>
      </c>
      <c r="AM22" s="203"/>
      <c r="AN22" s="203"/>
      <c r="AO22" s="203"/>
      <c r="AP22" s="203"/>
      <c r="AQ22" s="203"/>
      <c r="BU22" s="37"/>
      <c r="BV22" s="31"/>
      <c r="BW22" s="49"/>
      <c r="BX22" s="31"/>
      <c r="BY22" s="38"/>
      <c r="BZ22" s="26"/>
    </row>
    <row r="23" spans="1:86" ht="20">
      <c r="A23" s="203"/>
      <c r="B23" s="90"/>
      <c r="J23" s="203"/>
      <c r="K23" s="203"/>
      <c r="L23" s="203"/>
      <c r="M23" s="203"/>
      <c r="N23" s="203"/>
      <c r="O23" s="203"/>
      <c r="P23" s="203"/>
      <c r="Q23" s="203"/>
      <c r="R23" s="203"/>
      <c r="S23" s="203"/>
      <c r="T23" s="203"/>
      <c r="U23" s="203"/>
      <c r="V23" s="203"/>
      <c r="W23" s="203"/>
      <c r="X23" s="203"/>
      <c r="Y23" s="203"/>
      <c r="Z23" s="203"/>
      <c r="AA23" s="203"/>
      <c r="AB23" s="203"/>
      <c r="AC23" s="189">
        <v>7200409664</v>
      </c>
      <c r="AD23" s="188">
        <v>90000</v>
      </c>
      <c r="AE23" s="189">
        <v>101</v>
      </c>
      <c r="AF23" s="196" t="s">
        <v>187</v>
      </c>
      <c r="AG23" s="199">
        <v>45672</v>
      </c>
      <c r="AH23" s="199">
        <v>46037</v>
      </c>
      <c r="AI23" s="189">
        <v>6200387009</v>
      </c>
      <c r="AJ23" s="201">
        <v>500222269</v>
      </c>
      <c r="AK23" s="196" t="s">
        <v>196</v>
      </c>
      <c r="AL23" s="203"/>
      <c r="AM23" s="203"/>
      <c r="AN23" s="203"/>
      <c r="AO23" s="203"/>
      <c r="AP23" s="203"/>
      <c r="AQ23" s="203"/>
      <c r="BU23" s="37"/>
      <c r="BV23" s="31"/>
      <c r="BW23" s="49"/>
      <c r="BX23" s="31"/>
      <c r="BY23" s="38"/>
      <c r="BZ23" s="26"/>
    </row>
    <row r="24" spans="1:86" ht="20">
      <c r="A24" s="203"/>
      <c r="B24" s="90"/>
      <c r="J24" s="203"/>
      <c r="K24" s="203"/>
      <c r="L24" s="203"/>
      <c r="M24" s="203"/>
      <c r="N24" s="203"/>
      <c r="O24" s="203"/>
      <c r="P24" s="203"/>
      <c r="Q24" s="203"/>
      <c r="R24" s="203"/>
      <c r="S24" s="203"/>
      <c r="T24" s="203"/>
      <c r="U24" s="203"/>
      <c r="V24" s="203"/>
      <c r="W24" s="203"/>
      <c r="X24" s="203"/>
      <c r="Y24" s="203"/>
      <c r="Z24" s="203"/>
      <c r="AA24" s="203"/>
      <c r="AB24" s="203"/>
      <c r="AC24" s="184"/>
      <c r="AD24" s="185"/>
      <c r="AE24" s="184"/>
      <c r="AF24" s="186"/>
      <c r="AG24" s="240"/>
      <c r="AH24" s="240"/>
      <c r="AI24" s="184"/>
      <c r="AJ24" s="241"/>
      <c r="AK24" s="186"/>
      <c r="AL24" s="186"/>
      <c r="AM24" s="187"/>
      <c r="AN24" s="241"/>
      <c r="AO24" s="203"/>
      <c r="AP24" s="203"/>
      <c r="AQ24" s="203"/>
      <c r="BU24" s="37"/>
      <c r="BV24" s="31"/>
      <c r="BW24" s="49"/>
      <c r="BX24" s="26"/>
      <c r="BY24" s="38"/>
      <c r="BZ24" s="26"/>
    </row>
    <row r="25" spans="1:86" ht="20">
      <c r="A25" s="203"/>
      <c r="B25" s="90"/>
      <c r="J25" s="203"/>
      <c r="K25" s="186"/>
      <c r="L25" s="203"/>
      <c r="M25" s="203"/>
      <c r="N25" s="203"/>
      <c r="O25" s="203"/>
      <c r="P25" s="203"/>
      <c r="Q25" s="203"/>
      <c r="R25" s="203"/>
      <c r="S25" s="203"/>
      <c r="T25" s="203"/>
      <c r="U25" s="203"/>
      <c r="V25" s="203"/>
      <c r="W25" s="203"/>
      <c r="X25" s="203"/>
      <c r="Y25" s="203"/>
      <c r="Z25" s="203"/>
      <c r="AA25" s="203"/>
      <c r="AB25" s="203"/>
      <c r="AC25" s="184"/>
      <c r="AD25" s="185"/>
      <c r="AE25" s="184"/>
      <c r="AF25" s="186"/>
      <c r="AG25" s="240"/>
      <c r="AH25" s="240"/>
      <c r="AI25" s="184"/>
      <c r="AJ25" s="241"/>
      <c r="AK25" s="186"/>
      <c r="AL25" s="186"/>
      <c r="AM25" s="187"/>
      <c r="AN25" s="186"/>
      <c r="AO25" s="203"/>
      <c r="AP25" s="203"/>
      <c r="AQ25" s="203"/>
      <c r="BU25" s="37"/>
      <c r="BV25" s="31"/>
      <c r="BW25" s="49"/>
      <c r="BX25" s="31"/>
      <c r="BY25" s="38"/>
      <c r="BZ25" s="26"/>
    </row>
    <row r="26" spans="1:86" ht="20">
      <c r="A26" s="203"/>
      <c r="B26" s="90"/>
      <c r="J26" s="203"/>
      <c r="K26" s="186"/>
      <c r="L26" s="203"/>
      <c r="M26" s="203"/>
      <c r="N26" s="203"/>
      <c r="O26" s="203"/>
      <c r="P26" s="203"/>
      <c r="Q26" s="203"/>
      <c r="R26" s="203"/>
      <c r="S26" s="203"/>
      <c r="T26" s="203"/>
      <c r="U26" s="203"/>
      <c r="V26" s="203"/>
      <c r="W26" s="203"/>
      <c r="X26" s="203"/>
      <c r="Y26" s="203"/>
      <c r="Z26" s="203"/>
      <c r="AA26" s="203"/>
      <c r="AB26" s="203"/>
      <c r="AC26" s="184"/>
      <c r="AD26" s="185"/>
      <c r="AE26" s="184"/>
      <c r="AF26" s="186"/>
      <c r="AG26" s="240"/>
      <c r="AH26" s="240"/>
      <c r="AI26" s="184"/>
      <c r="AJ26" s="241"/>
      <c r="AK26" s="186"/>
      <c r="AL26" s="186"/>
      <c r="AM26" s="187"/>
      <c r="AN26" s="186"/>
      <c r="AO26" s="203"/>
      <c r="AP26" s="203"/>
      <c r="AQ26" s="203"/>
      <c r="AZ26" s="1" t="s">
        <v>493</v>
      </c>
      <c r="BU26" s="37"/>
      <c r="BV26" s="31"/>
      <c r="BW26" s="49"/>
      <c r="BX26" s="31"/>
      <c r="BY26" s="38"/>
      <c r="BZ26" s="26"/>
    </row>
    <row r="27" spans="1:86" ht="23">
      <c r="A27" s="203"/>
      <c r="B27" s="90"/>
      <c r="J27" s="203"/>
      <c r="K27" s="186"/>
      <c r="L27" s="203"/>
      <c r="M27" s="203"/>
      <c r="N27" s="203"/>
      <c r="O27" s="203"/>
      <c r="P27" s="203"/>
      <c r="Q27" s="203"/>
      <c r="R27" s="203"/>
      <c r="S27" s="203"/>
      <c r="T27" s="203"/>
      <c r="U27" s="203"/>
      <c r="V27" s="203"/>
      <c r="W27" s="203"/>
      <c r="X27" s="203"/>
      <c r="Y27" s="203"/>
      <c r="Z27" s="203"/>
      <c r="AA27" s="203"/>
      <c r="AB27" s="203"/>
      <c r="AC27" s="195"/>
      <c r="AF27" s="189"/>
      <c r="AG27" s="196"/>
      <c r="AI27" s="200"/>
      <c r="AK27" s="197"/>
      <c r="AM27" s="187"/>
      <c r="AN27" s="241"/>
      <c r="AO27" s="203"/>
      <c r="AP27" s="203"/>
      <c r="AQ27" s="203"/>
      <c r="BU27" s="37"/>
      <c r="BV27" s="43" t="s">
        <v>84</v>
      </c>
      <c r="BW27" s="50" t="e">
        <f>IF(#REF!=102,BW19+BW23-BW25-#REF!,BW19)</f>
        <v>#REF!</v>
      </c>
      <c r="BX27" s="42" t="s">
        <v>453</v>
      </c>
      <c r="BY27" s="38"/>
      <c r="BZ27" s="26"/>
    </row>
    <row r="28" spans="1:86" ht="60">
      <c r="A28" s="203"/>
      <c r="B28" s="90"/>
      <c r="J28" s="203"/>
      <c r="K28" s="186"/>
      <c r="L28" s="203"/>
      <c r="M28" s="203"/>
      <c r="N28" s="203"/>
      <c r="O28" s="203"/>
      <c r="P28" s="203"/>
      <c r="Q28" s="203"/>
      <c r="R28" s="203"/>
      <c r="S28" s="203"/>
      <c r="T28" s="203"/>
      <c r="U28" s="203"/>
      <c r="V28" s="203"/>
      <c r="W28" s="203"/>
      <c r="X28" s="203"/>
      <c r="Y28" s="203"/>
      <c r="Z28" s="203"/>
      <c r="AA28" s="203"/>
      <c r="AB28" s="203"/>
      <c r="AM28" s="191"/>
      <c r="AN28" s="242"/>
      <c r="AO28" s="203"/>
      <c r="AP28" s="203"/>
      <c r="AQ28" s="203"/>
      <c r="BU28" s="39"/>
      <c r="BV28" s="40"/>
      <c r="BW28" s="40"/>
      <c r="BX28" s="40"/>
      <c r="BY28" s="41"/>
      <c r="BZ28" s="26"/>
      <c r="CB28" s="3" t="s">
        <v>314</v>
      </c>
      <c r="CC28" s="193" t="s">
        <v>437</v>
      </c>
      <c r="CD28" s="3" t="s">
        <v>134</v>
      </c>
      <c r="CE28" s="193" t="s">
        <v>414</v>
      </c>
      <c r="CF28" s="3" t="s">
        <v>462</v>
      </c>
      <c r="CG28" s="194" t="s">
        <v>405</v>
      </c>
      <c r="CH28" s="3" t="s">
        <v>463</v>
      </c>
    </row>
    <row r="29" spans="1:86" ht="20">
      <c r="A29" s="203"/>
      <c r="B29" s="245"/>
      <c r="C29" s="203"/>
      <c r="D29" s="203"/>
      <c r="E29" s="203"/>
      <c r="F29" s="203"/>
      <c r="G29" s="203"/>
      <c r="H29" s="203"/>
      <c r="I29" s="203"/>
      <c r="J29" s="203"/>
      <c r="K29" s="190"/>
      <c r="L29" s="203"/>
      <c r="M29" s="203"/>
      <c r="N29" s="203"/>
      <c r="O29" s="203"/>
      <c r="P29" s="203"/>
      <c r="Q29" s="203"/>
      <c r="R29" s="203"/>
      <c r="S29" s="203"/>
      <c r="T29" s="203"/>
      <c r="U29" s="203"/>
      <c r="V29" s="203"/>
      <c r="W29" s="203"/>
      <c r="X29" s="203"/>
      <c r="Y29" s="203"/>
      <c r="Z29" s="203"/>
      <c r="AA29" s="203"/>
      <c r="AB29" s="203"/>
      <c r="AD29" s="188"/>
      <c r="AE29" s="189"/>
      <c r="AF29" s="196"/>
      <c r="AM29" s="198"/>
      <c r="AN29" s="196"/>
      <c r="AO29" s="196"/>
      <c r="AP29" s="199"/>
      <c r="AQ29" s="188"/>
      <c r="BU29" s="31"/>
      <c r="BV29" s="31"/>
      <c r="BW29" s="31"/>
      <c r="BX29" s="31"/>
      <c r="BY29" s="31"/>
      <c r="BZ29" s="31"/>
    </row>
    <row r="30" spans="1:86">
      <c r="A30" s="203"/>
      <c r="B30" s="183"/>
      <c r="C30" s="203"/>
      <c r="D30" s="203"/>
      <c r="E30" s="203"/>
      <c r="F30" s="203"/>
      <c r="G30" s="203"/>
      <c r="H30" s="203"/>
      <c r="I30" s="203"/>
      <c r="J30" s="203"/>
      <c r="K30" s="203"/>
      <c r="L30" s="203"/>
      <c r="M30" s="203"/>
      <c r="N30" s="203"/>
      <c r="O30" s="203"/>
      <c r="P30" s="203"/>
      <c r="Q30" s="203"/>
      <c r="R30" s="203"/>
      <c r="S30" s="203"/>
      <c r="T30" s="203"/>
      <c r="U30" s="203"/>
      <c r="V30" s="203"/>
      <c r="W30" s="203"/>
      <c r="X30" s="203"/>
      <c r="Y30" s="203"/>
      <c r="Z30" s="203"/>
      <c r="AA30" s="203"/>
      <c r="AB30" s="203"/>
      <c r="AL30" s="203"/>
      <c r="AM30" s="203"/>
      <c r="AN30" s="203"/>
      <c r="AO30" s="203"/>
      <c r="AP30" s="203"/>
      <c r="AQ30" s="203"/>
    </row>
    <row r="31" spans="1:86">
      <c r="A31" s="203"/>
      <c r="B31" s="183"/>
      <c r="C31" s="203"/>
      <c r="D31" s="203"/>
      <c r="E31" s="203"/>
      <c r="F31" s="203"/>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c r="AG31" s="203"/>
      <c r="AH31" s="203"/>
      <c r="AI31" s="203"/>
      <c r="AJ31" s="203"/>
      <c r="AK31" s="203"/>
      <c r="AL31" s="203"/>
      <c r="AM31" s="203"/>
      <c r="AN31" s="203"/>
      <c r="AO31" s="203"/>
      <c r="AP31" s="203"/>
      <c r="AQ31" s="203"/>
      <c r="CA31" s="805" t="s">
        <v>464</v>
      </c>
      <c r="CB31" s="806"/>
      <c r="CC31" s="806"/>
      <c r="CD31" s="806"/>
      <c r="CE31" s="806"/>
      <c r="CF31" s="806"/>
      <c r="CG31" s="806"/>
      <c r="CH31" s="807"/>
    </row>
    <row r="32" spans="1:86">
      <c r="A32" s="789" t="s">
        <v>226</v>
      </c>
      <c r="B32" s="789"/>
      <c r="C32" s="789"/>
      <c r="D32" s="789"/>
      <c r="E32" s="789"/>
      <c r="F32" s="789"/>
      <c r="G32" s="789"/>
      <c r="H32" s="789"/>
      <c r="I32" s="789"/>
      <c r="J32" s="789"/>
      <c r="K32" s="789"/>
      <c r="L32" s="789"/>
      <c r="M32" s="789"/>
      <c r="N32" s="789"/>
      <c r="O32" s="789"/>
      <c r="P32" s="789"/>
      <c r="Q32" s="789"/>
      <c r="R32" s="789"/>
      <c r="S32" s="789"/>
      <c r="T32" s="789"/>
      <c r="U32" s="789"/>
      <c r="V32" s="789"/>
      <c r="W32" s="789"/>
      <c r="X32" s="789"/>
      <c r="Y32" s="789"/>
      <c r="Z32" s="789"/>
      <c r="AA32" s="789"/>
      <c r="AB32" s="789"/>
      <c r="AC32" s="789"/>
      <c r="AD32" s="789"/>
      <c r="AE32" s="789"/>
      <c r="AF32" s="789"/>
      <c r="AG32" s="789"/>
      <c r="AH32" s="789"/>
      <c r="AI32" s="789"/>
      <c r="AJ32" s="789"/>
      <c r="AK32" s="789"/>
      <c r="AL32" s="789"/>
      <c r="AM32" s="789"/>
      <c r="AN32" s="789"/>
      <c r="AO32" s="789"/>
      <c r="AP32" s="789"/>
      <c r="AQ32" s="789"/>
      <c r="CA32" s="808"/>
      <c r="CB32" s="809"/>
      <c r="CC32" s="809"/>
      <c r="CD32" s="809"/>
      <c r="CE32" s="809"/>
      <c r="CF32" s="809"/>
      <c r="CG32" s="809"/>
      <c r="CH32" s="810"/>
    </row>
    <row r="33" spans="1:86" ht="20">
      <c r="A33" s="26"/>
      <c r="B33" s="90"/>
      <c r="C33" s="26"/>
      <c r="D33" s="26"/>
      <c r="E33" s="26"/>
      <c r="F33" s="26"/>
      <c r="G33" s="26"/>
      <c r="H33" s="26"/>
      <c r="I33" s="26"/>
      <c r="J33" s="26"/>
      <c r="K33" s="26"/>
      <c r="L33" s="26"/>
      <c r="M33" s="26"/>
      <c r="N33" s="26"/>
      <c r="O33" s="26"/>
      <c r="P33" s="26"/>
      <c r="Q33" s="26"/>
      <c r="R33" s="26"/>
      <c r="S33" s="26"/>
      <c r="T33" s="26"/>
      <c r="U33" s="26"/>
      <c r="V33" s="26"/>
      <c r="W33" s="26"/>
      <c r="Y33" s="26"/>
      <c r="Z33" s="26"/>
      <c r="AA33" s="26"/>
      <c r="AB33" s="26"/>
      <c r="AC33" s="26"/>
      <c r="AD33" s="26"/>
      <c r="AE33" s="26"/>
      <c r="AF33" s="26"/>
      <c r="AG33" s="26"/>
      <c r="AH33" s="26"/>
      <c r="AI33" s="26"/>
      <c r="AJ33" s="26"/>
      <c r="AK33" s="26"/>
      <c r="AL33" s="26"/>
      <c r="AM33" s="26"/>
      <c r="AN33" s="26"/>
      <c r="AO33" s="26"/>
      <c r="AP33" s="26"/>
      <c r="CA33" s="90"/>
      <c r="CB33" s="90"/>
      <c r="CC33" s="90"/>
      <c r="CE33" s="90"/>
      <c r="CF33" s="90"/>
      <c r="CG33" s="90"/>
      <c r="CH33" s="90"/>
    </row>
    <row r="34" spans="1:86" ht="80">
      <c r="A34" s="790" t="s">
        <v>204</v>
      </c>
      <c r="B34" s="791"/>
      <c r="C34" s="791"/>
      <c r="D34" s="791"/>
      <c r="E34" s="791"/>
      <c r="F34" s="792"/>
      <c r="G34" s="26"/>
      <c r="H34" s="26"/>
      <c r="I34" s="26"/>
      <c r="J34" s="26"/>
      <c r="K34" s="26"/>
      <c r="L34" s="744" t="e">
        <v>#VALUE!</v>
      </c>
      <c r="M34" s="744"/>
      <c r="N34" s="744"/>
      <c r="O34" s="744"/>
      <c r="P34" s="744"/>
      <c r="Q34" s="744"/>
      <c r="R34" s="744"/>
      <c r="S34" s="744"/>
      <c r="T34" s="744"/>
      <c r="U34" s="744"/>
      <c r="V34" s="26"/>
      <c r="W34" s="26"/>
      <c r="X34" s="744" t="e">
        <v>#VALUE!</v>
      </c>
      <c r="Y34" s="26"/>
      <c r="Z34" s="790" t="s">
        <v>205</v>
      </c>
      <c r="AA34" s="791"/>
      <c r="AB34" s="804"/>
      <c r="AC34" s="793" t="s">
        <v>206</v>
      </c>
      <c r="AD34" s="794"/>
      <c r="AE34" s="794"/>
      <c r="AF34" s="794"/>
      <c r="AG34" s="794"/>
      <c r="AH34" s="794"/>
      <c r="AI34" s="794"/>
      <c r="AJ34" s="794"/>
      <c r="AK34" s="794"/>
      <c r="AL34" s="794"/>
      <c r="AM34" s="794"/>
      <c r="AN34" s="794"/>
      <c r="AO34" s="794"/>
      <c r="AP34" s="794"/>
      <c r="AQ34" s="795"/>
      <c r="CA34" s="811" t="s">
        <v>204</v>
      </c>
      <c r="CB34" s="812"/>
      <c r="CC34" s="812"/>
      <c r="CD34" s="815" t="e">
        <v>#VALUE!</v>
      </c>
      <c r="CE34" s="815" t="e">
        <v>#VALUE!</v>
      </c>
      <c r="CF34" s="815"/>
      <c r="CG34" s="243" t="s">
        <v>205</v>
      </c>
      <c r="CH34" s="244" t="s">
        <v>206</v>
      </c>
    </row>
    <row r="35" spans="1:86" ht="20">
      <c r="A35" s="26"/>
      <c r="B35" s="90"/>
      <c r="C35" s="26"/>
      <c r="D35" s="26"/>
      <c r="E35" s="26"/>
      <c r="F35" s="26"/>
      <c r="G35" s="26"/>
      <c r="H35" s="26"/>
      <c r="I35" s="26"/>
      <c r="J35" s="26"/>
      <c r="K35" s="26"/>
      <c r="L35" s="744"/>
      <c r="M35" s="744"/>
      <c r="N35" s="744"/>
      <c r="O35" s="744"/>
      <c r="P35" s="744"/>
      <c r="Q35" s="744"/>
      <c r="R35" s="744"/>
      <c r="S35" s="744"/>
      <c r="T35" s="744"/>
      <c r="U35" s="744"/>
      <c r="V35" s="26"/>
      <c r="W35" s="26"/>
      <c r="X35" s="744"/>
      <c r="Y35" s="26"/>
      <c r="Z35" s="26"/>
      <c r="AA35" s="26"/>
      <c r="AB35" s="26"/>
      <c r="AC35" s="26"/>
      <c r="AD35" s="26"/>
      <c r="AE35" s="26"/>
      <c r="AF35" s="26"/>
      <c r="AG35" s="26"/>
      <c r="AH35" s="26"/>
      <c r="AI35" s="26"/>
      <c r="AJ35" s="26"/>
      <c r="AK35" s="26"/>
      <c r="AL35" s="26"/>
      <c r="AM35" s="26"/>
      <c r="AN35" s="26"/>
      <c r="AO35" s="26"/>
      <c r="AP35" s="26"/>
      <c r="AQ35" s="26"/>
      <c r="CA35" s="90"/>
      <c r="CB35" s="90"/>
      <c r="CC35" s="90"/>
      <c r="CD35" s="815"/>
      <c r="CE35" s="815"/>
      <c r="CF35" s="815"/>
      <c r="CG35" s="90"/>
      <c r="CH35" s="90"/>
    </row>
    <row r="36" spans="1:86" ht="77.5">
      <c r="A36" s="796" t="s">
        <v>207</v>
      </c>
      <c r="B36" s="797"/>
      <c r="C36" s="797"/>
      <c r="D36" s="797"/>
      <c r="E36" s="797"/>
      <c r="F36" s="798"/>
      <c r="G36" s="26"/>
      <c r="H36" s="26"/>
      <c r="I36" s="26"/>
      <c r="J36" s="26"/>
      <c r="K36" s="26"/>
      <c r="L36" s="744"/>
      <c r="M36" s="744"/>
      <c r="N36" s="744"/>
      <c r="O36" s="744"/>
      <c r="P36" s="744"/>
      <c r="Q36" s="744"/>
      <c r="R36" s="744"/>
      <c r="S36" s="744"/>
      <c r="T36" s="744"/>
      <c r="U36" s="744"/>
      <c r="V36" s="26"/>
      <c r="W36" s="26"/>
      <c r="X36" s="744"/>
      <c r="Y36" s="26"/>
      <c r="Z36" s="799" t="s">
        <v>208</v>
      </c>
      <c r="AA36" s="800"/>
      <c r="AB36" s="800"/>
      <c r="AC36" s="801"/>
      <c r="AD36" s="802"/>
      <c r="AE36" s="802"/>
      <c r="AF36" s="802"/>
      <c r="AG36" s="802"/>
      <c r="AH36" s="802"/>
      <c r="AI36" s="802"/>
      <c r="AJ36" s="802"/>
      <c r="AK36" s="802"/>
      <c r="AL36" s="802"/>
      <c r="AM36" s="802"/>
      <c r="AN36" s="802"/>
      <c r="AO36" s="802"/>
      <c r="AP36" s="802"/>
      <c r="AQ36" s="803"/>
      <c r="CA36" s="813" t="s">
        <v>207</v>
      </c>
      <c r="CB36" s="814"/>
      <c r="CC36" s="814"/>
      <c r="CD36" s="815"/>
      <c r="CE36" s="815"/>
      <c r="CF36" s="815"/>
      <c r="CG36" s="816" t="s">
        <v>208</v>
      </c>
      <c r="CH36" s="817"/>
    </row>
    <row r="37" spans="1:86" ht="20">
      <c r="A37" s="26"/>
      <c r="B37" s="90"/>
      <c r="C37" s="26"/>
      <c r="D37" s="26"/>
      <c r="E37" s="26"/>
      <c r="F37" s="26"/>
      <c r="G37" s="26"/>
      <c r="H37" s="26"/>
      <c r="I37" s="26"/>
      <c r="J37" s="26"/>
      <c r="K37" s="26"/>
      <c r="L37" s="26"/>
      <c r="M37" s="26"/>
      <c r="N37" s="26"/>
      <c r="O37" s="26"/>
      <c r="P37" s="26"/>
      <c r="Q37" s="26"/>
      <c r="R37" s="26"/>
      <c r="S37" s="26"/>
      <c r="T37" s="26"/>
      <c r="U37" s="26"/>
      <c r="V37" s="26"/>
      <c r="W37" s="26"/>
      <c r="X37" s="26"/>
      <c r="Z37" s="26"/>
      <c r="AA37" s="26"/>
      <c r="AB37" s="26"/>
      <c r="AC37" s="26"/>
      <c r="AD37" s="26"/>
      <c r="AE37" s="26"/>
      <c r="AF37" s="26"/>
      <c r="AG37" s="26"/>
      <c r="AH37" s="26"/>
      <c r="AI37" s="26"/>
      <c r="AJ37" s="26"/>
      <c r="AK37" s="26"/>
      <c r="AL37" s="26"/>
      <c r="AM37" s="26"/>
      <c r="AN37" s="26"/>
      <c r="AO37" s="26"/>
      <c r="AP37" s="26"/>
      <c r="AY37" s="208" t="s">
        <v>405</v>
      </c>
      <c r="CD37" s="1"/>
      <c r="CE37" s="1"/>
      <c r="CF37" s="1"/>
      <c r="CG37" s="1"/>
      <c r="CH37" s="1"/>
    </row>
    <row r="38" spans="1:86" ht="46.5">
      <c r="A38" s="89" t="s">
        <v>230</v>
      </c>
      <c r="B38" s="89" t="s">
        <v>227</v>
      </c>
      <c r="C38" s="209" t="s">
        <v>413</v>
      </c>
      <c r="D38" s="205" t="s">
        <v>231</v>
      </c>
      <c r="E38" s="205" t="s">
        <v>214</v>
      </c>
      <c r="F38" s="205" t="s">
        <v>210</v>
      </c>
      <c r="G38" s="205" t="s">
        <v>244</v>
      </c>
      <c r="H38" s="205" t="s">
        <v>238</v>
      </c>
      <c r="I38" s="205" t="s">
        <v>239</v>
      </c>
      <c r="J38" s="231" t="s">
        <v>212</v>
      </c>
      <c r="K38" s="231" t="s">
        <v>257</v>
      </c>
      <c r="L38" s="205" t="s">
        <v>211</v>
      </c>
      <c r="M38" s="205" t="s">
        <v>233</v>
      </c>
      <c r="N38" s="205" t="s">
        <v>258</v>
      </c>
      <c r="O38" s="205" t="s">
        <v>232</v>
      </c>
      <c r="P38" s="205" t="s">
        <v>237</v>
      </c>
      <c r="Q38" s="205" t="s">
        <v>235</v>
      </c>
      <c r="R38" s="205" t="s">
        <v>234</v>
      </c>
      <c r="S38" s="205" t="s">
        <v>236</v>
      </c>
      <c r="T38" s="205" t="s">
        <v>240</v>
      </c>
      <c r="U38" s="205" t="s">
        <v>241</v>
      </c>
      <c r="V38" s="205" t="s">
        <v>242</v>
      </c>
      <c r="W38" s="205" t="s">
        <v>243</v>
      </c>
      <c r="X38" s="205" t="s">
        <v>213</v>
      </c>
      <c r="Y38" s="204" t="s">
        <v>209</v>
      </c>
      <c r="Z38" s="259" t="s">
        <v>215</v>
      </c>
      <c r="AA38" s="206" t="s">
        <v>228</v>
      </c>
      <c r="AB38" s="206" t="s">
        <v>229</v>
      </c>
      <c r="AC38" s="205" t="s">
        <v>216</v>
      </c>
      <c r="AD38" s="232" t="s">
        <v>178</v>
      </c>
      <c r="AE38" s="232" t="s">
        <v>12</v>
      </c>
      <c r="AF38" s="232" t="s">
        <v>397</v>
      </c>
      <c r="AG38" s="232" t="s">
        <v>398</v>
      </c>
      <c r="AH38" s="205" t="s">
        <v>304</v>
      </c>
      <c r="AI38" s="205" t="s">
        <v>400</v>
      </c>
      <c r="AJ38" s="205" t="s">
        <v>399</v>
      </c>
      <c r="AK38" s="205" t="s">
        <v>10</v>
      </c>
      <c r="AL38" s="205" t="s">
        <v>401</v>
      </c>
      <c r="AM38" s="233" t="s">
        <v>402</v>
      </c>
      <c r="AN38" s="233" t="s">
        <v>403</v>
      </c>
      <c r="AO38" s="233" t="s">
        <v>404</v>
      </c>
      <c r="AP38" s="232" t="s">
        <v>245</v>
      </c>
      <c r="AQ38" s="207" t="s">
        <v>217</v>
      </c>
      <c r="AR38" s="251" t="s">
        <v>492</v>
      </c>
      <c r="CA38" s="93" t="s">
        <v>179</v>
      </c>
      <c r="CB38" s="93" t="s">
        <v>247</v>
      </c>
      <c r="CC38" s="92" t="s">
        <v>88</v>
      </c>
      <c r="CD38" s="92" t="s">
        <v>459</v>
      </c>
      <c r="CE38" s="92" t="s">
        <v>429</v>
      </c>
      <c r="CF38" s="92" t="s">
        <v>84</v>
      </c>
      <c r="CG38" s="92" t="s">
        <v>460</v>
      </c>
      <c r="CH38" s="182" t="s">
        <v>461</v>
      </c>
    </row>
    <row r="39" spans="1:86" ht="170.5">
      <c r="A39" s="472"/>
      <c r="B39" s="473"/>
      <c r="C39" s="474"/>
      <c r="D39" s="474"/>
      <c r="E39" s="474"/>
      <c r="F39" s="475"/>
      <c r="G39" s="475"/>
      <c r="H39" s="475"/>
      <c r="I39" s="475"/>
      <c r="J39" s="475"/>
      <c r="K39" s="475"/>
      <c r="L39" s="474"/>
      <c r="M39" s="474"/>
      <c r="N39" s="474"/>
      <c r="O39" s="474"/>
      <c r="P39" s="474"/>
      <c r="Q39" s="474"/>
      <c r="R39" s="474"/>
      <c r="S39" s="474"/>
      <c r="T39" s="474"/>
      <c r="U39" s="474"/>
      <c r="V39" s="474"/>
      <c r="W39" s="474"/>
      <c r="X39" s="475"/>
      <c r="Y39" s="474"/>
      <c r="Z39" s="476"/>
      <c r="AA39" s="218"/>
      <c r="AB39" s="477"/>
      <c r="AC39" s="478"/>
      <c r="AD39" s="479"/>
      <c r="AE39" s="479"/>
      <c r="AF39" s="479"/>
      <c r="AG39" s="479"/>
      <c r="AH39" s="479"/>
      <c r="AI39" s="479"/>
      <c r="AJ39" s="479"/>
      <c r="AK39" s="479"/>
      <c r="AL39" s="479"/>
      <c r="AM39" s="479"/>
      <c r="AN39" s="479"/>
      <c r="AO39" s="479"/>
      <c r="AP39" s="475"/>
      <c r="AQ39" s="480"/>
      <c r="AR39" s="249"/>
      <c r="BA39" s="409">
        <v>574</v>
      </c>
      <c r="BB39" s="409" t="s">
        <v>224</v>
      </c>
      <c r="BC39" s="409" t="s">
        <v>224</v>
      </c>
      <c r="BD39" s="409" t="s">
        <v>224</v>
      </c>
      <c r="BE39" s="409" t="s">
        <v>409</v>
      </c>
      <c r="BF39" s="411" t="s">
        <v>224</v>
      </c>
      <c r="BG39" s="409" t="s">
        <v>224</v>
      </c>
      <c r="BH39" s="411" t="s">
        <v>224</v>
      </c>
      <c r="BI39" s="409" t="s">
        <v>602</v>
      </c>
      <c r="BJ39" s="409" t="s">
        <v>602</v>
      </c>
      <c r="BK39" s="409" t="s">
        <v>224</v>
      </c>
      <c r="BL39" s="411" t="s">
        <v>224</v>
      </c>
      <c r="BM39" s="409" t="s">
        <v>224</v>
      </c>
      <c r="BO39" s="410" t="s">
        <v>780</v>
      </c>
      <c r="BP39" s="409">
        <v>7</v>
      </c>
      <c r="CA39" s="225">
        <v>503</v>
      </c>
      <c r="CB39" s="226" t="s">
        <v>253</v>
      </c>
      <c r="CC39" s="226" t="s">
        <v>444</v>
      </c>
      <c r="CD39" s="227" t="s">
        <v>445</v>
      </c>
      <c r="CE39" s="228">
        <v>820</v>
      </c>
      <c r="CF39" s="229">
        <v>1351037</v>
      </c>
      <c r="CG39" s="230" t="s">
        <v>446</v>
      </c>
      <c r="CH39" s="230" t="s">
        <v>286</v>
      </c>
    </row>
    <row r="40" spans="1:86" ht="170.5">
      <c r="A40" s="481"/>
      <c r="B40" s="246"/>
      <c r="C40" s="216"/>
      <c r="D40" s="216"/>
      <c r="E40" s="216"/>
      <c r="F40" s="482"/>
      <c r="G40" s="217"/>
      <c r="H40" s="217"/>
      <c r="I40" s="217"/>
      <c r="J40" s="217"/>
      <c r="K40" s="217"/>
      <c r="L40" s="216"/>
      <c r="M40" s="216"/>
      <c r="N40" s="216"/>
      <c r="O40" s="216"/>
      <c r="P40" s="216"/>
      <c r="Q40" s="216"/>
      <c r="R40" s="216"/>
      <c r="S40" s="216"/>
      <c r="T40" s="216"/>
      <c r="U40" s="216"/>
      <c r="V40" s="216"/>
      <c r="W40" s="216"/>
      <c r="X40" s="482"/>
      <c r="Y40" s="216"/>
      <c r="Z40" s="234"/>
      <c r="AA40" s="218"/>
      <c r="AB40" s="218"/>
      <c r="AC40" s="483"/>
      <c r="AD40" s="220"/>
      <c r="AE40" s="220"/>
      <c r="AF40" s="220"/>
      <c r="AG40" s="484"/>
      <c r="AH40" s="220"/>
      <c r="AI40" s="220"/>
      <c r="AJ40" s="220"/>
      <c r="AK40" s="220"/>
      <c r="AL40" s="220"/>
      <c r="AM40" s="220"/>
      <c r="AN40" s="220"/>
      <c r="AO40" s="220"/>
      <c r="AP40" s="217"/>
      <c r="AQ40" s="221"/>
      <c r="AR40" s="248"/>
      <c r="BA40" s="409" t="s">
        <v>224</v>
      </c>
      <c r="BB40" s="409" t="s">
        <v>531</v>
      </c>
      <c r="BC40" s="409" t="s">
        <v>224</v>
      </c>
      <c r="BD40" s="409" t="s">
        <v>224</v>
      </c>
      <c r="BE40" s="409" t="s">
        <v>224</v>
      </c>
      <c r="BF40" s="411" t="s">
        <v>224</v>
      </c>
      <c r="BG40" s="409" t="s">
        <v>224</v>
      </c>
      <c r="BH40" s="411" t="s">
        <v>224</v>
      </c>
      <c r="BI40" s="409" t="s">
        <v>602</v>
      </c>
      <c r="BJ40" s="409" t="s">
        <v>602</v>
      </c>
      <c r="BK40" s="409" t="s">
        <v>224</v>
      </c>
      <c r="BL40" s="411" t="s">
        <v>224</v>
      </c>
      <c r="BM40" s="409" t="s">
        <v>224</v>
      </c>
      <c r="BO40" s="410" t="s">
        <v>781</v>
      </c>
      <c r="BP40" s="409">
        <v>7</v>
      </c>
      <c r="CA40" s="3">
        <v>504</v>
      </c>
      <c r="CB40" s="3" t="s">
        <v>253</v>
      </c>
      <c r="CC40" s="3" t="s">
        <v>444</v>
      </c>
      <c r="CD40" s="3" t="s">
        <v>447</v>
      </c>
      <c r="CE40" s="3">
        <v>450</v>
      </c>
      <c r="CF40" s="3">
        <v>800000</v>
      </c>
      <c r="CG40" s="3" t="s">
        <v>448</v>
      </c>
      <c r="CH40" s="3" t="s">
        <v>287</v>
      </c>
    </row>
    <row r="41" spans="1:86" ht="170.5">
      <c r="A41" s="481"/>
      <c r="B41" s="246"/>
      <c r="C41" s="216"/>
      <c r="D41" s="216"/>
      <c r="E41" s="216"/>
      <c r="F41" s="482"/>
      <c r="G41" s="217"/>
      <c r="H41" s="217"/>
      <c r="I41" s="217"/>
      <c r="J41" s="217"/>
      <c r="K41" s="217"/>
      <c r="L41" s="216"/>
      <c r="M41" s="216"/>
      <c r="N41" s="216"/>
      <c r="O41" s="216"/>
      <c r="P41" s="216"/>
      <c r="Q41" s="216"/>
      <c r="R41" s="216"/>
      <c r="S41" s="216"/>
      <c r="T41" s="216"/>
      <c r="U41" s="216"/>
      <c r="V41" s="216"/>
      <c r="W41" s="216"/>
      <c r="X41" s="217"/>
      <c r="Y41" s="216"/>
      <c r="Z41" s="234"/>
      <c r="AA41" s="218"/>
      <c r="AB41" s="218"/>
      <c r="AC41" s="483"/>
      <c r="AD41" s="79"/>
      <c r="AE41" s="485"/>
      <c r="AF41" s="486"/>
      <c r="AG41" s="486"/>
      <c r="AH41" s="220"/>
      <c r="AI41" s="220"/>
      <c r="AJ41" s="220"/>
      <c r="AK41" s="220"/>
      <c r="AL41" s="220"/>
      <c r="AM41" s="220"/>
      <c r="AN41" s="220"/>
      <c r="AO41" s="220"/>
      <c r="AP41" s="217"/>
      <c r="AQ41" s="221"/>
      <c r="AR41" s="248"/>
      <c r="BA41" s="409" t="s">
        <v>224</v>
      </c>
      <c r="BB41" s="409" t="s">
        <v>531</v>
      </c>
      <c r="BC41" s="409" t="s">
        <v>224</v>
      </c>
      <c r="BD41" s="409" t="s">
        <v>224</v>
      </c>
      <c r="BE41" s="409" t="s">
        <v>224</v>
      </c>
      <c r="BF41" s="411" t="s">
        <v>224</v>
      </c>
      <c r="BG41" s="409" t="s">
        <v>224</v>
      </c>
      <c r="BH41" s="411" t="s">
        <v>224</v>
      </c>
      <c r="BI41" s="409" t="s">
        <v>602</v>
      </c>
      <c r="BJ41" s="409" t="s">
        <v>602</v>
      </c>
      <c r="BK41" s="409" t="s">
        <v>224</v>
      </c>
      <c r="BL41" s="411" t="s">
        <v>224</v>
      </c>
      <c r="BM41" s="409" t="s">
        <v>224</v>
      </c>
      <c r="BO41" s="410" t="s">
        <v>782</v>
      </c>
      <c r="BP41" s="409">
        <v>7</v>
      </c>
      <c r="CA41" s="225">
        <v>505</v>
      </c>
      <c r="CB41" s="226" t="s">
        <v>439</v>
      </c>
      <c r="CC41" s="226" t="s">
        <v>442</v>
      </c>
      <c r="CD41" s="230" t="s">
        <v>449</v>
      </c>
      <c r="CE41" s="228">
        <v>312.5</v>
      </c>
      <c r="CF41" s="229">
        <v>256250</v>
      </c>
      <c r="CG41" s="230" t="s">
        <v>450</v>
      </c>
      <c r="CH41" s="230" t="s">
        <v>288</v>
      </c>
    </row>
    <row r="42" spans="1:86" ht="155">
      <c r="A42" s="487"/>
      <c r="B42" s="246"/>
      <c r="C42" s="216"/>
      <c r="D42" s="216"/>
      <c r="E42" s="216"/>
      <c r="F42" s="482"/>
      <c r="G42" s="217"/>
      <c r="H42" s="217"/>
      <c r="I42" s="217"/>
      <c r="J42" s="217"/>
      <c r="K42" s="217"/>
      <c r="L42" s="216"/>
      <c r="M42" s="216"/>
      <c r="N42" s="216"/>
      <c r="O42" s="216"/>
      <c r="P42" s="216"/>
      <c r="Q42" s="216"/>
      <c r="R42" s="216"/>
      <c r="S42" s="216"/>
      <c r="T42" s="216"/>
      <c r="U42" s="216"/>
      <c r="V42" s="216"/>
      <c r="W42" s="216"/>
      <c r="X42" s="217"/>
      <c r="Y42" s="79"/>
      <c r="Z42" s="86"/>
      <c r="AA42" s="218"/>
      <c r="AB42" s="218"/>
      <c r="AC42" s="219"/>
      <c r="AD42" s="79"/>
      <c r="AE42" s="485"/>
      <c r="AF42" s="486"/>
      <c r="AG42" s="486"/>
      <c r="AH42" s="220"/>
      <c r="AI42" s="488"/>
      <c r="AJ42" s="220"/>
      <c r="AK42" s="220"/>
      <c r="AL42" s="489"/>
      <c r="AM42" s="488"/>
      <c r="AN42" s="76"/>
      <c r="AO42" s="76"/>
      <c r="AP42" s="76"/>
      <c r="AQ42" s="221"/>
      <c r="AR42" s="248"/>
      <c r="BA42" s="409" t="s">
        <v>224</v>
      </c>
      <c r="BB42" s="409" t="s">
        <v>531</v>
      </c>
      <c r="BC42" s="409" t="s">
        <v>224</v>
      </c>
      <c r="BD42" s="409" t="s">
        <v>224</v>
      </c>
      <c r="BE42" s="409" t="s">
        <v>224</v>
      </c>
      <c r="BF42" s="411" t="s">
        <v>224</v>
      </c>
      <c r="BG42" s="409" t="s">
        <v>224</v>
      </c>
      <c r="BH42" s="411" t="s">
        <v>224</v>
      </c>
      <c r="BI42" s="409" t="s">
        <v>602</v>
      </c>
      <c r="BJ42" s="409" t="s">
        <v>602</v>
      </c>
      <c r="BK42" s="409" t="s">
        <v>224</v>
      </c>
      <c r="BL42" s="411" t="s">
        <v>224</v>
      </c>
      <c r="BM42" s="409" t="s">
        <v>224</v>
      </c>
      <c r="BO42" s="410" t="s">
        <v>783</v>
      </c>
      <c r="BP42" s="409">
        <v>7</v>
      </c>
      <c r="CA42" s="225">
        <v>506</v>
      </c>
      <c r="CB42" s="226" t="s">
        <v>253</v>
      </c>
      <c r="CC42" s="226" t="s">
        <v>444</v>
      </c>
      <c r="CD42" s="230" t="s">
        <v>451</v>
      </c>
      <c r="CE42" s="228">
        <v>450</v>
      </c>
      <c r="CF42" s="229">
        <v>750000</v>
      </c>
      <c r="CG42" s="230" t="s">
        <v>452</v>
      </c>
      <c r="CH42" s="230" t="s">
        <v>289</v>
      </c>
    </row>
    <row r="43" spans="1:86" ht="108.5">
      <c r="A43" s="487"/>
      <c r="B43" s="246"/>
      <c r="C43" s="216"/>
      <c r="D43" s="216"/>
      <c r="E43" s="216"/>
      <c r="F43" s="482"/>
      <c r="G43" s="217"/>
      <c r="H43" s="217"/>
      <c r="I43" s="217"/>
      <c r="J43" s="217"/>
      <c r="K43" s="217"/>
      <c r="L43" s="216"/>
      <c r="M43" s="216"/>
      <c r="N43" s="216"/>
      <c r="O43" s="216"/>
      <c r="P43" s="216"/>
      <c r="Q43" s="216"/>
      <c r="R43" s="216"/>
      <c r="S43" s="216"/>
      <c r="T43" s="216"/>
      <c r="U43" s="216"/>
      <c r="V43" s="216"/>
      <c r="W43" s="216"/>
      <c r="X43" s="217"/>
      <c r="Y43" s="79"/>
      <c r="Z43" s="86"/>
      <c r="AA43" s="218"/>
      <c r="AB43" s="218"/>
      <c r="AC43" s="219"/>
      <c r="AD43" s="79"/>
      <c r="AE43" s="485"/>
      <c r="AF43" s="486"/>
      <c r="AG43" s="486"/>
      <c r="AH43" s="220"/>
      <c r="AI43" s="488"/>
      <c r="AJ43" s="220"/>
      <c r="AK43" s="220"/>
      <c r="AL43" s="489"/>
      <c r="AM43" s="488"/>
      <c r="AN43" s="76"/>
      <c r="AO43" s="76"/>
      <c r="AP43" s="76"/>
      <c r="AQ43" s="221"/>
      <c r="AR43" s="248"/>
      <c r="BA43" s="409" t="s">
        <v>224</v>
      </c>
      <c r="BB43" s="409" t="s">
        <v>531</v>
      </c>
      <c r="BC43" s="409" t="s">
        <v>224</v>
      </c>
      <c r="BD43" s="409" t="s">
        <v>224</v>
      </c>
      <c r="BE43" s="409" t="s">
        <v>224</v>
      </c>
      <c r="BF43" s="411" t="s">
        <v>224</v>
      </c>
      <c r="BG43" s="409" t="s">
        <v>224</v>
      </c>
      <c r="BH43" s="411" t="s">
        <v>224</v>
      </c>
      <c r="BI43" s="409" t="s">
        <v>602</v>
      </c>
      <c r="BJ43" s="409" t="s">
        <v>602</v>
      </c>
      <c r="BK43" s="409" t="s">
        <v>224</v>
      </c>
      <c r="BL43" s="411" t="s">
        <v>224</v>
      </c>
      <c r="BM43" s="409" t="s">
        <v>224</v>
      </c>
      <c r="BO43" s="410" t="s">
        <v>784</v>
      </c>
      <c r="BP43" s="409">
        <v>7</v>
      </c>
      <c r="CA43" s="225">
        <v>507</v>
      </c>
      <c r="CB43" s="226" t="s">
        <v>253</v>
      </c>
      <c r="CC43" s="226" t="s">
        <v>444</v>
      </c>
      <c r="CD43" s="230" t="s">
        <v>454</v>
      </c>
      <c r="CE43" s="228">
        <v>375</v>
      </c>
      <c r="CF43" s="210">
        <v>750000</v>
      </c>
      <c r="CG43" s="227" t="s">
        <v>455</v>
      </c>
      <c r="CH43" s="210" t="s">
        <v>290</v>
      </c>
    </row>
    <row r="44" spans="1:86" ht="409.5">
      <c r="A44" s="487"/>
      <c r="B44" s="246"/>
      <c r="C44" s="216"/>
      <c r="D44" s="216"/>
      <c r="E44" s="216"/>
      <c r="F44" s="217"/>
      <c r="G44" s="217"/>
      <c r="H44" s="217"/>
      <c r="I44" s="217"/>
      <c r="J44" s="217"/>
      <c r="K44" s="217"/>
      <c r="L44" s="216"/>
      <c r="M44" s="216"/>
      <c r="N44" s="216"/>
      <c r="O44" s="216"/>
      <c r="P44" s="216"/>
      <c r="Q44" s="216"/>
      <c r="R44" s="216"/>
      <c r="S44" s="216"/>
      <c r="T44" s="216"/>
      <c r="U44" s="216"/>
      <c r="V44" s="216"/>
      <c r="W44" s="216"/>
      <c r="X44" s="217"/>
      <c r="Y44" s="79"/>
      <c r="Z44" s="86"/>
      <c r="AA44" s="218"/>
      <c r="AB44" s="218"/>
      <c r="AC44" s="219"/>
      <c r="AD44" s="79"/>
      <c r="AE44" s="485"/>
      <c r="AF44" s="486"/>
      <c r="AG44" s="486"/>
      <c r="AH44" s="220"/>
      <c r="AI44" s="488"/>
      <c r="AJ44" s="220"/>
      <c r="AK44" s="220"/>
      <c r="AL44" s="489"/>
      <c r="AM44" s="488"/>
      <c r="AN44" s="76"/>
      <c r="AO44" s="76"/>
      <c r="AP44" s="76"/>
      <c r="AQ44" s="221"/>
      <c r="AR44" s="248"/>
      <c r="BA44" s="409" t="s">
        <v>224</v>
      </c>
      <c r="BB44" s="409" t="s">
        <v>531</v>
      </c>
      <c r="BC44" s="409" t="s">
        <v>224</v>
      </c>
      <c r="BD44" s="409" t="s">
        <v>224</v>
      </c>
      <c r="BE44" s="409" t="s">
        <v>224</v>
      </c>
      <c r="BF44" s="411" t="s">
        <v>224</v>
      </c>
      <c r="BG44" s="409" t="s">
        <v>224</v>
      </c>
      <c r="BH44" s="411" t="s">
        <v>224</v>
      </c>
      <c r="BI44" s="409" t="s">
        <v>602</v>
      </c>
      <c r="BJ44" s="409" t="s">
        <v>602</v>
      </c>
      <c r="BK44" s="409" t="s">
        <v>224</v>
      </c>
      <c r="BL44" s="411" t="s">
        <v>224</v>
      </c>
      <c r="BM44" s="409" t="s">
        <v>224</v>
      </c>
      <c r="BO44" s="410" t="s">
        <v>785</v>
      </c>
      <c r="BP44" s="409">
        <v>7</v>
      </c>
      <c r="CA44" s="211">
        <v>511</v>
      </c>
      <c r="CB44" s="212" t="s">
        <v>253</v>
      </c>
      <c r="CC44" s="212" t="s">
        <v>456</v>
      </c>
      <c r="CD44" s="213" t="s">
        <v>457</v>
      </c>
      <c r="CE44" s="214"/>
      <c r="CF44" s="215">
        <v>2177220</v>
      </c>
      <c r="CG44" s="213"/>
      <c r="CH44" s="213" t="s">
        <v>470</v>
      </c>
    </row>
    <row r="45" spans="1:86" ht="31">
      <c r="A45" s="487"/>
      <c r="B45" s="246"/>
      <c r="C45" s="216"/>
      <c r="D45" s="216"/>
      <c r="E45" s="216"/>
      <c r="F45" s="217"/>
      <c r="G45" s="217"/>
      <c r="H45" s="217"/>
      <c r="I45" s="217"/>
      <c r="J45" s="217"/>
      <c r="K45" s="217"/>
      <c r="L45" s="216"/>
      <c r="M45" s="216"/>
      <c r="N45" s="216"/>
      <c r="O45" s="216"/>
      <c r="P45" s="216"/>
      <c r="Q45" s="216"/>
      <c r="R45" s="216"/>
      <c r="S45" s="216"/>
      <c r="T45" s="216"/>
      <c r="U45" s="216"/>
      <c r="V45" s="216"/>
      <c r="W45" s="216"/>
      <c r="X45" s="217"/>
      <c r="Y45" s="79"/>
      <c r="Z45" s="86"/>
      <c r="AA45" s="218"/>
      <c r="AB45" s="218"/>
      <c r="AC45" s="219"/>
      <c r="AD45" s="79"/>
      <c r="AE45" s="485"/>
      <c r="AF45" s="486"/>
      <c r="AG45" s="486"/>
      <c r="AH45" s="220"/>
      <c r="AI45" s="488"/>
      <c r="AJ45" s="220"/>
      <c r="AK45" s="220"/>
      <c r="AL45" s="489"/>
      <c r="AM45" s="488"/>
      <c r="AN45" s="76"/>
      <c r="AO45" s="76"/>
      <c r="AP45" s="76"/>
      <c r="AQ45" s="221"/>
      <c r="AR45" s="248"/>
      <c r="BA45" s="409" t="s">
        <v>224</v>
      </c>
      <c r="BB45" s="409" t="s">
        <v>531</v>
      </c>
      <c r="BC45" s="409" t="s">
        <v>224</v>
      </c>
      <c r="BD45" s="409" t="s">
        <v>224</v>
      </c>
      <c r="BE45" s="409" t="s">
        <v>224</v>
      </c>
      <c r="BF45" s="411" t="s">
        <v>224</v>
      </c>
      <c r="BG45" s="409" t="s">
        <v>224</v>
      </c>
      <c r="BH45" s="411" t="s">
        <v>224</v>
      </c>
      <c r="BI45" s="409" t="s">
        <v>602</v>
      </c>
      <c r="BJ45" s="409" t="s">
        <v>602</v>
      </c>
      <c r="BK45" s="409" t="s">
        <v>224</v>
      </c>
      <c r="BL45" s="411" t="s">
        <v>224</v>
      </c>
      <c r="BM45" s="409" t="s">
        <v>224</v>
      </c>
      <c r="BO45" s="410" t="s">
        <v>786</v>
      </c>
      <c r="BP45" s="409">
        <v>7</v>
      </c>
      <c r="CA45" s="3">
        <v>546</v>
      </c>
      <c r="CB45" s="3" t="s">
        <v>253</v>
      </c>
      <c r="CC45" s="3" t="s">
        <v>490</v>
      </c>
      <c r="CF45" s="3">
        <v>1500</v>
      </c>
    </row>
    <row r="46" spans="1:86" ht="31">
      <c r="A46" s="487"/>
      <c r="B46" s="246"/>
      <c r="C46" s="216"/>
      <c r="D46" s="216"/>
      <c r="E46" s="216"/>
      <c r="F46" s="482"/>
      <c r="G46" s="217"/>
      <c r="H46" s="217"/>
      <c r="I46" s="217"/>
      <c r="J46" s="217"/>
      <c r="K46" s="217"/>
      <c r="L46" s="216"/>
      <c r="M46" s="216"/>
      <c r="N46" s="216"/>
      <c r="O46" s="216"/>
      <c r="P46" s="216"/>
      <c r="Q46" s="216"/>
      <c r="R46" s="216"/>
      <c r="S46" s="216"/>
      <c r="T46" s="216"/>
      <c r="U46" s="216"/>
      <c r="V46" s="216"/>
      <c r="W46" s="216"/>
      <c r="X46" s="482"/>
      <c r="Y46" s="79"/>
      <c r="Z46" s="86"/>
      <c r="AA46" s="218"/>
      <c r="AB46" s="218"/>
      <c r="AC46" s="483"/>
      <c r="AD46" s="79"/>
      <c r="AE46" s="485"/>
      <c r="AF46" s="486"/>
      <c r="AG46" s="486"/>
      <c r="AH46" s="220"/>
      <c r="AI46" s="488"/>
      <c r="AJ46" s="220"/>
      <c r="AK46" s="220"/>
      <c r="AL46" s="489"/>
      <c r="AM46" s="488"/>
      <c r="AN46" s="76"/>
      <c r="AO46" s="76"/>
      <c r="AP46" s="76"/>
      <c r="AQ46" s="221"/>
      <c r="AR46" s="248"/>
      <c r="BA46" s="409" t="s">
        <v>224</v>
      </c>
      <c r="BB46" s="409" t="s">
        <v>531</v>
      </c>
      <c r="BC46" s="409" t="s">
        <v>224</v>
      </c>
      <c r="BD46" s="409" t="s">
        <v>224</v>
      </c>
      <c r="BE46" s="409" t="s">
        <v>224</v>
      </c>
      <c r="BF46" s="411" t="s">
        <v>224</v>
      </c>
      <c r="BG46" s="409" t="s">
        <v>224</v>
      </c>
      <c r="BH46" s="411" t="s">
        <v>224</v>
      </c>
      <c r="BI46" s="409" t="s">
        <v>602</v>
      </c>
      <c r="BJ46" s="409" t="s">
        <v>602</v>
      </c>
      <c r="BK46" s="409" t="s">
        <v>224</v>
      </c>
      <c r="BL46" s="411" t="s">
        <v>224</v>
      </c>
      <c r="BM46" s="409" t="s">
        <v>224</v>
      </c>
      <c r="BO46" s="410" t="s">
        <v>787</v>
      </c>
      <c r="BP46" s="409">
        <v>7</v>
      </c>
      <c r="CA46" s="3">
        <v>546</v>
      </c>
      <c r="CB46" s="3" t="s">
        <v>253</v>
      </c>
      <c r="CC46" s="3" t="s">
        <v>490</v>
      </c>
      <c r="CF46" s="3">
        <v>1500</v>
      </c>
    </row>
    <row r="47" spans="1:86" ht="20">
      <c r="A47" s="487"/>
      <c r="B47" s="246"/>
      <c r="C47" s="216"/>
      <c r="D47" s="216"/>
      <c r="E47" s="216"/>
      <c r="F47" s="482"/>
      <c r="G47" s="217"/>
      <c r="H47" s="217"/>
      <c r="I47" s="217"/>
      <c r="J47" s="217"/>
      <c r="K47" s="217"/>
      <c r="L47" s="216"/>
      <c r="M47" s="216"/>
      <c r="N47" s="216"/>
      <c r="O47" s="216"/>
      <c r="P47" s="216"/>
      <c r="Q47" s="216"/>
      <c r="R47" s="216"/>
      <c r="S47" s="216"/>
      <c r="T47" s="216"/>
      <c r="U47" s="216"/>
      <c r="V47" s="216"/>
      <c r="W47" s="216"/>
      <c r="X47" s="482"/>
      <c r="Y47" s="79"/>
      <c r="Z47" s="86"/>
      <c r="AA47" s="218"/>
      <c r="AB47" s="218"/>
      <c r="AC47" s="483"/>
      <c r="AD47" s="79"/>
      <c r="AE47" s="485"/>
      <c r="AF47" s="486"/>
      <c r="AG47" s="486"/>
      <c r="AH47" s="220"/>
      <c r="AI47" s="488"/>
      <c r="AJ47" s="220"/>
      <c r="AK47" s="220"/>
      <c r="AL47" s="489"/>
      <c r="AM47" s="488"/>
      <c r="AN47" s="76"/>
      <c r="AO47" s="76"/>
      <c r="AP47" s="76"/>
      <c r="AQ47" s="221"/>
      <c r="AR47" s="248"/>
      <c r="BA47" s="409" t="s">
        <v>224</v>
      </c>
      <c r="BB47" s="409" t="s">
        <v>531</v>
      </c>
      <c r="BC47" s="409" t="s">
        <v>224</v>
      </c>
      <c r="BD47" s="409" t="s">
        <v>224</v>
      </c>
      <c r="BE47" s="409" t="s">
        <v>224</v>
      </c>
      <c r="BF47" s="411" t="s">
        <v>224</v>
      </c>
      <c r="BG47" s="409" t="s">
        <v>224</v>
      </c>
      <c r="BH47" s="411" t="s">
        <v>224</v>
      </c>
      <c r="BI47" s="409" t="s">
        <v>602</v>
      </c>
      <c r="BJ47" s="409" t="s">
        <v>602</v>
      </c>
      <c r="BK47" s="409" t="s">
        <v>224</v>
      </c>
      <c r="BL47" s="411" t="s">
        <v>224</v>
      </c>
      <c r="BM47" s="409" t="s">
        <v>224</v>
      </c>
      <c r="BO47" s="410" t="s">
        <v>788</v>
      </c>
      <c r="BP47" s="409">
        <v>7</v>
      </c>
    </row>
    <row r="48" spans="1:86" ht="20">
      <c r="A48" s="487"/>
      <c r="B48" s="246"/>
      <c r="C48" s="216"/>
      <c r="D48" s="216"/>
      <c r="E48" s="216"/>
      <c r="F48" s="482"/>
      <c r="G48" s="217"/>
      <c r="H48" s="217"/>
      <c r="I48" s="217"/>
      <c r="J48" s="217"/>
      <c r="K48" s="217"/>
      <c r="L48" s="216"/>
      <c r="M48" s="216"/>
      <c r="N48" s="216"/>
      <c r="O48" s="216"/>
      <c r="P48" s="216"/>
      <c r="Q48" s="216"/>
      <c r="R48" s="216"/>
      <c r="S48" s="216"/>
      <c r="T48" s="216"/>
      <c r="U48" s="216"/>
      <c r="V48" s="216"/>
      <c r="W48" s="216"/>
      <c r="X48" s="482"/>
      <c r="Y48" s="79"/>
      <c r="Z48" s="86"/>
      <c r="AA48" s="218"/>
      <c r="AB48" s="218"/>
      <c r="AC48" s="483"/>
      <c r="AD48" s="79"/>
      <c r="AE48" s="485"/>
      <c r="AF48" s="486"/>
      <c r="AG48" s="486"/>
      <c r="AH48" s="220"/>
      <c r="AI48" s="488"/>
      <c r="AJ48" s="220"/>
      <c r="AK48" s="220"/>
      <c r="AL48" s="489"/>
      <c r="AM48" s="488"/>
      <c r="AN48" s="76"/>
      <c r="AO48" s="76"/>
      <c r="AP48" s="76"/>
      <c r="AQ48" s="221"/>
      <c r="AR48" s="248"/>
      <c r="BA48" s="409" t="s">
        <v>224</v>
      </c>
      <c r="BB48" s="409" t="s">
        <v>531</v>
      </c>
      <c r="BC48" s="409" t="s">
        <v>224</v>
      </c>
      <c r="BD48" s="409" t="s">
        <v>224</v>
      </c>
      <c r="BE48" s="409" t="s">
        <v>224</v>
      </c>
      <c r="BF48" s="411" t="s">
        <v>224</v>
      </c>
      <c r="BG48" s="409" t="s">
        <v>224</v>
      </c>
      <c r="BH48" s="411" t="s">
        <v>224</v>
      </c>
      <c r="BI48" s="409" t="s">
        <v>602</v>
      </c>
      <c r="BJ48" s="409" t="s">
        <v>602</v>
      </c>
      <c r="BK48" s="409" t="s">
        <v>224</v>
      </c>
      <c r="BL48" s="411" t="s">
        <v>224</v>
      </c>
      <c r="BM48" s="409" t="s">
        <v>224</v>
      </c>
      <c r="BO48" s="410" t="s">
        <v>789</v>
      </c>
      <c r="BP48" s="409">
        <v>7</v>
      </c>
    </row>
    <row r="49" spans="1:68" ht="20">
      <c r="A49" s="481"/>
      <c r="B49" s="246"/>
      <c r="C49" s="216"/>
      <c r="D49" s="216"/>
      <c r="E49" s="216"/>
      <c r="F49" s="217"/>
      <c r="G49" s="217"/>
      <c r="H49" s="217"/>
      <c r="I49" s="217"/>
      <c r="J49" s="217"/>
      <c r="K49" s="217"/>
      <c r="L49" s="216"/>
      <c r="M49" s="216"/>
      <c r="N49" s="216"/>
      <c r="O49" s="216"/>
      <c r="P49" s="216"/>
      <c r="Q49" s="216"/>
      <c r="R49" s="216"/>
      <c r="S49" s="216"/>
      <c r="T49" s="216"/>
      <c r="U49" s="216"/>
      <c r="V49" s="216"/>
      <c r="W49" s="216"/>
      <c r="X49" s="217"/>
      <c r="Y49" s="216"/>
      <c r="Z49" s="234"/>
      <c r="AA49" s="218"/>
      <c r="AB49" s="218"/>
      <c r="AC49" s="219"/>
      <c r="AD49" s="220"/>
      <c r="AE49" s="220"/>
      <c r="AF49" s="220"/>
      <c r="AG49" s="490"/>
      <c r="AH49" s="220"/>
      <c r="AI49" s="220"/>
      <c r="AJ49" s="220"/>
      <c r="AK49" s="220"/>
      <c r="AL49" s="220"/>
      <c r="AM49" s="220"/>
      <c r="AN49" s="220"/>
      <c r="AO49" s="220"/>
      <c r="AP49" s="217"/>
      <c r="AQ49" s="221"/>
      <c r="AR49" s="248"/>
      <c r="BA49" s="409" t="s">
        <v>224</v>
      </c>
      <c r="BB49" s="409" t="s">
        <v>531</v>
      </c>
      <c r="BC49" s="409" t="s">
        <v>224</v>
      </c>
      <c r="BD49" s="409" t="s">
        <v>224</v>
      </c>
      <c r="BE49" s="409" t="s">
        <v>224</v>
      </c>
      <c r="BF49" s="411" t="s">
        <v>224</v>
      </c>
      <c r="BG49" s="409" t="s">
        <v>224</v>
      </c>
      <c r="BH49" s="411" t="s">
        <v>224</v>
      </c>
      <c r="BI49" s="409" t="s">
        <v>602</v>
      </c>
      <c r="BJ49" s="409" t="s">
        <v>602</v>
      </c>
      <c r="BK49" s="409" t="s">
        <v>224</v>
      </c>
      <c r="BL49" s="411" t="s">
        <v>224</v>
      </c>
      <c r="BM49" s="409" t="s">
        <v>224</v>
      </c>
      <c r="BO49" s="410" t="s">
        <v>790</v>
      </c>
      <c r="BP49" s="409">
        <v>7</v>
      </c>
    </row>
    <row r="50" spans="1:68" ht="20">
      <c r="A50" s="487"/>
      <c r="B50" s="246"/>
      <c r="C50" s="216"/>
      <c r="D50" s="216"/>
      <c r="E50" s="216"/>
      <c r="F50" s="217"/>
      <c r="G50" s="217"/>
      <c r="H50" s="217"/>
      <c r="I50" s="217"/>
      <c r="J50" s="217"/>
      <c r="K50" s="217"/>
      <c r="L50" s="216"/>
      <c r="M50" s="216"/>
      <c r="N50" s="216"/>
      <c r="O50" s="216"/>
      <c r="P50" s="216"/>
      <c r="Q50" s="216"/>
      <c r="R50" s="216"/>
      <c r="S50" s="216"/>
      <c r="T50" s="216"/>
      <c r="U50" s="216"/>
      <c r="V50" s="216"/>
      <c r="W50" s="216"/>
      <c r="X50" s="217"/>
      <c r="Y50" s="79"/>
      <c r="Z50" s="234"/>
      <c r="AA50" s="86"/>
      <c r="AB50" s="218"/>
      <c r="AC50" s="219"/>
      <c r="AD50" s="189"/>
      <c r="AE50" s="491"/>
      <c r="AF50" s="492"/>
      <c r="AG50" s="493"/>
      <c r="AH50" s="220"/>
      <c r="AI50" s="198"/>
      <c r="AJ50" s="220"/>
      <c r="AK50" s="220"/>
      <c r="AL50" s="197"/>
      <c r="AM50" s="488"/>
      <c r="AN50" s="76"/>
      <c r="AO50" s="76"/>
      <c r="AP50" s="76"/>
      <c r="AQ50" s="221"/>
      <c r="AR50" s="248"/>
      <c r="BA50" s="409" t="s">
        <v>224</v>
      </c>
      <c r="BB50" s="409" t="s">
        <v>531</v>
      </c>
      <c r="BC50" s="409" t="s">
        <v>224</v>
      </c>
      <c r="BD50" s="409" t="s">
        <v>224</v>
      </c>
      <c r="BE50" s="409" t="s">
        <v>224</v>
      </c>
      <c r="BF50" s="411" t="s">
        <v>224</v>
      </c>
      <c r="BG50" s="409" t="s">
        <v>224</v>
      </c>
      <c r="BH50" s="411" t="s">
        <v>224</v>
      </c>
      <c r="BI50" s="409" t="s">
        <v>602</v>
      </c>
      <c r="BJ50" s="409" t="s">
        <v>602</v>
      </c>
      <c r="BK50" s="409" t="s">
        <v>224</v>
      </c>
      <c r="BL50" s="411" t="s">
        <v>224</v>
      </c>
      <c r="BM50" s="409" t="s">
        <v>224</v>
      </c>
      <c r="BO50" s="410" t="s">
        <v>791</v>
      </c>
      <c r="BP50" s="409">
        <v>7</v>
      </c>
    </row>
    <row r="51" spans="1:68" ht="20">
      <c r="A51" s="487"/>
      <c r="B51" s="246"/>
      <c r="C51" s="216"/>
      <c r="D51" s="216"/>
      <c r="E51" s="216"/>
      <c r="F51" s="217"/>
      <c r="G51" s="217"/>
      <c r="H51" s="217"/>
      <c r="I51" s="217"/>
      <c r="J51" s="217"/>
      <c r="K51" s="217"/>
      <c r="L51" s="216"/>
      <c r="M51" s="216"/>
      <c r="N51" s="216"/>
      <c r="O51" s="216"/>
      <c r="P51" s="216"/>
      <c r="Q51" s="216"/>
      <c r="R51" s="216"/>
      <c r="S51" s="216"/>
      <c r="T51" s="216"/>
      <c r="U51" s="216"/>
      <c r="V51" s="216"/>
      <c r="W51" s="216"/>
      <c r="X51" s="217"/>
      <c r="Y51" s="79"/>
      <c r="Z51" s="234"/>
      <c r="AA51" s="86"/>
      <c r="AB51" s="218"/>
      <c r="AC51" s="219"/>
      <c r="AD51" s="79"/>
      <c r="AE51" s="485"/>
      <c r="AF51" s="486"/>
      <c r="AG51" s="486"/>
      <c r="AH51" s="220"/>
      <c r="AI51" s="488"/>
      <c r="AJ51" s="220"/>
      <c r="AK51" s="220"/>
      <c r="AL51" s="489"/>
      <c r="AM51" s="488"/>
      <c r="AN51" s="76"/>
      <c r="AO51" s="76"/>
      <c r="AP51" s="76"/>
      <c r="AQ51" s="221"/>
      <c r="AR51" s="248"/>
      <c r="BA51" s="409" t="s">
        <v>224</v>
      </c>
      <c r="BB51" s="409" t="s">
        <v>531</v>
      </c>
      <c r="BC51" s="409" t="s">
        <v>224</v>
      </c>
      <c r="BD51" s="409" t="s">
        <v>224</v>
      </c>
      <c r="BE51" s="409" t="s">
        <v>224</v>
      </c>
      <c r="BF51" s="411" t="s">
        <v>224</v>
      </c>
      <c r="BG51" s="409" t="s">
        <v>224</v>
      </c>
      <c r="BH51" s="411" t="s">
        <v>224</v>
      </c>
      <c r="BI51" s="409" t="s">
        <v>602</v>
      </c>
      <c r="BJ51" s="409" t="s">
        <v>602</v>
      </c>
      <c r="BK51" s="409" t="s">
        <v>224</v>
      </c>
      <c r="BL51" s="411" t="s">
        <v>224</v>
      </c>
      <c r="BM51" s="409" t="s">
        <v>224</v>
      </c>
      <c r="BO51" s="410" t="s">
        <v>792</v>
      </c>
      <c r="BP51" s="409">
        <v>7</v>
      </c>
    </row>
    <row r="52" spans="1:68" ht="20">
      <c r="A52" s="487"/>
      <c r="B52" s="246"/>
      <c r="C52" s="216"/>
      <c r="D52" s="216"/>
      <c r="E52" s="216"/>
      <c r="F52" s="217"/>
      <c r="G52" s="217"/>
      <c r="H52" s="217"/>
      <c r="I52" s="217"/>
      <c r="J52" s="217"/>
      <c r="K52" s="217"/>
      <c r="L52" s="216"/>
      <c r="M52" s="216"/>
      <c r="N52" s="216"/>
      <c r="O52" s="216"/>
      <c r="P52" s="216"/>
      <c r="Q52" s="216"/>
      <c r="R52" s="216"/>
      <c r="S52" s="216"/>
      <c r="T52" s="216"/>
      <c r="U52" s="216"/>
      <c r="V52" s="216"/>
      <c r="W52" s="216"/>
      <c r="X52" s="217"/>
      <c r="Y52" s="79"/>
      <c r="Z52" s="234"/>
      <c r="AA52" s="86"/>
      <c r="AB52" s="218"/>
      <c r="AC52" s="219"/>
      <c r="AD52" s="79"/>
      <c r="AE52" s="485"/>
      <c r="AF52" s="486"/>
      <c r="AG52" s="486"/>
      <c r="AH52" s="220"/>
      <c r="AI52" s="488"/>
      <c r="AJ52" s="220"/>
      <c r="AK52" s="220"/>
      <c r="AL52" s="489"/>
      <c r="AM52" s="488"/>
      <c r="AN52" s="76"/>
      <c r="AO52" s="76"/>
      <c r="AP52" s="76"/>
      <c r="AQ52" s="221"/>
      <c r="AR52" s="248"/>
      <c r="BA52" s="409" t="s">
        <v>224</v>
      </c>
      <c r="BB52" s="409" t="s">
        <v>531</v>
      </c>
      <c r="BC52" s="409" t="s">
        <v>224</v>
      </c>
      <c r="BD52" s="409" t="s">
        <v>224</v>
      </c>
      <c r="BE52" s="409" t="s">
        <v>224</v>
      </c>
      <c r="BF52" s="411" t="s">
        <v>224</v>
      </c>
      <c r="BG52" s="409" t="s">
        <v>224</v>
      </c>
      <c r="BH52" s="411" t="s">
        <v>224</v>
      </c>
      <c r="BI52" s="409" t="s">
        <v>602</v>
      </c>
      <c r="BJ52" s="409" t="s">
        <v>602</v>
      </c>
      <c r="BK52" s="409" t="s">
        <v>224</v>
      </c>
      <c r="BL52" s="411" t="s">
        <v>224</v>
      </c>
      <c r="BM52" s="409" t="s">
        <v>224</v>
      </c>
      <c r="BO52" s="410" t="s">
        <v>793</v>
      </c>
      <c r="BP52" s="409">
        <v>7</v>
      </c>
    </row>
    <row r="53" spans="1:68" ht="20">
      <c r="A53" s="487"/>
      <c r="B53" s="246"/>
      <c r="C53" s="216"/>
      <c r="D53" s="216"/>
      <c r="E53" s="216"/>
      <c r="F53" s="217"/>
      <c r="G53" s="217"/>
      <c r="H53" s="217"/>
      <c r="I53" s="217"/>
      <c r="J53" s="217"/>
      <c r="K53" s="217"/>
      <c r="L53" s="216"/>
      <c r="M53" s="216"/>
      <c r="N53" s="216"/>
      <c r="O53" s="216"/>
      <c r="P53" s="216"/>
      <c r="Q53" s="216"/>
      <c r="R53" s="216"/>
      <c r="S53" s="216"/>
      <c r="T53" s="216"/>
      <c r="U53" s="216"/>
      <c r="V53" s="216"/>
      <c r="W53" s="216"/>
      <c r="X53" s="217"/>
      <c r="Y53" s="79"/>
      <c r="Z53" s="234"/>
      <c r="AA53" s="218"/>
      <c r="AB53" s="218"/>
      <c r="AC53" s="219"/>
      <c r="AD53" s="79"/>
      <c r="AE53" s="79"/>
      <c r="AF53" s="87"/>
      <c r="AG53" s="87"/>
      <c r="AH53" s="220"/>
      <c r="AI53" s="76"/>
      <c r="AJ53" s="220"/>
      <c r="AK53" s="220"/>
      <c r="AL53" s="88"/>
      <c r="AM53" s="220"/>
      <c r="AN53" s="220"/>
      <c r="AO53" s="220"/>
      <c r="AP53" s="217"/>
      <c r="AQ53" s="221"/>
      <c r="AR53" s="248"/>
      <c r="BA53" s="409" t="s">
        <v>224</v>
      </c>
      <c r="BB53" s="409" t="s">
        <v>531</v>
      </c>
      <c r="BC53" s="409" t="s">
        <v>224</v>
      </c>
      <c r="BD53" s="409" t="s">
        <v>224</v>
      </c>
      <c r="BE53" s="409" t="s">
        <v>224</v>
      </c>
      <c r="BF53" s="411" t="s">
        <v>224</v>
      </c>
      <c r="BG53" s="409" t="s">
        <v>224</v>
      </c>
      <c r="BH53" s="411" t="s">
        <v>224</v>
      </c>
      <c r="BI53" s="409" t="s">
        <v>602</v>
      </c>
      <c r="BJ53" s="409" t="s">
        <v>602</v>
      </c>
      <c r="BK53" s="409" t="s">
        <v>224</v>
      </c>
      <c r="BL53" s="411" t="s">
        <v>224</v>
      </c>
      <c r="BM53" s="409" t="s">
        <v>224</v>
      </c>
      <c r="BO53" s="410" t="s">
        <v>794</v>
      </c>
      <c r="BP53" s="409">
        <v>7</v>
      </c>
    </row>
    <row r="54" spans="1:68" ht="20">
      <c r="A54" s="216"/>
      <c r="B54" s="246"/>
      <c r="C54" s="216"/>
      <c r="D54" s="216"/>
      <c r="E54" s="216"/>
      <c r="F54" s="482"/>
      <c r="G54" s="217"/>
      <c r="H54" s="217"/>
      <c r="I54" s="217"/>
      <c r="J54" s="217"/>
      <c r="K54" s="217"/>
      <c r="L54" s="216"/>
      <c r="M54" s="216"/>
      <c r="N54" s="216"/>
      <c r="O54" s="216"/>
      <c r="P54" s="216"/>
      <c r="Q54" s="216"/>
      <c r="R54" s="216"/>
      <c r="S54" s="216"/>
      <c r="T54" s="216"/>
      <c r="U54" s="216"/>
      <c r="V54" s="216"/>
      <c r="W54" s="216"/>
      <c r="X54" s="482"/>
      <c r="Y54" s="216"/>
      <c r="Z54" s="235"/>
      <c r="AA54" s="86"/>
      <c r="AB54" s="218"/>
      <c r="AC54" s="219"/>
      <c r="AD54" s="224"/>
      <c r="AE54" s="224"/>
      <c r="AF54" s="494"/>
      <c r="AG54" s="494"/>
      <c r="AH54" s="220"/>
      <c r="AI54" s="495"/>
      <c r="AJ54" s="220"/>
      <c r="AK54" s="220"/>
      <c r="AL54" s="496"/>
      <c r="AM54" s="220"/>
      <c r="AN54" s="220"/>
      <c r="AO54" s="220"/>
      <c r="AP54" s="217"/>
      <c r="AQ54" s="221"/>
      <c r="AR54" s="248"/>
      <c r="BA54" s="409" t="s">
        <v>224</v>
      </c>
      <c r="BB54" s="409" t="s">
        <v>531</v>
      </c>
      <c r="BC54" s="409" t="s">
        <v>224</v>
      </c>
      <c r="BD54" s="409" t="s">
        <v>224</v>
      </c>
      <c r="BE54" s="409" t="s">
        <v>224</v>
      </c>
      <c r="BF54" s="411" t="s">
        <v>224</v>
      </c>
      <c r="BG54" s="409" t="s">
        <v>224</v>
      </c>
      <c r="BH54" s="411" t="s">
        <v>224</v>
      </c>
      <c r="BI54" s="409" t="s">
        <v>602</v>
      </c>
      <c r="BJ54" s="409" t="s">
        <v>602</v>
      </c>
      <c r="BK54" s="409" t="s">
        <v>224</v>
      </c>
      <c r="BL54" s="411" t="s">
        <v>224</v>
      </c>
      <c r="BM54" s="409" t="s">
        <v>224</v>
      </c>
      <c r="BO54" s="410" t="s">
        <v>795</v>
      </c>
      <c r="BP54" s="409">
        <v>7</v>
      </c>
    </row>
    <row r="55" spans="1:68" ht="20">
      <c r="A55" s="481"/>
      <c r="B55" s="246"/>
      <c r="C55" s="216"/>
      <c r="D55" s="216"/>
      <c r="E55" s="216"/>
      <c r="F55" s="217"/>
      <c r="G55" s="217"/>
      <c r="H55" s="217"/>
      <c r="I55" s="217"/>
      <c r="J55" s="217"/>
      <c r="K55" s="217"/>
      <c r="L55" s="216"/>
      <c r="M55" s="216"/>
      <c r="N55" s="216"/>
      <c r="O55" s="216"/>
      <c r="P55" s="216"/>
      <c r="Q55" s="216"/>
      <c r="R55" s="216"/>
      <c r="S55" s="216"/>
      <c r="T55" s="216"/>
      <c r="U55" s="216"/>
      <c r="V55" s="216"/>
      <c r="W55" s="216"/>
      <c r="X55" s="482"/>
      <c r="Y55" s="216"/>
      <c r="Z55" s="234"/>
      <c r="AA55" s="86"/>
      <c r="AB55" s="218"/>
      <c r="AC55" s="497"/>
      <c r="AD55" s="79"/>
      <c r="AE55" s="485"/>
      <c r="AF55" s="486"/>
      <c r="AG55" s="486"/>
      <c r="AH55" s="220"/>
      <c r="AI55" s="488"/>
      <c r="AJ55" s="220"/>
      <c r="AK55" s="220"/>
      <c r="AL55" s="489"/>
      <c r="AM55" s="220"/>
      <c r="AN55" s="220"/>
      <c r="AO55" s="220"/>
      <c r="AP55" s="217"/>
      <c r="AQ55" s="221"/>
      <c r="AR55" s="248"/>
      <c r="BA55" s="409" t="s">
        <v>224</v>
      </c>
      <c r="BB55" s="409" t="s">
        <v>531</v>
      </c>
      <c r="BC55" s="409" t="s">
        <v>224</v>
      </c>
      <c r="BD55" s="409" t="s">
        <v>224</v>
      </c>
      <c r="BE55" s="409" t="s">
        <v>224</v>
      </c>
      <c r="BF55" s="411" t="s">
        <v>224</v>
      </c>
      <c r="BG55" s="409" t="s">
        <v>224</v>
      </c>
      <c r="BH55" s="411" t="s">
        <v>224</v>
      </c>
      <c r="BI55" s="409" t="s">
        <v>602</v>
      </c>
      <c r="BJ55" s="409" t="s">
        <v>602</v>
      </c>
      <c r="BK55" s="409" t="s">
        <v>224</v>
      </c>
      <c r="BL55" s="411" t="s">
        <v>224</v>
      </c>
      <c r="BM55" s="409" t="s">
        <v>224</v>
      </c>
      <c r="BO55" s="410" t="s">
        <v>796</v>
      </c>
      <c r="BP55" s="409">
        <v>7</v>
      </c>
    </row>
    <row r="56" spans="1:68" ht="20">
      <c r="A56" s="481"/>
      <c r="B56" s="246"/>
      <c r="C56" s="216"/>
      <c r="D56" s="216"/>
      <c r="E56" s="216"/>
      <c r="F56" s="482"/>
      <c r="G56" s="217"/>
      <c r="H56" s="217"/>
      <c r="I56" s="217"/>
      <c r="J56" s="217"/>
      <c r="K56" s="217"/>
      <c r="L56" s="216"/>
      <c r="M56" s="216"/>
      <c r="N56" s="216"/>
      <c r="O56" s="216"/>
      <c r="P56" s="216"/>
      <c r="Q56" s="216"/>
      <c r="R56" s="216"/>
      <c r="S56" s="216"/>
      <c r="T56" s="216"/>
      <c r="U56" s="216"/>
      <c r="V56" s="216"/>
      <c r="W56" s="216"/>
      <c r="X56" s="482"/>
      <c r="Y56" s="216"/>
      <c r="Z56" s="234"/>
      <c r="AA56" s="220"/>
      <c r="AB56" s="218"/>
      <c r="AC56" s="497"/>
      <c r="AD56" s="79"/>
      <c r="AE56" s="485"/>
      <c r="AF56" s="486"/>
      <c r="AG56" s="486"/>
      <c r="AH56" s="220"/>
      <c r="AI56" s="488"/>
      <c r="AJ56" s="220"/>
      <c r="AK56" s="220"/>
      <c r="AL56" s="489"/>
      <c r="AM56" s="220"/>
      <c r="AN56" s="220"/>
      <c r="AO56" s="220"/>
      <c r="AP56" s="217"/>
      <c r="AQ56" s="221"/>
      <c r="AR56" s="248"/>
      <c r="BA56" s="409" t="s">
        <v>224</v>
      </c>
      <c r="BB56" s="409" t="s">
        <v>531</v>
      </c>
      <c r="BC56" s="409" t="s">
        <v>224</v>
      </c>
      <c r="BD56" s="409" t="s">
        <v>224</v>
      </c>
      <c r="BE56" s="409" t="s">
        <v>224</v>
      </c>
      <c r="BF56" s="411" t="s">
        <v>224</v>
      </c>
      <c r="BG56" s="409" t="s">
        <v>224</v>
      </c>
      <c r="BH56" s="411" t="s">
        <v>224</v>
      </c>
      <c r="BI56" s="409" t="s">
        <v>602</v>
      </c>
      <c r="BJ56" s="409" t="s">
        <v>602</v>
      </c>
      <c r="BK56" s="409" t="s">
        <v>224</v>
      </c>
      <c r="BL56" s="411" t="s">
        <v>224</v>
      </c>
      <c r="BM56" s="409" t="s">
        <v>224</v>
      </c>
      <c r="BO56" s="410" t="s">
        <v>797</v>
      </c>
      <c r="BP56" s="409">
        <v>7</v>
      </c>
    </row>
    <row r="57" spans="1:68" ht="20">
      <c r="A57" s="481"/>
      <c r="B57" s="246"/>
      <c r="C57" s="216"/>
      <c r="D57" s="216"/>
      <c r="E57" s="216"/>
      <c r="F57" s="482"/>
      <c r="G57" s="217"/>
      <c r="H57" s="217"/>
      <c r="I57" s="217"/>
      <c r="J57" s="217"/>
      <c r="K57" s="217"/>
      <c r="L57" s="216"/>
      <c r="M57" s="216"/>
      <c r="N57" s="216"/>
      <c r="O57" s="216"/>
      <c r="P57" s="216"/>
      <c r="Q57" s="216"/>
      <c r="R57" s="216"/>
      <c r="S57" s="216"/>
      <c r="T57" s="216"/>
      <c r="U57" s="216"/>
      <c r="V57" s="216"/>
      <c r="W57" s="216"/>
      <c r="X57" s="482"/>
      <c r="Y57" s="216"/>
      <c r="Z57" s="234"/>
      <c r="AA57" s="86"/>
      <c r="AB57" s="218"/>
      <c r="AC57" s="497"/>
      <c r="AD57" s="79"/>
      <c r="AE57" s="485"/>
      <c r="AF57" s="486"/>
      <c r="AG57" s="484"/>
      <c r="AH57" s="220"/>
      <c r="AI57" s="488"/>
      <c r="AJ57" s="220"/>
      <c r="AK57" s="220"/>
      <c r="AL57" s="220"/>
      <c r="AM57" s="220"/>
      <c r="AN57" s="220"/>
      <c r="AO57" s="220"/>
      <c r="AP57" s="217"/>
      <c r="AQ57" s="221"/>
      <c r="AR57" s="248"/>
    </row>
    <row r="58" spans="1:68" ht="20">
      <c r="A58" s="481"/>
      <c r="B58" s="246"/>
      <c r="C58" s="216"/>
      <c r="D58" s="216"/>
      <c r="E58" s="216"/>
      <c r="F58" s="482"/>
      <c r="G58" s="217"/>
      <c r="H58" s="217"/>
      <c r="I58" s="217"/>
      <c r="J58" s="217"/>
      <c r="K58" s="217"/>
      <c r="L58" s="216"/>
      <c r="M58" s="216"/>
      <c r="N58" s="216"/>
      <c r="O58" s="216"/>
      <c r="P58" s="216"/>
      <c r="Q58" s="216"/>
      <c r="R58" s="216"/>
      <c r="S58" s="216"/>
      <c r="T58" s="216"/>
      <c r="U58" s="216"/>
      <c r="V58" s="216"/>
      <c r="W58" s="216"/>
      <c r="X58" s="482"/>
      <c r="Y58" s="216"/>
      <c r="Z58" s="234"/>
      <c r="AA58" s="220"/>
      <c r="AB58" s="218"/>
      <c r="AC58" s="497"/>
      <c r="AD58" s="79"/>
      <c r="AE58" s="485"/>
      <c r="AF58" s="486"/>
      <c r="AG58" s="486"/>
      <c r="AH58" s="220"/>
      <c r="AI58" s="488"/>
      <c r="AJ58" s="220"/>
      <c r="AK58" s="220"/>
      <c r="AL58" s="489"/>
      <c r="AM58" s="220"/>
      <c r="AN58" s="220"/>
      <c r="AO58" s="220"/>
      <c r="AP58" s="217"/>
      <c r="AQ58" s="221"/>
      <c r="AR58" s="248"/>
    </row>
    <row r="59" spans="1:68" ht="20">
      <c r="A59" s="481"/>
      <c r="B59" s="246"/>
      <c r="C59" s="216"/>
      <c r="D59" s="216"/>
      <c r="E59" s="216"/>
      <c r="F59" s="482"/>
      <c r="G59" s="217"/>
      <c r="H59" s="217"/>
      <c r="I59" s="217"/>
      <c r="J59" s="217"/>
      <c r="K59" s="217"/>
      <c r="L59" s="216"/>
      <c r="M59" s="216"/>
      <c r="N59" s="216"/>
      <c r="O59" s="216"/>
      <c r="P59" s="216"/>
      <c r="Q59" s="216"/>
      <c r="R59" s="216"/>
      <c r="S59" s="216"/>
      <c r="T59" s="216"/>
      <c r="U59" s="216"/>
      <c r="V59" s="216"/>
      <c r="W59" s="216"/>
      <c r="X59" s="482"/>
      <c r="Y59" s="216"/>
      <c r="Z59" s="234"/>
      <c r="AA59" s="86"/>
      <c r="AB59" s="218"/>
      <c r="AC59" s="497"/>
      <c r="AD59" s="79"/>
      <c r="AE59" s="485"/>
      <c r="AF59" s="490"/>
      <c r="AG59" s="486"/>
      <c r="AH59" s="220"/>
      <c r="AI59" s="488"/>
      <c r="AJ59" s="220"/>
      <c r="AK59" s="220"/>
      <c r="AL59" s="489"/>
      <c r="AM59" s="220"/>
      <c r="AN59" s="220"/>
      <c r="AO59" s="220"/>
      <c r="AP59" s="217"/>
      <c r="AQ59" s="221"/>
      <c r="AR59" s="248"/>
    </row>
    <row r="60" spans="1:68" ht="20">
      <c r="A60" s="481"/>
      <c r="B60" s="246"/>
      <c r="C60" s="216"/>
      <c r="D60" s="216"/>
      <c r="E60" s="216"/>
      <c r="F60" s="482"/>
      <c r="G60" s="217"/>
      <c r="H60" s="217"/>
      <c r="I60" s="217"/>
      <c r="J60" s="217"/>
      <c r="K60" s="217"/>
      <c r="L60" s="216"/>
      <c r="M60" s="216"/>
      <c r="N60" s="216"/>
      <c r="O60" s="216"/>
      <c r="P60" s="216"/>
      <c r="Q60" s="216"/>
      <c r="R60" s="216"/>
      <c r="S60" s="216"/>
      <c r="T60" s="216"/>
      <c r="U60" s="216"/>
      <c r="V60" s="216"/>
      <c r="W60" s="216"/>
      <c r="X60" s="482"/>
      <c r="Y60" s="216"/>
      <c r="Z60" s="234"/>
      <c r="AA60" s="220"/>
      <c r="AB60" s="218"/>
      <c r="AC60" s="497"/>
      <c r="AD60" s="79"/>
      <c r="AE60" s="79"/>
      <c r="AF60" s="490"/>
      <c r="AG60" s="484"/>
      <c r="AH60" s="220"/>
      <c r="AI60" s="76"/>
      <c r="AJ60" s="220"/>
      <c r="AK60" s="220"/>
      <c r="AL60" s="88"/>
      <c r="AM60" s="220"/>
      <c r="AN60" s="220"/>
      <c r="AO60" s="220"/>
      <c r="AP60" s="217"/>
      <c r="AQ60" s="221"/>
      <c r="AR60" s="248"/>
    </row>
    <row r="61" spans="1:68" ht="20">
      <c r="A61" s="481"/>
      <c r="B61" s="246"/>
      <c r="C61" s="216"/>
      <c r="D61" s="216"/>
      <c r="E61" s="216"/>
      <c r="F61" s="482"/>
      <c r="G61" s="217"/>
      <c r="H61" s="217"/>
      <c r="I61" s="217"/>
      <c r="J61" s="217"/>
      <c r="K61" s="217"/>
      <c r="L61" s="216"/>
      <c r="M61" s="216"/>
      <c r="N61" s="216"/>
      <c r="O61" s="216"/>
      <c r="P61" s="216"/>
      <c r="Q61" s="216"/>
      <c r="R61" s="216"/>
      <c r="S61" s="216"/>
      <c r="T61" s="216"/>
      <c r="U61" s="216"/>
      <c r="V61" s="216"/>
      <c r="W61" s="216"/>
      <c r="X61" s="482"/>
      <c r="Y61" s="216"/>
      <c r="Z61" s="234"/>
      <c r="AA61" s="218"/>
      <c r="AB61" s="218"/>
      <c r="AC61" s="497"/>
      <c r="AD61" s="79"/>
      <c r="AE61" s="79"/>
      <c r="AF61" s="490"/>
      <c r="AG61" s="484"/>
      <c r="AH61" s="220"/>
      <c r="AI61" s="76"/>
      <c r="AJ61" s="220"/>
      <c r="AK61" s="220"/>
      <c r="AL61" s="88"/>
      <c r="AM61" s="220"/>
      <c r="AN61" s="220"/>
      <c r="AO61" s="220"/>
      <c r="AP61" s="217"/>
      <c r="AQ61" s="221"/>
      <c r="AR61" s="248"/>
    </row>
    <row r="62" spans="1:68" ht="20">
      <c r="A62" s="481"/>
      <c r="B62" s="246"/>
      <c r="C62" s="216"/>
      <c r="D62" s="216"/>
      <c r="E62" s="216"/>
      <c r="F62" s="482"/>
      <c r="G62" s="217"/>
      <c r="H62" s="217"/>
      <c r="I62" s="217"/>
      <c r="J62" s="217"/>
      <c r="K62" s="217"/>
      <c r="L62" s="216"/>
      <c r="M62" s="216"/>
      <c r="N62" s="216"/>
      <c r="O62" s="216"/>
      <c r="P62" s="216"/>
      <c r="Q62" s="216"/>
      <c r="R62" s="216"/>
      <c r="S62" s="216"/>
      <c r="T62" s="216"/>
      <c r="U62" s="216"/>
      <c r="V62" s="216"/>
      <c r="W62" s="216"/>
      <c r="X62" s="217"/>
      <c r="Y62" s="216"/>
      <c r="Z62" s="234"/>
      <c r="AA62" s="220"/>
      <c r="AB62" s="218"/>
      <c r="AC62" s="497"/>
      <c r="AD62" s="220"/>
      <c r="AE62" s="220"/>
      <c r="AF62" s="220"/>
      <c r="AG62" s="220"/>
      <c r="AH62" s="220"/>
      <c r="AI62" s="220"/>
      <c r="AJ62" s="220"/>
      <c r="AK62" s="220"/>
      <c r="AL62" s="220"/>
      <c r="AM62" s="220"/>
      <c r="AN62" s="220"/>
      <c r="AO62" s="220"/>
      <c r="AP62" s="217"/>
      <c r="AQ62" s="221"/>
      <c r="AR62" s="248"/>
    </row>
    <row r="63" spans="1:68" ht="20">
      <c r="A63" s="481"/>
      <c r="B63" s="246"/>
      <c r="C63" s="216"/>
      <c r="D63" s="216"/>
      <c r="E63" s="216"/>
      <c r="F63" s="217"/>
      <c r="G63" s="217"/>
      <c r="H63" s="217"/>
      <c r="I63" s="217"/>
      <c r="J63" s="217"/>
      <c r="K63" s="217"/>
      <c r="L63" s="216"/>
      <c r="M63" s="216"/>
      <c r="N63" s="216"/>
      <c r="O63" s="216"/>
      <c r="P63" s="216"/>
      <c r="Q63" s="216"/>
      <c r="R63" s="216"/>
      <c r="S63" s="216"/>
      <c r="T63" s="216"/>
      <c r="U63" s="216"/>
      <c r="V63" s="216"/>
      <c r="W63" s="216"/>
      <c r="X63" s="217"/>
      <c r="Y63" s="216"/>
      <c r="Z63" s="234"/>
      <c r="AA63" s="220"/>
      <c r="AB63" s="218"/>
      <c r="AC63" s="497"/>
      <c r="AD63" s="79"/>
      <c r="AE63" s="79"/>
      <c r="AF63" s="87"/>
      <c r="AG63" s="87"/>
      <c r="AH63" s="220"/>
      <c r="AI63" s="76"/>
      <c r="AJ63" s="220"/>
      <c r="AK63" s="220"/>
      <c r="AL63" s="88"/>
      <c r="AM63" s="220"/>
      <c r="AN63" s="220"/>
      <c r="AO63" s="220"/>
      <c r="AP63" s="217"/>
      <c r="AQ63" s="221"/>
      <c r="AR63" s="248"/>
    </row>
    <row r="64" spans="1:68" ht="20">
      <c r="A64" s="481"/>
      <c r="B64" s="246"/>
      <c r="C64" s="216"/>
      <c r="D64" s="216"/>
      <c r="E64" s="216"/>
      <c r="F64" s="482"/>
      <c r="G64" s="217"/>
      <c r="H64" s="217"/>
      <c r="I64" s="217"/>
      <c r="J64" s="217"/>
      <c r="K64" s="217"/>
      <c r="L64" s="216"/>
      <c r="M64" s="216"/>
      <c r="N64" s="216"/>
      <c r="O64" s="216"/>
      <c r="P64" s="216"/>
      <c r="Q64" s="216"/>
      <c r="R64" s="216"/>
      <c r="S64" s="216"/>
      <c r="T64" s="216"/>
      <c r="U64" s="216"/>
      <c r="V64" s="216"/>
      <c r="W64" s="216"/>
      <c r="X64" s="482"/>
      <c r="Y64" s="216"/>
      <c r="Z64" s="234"/>
      <c r="AA64" s="220"/>
      <c r="AB64" s="218"/>
      <c r="AC64" s="220"/>
      <c r="AD64" s="79"/>
      <c r="AE64" s="79"/>
      <c r="AF64" s="498"/>
      <c r="AG64" s="87"/>
      <c r="AH64" s="220"/>
      <c r="AI64" s="76"/>
      <c r="AJ64" s="220"/>
      <c r="AK64" s="220"/>
      <c r="AL64" s="88"/>
      <c r="AM64" s="220"/>
      <c r="AN64" s="220"/>
      <c r="AO64" s="220"/>
      <c r="AP64" s="217"/>
      <c r="AQ64" s="221"/>
      <c r="AR64" s="248"/>
    </row>
    <row r="65" spans="1:44" ht="20">
      <c r="A65" s="481"/>
      <c r="B65" s="246"/>
      <c r="C65" s="216"/>
      <c r="D65" s="216"/>
      <c r="E65" s="216"/>
      <c r="F65" s="482"/>
      <c r="G65" s="217"/>
      <c r="H65" s="217"/>
      <c r="I65" s="217"/>
      <c r="J65" s="217"/>
      <c r="K65" s="217"/>
      <c r="L65" s="216"/>
      <c r="M65" s="216"/>
      <c r="N65" s="216"/>
      <c r="O65" s="216"/>
      <c r="P65" s="216"/>
      <c r="Q65" s="216"/>
      <c r="R65" s="216"/>
      <c r="S65" s="216"/>
      <c r="T65" s="216"/>
      <c r="U65" s="216"/>
      <c r="V65" s="216"/>
      <c r="W65" s="216"/>
      <c r="X65" s="482"/>
      <c r="Y65" s="216"/>
      <c r="Z65" s="234"/>
      <c r="AA65" s="79"/>
      <c r="AB65" s="218"/>
      <c r="AC65" s="483"/>
      <c r="AD65" s="79"/>
      <c r="AE65" s="485"/>
      <c r="AF65" s="486"/>
      <c r="AG65" s="486"/>
      <c r="AH65" s="220"/>
      <c r="AI65" s="488"/>
      <c r="AJ65" s="220"/>
      <c r="AK65" s="220"/>
      <c r="AL65" s="485"/>
      <c r="AM65" s="220"/>
      <c r="AN65" s="220"/>
      <c r="AO65" s="220"/>
      <c r="AP65" s="217"/>
      <c r="AQ65" s="221"/>
      <c r="AR65" s="248"/>
    </row>
    <row r="66" spans="1:44" ht="20">
      <c r="A66" s="481"/>
      <c r="B66" s="246"/>
      <c r="C66" s="216"/>
      <c r="D66" s="216"/>
      <c r="E66" s="216"/>
      <c r="F66" s="482"/>
      <c r="G66" s="217"/>
      <c r="H66" s="217"/>
      <c r="I66" s="217"/>
      <c r="J66" s="217"/>
      <c r="K66" s="217"/>
      <c r="L66" s="216"/>
      <c r="M66" s="216"/>
      <c r="N66" s="216"/>
      <c r="O66" s="216"/>
      <c r="P66" s="216"/>
      <c r="Q66" s="216"/>
      <c r="R66" s="216"/>
      <c r="S66" s="216"/>
      <c r="T66" s="216"/>
      <c r="U66" s="216"/>
      <c r="V66" s="216"/>
      <c r="W66" s="216"/>
      <c r="X66" s="482"/>
      <c r="Y66" s="216"/>
      <c r="Z66" s="234"/>
      <c r="AA66" s="220"/>
      <c r="AB66" s="218"/>
      <c r="AC66" s="497"/>
      <c r="AD66" s="79"/>
      <c r="AE66" s="79"/>
      <c r="AF66" s="87"/>
      <c r="AG66" s="87"/>
      <c r="AH66" s="220"/>
      <c r="AI66" s="76"/>
      <c r="AJ66" s="220"/>
      <c r="AK66" s="220"/>
      <c r="AL66" s="88"/>
      <c r="AM66" s="220"/>
      <c r="AN66" s="220"/>
      <c r="AO66" s="220"/>
      <c r="AP66" s="217"/>
      <c r="AQ66" s="221"/>
      <c r="AR66" s="248"/>
    </row>
    <row r="67" spans="1:44" ht="20">
      <c r="A67" s="481"/>
      <c r="B67" s="246"/>
      <c r="C67" s="216"/>
      <c r="D67" s="216"/>
      <c r="E67" s="216"/>
      <c r="F67" s="482"/>
      <c r="G67" s="217"/>
      <c r="H67" s="217"/>
      <c r="I67" s="217"/>
      <c r="J67" s="217"/>
      <c r="K67" s="217"/>
      <c r="L67" s="216"/>
      <c r="M67" s="216"/>
      <c r="N67" s="216"/>
      <c r="O67" s="216"/>
      <c r="P67" s="216"/>
      <c r="Q67" s="216"/>
      <c r="R67" s="216"/>
      <c r="S67" s="216"/>
      <c r="T67" s="216"/>
      <c r="U67" s="216"/>
      <c r="V67" s="216"/>
      <c r="W67" s="216"/>
      <c r="X67" s="482"/>
      <c r="Y67" s="216"/>
      <c r="Z67" s="234"/>
      <c r="AA67" s="86"/>
      <c r="AB67" s="218"/>
      <c r="AC67" s="497"/>
      <c r="AD67" s="79"/>
      <c r="AE67" s="79"/>
      <c r="AF67" s="87"/>
      <c r="AG67" s="87"/>
      <c r="AH67" s="220"/>
      <c r="AI67" s="76"/>
      <c r="AJ67" s="79"/>
      <c r="AK67" s="220"/>
      <c r="AL67" s="88"/>
      <c r="AM67" s="220"/>
      <c r="AN67" s="220"/>
      <c r="AO67" s="220"/>
      <c r="AP67" s="217"/>
      <c r="AQ67" s="221"/>
      <c r="AR67" s="248"/>
    </row>
    <row r="68" spans="1:44" ht="20">
      <c r="A68" s="481"/>
      <c r="B68" s="246"/>
      <c r="C68" s="216"/>
      <c r="D68" s="216"/>
      <c r="E68" s="216"/>
      <c r="F68" s="482"/>
      <c r="G68" s="217"/>
      <c r="H68" s="217"/>
      <c r="I68" s="217"/>
      <c r="J68" s="217"/>
      <c r="K68" s="217"/>
      <c r="L68" s="216"/>
      <c r="M68" s="216"/>
      <c r="N68" s="216"/>
      <c r="O68" s="216"/>
      <c r="P68" s="216"/>
      <c r="Q68" s="216"/>
      <c r="R68" s="216"/>
      <c r="S68" s="216"/>
      <c r="T68" s="216"/>
      <c r="U68" s="216"/>
      <c r="V68" s="216"/>
      <c r="W68" s="216"/>
      <c r="X68" s="482"/>
      <c r="Y68" s="216"/>
      <c r="Z68" s="234"/>
      <c r="AA68" s="220"/>
      <c r="AB68" s="218"/>
      <c r="AC68" s="497"/>
      <c r="AD68" s="79"/>
      <c r="AE68" s="79"/>
      <c r="AF68" s="87"/>
      <c r="AG68" s="87"/>
      <c r="AH68" s="220"/>
      <c r="AI68" s="76"/>
      <c r="AJ68" s="88"/>
      <c r="AK68" s="220"/>
      <c r="AL68" s="220"/>
      <c r="AM68" s="220"/>
      <c r="AN68" s="220"/>
      <c r="AO68" s="220"/>
      <c r="AP68" s="217"/>
      <c r="AQ68" s="221"/>
      <c r="AR68" s="248"/>
    </row>
    <row r="69" spans="1:44" ht="20">
      <c r="A69" s="481"/>
      <c r="B69" s="246"/>
      <c r="C69" s="216"/>
      <c r="D69" s="216"/>
      <c r="E69" s="216"/>
      <c r="F69" s="482"/>
      <c r="G69" s="217"/>
      <c r="H69" s="217"/>
      <c r="I69" s="217"/>
      <c r="J69" s="217"/>
      <c r="K69" s="217"/>
      <c r="L69" s="216"/>
      <c r="M69" s="216"/>
      <c r="N69" s="216"/>
      <c r="O69" s="216"/>
      <c r="P69" s="216"/>
      <c r="Q69" s="216"/>
      <c r="R69" s="216"/>
      <c r="S69" s="216"/>
      <c r="T69" s="216"/>
      <c r="U69" s="216"/>
      <c r="V69" s="216"/>
      <c r="W69" s="216"/>
      <c r="X69" s="482"/>
      <c r="Y69" s="216"/>
      <c r="Z69" s="79"/>
      <c r="AA69" s="218"/>
      <c r="AB69" s="218"/>
      <c r="AC69" s="497"/>
      <c r="AD69" s="79"/>
      <c r="AE69" s="79"/>
      <c r="AF69" s="87"/>
      <c r="AG69" s="87"/>
      <c r="AH69" s="220"/>
      <c r="AI69" s="76"/>
      <c r="AJ69" s="220"/>
      <c r="AK69" s="220"/>
      <c r="AL69" s="88"/>
      <c r="AM69" s="220"/>
      <c r="AN69" s="220"/>
      <c r="AO69" s="220"/>
      <c r="AP69" s="217"/>
      <c r="AQ69" s="221"/>
      <c r="AR69" s="248"/>
    </row>
    <row r="70" spans="1:44" ht="20">
      <c r="A70" s="481"/>
      <c r="B70" s="246"/>
      <c r="C70" s="216"/>
      <c r="D70" s="216"/>
      <c r="E70" s="216"/>
      <c r="F70" s="482"/>
      <c r="G70" s="217"/>
      <c r="H70" s="217"/>
      <c r="I70" s="217"/>
      <c r="J70" s="217"/>
      <c r="K70" s="217"/>
      <c r="L70" s="216"/>
      <c r="M70" s="216"/>
      <c r="N70" s="216"/>
      <c r="O70" s="216"/>
      <c r="P70" s="216"/>
      <c r="Q70" s="216"/>
      <c r="R70" s="216"/>
      <c r="S70" s="216"/>
      <c r="T70" s="216"/>
      <c r="U70" s="216"/>
      <c r="V70" s="216"/>
      <c r="W70" s="216"/>
      <c r="X70" s="482"/>
      <c r="Y70" s="216"/>
      <c r="Z70" s="79"/>
      <c r="AA70" s="218"/>
      <c r="AB70" s="218"/>
      <c r="AC70" s="497"/>
      <c r="AD70" s="79"/>
      <c r="AE70" s="79"/>
      <c r="AF70" s="87"/>
      <c r="AG70" s="87"/>
      <c r="AH70" s="220"/>
      <c r="AI70" s="76"/>
      <c r="AJ70" s="220"/>
      <c r="AK70" s="220"/>
      <c r="AL70" s="88"/>
      <c r="AM70" s="220"/>
      <c r="AN70" s="220"/>
      <c r="AO70" s="220"/>
      <c r="AP70" s="217"/>
      <c r="AQ70" s="221"/>
      <c r="AR70" s="248"/>
    </row>
    <row r="71" spans="1:44" ht="20">
      <c r="A71" s="481"/>
      <c r="B71" s="246"/>
      <c r="C71" s="216"/>
      <c r="D71" s="216"/>
      <c r="E71" s="216"/>
      <c r="F71" s="482"/>
      <c r="G71" s="217"/>
      <c r="H71" s="217"/>
      <c r="I71" s="217"/>
      <c r="J71" s="217"/>
      <c r="K71" s="217"/>
      <c r="L71" s="216"/>
      <c r="M71" s="216"/>
      <c r="N71" s="216"/>
      <c r="O71" s="216"/>
      <c r="P71" s="216"/>
      <c r="Q71" s="216"/>
      <c r="R71" s="216"/>
      <c r="S71" s="216"/>
      <c r="T71" s="216"/>
      <c r="U71" s="216"/>
      <c r="V71" s="216"/>
      <c r="W71" s="216"/>
      <c r="X71" s="482"/>
      <c r="Y71" s="216"/>
      <c r="Z71" s="79"/>
      <c r="AA71" s="218"/>
      <c r="AB71" s="218"/>
      <c r="AC71" s="219"/>
      <c r="AD71" s="79"/>
      <c r="AE71" s="79"/>
      <c r="AF71" s="87"/>
      <c r="AG71" s="87"/>
      <c r="AH71" s="220"/>
      <c r="AI71" s="76"/>
      <c r="AJ71" s="220"/>
      <c r="AK71" s="220"/>
      <c r="AL71" s="88"/>
      <c r="AM71" s="220"/>
      <c r="AN71" s="220"/>
      <c r="AO71" s="220"/>
      <c r="AP71" s="217"/>
      <c r="AQ71" s="221"/>
      <c r="AR71" s="248"/>
    </row>
    <row r="72" spans="1:44" ht="20">
      <c r="A72" s="481"/>
      <c r="B72" s="246"/>
      <c r="C72" s="216"/>
      <c r="D72" s="216"/>
      <c r="E72" s="216"/>
      <c r="F72" s="482"/>
      <c r="G72" s="217"/>
      <c r="H72" s="217"/>
      <c r="I72" s="217"/>
      <c r="J72" s="217"/>
      <c r="K72" s="217"/>
      <c r="L72" s="216"/>
      <c r="M72" s="216"/>
      <c r="N72" s="216"/>
      <c r="O72" s="216"/>
      <c r="P72" s="216"/>
      <c r="Q72" s="216"/>
      <c r="R72" s="216"/>
      <c r="S72" s="216"/>
      <c r="T72" s="216"/>
      <c r="U72" s="216"/>
      <c r="V72" s="216"/>
      <c r="W72" s="216"/>
      <c r="X72" s="482"/>
      <c r="Y72" s="216"/>
      <c r="Z72" s="79"/>
      <c r="AA72" s="218"/>
      <c r="AB72" s="218"/>
      <c r="AC72" s="497"/>
      <c r="AD72" s="79"/>
      <c r="AE72" s="79"/>
      <c r="AF72" s="87"/>
      <c r="AG72" s="87"/>
      <c r="AH72" s="220"/>
      <c r="AI72" s="76"/>
      <c r="AJ72" s="220"/>
      <c r="AK72" s="220"/>
      <c r="AL72" s="88"/>
      <c r="AM72" s="220"/>
      <c r="AN72" s="220"/>
      <c r="AO72" s="220"/>
      <c r="AP72" s="217"/>
      <c r="AQ72" s="221"/>
      <c r="AR72" s="248"/>
    </row>
    <row r="73" spans="1:44" ht="20">
      <c r="A73" s="481"/>
      <c r="B73" s="246"/>
      <c r="C73" s="216"/>
      <c r="D73" s="216"/>
      <c r="E73" s="216"/>
      <c r="F73" s="482"/>
      <c r="G73" s="217"/>
      <c r="H73" s="217"/>
      <c r="I73" s="217"/>
      <c r="J73" s="217"/>
      <c r="K73" s="217"/>
      <c r="L73" s="216"/>
      <c r="M73" s="216"/>
      <c r="N73" s="216"/>
      <c r="O73" s="216"/>
      <c r="P73" s="216"/>
      <c r="Q73" s="216"/>
      <c r="R73" s="216"/>
      <c r="S73" s="216"/>
      <c r="T73" s="216"/>
      <c r="U73" s="216"/>
      <c r="V73" s="216"/>
      <c r="W73" s="216"/>
      <c r="X73" s="482"/>
      <c r="Y73" s="216"/>
      <c r="Z73" s="234"/>
      <c r="AA73" s="86"/>
      <c r="AB73" s="218"/>
      <c r="AC73" s="219"/>
      <c r="AD73" s="79"/>
      <c r="AE73" s="79"/>
      <c r="AF73" s="87"/>
      <c r="AG73" s="87"/>
      <c r="AH73" s="220"/>
      <c r="AI73" s="76"/>
      <c r="AJ73" s="220"/>
      <c r="AK73" s="220"/>
      <c r="AL73" s="88"/>
      <c r="AM73" s="220"/>
      <c r="AN73" s="220"/>
      <c r="AO73" s="220"/>
      <c r="AP73" s="217"/>
      <c r="AQ73" s="221"/>
      <c r="AR73" s="248"/>
    </row>
    <row r="74" spans="1:44" ht="20">
      <c r="A74" s="481"/>
      <c r="B74" s="246"/>
      <c r="C74" s="216"/>
      <c r="D74" s="216"/>
      <c r="E74" s="216"/>
      <c r="F74" s="482"/>
      <c r="G74" s="217"/>
      <c r="H74" s="217"/>
      <c r="I74" s="217"/>
      <c r="J74" s="217"/>
      <c r="K74" s="217"/>
      <c r="L74" s="216"/>
      <c r="M74" s="216"/>
      <c r="N74" s="216"/>
      <c r="O74" s="216"/>
      <c r="P74" s="216"/>
      <c r="Q74" s="216"/>
      <c r="R74" s="216"/>
      <c r="S74" s="216"/>
      <c r="T74" s="216"/>
      <c r="U74" s="216"/>
      <c r="V74" s="216"/>
      <c r="W74" s="216"/>
      <c r="X74" s="482"/>
      <c r="Y74" s="216"/>
      <c r="Z74" s="234"/>
      <c r="AA74" s="86"/>
      <c r="AB74" s="218"/>
      <c r="AC74" s="497"/>
      <c r="AD74" s="79"/>
      <c r="AE74" s="79"/>
      <c r="AF74" s="87"/>
      <c r="AG74" s="87"/>
      <c r="AH74" s="220"/>
      <c r="AI74" s="76"/>
      <c r="AJ74" s="220"/>
      <c r="AK74" s="220"/>
      <c r="AL74" s="88"/>
      <c r="AM74" s="220"/>
      <c r="AN74" s="220"/>
      <c r="AO74" s="220"/>
      <c r="AP74" s="217"/>
      <c r="AQ74" s="221"/>
      <c r="AR74" s="248"/>
    </row>
    <row r="75" spans="1:44" ht="20">
      <c r="A75" s="481"/>
      <c r="B75" s="246"/>
      <c r="C75" s="216"/>
      <c r="D75" s="216"/>
      <c r="E75" s="216"/>
      <c r="F75" s="482"/>
      <c r="G75" s="217"/>
      <c r="H75" s="217"/>
      <c r="I75" s="217"/>
      <c r="J75" s="217"/>
      <c r="K75" s="217"/>
      <c r="L75" s="216"/>
      <c r="M75" s="216"/>
      <c r="N75" s="216"/>
      <c r="O75" s="216"/>
      <c r="P75" s="216"/>
      <c r="Q75" s="216"/>
      <c r="R75" s="216"/>
      <c r="S75" s="216"/>
      <c r="T75" s="216"/>
      <c r="U75" s="216"/>
      <c r="V75" s="216"/>
      <c r="W75" s="216"/>
      <c r="X75" s="482"/>
      <c r="Y75" s="216"/>
      <c r="Z75" s="234"/>
      <c r="AA75" s="86"/>
      <c r="AB75" s="218"/>
      <c r="AC75" s="499"/>
      <c r="AD75" s="79"/>
      <c r="AE75" s="79"/>
      <c r="AF75" s="87"/>
      <c r="AG75" s="87"/>
      <c r="AH75" s="220"/>
      <c r="AI75" s="76"/>
      <c r="AJ75" s="220"/>
      <c r="AK75" s="220"/>
      <c r="AL75" s="88"/>
      <c r="AM75" s="220"/>
      <c r="AN75" s="220"/>
      <c r="AO75" s="220"/>
      <c r="AP75" s="217"/>
      <c r="AQ75" s="221"/>
      <c r="AR75" s="248"/>
    </row>
    <row r="76" spans="1:44" ht="20">
      <c r="A76" s="481"/>
      <c r="B76" s="246"/>
      <c r="C76" s="216"/>
      <c r="D76" s="216"/>
      <c r="E76" s="216"/>
      <c r="F76" s="482"/>
      <c r="G76" s="217"/>
      <c r="H76" s="217"/>
      <c r="I76" s="217"/>
      <c r="J76" s="217"/>
      <c r="K76" s="217"/>
      <c r="L76" s="216"/>
      <c r="M76" s="216"/>
      <c r="N76" s="216"/>
      <c r="O76" s="216"/>
      <c r="P76" s="216"/>
      <c r="Q76" s="216"/>
      <c r="R76" s="216"/>
      <c r="S76" s="216"/>
      <c r="T76" s="216"/>
      <c r="U76" s="216"/>
      <c r="V76" s="216"/>
      <c r="W76" s="216"/>
      <c r="X76" s="482"/>
      <c r="Y76" s="216"/>
      <c r="Z76" s="234"/>
      <c r="AA76" s="86"/>
      <c r="AB76" s="218"/>
      <c r="AC76" s="499"/>
      <c r="AD76" s="79"/>
      <c r="AE76" s="79"/>
      <c r="AF76" s="87"/>
      <c r="AG76" s="87"/>
      <c r="AH76" s="220"/>
      <c r="AI76" s="76"/>
      <c r="AJ76" s="220"/>
      <c r="AK76" s="220"/>
      <c r="AL76" s="88"/>
      <c r="AM76" s="220"/>
      <c r="AN76" s="220"/>
      <c r="AO76" s="220"/>
      <c r="AP76" s="217"/>
      <c r="AQ76" s="221"/>
      <c r="AR76" s="248"/>
    </row>
    <row r="77" spans="1:44" ht="20">
      <c r="A77" s="481"/>
      <c r="B77" s="246"/>
      <c r="C77" s="216"/>
      <c r="D77" s="216"/>
      <c r="E77" s="216"/>
      <c r="F77" s="482"/>
      <c r="G77" s="217"/>
      <c r="H77" s="217"/>
      <c r="I77" s="217"/>
      <c r="J77" s="217"/>
      <c r="K77" s="217"/>
      <c r="L77" s="216"/>
      <c r="M77" s="216"/>
      <c r="N77" s="216"/>
      <c r="O77" s="216"/>
      <c r="P77" s="216"/>
      <c r="Q77" s="216"/>
      <c r="R77" s="216"/>
      <c r="S77" s="216"/>
      <c r="T77" s="216"/>
      <c r="U77" s="216"/>
      <c r="V77" s="216"/>
      <c r="W77" s="216"/>
      <c r="X77" s="482"/>
      <c r="Y77" s="216"/>
      <c r="Z77" s="234"/>
      <c r="AA77" s="86"/>
      <c r="AB77" s="218"/>
      <c r="AC77" s="499"/>
      <c r="AD77" s="79"/>
      <c r="AE77" s="79"/>
      <c r="AF77" s="87"/>
      <c r="AG77" s="87"/>
      <c r="AH77" s="220"/>
      <c r="AI77" s="76"/>
      <c r="AJ77" s="220"/>
      <c r="AK77" s="220"/>
      <c r="AL77" s="88"/>
      <c r="AM77" s="220"/>
      <c r="AN77" s="220"/>
      <c r="AO77" s="220"/>
      <c r="AP77" s="217"/>
      <c r="AQ77" s="221"/>
      <c r="AR77" s="248"/>
    </row>
    <row r="78" spans="1:44" ht="20">
      <c r="A78" s="481"/>
      <c r="B78" s="246"/>
      <c r="C78" s="216"/>
      <c r="D78" s="216"/>
      <c r="E78" s="216"/>
      <c r="F78" s="482"/>
      <c r="G78" s="217"/>
      <c r="H78" s="217"/>
      <c r="I78" s="217"/>
      <c r="J78" s="217"/>
      <c r="K78" s="217"/>
      <c r="L78" s="216"/>
      <c r="M78" s="216"/>
      <c r="N78" s="216"/>
      <c r="O78" s="216"/>
      <c r="P78" s="216"/>
      <c r="Q78" s="216"/>
      <c r="R78" s="216"/>
      <c r="S78" s="216"/>
      <c r="T78" s="216"/>
      <c r="U78" s="216"/>
      <c r="V78" s="216"/>
      <c r="W78" s="216"/>
      <c r="X78" s="482"/>
      <c r="Y78" s="216"/>
      <c r="Z78" s="234"/>
      <c r="AA78" s="86"/>
      <c r="AB78" s="218"/>
      <c r="AC78" s="219"/>
      <c r="AD78" s="79"/>
      <c r="AE78" s="485"/>
      <c r="AF78" s="486"/>
      <c r="AG78" s="486"/>
      <c r="AH78" s="220"/>
      <c r="AI78" s="488"/>
      <c r="AJ78" s="220"/>
      <c r="AK78" s="220"/>
      <c r="AL78" s="489"/>
      <c r="AM78" s="220"/>
      <c r="AN78" s="220"/>
      <c r="AO78" s="220"/>
      <c r="AP78" s="217"/>
      <c r="AQ78" s="221"/>
      <c r="AR78" s="248"/>
    </row>
    <row r="79" spans="1:44" ht="20">
      <c r="A79" s="481"/>
      <c r="B79" s="246"/>
      <c r="C79" s="216"/>
      <c r="D79" s="216"/>
      <c r="E79" s="216"/>
      <c r="F79" s="482"/>
      <c r="G79" s="217"/>
      <c r="H79" s="217"/>
      <c r="I79" s="217"/>
      <c r="J79" s="217"/>
      <c r="K79" s="217"/>
      <c r="L79" s="216"/>
      <c r="M79" s="216"/>
      <c r="N79" s="216"/>
      <c r="O79" s="216"/>
      <c r="P79" s="216"/>
      <c r="Q79" s="216"/>
      <c r="R79" s="216"/>
      <c r="S79" s="216"/>
      <c r="T79" s="216"/>
      <c r="U79" s="216"/>
      <c r="V79" s="216"/>
      <c r="W79" s="216"/>
      <c r="X79" s="217"/>
      <c r="Y79" s="216"/>
      <c r="Z79" s="234"/>
      <c r="AA79" s="86"/>
      <c r="AB79" s="218"/>
      <c r="AC79" s="219"/>
      <c r="AD79" s="79"/>
      <c r="AE79" s="79"/>
      <c r="AF79" s="87"/>
      <c r="AG79" s="87"/>
      <c r="AH79" s="220"/>
      <c r="AI79" s="76"/>
      <c r="AJ79" s="220"/>
      <c r="AK79" s="220"/>
      <c r="AL79" s="88"/>
      <c r="AM79" s="220"/>
      <c r="AN79" s="220"/>
      <c r="AO79" s="220"/>
      <c r="AP79" s="217"/>
      <c r="AQ79" s="221"/>
      <c r="AR79" s="248"/>
    </row>
    <row r="80" spans="1:44" ht="20">
      <c r="A80" s="487"/>
      <c r="B80" s="246"/>
      <c r="C80" s="216"/>
      <c r="D80" s="216"/>
      <c r="E80" s="216"/>
      <c r="F80" s="482"/>
      <c r="G80" s="217"/>
      <c r="H80" s="217"/>
      <c r="I80" s="217"/>
      <c r="J80" s="217"/>
      <c r="K80" s="217"/>
      <c r="L80" s="216"/>
      <c r="M80" s="216"/>
      <c r="N80" s="216"/>
      <c r="O80" s="216"/>
      <c r="P80" s="216"/>
      <c r="Q80" s="216"/>
      <c r="R80" s="216"/>
      <c r="S80" s="216"/>
      <c r="T80" s="216"/>
      <c r="U80" s="216"/>
      <c r="V80" s="216"/>
      <c r="W80" s="216"/>
      <c r="X80" s="217"/>
      <c r="Y80" s="79"/>
      <c r="Z80" s="234"/>
      <c r="AA80" s="86"/>
      <c r="AB80" s="218"/>
      <c r="AC80" s="219"/>
      <c r="AD80" s="79"/>
      <c r="AE80" s="485"/>
      <c r="AF80" s="486"/>
      <c r="AG80" s="486"/>
      <c r="AH80" s="220"/>
      <c r="AI80" s="488"/>
      <c r="AJ80" s="220"/>
      <c r="AK80" s="220"/>
      <c r="AL80" s="489"/>
      <c r="AM80" s="488"/>
      <c r="AN80" s="76"/>
      <c r="AO80" s="76"/>
      <c r="AP80" s="76"/>
      <c r="AQ80" s="221"/>
      <c r="AR80" s="248"/>
    </row>
    <row r="81" spans="1:44" ht="20">
      <c r="A81" s="487"/>
      <c r="B81" s="246"/>
      <c r="C81" s="216"/>
      <c r="D81" s="216"/>
      <c r="E81" s="216"/>
      <c r="F81" s="482"/>
      <c r="G81" s="217"/>
      <c r="H81" s="217"/>
      <c r="I81" s="217"/>
      <c r="J81" s="217"/>
      <c r="K81" s="217"/>
      <c r="L81" s="216"/>
      <c r="M81" s="216"/>
      <c r="N81" s="216"/>
      <c r="O81" s="216"/>
      <c r="P81" s="216"/>
      <c r="Q81" s="216"/>
      <c r="R81" s="216"/>
      <c r="S81" s="216"/>
      <c r="T81" s="216"/>
      <c r="U81" s="216"/>
      <c r="V81" s="216"/>
      <c r="W81" s="216"/>
      <c r="X81" s="217"/>
      <c r="Y81" s="79"/>
      <c r="Z81" s="234"/>
      <c r="AA81" s="86"/>
      <c r="AB81" s="218"/>
      <c r="AC81" s="219"/>
      <c r="AD81" s="79"/>
      <c r="AE81" s="485"/>
      <c r="AF81" s="486"/>
      <c r="AG81" s="486"/>
      <c r="AH81" s="220"/>
      <c r="AI81" s="488"/>
      <c r="AJ81" s="220"/>
      <c r="AK81" s="220"/>
      <c r="AL81" s="489"/>
      <c r="AM81" s="488"/>
      <c r="AN81" s="76"/>
      <c r="AO81" s="76"/>
      <c r="AP81" s="76"/>
      <c r="AQ81" s="221"/>
      <c r="AR81" s="248"/>
    </row>
    <row r="82" spans="1:44" ht="20">
      <c r="A82" s="487"/>
      <c r="B82" s="246"/>
      <c r="C82" s="216"/>
      <c r="D82" s="216"/>
      <c r="E82" s="216"/>
      <c r="F82" s="482"/>
      <c r="G82" s="217"/>
      <c r="H82" s="217"/>
      <c r="I82" s="217"/>
      <c r="J82" s="217"/>
      <c r="K82" s="217"/>
      <c r="L82" s="216"/>
      <c r="M82" s="216"/>
      <c r="N82" s="216"/>
      <c r="O82" s="216"/>
      <c r="P82" s="216"/>
      <c r="Q82" s="216"/>
      <c r="R82" s="216"/>
      <c r="S82" s="216"/>
      <c r="T82" s="216"/>
      <c r="U82" s="216"/>
      <c r="V82" s="216"/>
      <c r="W82" s="216"/>
      <c r="X82" s="217"/>
      <c r="Y82" s="79"/>
      <c r="Z82" s="234"/>
      <c r="AA82" s="86"/>
      <c r="AB82" s="218"/>
      <c r="AC82" s="219"/>
      <c r="AD82" s="79"/>
      <c r="AE82" s="485"/>
      <c r="AF82" s="486"/>
      <c r="AG82" s="486"/>
      <c r="AH82" s="220"/>
      <c r="AI82" s="488"/>
      <c r="AJ82" s="220"/>
      <c r="AK82" s="220"/>
      <c r="AL82" s="489"/>
      <c r="AM82" s="488"/>
      <c r="AN82" s="76"/>
      <c r="AO82" s="76"/>
      <c r="AP82" s="76"/>
      <c r="AQ82" s="221"/>
      <c r="AR82" s="248"/>
    </row>
    <row r="83" spans="1:44" ht="20">
      <c r="A83" s="487"/>
      <c r="B83" s="246"/>
      <c r="C83" s="216"/>
      <c r="D83" s="216"/>
      <c r="E83" s="216"/>
      <c r="F83" s="482"/>
      <c r="G83" s="217"/>
      <c r="H83" s="217"/>
      <c r="I83" s="217"/>
      <c r="J83" s="217"/>
      <c r="K83" s="217"/>
      <c r="L83" s="216"/>
      <c r="M83" s="216"/>
      <c r="N83" s="216"/>
      <c r="O83" s="216"/>
      <c r="P83" s="216"/>
      <c r="Q83" s="216"/>
      <c r="R83" s="216"/>
      <c r="S83" s="216"/>
      <c r="T83" s="216"/>
      <c r="U83" s="216"/>
      <c r="V83" s="216"/>
      <c r="W83" s="216"/>
      <c r="X83" s="217"/>
      <c r="Y83" s="79"/>
      <c r="Z83" s="234"/>
      <c r="AA83" s="86"/>
      <c r="AB83" s="218"/>
      <c r="AC83" s="219"/>
      <c r="AD83" s="79"/>
      <c r="AE83" s="485"/>
      <c r="AF83" s="486"/>
      <c r="AG83" s="486"/>
      <c r="AH83" s="220"/>
      <c r="AI83" s="488"/>
      <c r="AJ83" s="220"/>
      <c r="AK83" s="220"/>
      <c r="AL83" s="489"/>
      <c r="AM83" s="488"/>
      <c r="AN83" s="76"/>
      <c r="AO83" s="76"/>
      <c r="AP83" s="76"/>
      <c r="AQ83" s="221"/>
      <c r="AR83" s="248"/>
    </row>
    <row r="84" spans="1:44" ht="20">
      <c r="A84" s="481"/>
      <c r="B84" s="246"/>
      <c r="C84" s="216"/>
      <c r="D84" s="246"/>
      <c r="E84" s="216"/>
      <c r="F84" s="482"/>
      <c r="G84" s="217"/>
      <c r="H84" s="217"/>
      <c r="I84" s="217"/>
      <c r="J84" s="217"/>
      <c r="K84" s="217"/>
      <c r="L84" s="216"/>
      <c r="M84" s="216"/>
      <c r="N84" s="216"/>
      <c r="O84" s="216"/>
      <c r="P84" s="216"/>
      <c r="Q84" s="216"/>
      <c r="R84" s="216"/>
      <c r="S84" s="216"/>
      <c r="T84" s="216"/>
      <c r="U84" s="216"/>
      <c r="V84" s="216"/>
      <c r="W84" s="216"/>
      <c r="X84" s="217"/>
      <c r="Y84" s="216"/>
      <c r="Z84" s="234"/>
      <c r="AA84" s="79"/>
      <c r="AB84" s="218"/>
      <c r="AC84" s="483"/>
      <c r="AD84" s="79"/>
      <c r="AE84" s="485"/>
      <c r="AF84" s="486"/>
      <c r="AG84" s="486"/>
      <c r="AH84" s="220"/>
      <c r="AI84" s="488"/>
      <c r="AJ84" s="220"/>
      <c r="AK84" s="220"/>
      <c r="AL84" s="485"/>
      <c r="AM84" s="488"/>
      <c r="AN84" s="76"/>
      <c r="AO84" s="76"/>
      <c r="AP84" s="76"/>
      <c r="AQ84" s="221"/>
      <c r="AR84" s="248"/>
    </row>
    <row r="85" spans="1:44" ht="20">
      <c r="A85" s="481"/>
      <c r="B85" s="246"/>
      <c r="C85" s="216"/>
      <c r="D85" s="216"/>
      <c r="E85" s="216"/>
      <c r="F85" s="482"/>
      <c r="G85" s="217"/>
      <c r="H85" s="217"/>
      <c r="I85" s="217"/>
      <c r="J85" s="217"/>
      <c r="K85" s="217"/>
      <c r="L85" s="216"/>
      <c r="M85" s="216"/>
      <c r="N85" s="216"/>
      <c r="O85" s="216"/>
      <c r="P85" s="216"/>
      <c r="Q85" s="216"/>
      <c r="R85" s="216"/>
      <c r="S85" s="216"/>
      <c r="T85" s="216"/>
      <c r="U85" s="216"/>
      <c r="V85" s="216"/>
      <c r="W85" s="216"/>
      <c r="X85" s="217"/>
      <c r="Y85" s="216"/>
      <c r="Z85" s="234"/>
      <c r="AA85" s="79"/>
      <c r="AB85" s="218"/>
      <c r="AC85" s="483"/>
      <c r="AD85" s="79"/>
      <c r="AE85" s="485"/>
      <c r="AF85" s="486"/>
      <c r="AG85" s="486"/>
      <c r="AH85" s="220"/>
      <c r="AI85" s="488"/>
      <c r="AJ85" s="220"/>
      <c r="AK85" s="220"/>
      <c r="AL85" s="485"/>
      <c r="AM85" s="488"/>
      <c r="AN85" s="76"/>
      <c r="AO85" s="76"/>
      <c r="AP85" s="76"/>
      <c r="AQ85" s="221"/>
      <c r="AR85" s="248"/>
    </row>
    <row r="86" spans="1:44" ht="20">
      <c r="A86" s="481"/>
      <c r="B86" s="246"/>
      <c r="C86" s="216"/>
      <c r="D86" s="216"/>
      <c r="E86" s="216"/>
      <c r="F86" s="482"/>
      <c r="G86" s="217"/>
      <c r="H86" s="217"/>
      <c r="I86" s="217"/>
      <c r="J86" s="217"/>
      <c r="K86" s="217"/>
      <c r="L86" s="216"/>
      <c r="M86" s="216"/>
      <c r="N86" s="216"/>
      <c r="O86" s="216"/>
      <c r="P86" s="216"/>
      <c r="Q86" s="216"/>
      <c r="R86" s="216"/>
      <c r="S86" s="216"/>
      <c r="T86" s="216"/>
      <c r="U86" s="216"/>
      <c r="V86" s="216"/>
      <c r="W86" s="216"/>
      <c r="X86" s="217"/>
      <c r="Y86" s="216"/>
      <c r="Z86" s="234"/>
      <c r="AA86" s="79"/>
      <c r="AB86" s="218"/>
      <c r="AC86" s="483"/>
      <c r="AD86" s="79"/>
      <c r="AE86" s="485"/>
      <c r="AF86" s="486"/>
      <c r="AG86" s="486"/>
      <c r="AH86" s="220"/>
      <c r="AI86" s="488"/>
      <c r="AJ86" s="220"/>
      <c r="AK86" s="220"/>
      <c r="AL86" s="485"/>
      <c r="AM86" s="488"/>
      <c r="AN86" s="76"/>
      <c r="AO86" s="76"/>
      <c r="AP86" s="76"/>
      <c r="AQ86" s="221"/>
      <c r="AR86" s="248"/>
    </row>
    <row r="87" spans="1:44" ht="20">
      <c r="A87" s="481"/>
      <c r="B87" s="246"/>
      <c r="C87" s="216"/>
      <c r="D87" s="216"/>
      <c r="E87" s="216"/>
      <c r="F87" s="482"/>
      <c r="G87" s="217"/>
      <c r="H87" s="217"/>
      <c r="I87" s="217"/>
      <c r="J87" s="217"/>
      <c r="K87" s="217"/>
      <c r="L87" s="216"/>
      <c r="M87" s="216"/>
      <c r="N87" s="216"/>
      <c r="O87" s="216"/>
      <c r="P87" s="216"/>
      <c r="Q87" s="216"/>
      <c r="R87" s="216"/>
      <c r="S87" s="216"/>
      <c r="T87" s="216"/>
      <c r="U87" s="216"/>
      <c r="V87" s="216"/>
      <c r="W87" s="216"/>
      <c r="X87" s="217"/>
      <c r="Y87" s="216"/>
      <c r="Z87" s="234"/>
      <c r="AA87" s="79"/>
      <c r="AB87" s="218"/>
      <c r="AC87" s="483"/>
      <c r="AD87" s="79"/>
      <c r="AE87" s="485"/>
      <c r="AF87" s="486"/>
      <c r="AG87" s="486"/>
      <c r="AH87" s="220"/>
      <c r="AI87" s="488"/>
      <c r="AJ87" s="220"/>
      <c r="AK87" s="220"/>
      <c r="AL87" s="485"/>
      <c r="AM87" s="488"/>
      <c r="AN87" s="76"/>
      <c r="AO87" s="76"/>
      <c r="AP87" s="76"/>
      <c r="AQ87" s="221"/>
      <c r="AR87" s="248"/>
    </row>
    <row r="88" spans="1:44" ht="20">
      <c r="A88" s="481"/>
      <c r="B88" s="246"/>
      <c r="C88" s="216"/>
      <c r="D88" s="216"/>
      <c r="E88" s="216"/>
      <c r="F88" s="482"/>
      <c r="G88" s="217"/>
      <c r="H88" s="217"/>
      <c r="I88" s="217"/>
      <c r="J88" s="217"/>
      <c r="K88" s="217"/>
      <c r="L88" s="216"/>
      <c r="M88" s="216"/>
      <c r="N88" s="216"/>
      <c r="O88" s="216"/>
      <c r="P88" s="216"/>
      <c r="Q88" s="216"/>
      <c r="R88" s="216"/>
      <c r="S88" s="216"/>
      <c r="T88" s="216"/>
      <c r="U88" s="216"/>
      <c r="V88" s="216"/>
      <c r="W88" s="216"/>
      <c r="X88" s="217"/>
      <c r="Y88" s="216"/>
      <c r="Z88" s="234"/>
      <c r="AA88" s="79"/>
      <c r="AB88" s="218"/>
      <c r="AC88" s="483"/>
      <c r="AD88" s="79"/>
      <c r="AE88" s="485"/>
      <c r="AF88" s="486"/>
      <c r="AG88" s="486"/>
      <c r="AH88" s="220"/>
      <c r="AI88" s="488"/>
      <c r="AJ88" s="220"/>
      <c r="AK88" s="220"/>
      <c r="AL88" s="485"/>
      <c r="AM88" s="488"/>
      <c r="AN88" s="76"/>
      <c r="AO88" s="76"/>
      <c r="AP88" s="76"/>
      <c r="AQ88" s="221"/>
      <c r="AR88" s="248"/>
    </row>
    <row r="89" spans="1:44" ht="20">
      <c r="A89" s="481"/>
      <c r="B89" s="246"/>
      <c r="C89" s="216"/>
      <c r="D89" s="216"/>
      <c r="E89" s="216"/>
      <c r="F89" s="482"/>
      <c r="G89" s="217"/>
      <c r="H89" s="217"/>
      <c r="I89" s="217"/>
      <c r="J89" s="217"/>
      <c r="K89" s="217"/>
      <c r="L89" s="216"/>
      <c r="M89" s="216"/>
      <c r="N89" s="216"/>
      <c r="O89" s="216"/>
      <c r="P89" s="216"/>
      <c r="Q89" s="216"/>
      <c r="R89" s="216"/>
      <c r="S89" s="216"/>
      <c r="T89" s="216"/>
      <c r="U89" s="216"/>
      <c r="V89" s="216"/>
      <c r="W89" s="216"/>
      <c r="X89" s="482"/>
      <c r="Y89" s="216"/>
      <c r="Z89" s="234"/>
      <c r="AA89" s="79"/>
      <c r="AB89" s="218"/>
      <c r="AC89" s="483"/>
      <c r="AD89" s="79"/>
      <c r="AE89" s="485"/>
      <c r="AF89" s="486"/>
      <c r="AG89" s="486"/>
      <c r="AH89" s="220"/>
      <c r="AI89" s="488"/>
      <c r="AJ89" s="220"/>
      <c r="AK89" s="220"/>
      <c r="AL89" s="485"/>
      <c r="AM89" s="488"/>
      <c r="AN89" s="76"/>
      <c r="AO89" s="76"/>
      <c r="AP89" s="76"/>
      <c r="AQ89" s="221"/>
      <c r="AR89" s="248"/>
    </row>
    <row r="90" spans="1:44" ht="20">
      <c r="A90" s="481"/>
      <c r="B90" s="246"/>
      <c r="C90" s="216"/>
      <c r="D90" s="216"/>
      <c r="E90" s="216"/>
      <c r="F90" s="482"/>
      <c r="G90" s="217"/>
      <c r="H90" s="217"/>
      <c r="I90" s="217"/>
      <c r="J90" s="217"/>
      <c r="K90" s="217"/>
      <c r="L90" s="216"/>
      <c r="M90" s="216"/>
      <c r="N90" s="216"/>
      <c r="O90" s="216"/>
      <c r="P90" s="216"/>
      <c r="Q90" s="216"/>
      <c r="R90" s="216"/>
      <c r="S90" s="216"/>
      <c r="T90" s="216"/>
      <c r="U90" s="216"/>
      <c r="V90" s="216"/>
      <c r="W90" s="216"/>
      <c r="X90" s="482"/>
      <c r="Y90" s="216"/>
      <c r="Z90" s="234"/>
      <c r="AA90" s="79"/>
      <c r="AB90" s="218"/>
      <c r="AC90" s="219"/>
      <c r="AD90" s="79"/>
      <c r="AE90" s="485"/>
      <c r="AF90" s="486"/>
      <c r="AG90" s="486"/>
      <c r="AH90" s="220"/>
      <c r="AI90" s="488"/>
      <c r="AJ90" s="220"/>
      <c r="AK90" s="220"/>
      <c r="AL90" s="485"/>
      <c r="AM90" s="488"/>
      <c r="AN90" s="76"/>
      <c r="AO90" s="76"/>
      <c r="AP90" s="76"/>
      <c r="AQ90" s="221"/>
      <c r="AR90" s="248"/>
    </row>
    <row r="91" spans="1:44" ht="20">
      <c r="A91" s="481"/>
      <c r="B91" s="246"/>
      <c r="C91" s="216"/>
      <c r="D91" s="216"/>
      <c r="E91" s="216"/>
      <c r="F91" s="482"/>
      <c r="G91" s="217"/>
      <c r="H91" s="217"/>
      <c r="I91" s="217"/>
      <c r="J91" s="217"/>
      <c r="K91" s="217"/>
      <c r="L91" s="216"/>
      <c r="M91" s="216"/>
      <c r="N91" s="216"/>
      <c r="O91" s="216"/>
      <c r="P91" s="216"/>
      <c r="Q91" s="216"/>
      <c r="R91" s="216"/>
      <c r="S91" s="216"/>
      <c r="T91" s="216"/>
      <c r="U91" s="216"/>
      <c r="V91" s="216"/>
      <c r="W91" s="216"/>
      <c r="X91" s="482"/>
      <c r="Y91" s="216"/>
      <c r="Z91" s="234"/>
      <c r="AA91" s="79"/>
      <c r="AB91" s="218"/>
      <c r="AC91" s="483"/>
      <c r="AD91" s="79"/>
      <c r="AE91" s="485"/>
      <c r="AF91" s="486"/>
      <c r="AG91" s="486"/>
      <c r="AH91" s="220"/>
      <c r="AI91" s="500"/>
      <c r="AJ91" s="220"/>
      <c r="AK91" s="220"/>
      <c r="AL91" s="501"/>
      <c r="AM91" s="488"/>
      <c r="AN91" s="76"/>
      <c r="AO91" s="76"/>
      <c r="AP91" s="76"/>
      <c r="AQ91" s="221"/>
      <c r="AR91" s="248"/>
    </row>
    <row r="92" spans="1:44" ht="20">
      <c r="A92" s="481"/>
      <c r="B92" s="246"/>
      <c r="C92" s="216"/>
      <c r="D92" s="216"/>
      <c r="E92" s="216"/>
      <c r="F92" s="482"/>
      <c r="G92" s="217"/>
      <c r="H92" s="217"/>
      <c r="I92" s="217"/>
      <c r="J92" s="217"/>
      <c r="K92" s="217"/>
      <c r="L92" s="216"/>
      <c r="M92" s="216"/>
      <c r="N92" s="216"/>
      <c r="O92" s="216"/>
      <c r="P92" s="216"/>
      <c r="Q92" s="216"/>
      <c r="R92" s="216"/>
      <c r="S92" s="216"/>
      <c r="T92" s="216"/>
      <c r="U92" s="216"/>
      <c r="V92" s="216"/>
      <c r="W92" s="216"/>
      <c r="X92" s="482"/>
      <c r="Y92" s="216"/>
      <c r="Z92" s="234"/>
      <c r="AA92" s="79"/>
      <c r="AB92" s="218"/>
      <c r="AC92" s="219"/>
      <c r="AD92" s="79"/>
      <c r="AE92" s="485"/>
      <c r="AF92" s="486"/>
      <c r="AG92" s="486"/>
      <c r="AH92" s="220"/>
      <c r="AI92" s="488"/>
      <c r="AJ92" s="220"/>
      <c r="AK92" s="220"/>
      <c r="AL92" s="485"/>
      <c r="AM92" s="488"/>
      <c r="AN92" s="76"/>
      <c r="AO92" s="76"/>
      <c r="AP92" s="76"/>
      <c r="AQ92" s="221"/>
      <c r="AR92" s="248"/>
    </row>
    <row r="93" spans="1:44" ht="20">
      <c r="A93" s="481"/>
      <c r="B93" s="246"/>
      <c r="C93" s="216"/>
      <c r="D93" s="216"/>
      <c r="E93" s="216"/>
      <c r="F93" s="502"/>
      <c r="G93" s="217"/>
      <c r="H93" s="217"/>
      <c r="I93" s="217"/>
      <c r="J93" s="217"/>
      <c r="K93" s="217"/>
      <c r="L93" s="216"/>
      <c r="M93" s="216"/>
      <c r="N93" s="216"/>
      <c r="O93" s="216"/>
      <c r="P93" s="216"/>
      <c r="Q93" s="216"/>
      <c r="R93" s="216"/>
      <c r="S93" s="216"/>
      <c r="T93" s="216"/>
      <c r="U93" s="216"/>
      <c r="V93" s="216"/>
      <c r="W93" s="216"/>
      <c r="X93" s="482"/>
      <c r="Y93" s="216"/>
      <c r="Z93" s="234"/>
      <c r="AA93" s="218"/>
      <c r="AB93" s="218"/>
      <c r="AC93" s="483"/>
      <c r="AD93" s="220"/>
      <c r="AE93" s="220"/>
      <c r="AF93" s="490"/>
      <c r="AG93" s="484"/>
      <c r="AH93" s="220"/>
      <c r="AI93" s="220"/>
      <c r="AJ93" s="220"/>
      <c r="AK93" s="484"/>
      <c r="AL93" s="220"/>
      <c r="AM93" s="220"/>
      <c r="AN93" s="220"/>
      <c r="AO93" s="220"/>
      <c r="AP93" s="217"/>
      <c r="AQ93" s="221"/>
      <c r="AR93" s="248"/>
    </row>
    <row r="94" spans="1:44" ht="20">
      <c r="A94" s="481"/>
      <c r="B94" s="246"/>
      <c r="C94" s="216"/>
      <c r="D94" s="216"/>
      <c r="E94" s="216"/>
      <c r="F94" s="482"/>
      <c r="G94" s="217"/>
      <c r="H94" s="217"/>
      <c r="I94" s="217"/>
      <c r="J94" s="217"/>
      <c r="K94" s="217"/>
      <c r="L94" s="216"/>
      <c r="M94" s="216"/>
      <c r="N94" s="216"/>
      <c r="O94" s="216"/>
      <c r="P94" s="216"/>
      <c r="Q94" s="216"/>
      <c r="R94" s="216"/>
      <c r="S94" s="216"/>
      <c r="T94" s="216"/>
      <c r="U94" s="216"/>
      <c r="V94" s="216"/>
      <c r="W94" s="216"/>
      <c r="X94" s="217"/>
      <c r="Y94" s="216"/>
      <c r="Z94" s="234"/>
      <c r="AA94" s="86"/>
      <c r="AB94" s="218"/>
      <c r="AC94" s="483"/>
      <c r="AD94" s="79"/>
      <c r="AE94" s="485"/>
      <c r="AF94" s="486"/>
      <c r="AG94" s="486"/>
      <c r="AH94" s="220"/>
      <c r="AI94" s="488"/>
      <c r="AJ94" s="220"/>
      <c r="AK94" s="220"/>
      <c r="AL94" s="489"/>
      <c r="AM94" s="488"/>
      <c r="AN94" s="76"/>
      <c r="AO94" s="76"/>
      <c r="AP94" s="76"/>
      <c r="AQ94" s="221"/>
      <c r="AR94" s="248"/>
    </row>
    <row r="95" spans="1:44" ht="20">
      <c r="A95" s="487"/>
      <c r="B95" s="246"/>
      <c r="C95" s="216"/>
      <c r="D95" s="216"/>
      <c r="E95" s="216"/>
      <c r="F95" s="482"/>
      <c r="G95" s="217"/>
      <c r="H95" s="217"/>
      <c r="I95" s="217"/>
      <c r="J95" s="217"/>
      <c r="K95" s="217"/>
      <c r="L95" s="216"/>
      <c r="M95" s="216"/>
      <c r="N95" s="216"/>
      <c r="O95" s="216"/>
      <c r="P95" s="216"/>
      <c r="Q95" s="216"/>
      <c r="R95" s="216"/>
      <c r="S95" s="216"/>
      <c r="T95" s="216"/>
      <c r="U95" s="216"/>
      <c r="V95" s="216"/>
      <c r="W95" s="216"/>
      <c r="X95" s="482"/>
      <c r="Y95" s="79"/>
      <c r="Z95" s="234"/>
      <c r="AA95" s="218"/>
      <c r="AB95" s="218"/>
      <c r="AC95" s="483"/>
      <c r="AD95" s="79"/>
      <c r="AE95" s="485"/>
      <c r="AF95" s="503"/>
      <c r="AG95" s="486"/>
      <c r="AH95" s="76"/>
      <c r="AI95" s="488"/>
      <c r="AJ95" s="488"/>
      <c r="AK95" s="504"/>
      <c r="AL95" s="489"/>
      <c r="AM95" s="220"/>
      <c r="AN95" s="220"/>
      <c r="AO95" s="220"/>
      <c r="AP95" s="76"/>
      <c r="AQ95" s="221"/>
      <c r="AR95" s="248"/>
    </row>
    <row r="96" spans="1:44" ht="20">
      <c r="A96" s="487"/>
      <c r="B96" s="246"/>
      <c r="C96" s="216"/>
      <c r="D96" s="216"/>
      <c r="E96" s="216"/>
      <c r="F96" s="217"/>
      <c r="G96" s="217"/>
      <c r="H96" s="217"/>
      <c r="I96" s="217"/>
      <c r="J96" s="217"/>
      <c r="K96" s="217"/>
      <c r="L96" s="216"/>
      <c r="M96" s="216"/>
      <c r="N96" s="216"/>
      <c r="O96" s="216"/>
      <c r="P96" s="216"/>
      <c r="Q96" s="216"/>
      <c r="R96" s="216"/>
      <c r="S96" s="216"/>
      <c r="T96" s="216"/>
      <c r="U96" s="216"/>
      <c r="V96" s="216"/>
      <c r="W96" s="216"/>
      <c r="X96" s="217"/>
      <c r="Y96" s="79"/>
      <c r="Z96" s="234"/>
      <c r="AA96" s="86"/>
      <c r="AB96" s="218"/>
      <c r="AC96" s="219"/>
      <c r="AD96" s="79"/>
      <c r="AE96" s="485"/>
      <c r="AF96" s="486"/>
      <c r="AG96" s="486"/>
      <c r="AH96" s="220"/>
      <c r="AI96" s="488"/>
      <c r="AJ96" s="488"/>
      <c r="AK96" s="484"/>
      <c r="AL96" s="489"/>
      <c r="AM96" s="505"/>
      <c r="AN96" s="220"/>
      <c r="AO96" s="484"/>
      <c r="AP96" s="76"/>
      <c r="AQ96" s="221"/>
      <c r="AR96" s="248"/>
    </row>
    <row r="97" spans="1:44" ht="20">
      <c r="A97" s="487"/>
      <c r="B97" s="246"/>
      <c r="C97" s="216"/>
      <c r="D97" s="216"/>
      <c r="E97" s="216"/>
      <c r="F97" s="217"/>
      <c r="G97" s="217"/>
      <c r="H97" s="217"/>
      <c r="I97" s="217"/>
      <c r="J97" s="217"/>
      <c r="K97" s="217"/>
      <c r="L97" s="216"/>
      <c r="M97" s="216"/>
      <c r="N97" s="216"/>
      <c r="O97" s="216"/>
      <c r="P97" s="216"/>
      <c r="Q97" s="216"/>
      <c r="R97" s="216"/>
      <c r="S97" s="216"/>
      <c r="T97" s="216"/>
      <c r="U97" s="216"/>
      <c r="V97" s="216"/>
      <c r="W97" s="216"/>
      <c r="X97" s="217"/>
      <c r="Y97" s="216"/>
      <c r="Z97" s="234"/>
      <c r="AA97" s="86"/>
      <c r="AB97" s="218"/>
      <c r="AC97" s="219"/>
      <c r="AD97" s="79"/>
      <c r="AE97" s="79"/>
      <c r="AF97" s="79"/>
      <c r="AG97" s="220"/>
      <c r="AH97" s="87"/>
      <c r="AI97" s="76"/>
      <c r="AJ97" s="488"/>
      <c r="AK97" s="484"/>
      <c r="AL97" s="88"/>
      <c r="AM97" s="220"/>
      <c r="AN97" s="484"/>
      <c r="AO97" s="484"/>
      <c r="AP97" s="76"/>
      <c r="AQ97" s="221"/>
      <c r="AR97" s="248"/>
    </row>
    <row r="98" spans="1:44" ht="20">
      <c r="A98" s="487"/>
      <c r="B98" s="246"/>
      <c r="C98" s="216"/>
      <c r="D98" s="216"/>
      <c r="E98" s="216"/>
      <c r="F98" s="482"/>
      <c r="G98" s="217"/>
      <c r="H98" s="217"/>
      <c r="I98" s="217"/>
      <c r="J98" s="217"/>
      <c r="K98" s="217"/>
      <c r="L98" s="216"/>
      <c r="M98" s="216"/>
      <c r="N98" s="216"/>
      <c r="O98" s="216"/>
      <c r="P98" s="216"/>
      <c r="Q98" s="216"/>
      <c r="R98" s="216"/>
      <c r="S98" s="216"/>
      <c r="T98" s="216"/>
      <c r="U98" s="216"/>
      <c r="V98" s="216"/>
      <c r="W98" s="216"/>
      <c r="X98" s="482"/>
      <c r="Y98" s="216"/>
      <c r="Z98" s="234"/>
      <c r="AA98" s="86"/>
      <c r="AB98" s="218"/>
      <c r="AC98" s="483"/>
      <c r="AD98" s="79"/>
      <c r="AE98" s="79"/>
      <c r="AF98" s="484"/>
      <c r="AG98" s="486"/>
      <c r="AH98" s="76"/>
      <c r="AI98" s="76"/>
      <c r="AJ98" s="488"/>
      <c r="AK98" s="484"/>
      <c r="AL98" s="88"/>
      <c r="AM98" s="76"/>
      <c r="AN98" s="504"/>
      <c r="AO98" s="76"/>
      <c r="AP98" s="76"/>
      <c r="AQ98" s="221"/>
      <c r="AR98" s="248"/>
    </row>
    <row r="99" spans="1:44" ht="20">
      <c r="A99" s="481"/>
      <c r="B99" s="246"/>
      <c r="C99" s="216"/>
      <c r="D99" s="216"/>
      <c r="E99" s="216"/>
      <c r="F99" s="482"/>
      <c r="G99" s="217"/>
      <c r="H99" s="217"/>
      <c r="I99" s="217"/>
      <c r="J99" s="217"/>
      <c r="K99" s="217"/>
      <c r="L99" s="216"/>
      <c r="M99" s="216"/>
      <c r="N99" s="216"/>
      <c r="O99" s="216"/>
      <c r="P99" s="216"/>
      <c r="Q99" s="216"/>
      <c r="R99" s="216"/>
      <c r="S99" s="216"/>
      <c r="T99" s="216"/>
      <c r="U99" s="216"/>
      <c r="V99" s="216"/>
      <c r="W99" s="216"/>
      <c r="X99" s="482"/>
      <c r="Y99" s="216"/>
      <c r="Z99" s="506"/>
      <c r="AA99" s="86"/>
      <c r="AB99" s="218"/>
      <c r="AC99" s="483"/>
      <c r="AD99" s="79"/>
      <c r="AE99" s="485"/>
      <c r="AF99" s="486"/>
      <c r="AG99" s="486"/>
      <c r="AH99" s="220"/>
      <c r="AI99" s="488"/>
      <c r="AJ99" s="220"/>
      <c r="AK99" s="220"/>
      <c r="AL99" s="489"/>
      <c r="AM99" s="488"/>
      <c r="AN99" s="76"/>
      <c r="AO99" s="76"/>
      <c r="AP99" s="76"/>
      <c r="AQ99" s="221"/>
      <c r="AR99" s="248"/>
    </row>
    <row r="100" spans="1:44" ht="20">
      <c r="A100" s="481"/>
      <c r="B100" s="246"/>
      <c r="C100" s="216"/>
      <c r="D100" s="216"/>
      <c r="E100" s="216"/>
      <c r="F100" s="507"/>
      <c r="G100" s="217"/>
      <c r="H100" s="217"/>
      <c r="I100" s="217"/>
      <c r="J100" s="217"/>
      <c r="K100" s="217"/>
      <c r="L100" s="216"/>
      <c r="M100" s="216"/>
      <c r="N100" s="216"/>
      <c r="O100" s="216"/>
      <c r="P100" s="216"/>
      <c r="Q100" s="508"/>
      <c r="R100" s="507"/>
      <c r="S100" s="216"/>
      <c r="T100" s="507"/>
      <c r="U100" s="216"/>
      <c r="V100" s="216"/>
      <c r="W100" s="216"/>
      <c r="X100" s="507"/>
      <c r="Y100" s="216"/>
      <c r="Z100" s="216"/>
      <c r="AA100" s="218"/>
      <c r="AB100" s="218"/>
      <c r="AC100" s="219"/>
      <c r="AD100" s="220"/>
      <c r="AE100" s="220"/>
      <c r="AF100" s="220"/>
      <c r="AG100" s="220"/>
      <c r="AH100" s="220"/>
      <c r="AI100" s="220"/>
      <c r="AJ100" s="220"/>
      <c r="AK100" s="220"/>
      <c r="AL100" s="220"/>
      <c r="AM100" s="220"/>
      <c r="AN100" s="220"/>
      <c r="AO100" s="220"/>
      <c r="AP100" s="234"/>
      <c r="AQ100" s="221"/>
      <c r="AR100" s="248"/>
    </row>
    <row r="101" spans="1:44" ht="20">
      <c r="A101" s="481"/>
      <c r="B101" s="246"/>
      <c r="C101" s="216"/>
      <c r="D101" s="216"/>
      <c r="E101" s="216"/>
      <c r="F101" s="507"/>
      <c r="G101" s="217"/>
      <c r="H101" s="217"/>
      <c r="I101" s="217"/>
      <c r="J101" s="217"/>
      <c r="K101" s="217"/>
      <c r="L101" s="216"/>
      <c r="M101" s="216"/>
      <c r="N101" s="216"/>
      <c r="O101" s="216"/>
      <c r="P101" s="216"/>
      <c r="Q101" s="216"/>
      <c r="R101" s="507"/>
      <c r="S101" s="216"/>
      <c r="T101" s="507"/>
      <c r="U101" s="216"/>
      <c r="V101" s="216"/>
      <c r="W101" s="216"/>
      <c r="X101" s="507"/>
      <c r="Y101" s="216"/>
      <c r="Z101" s="216"/>
      <c r="AA101" s="218"/>
      <c r="AB101" s="218"/>
      <c r="AC101" s="219"/>
      <c r="AD101" s="220"/>
      <c r="AE101" s="220"/>
      <c r="AF101" s="220"/>
      <c r="AG101" s="220"/>
      <c r="AH101" s="220"/>
      <c r="AI101" s="220"/>
      <c r="AJ101" s="220"/>
      <c r="AK101" s="220"/>
      <c r="AL101" s="220"/>
      <c r="AM101" s="220"/>
      <c r="AN101" s="220"/>
      <c r="AO101" s="220"/>
      <c r="AP101" s="234"/>
      <c r="AQ101" s="221"/>
      <c r="AR101" s="248"/>
    </row>
    <row r="102" spans="1:44" ht="20">
      <c r="A102" s="481"/>
      <c r="B102" s="246"/>
      <c r="C102" s="216"/>
      <c r="D102" s="216"/>
      <c r="E102" s="216"/>
      <c r="F102" s="507"/>
      <c r="G102" s="217"/>
      <c r="H102" s="217"/>
      <c r="I102" s="217"/>
      <c r="J102" s="217"/>
      <c r="K102" s="217"/>
      <c r="L102" s="216"/>
      <c r="M102" s="216"/>
      <c r="N102" s="216"/>
      <c r="O102" s="216"/>
      <c r="P102" s="216"/>
      <c r="Q102" s="216"/>
      <c r="R102" s="507"/>
      <c r="S102" s="216"/>
      <c r="T102" s="507"/>
      <c r="U102" s="216"/>
      <c r="V102" s="216"/>
      <c r="W102" s="216"/>
      <c r="X102" s="507"/>
      <c r="Y102" s="216"/>
      <c r="Z102" s="216"/>
      <c r="AA102" s="218"/>
      <c r="AB102" s="218"/>
      <c r="AC102" s="219"/>
      <c r="AD102" s="220"/>
      <c r="AE102" s="220"/>
      <c r="AF102" s="220"/>
      <c r="AG102" s="220"/>
      <c r="AH102" s="220"/>
      <c r="AI102" s="220"/>
      <c r="AJ102" s="220"/>
      <c r="AK102" s="220"/>
      <c r="AL102" s="220"/>
      <c r="AM102" s="220"/>
      <c r="AN102" s="220"/>
      <c r="AO102" s="220"/>
      <c r="AP102" s="234"/>
      <c r="AQ102" s="221"/>
      <c r="AR102" s="248"/>
    </row>
    <row r="103" spans="1:44" ht="20">
      <c r="A103" s="487"/>
      <c r="B103" s="246"/>
      <c r="C103" s="216"/>
      <c r="D103" s="216"/>
      <c r="E103" s="216"/>
      <c r="F103" s="482"/>
      <c r="G103" s="217"/>
      <c r="H103" s="217"/>
      <c r="I103" s="217"/>
      <c r="J103" s="217"/>
      <c r="K103" s="217"/>
      <c r="L103" s="216"/>
      <c r="M103" s="216"/>
      <c r="N103" s="216"/>
      <c r="O103" s="216"/>
      <c r="P103" s="216"/>
      <c r="Q103" s="216"/>
      <c r="R103" s="216"/>
      <c r="S103" s="216"/>
      <c r="T103" s="216"/>
      <c r="U103" s="216"/>
      <c r="V103" s="216"/>
      <c r="W103" s="216"/>
      <c r="X103" s="217"/>
      <c r="Y103" s="79"/>
      <c r="Z103" s="218"/>
      <c r="AA103" s="86"/>
      <c r="AB103" s="218"/>
      <c r="AC103" s="483"/>
      <c r="AD103" s="79"/>
      <c r="AE103" s="485"/>
      <c r="AF103" s="486"/>
      <c r="AG103" s="486"/>
      <c r="AH103" s="220"/>
      <c r="AI103" s="488"/>
      <c r="AJ103" s="220"/>
      <c r="AK103" s="220"/>
      <c r="AL103" s="489"/>
      <c r="AM103" s="488"/>
      <c r="AN103" s="76"/>
      <c r="AO103" s="76"/>
      <c r="AP103" s="76"/>
      <c r="AQ103" s="221"/>
      <c r="AR103" s="248"/>
    </row>
    <row r="104" spans="1:44" ht="20">
      <c r="A104" s="481"/>
      <c r="B104" s="246"/>
      <c r="C104" s="216"/>
      <c r="D104" s="216"/>
      <c r="E104" s="216"/>
      <c r="F104" s="507"/>
      <c r="G104" s="217"/>
      <c r="H104" s="217"/>
      <c r="I104" s="217"/>
      <c r="J104" s="217"/>
      <c r="K104" s="217"/>
      <c r="L104" s="216"/>
      <c r="M104" s="216"/>
      <c r="N104" s="216"/>
      <c r="O104" s="216"/>
      <c r="P104" s="216"/>
      <c r="Q104" s="216"/>
      <c r="R104" s="507"/>
      <c r="S104" s="216"/>
      <c r="T104" s="507"/>
      <c r="U104" s="216"/>
      <c r="V104" s="216"/>
      <c r="W104" s="216"/>
      <c r="X104" s="507"/>
      <c r="Y104" s="216"/>
      <c r="Z104" s="216"/>
      <c r="AA104" s="218"/>
      <c r="AB104" s="218"/>
      <c r="AC104" s="219"/>
      <c r="AD104" s="220"/>
      <c r="AE104" s="220"/>
      <c r="AF104" s="220"/>
      <c r="AG104" s="220"/>
      <c r="AH104" s="220"/>
      <c r="AI104" s="220"/>
      <c r="AJ104" s="220"/>
      <c r="AK104" s="220"/>
      <c r="AL104" s="220"/>
      <c r="AM104" s="220"/>
      <c r="AN104" s="220"/>
      <c r="AO104" s="220"/>
      <c r="AP104" s="234"/>
      <c r="AQ104" s="221"/>
      <c r="AR104" s="248"/>
    </row>
    <row r="105" spans="1:44" ht="20">
      <c r="A105" s="481"/>
      <c r="B105" s="246"/>
      <c r="C105" s="216"/>
      <c r="D105" s="216"/>
      <c r="E105" s="216"/>
      <c r="F105" s="507"/>
      <c r="G105" s="217"/>
      <c r="H105" s="217"/>
      <c r="I105" s="217"/>
      <c r="J105" s="217"/>
      <c r="K105" s="217"/>
      <c r="L105" s="216"/>
      <c r="M105" s="216"/>
      <c r="N105" s="216"/>
      <c r="O105" s="216"/>
      <c r="P105" s="216"/>
      <c r="Q105" s="216"/>
      <c r="R105" s="507"/>
      <c r="S105" s="216"/>
      <c r="T105" s="507"/>
      <c r="U105" s="216"/>
      <c r="V105" s="216"/>
      <c r="W105" s="216"/>
      <c r="X105" s="507"/>
      <c r="Y105" s="216"/>
      <c r="Z105" s="216"/>
      <c r="AA105" s="218"/>
      <c r="AB105" s="218"/>
      <c r="AC105" s="219"/>
      <c r="AD105" s="220"/>
      <c r="AE105" s="220"/>
      <c r="AF105" s="220"/>
      <c r="AG105" s="220"/>
      <c r="AH105" s="220"/>
      <c r="AI105" s="220"/>
      <c r="AJ105" s="220"/>
      <c r="AK105" s="220"/>
      <c r="AL105" s="220"/>
      <c r="AM105" s="220"/>
      <c r="AN105" s="220"/>
      <c r="AO105" s="220"/>
      <c r="AP105" s="234"/>
      <c r="AQ105" s="221"/>
      <c r="AR105" s="248"/>
    </row>
    <row r="106" spans="1:44" ht="20">
      <c r="A106" s="481"/>
      <c r="B106" s="246"/>
      <c r="C106" s="216"/>
      <c r="D106" s="216"/>
      <c r="E106" s="216"/>
      <c r="F106" s="507"/>
      <c r="G106" s="217"/>
      <c r="H106" s="217"/>
      <c r="I106" s="217"/>
      <c r="J106" s="217"/>
      <c r="K106" s="217"/>
      <c r="L106" s="216"/>
      <c r="M106" s="216"/>
      <c r="N106" s="216"/>
      <c r="O106" s="216"/>
      <c r="P106" s="216"/>
      <c r="Q106" s="216"/>
      <c r="R106" s="507"/>
      <c r="S106" s="216"/>
      <c r="T106" s="507"/>
      <c r="U106" s="216"/>
      <c r="V106" s="216"/>
      <c r="W106" s="216"/>
      <c r="X106" s="507"/>
      <c r="Y106" s="216"/>
      <c r="Z106" s="216"/>
      <c r="AA106" s="218"/>
      <c r="AB106" s="218"/>
      <c r="AC106" s="219"/>
      <c r="AD106" s="220"/>
      <c r="AE106" s="509"/>
      <c r="AF106" s="203"/>
      <c r="AG106" s="203"/>
      <c r="AH106" s="220"/>
      <c r="AI106" s="203"/>
      <c r="AJ106" s="220"/>
      <c r="AK106" s="220"/>
      <c r="AL106" s="220"/>
      <c r="AM106" s="220"/>
      <c r="AN106" s="220"/>
      <c r="AO106" s="220"/>
      <c r="AP106" s="234"/>
      <c r="AQ106" s="221"/>
      <c r="AR106" s="248"/>
    </row>
    <row r="107" spans="1:44" ht="20">
      <c r="A107" s="481"/>
      <c r="B107" s="246"/>
      <c r="C107" s="216"/>
      <c r="D107" s="216"/>
      <c r="E107" s="216"/>
      <c r="F107" s="510"/>
      <c r="G107" s="217"/>
      <c r="H107" s="217"/>
      <c r="I107" s="217"/>
      <c r="J107" s="217"/>
      <c r="K107" s="217"/>
      <c r="L107" s="216"/>
      <c r="M107" s="216"/>
      <c r="N107" s="216"/>
      <c r="O107" s="216"/>
      <c r="P107" s="216"/>
      <c r="Q107" s="216"/>
      <c r="R107" s="216"/>
      <c r="S107" s="216"/>
      <c r="T107" s="507"/>
      <c r="U107" s="216"/>
      <c r="V107" s="216"/>
      <c r="W107" s="216"/>
      <c r="X107" s="511"/>
      <c r="Y107" s="216"/>
      <c r="Z107" s="216"/>
      <c r="AA107" s="218"/>
      <c r="AB107" s="218"/>
      <c r="AC107" s="512"/>
      <c r="AD107" s="220"/>
      <c r="AE107" s="509"/>
      <c r="AF107" s="203"/>
      <c r="AG107" s="220"/>
      <c r="AH107" s="220"/>
      <c r="AI107" s="220"/>
      <c r="AJ107" s="220"/>
      <c r="AK107" s="220"/>
      <c r="AL107" s="220"/>
      <c r="AM107" s="220"/>
      <c r="AN107" s="220"/>
      <c r="AO107" s="220"/>
      <c r="AP107" s="513"/>
      <c r="AQ107" s="221"/>
      <c r="AR107" s="248"/>
    </row>
    <row r="108" spans="1:44" ht="20">
      <c r="A108" s="481"/>
      <c r="B108" s="246"/>
      <c r="C108" s="216"/>
      <c r="D108" s="216"/>
      <c r="E108" s="216"/>
      <c r="F108" s="510"/>
      <c r="G108" s="217"/>
      <c r="H108" s="217"/>
      <c r="I108" s="217"/>
      <c r="J108" s="217"/>
      <c r="K108" s="217"/>
      <c r="L108" s="216"/>
      <c r="M108" s="216"/>
      <c r="N108" s="216"/>
      <c r="O108" s="216"/>
      <c r="P108" s="216"/>
      <c r="Q108" s="216"/>
      <c r="R108" s="507"/>
      <c r="S108" s="216"/>
      <c r="T108" s="507"/>
      <c r="U108" s="216"/>
      <c r="V108" s="216"/>
      <c r="W108" s="216"/>
      <c r="X108" s="510"/>
      <c r="Y108" s="216"/>
      <c r="Z108" s="216"/>
      <c r="AA108" s="218"/>
      <c r="AB108" s="218"/>
      <c r="AC108" s="512"/>
      <c r="AD108" s="220"/>
      <c r="AE108" s="220"/>
      <c r="AF108" s="220"/>
      <c r="AG108" s="220"/>
      <c r="AH108" s="220"/>
      <c r="AI108" s="220"/>
      <c r="AJ108" s="220"/>
      <c r="AK108" s="220"/>
      <c r="AL108" s="220"/>
      <c r="AM108" s="220"/>
      <c r="AN108" s="220"/>
      <c r="AO108" s="220"/>
      <c r="AP108" s="514"/>
      <c r="AQ108" s="221"/>
      <c r="AR108" s="248"/>
    </row>
    <row r="109" spans="1:44" ht="20">
      <c r="A109" s="481"/>
      <c r="B109" s="246"/>
      <c r="C109" s="216"/>
      <c r="D109" s="216"/>
      <c r="E109" s="216"/>
      <c r="F109" s="510"/>
      <c r="G109" s="217"/>
      <c r="H109" s="217"/>
      <c r="I109" s="217"/>
      <c r="J109" s="217"/>
      <c r="K109" s="217"/>
      <c r="L109" s="216"/>
      <c r="M109" s="216"/>
      <c r="N109" s="216"/>
      <c r="O109" s="216"/>
      <c r="P109" s="216"/>
      <c r="Q109" s="216"/>
      <c r="R109" s="507"/>
      <c r="S109" s="216"/>
      <c r="T109" s="507"/>
      <c r="U109" s="216"/>
      <c r="V109" s="216"/>
      <c r="W109" s="216"/>
      <c r="X109" s="510"/>
      <c r="Y109" s="216"/>
      <c r="Z109" s="216"/>
      <c r="AA109" s="218"/>
      <c r="AB109" s="218"/>
      <c r="AC109" s="515"/>
      <c r="AD109" s="220"/>
      <c r="AE109" s="220"/>
      <c r="AF109" s="220"/>
      <c r="AG109" s="220"/>
      <c r="AH109" s="220"/>
      <c r="AI109" s="220"/>
      <c r="AJ109" s="220"/>
      <c r="AK109" s="220"/>
      <c r="AL109" s="220"/>
      <c r="AM109" s="220"/>
      <c r="AN109" s="220"/>
      <c r="AO109" s="220"/>
      <c r="AP109" s="514"/>
      <c r="AQ109" s="221"/>
      <c r="AR109" s="248"/>
    </row>
    <row r="110" spans="1:44" ht="20">
      <c r="A110" s="481"/>
      <c r="B110" s="246"/>
      <c r="C110" s="216"/>
      <c r="D110" s="216"/>
      <c r="E110" s="216"/>
      <c r="F110" s="510"/>
      <c r="G110" s="217"/>
      <c r="H110" s="217"/>
      <c r="I110" s="217"/>
      <c r="J110" s="217"/>
      <c r="K110" s="217"/>
      <c r="L110" s="216"/>
      <c r="M110" s="216"/>
      <c r="N110" s="216"/>
      <c r="O110" s="216"/>
      <c r="P110" s="216"/>
      <c r="Q110" s="216"/>
      <c r="R110" s="507"/>
      <c r="S110" s="216"/>
      <c r="T110" s="507"/>
      <c r="U110" s="216"/>
      <c r="V110" s="216"/>
      <c r="W110" s="216"/>
      <c r="X110" s="510"/>
      <c r="Y110" s="216"/>
      <c r="Z110" s="216"/>
      <c r="AA110" s="218"/>
      <c r="AB110" s="218"/>
      <c r="AC110" s="515"/>
      <c r="AD110" s="220"/>
      <c r="AE110" s="220"/>
      <c r="AF110" s="220"/>
      <c r="AG110" s="220"/>
      <c r="AH110" s="220"/>
      <c r="AI110" s="220"/>
      <c r="AJ110" s="220"/>
      <c r="AK110" s="220"/>
      <c r="AL110" s="220"/>
      <c r="AM110" s="220"/>
      <c r="AN110" s="220"/>
      <c r="AO110" s="220"/>
      <c r="AP110" s="514"/>
      <c r="AQ110" s="221"/>
      <c r="AR110" s="248"/>
    </row>
    <row r="111" spans="1:44" ht="20">
      <c r="A111" s="481"/>
      <c r="B111" s="246"/>
      <c r="C111" s="216"/>
      <c r="D111" s="216"/>
      <c r="E111" s="216"/>
      <c r="F111" s="510"/>
      <c r="G111" s="217"/>
      <c r="H111" s="217"/>
      <c r="I111" s="217"/>
      <c r="J111" s="217"/>
      <c r="K111" s="217"/>
      <c r="L111" s="216"/>
      <c r="M111" s="216"/>
      <c r="N111" s="216"/>
      <c r="O111" s="216"/>
      <c r="P111" s="216"/>
      <c r="Q111" s="216"/>
      <c r="R111" s="507"/>
      <c r="S111" s="216"/>
      <c r="T111" s="507"/>
      <c r="U111" s="216"/>
      <c r="V111" s="216"/>
      <c r="W111" s="216"/>
      <c r="X111" s="510"/>
      <c r="Y111" s="216"/>
      <c r="Z111" s="216"/>
      <c r="AA111" s="218"/>
      <c r="AB111" s="218"/>
      <c r="AC111" s="515"/>
      <c r="AD111" s="220"/>
      <c r="AE111" s="220"/>
      <c r="AF111" s="220"/>
      <c r="AG111" s="220"/>
      <c r="AH111" s="220"/>
      <c r="AI111" s="220"/>
      <c r="AJ111" s="220"/>
      <c r="AK111" s="220"/>
      <c r="AL111" s="220"/>
      <c r="AM111" s="220"/>
      <c r="AN111" s="220"/>
      <c r="AO111" s="220"/>
      <c r="AP111" s="217"/>
      <c r="AQ111" s="221"/>
      <c r="AR111" s="248"/>
    </row>
    <row r="112" spans="1:44" ht="20">
      <c r="A112" s="481"/>
      <c r="B112" s="246"/>
      <c r="C112" s="216"/>
      <c r="D112" s="216"/>
      <c r="E112" s="216"/>
      <c r="F112" s="507"/>
      <c r="G112" s="217"/>
      <c r="H112" s="217"/>
      <c r="I112" s="217"/>
      <c r="J112" s="217"/>
      <c r="K112" s="217"/>
      <c r="L112" s="216"/>
      <c r="M112" s="216"/>
      <c r="N112" s="216"/>
      <c r="O112" s="216"/>
      <c r="P112" s="216"/>
      <c r="Q112" s="216"/>
      <c r="R112" s="507"/>
      <c r="S112" s="216"/>
      <c r="T112" s="507"/>
      <c r="U112" s="216"/>
      <c r="V112" s="216"/>
      <c r="W112" s="216"/>
      <c r="X112" s="507"/>
      <c r="Y112" s="216"/>
      <c r="Z112" s="216"/>
      <c r="AA112" s="218"/>
      <c r="AB112" s="218"/>
      <c r="AC112" s="219"/>
      <c r="AD112" s="220"/>
      <c r="AE112" s="220"/>
      <c r="AF112" s="220"/>
      <c r="AG112" s="220"/>
      <c r="AH112" s="220"/>
      <c r="AI112" s="220"/>
      <c r="AJ112" s="220"/>
      <c r="AK112" s="220"/>
      <c r="AL112" s="220"/>
      <c r="AM112" s="220"/>
      <c r="AN112" s="220"/>
      <c r="AO112" s="220"/>
      <c r="AP112" s="217"/>
      <c r="AQ112" s="221"/>
      <c r="AR112" s="248"/>
    </row>
    <row r="113" spans="1:44" ht="20">
      <c r="A113" s="481"/>
      <c r="B113" s="246"/>
      <c r="C113" s="216"/>
      <c r="D113" s="216"/>
      <c r="E113" s="216"/>
      <c r="F113" s="507"/>
      <c r="G113" s="217"/>
      <c r="H113" s="217"/>
      <c r="I113" s="217"/>
      <c r="J113" s="217"/>
      <c r="K113" s="217"/>
      <c r="L113" s="216"/>
      <c r="M113" s="216"/>
      <c r="N113" s="216"/>
      <c r="O113" s="216"/>
      <c r="P113" s="216"/>
      <c r="Q113" s="216"/>
      <c r="R113" s="216"/>
      <c r="S113" s="216"/>
      <c r="T113" s="507"/>
      <c r="U113" s="216"/>
      <c r="V113" s="216"/>
      <c r="W113" s="216"/>
      <c r="X113" s="216"/>
      <c r="Y113" s="216"/>
      <c r="Z113" s="216"/>
      <c r="AA113" s="218"/>
      <c r="AB113" s="218"/>
      <c r="AC113" s="219"/>
      <c r="AD113" s="220"/>
      <c r="AE113" s="220"/>
      <c r="AF113" s="220"/>
      <c r="AG113" s="220"/>
      <c r="AH113" s="220"/>
      <c r="AI113" s="220"/>
      <c r="AJ113" s="220"/>
      <c r="AK113" s="220"/>
      <c r="AL113" s="220"/>
      <c r="AM113" s="220"/>
      <c r="AN113" s="220"/>
      <c r="AO113" s="220"/>
      <c r="AP113" s="217"/>
      <c r="AQ113" s="221"/>
      <c r="AR113" s="248"/>
    </row>
    <row r="114" spans="1:44" ht="20">
      <c r="A114" s="481"/>
      <c r="B114" s="246"/>
      <c r="C114" s="216"/>
      <c r="D114" s="216"/>
      <c r="E114" s="216"/>
      <c r="F114" s="507"/>
      <c r="G114" s="217"/>
      <c r="H114" s="217"/>
      <c r="I114" s="217"/>
      <c r="J114" s="217"/>
      <c r="K114" s="217"/>
      <c r="L114" s="216"/>
      <c r="M114" s="216"/>
      <c r="N114" s="216"/>
      <c r="O114" s="216"/>
      <c r="P114" s="216"/>
      <c r="Q114" s="216"/>
      <c r="R114" s="507"/>
      <c r="S114" s="216"/>
      <c r="T114" s="507"/>
      <c r="U114" s="216"/>
      <c r="V114" s="216"/>
      <c r="W114" s="216"/>
      <c r="X114" s="507"/>
      <c r="Y114" s="216"/>
      <c r="Z114" s="216"/>
      <c r="AA114" s="218"/>
      <c r="AB114" s="218"/>
      <c r="AC114" s="219"/>
      <c r="AD114" s="220"/>
      <c r="AE114" s="220"/>
      <c r="AF114" s="220"/>
      <c r="AG114" s="220"/>
      <c r="AH114" s="220"/>
      <c r="AI114" s="220"/>
      <c r="AJ114" s="220"/>
      <c r="AK114" s="220"/>
      <c r="AL114" s="220"/>
      <c r="AM114" s="220"/>
      <c r="AN114" s="220"/>
      <c r="AO114" s="220"/>
      <c r="AP114" s="217"/>
      <c r="AQ114" s="221"/>
      <c r="AR114" s="248"/>
    </row>
    <row r="115" spans="1:44" ht="20">
      <c r="A115" s="481"/>
      <c r="B115" s="246"/>
      <c r="C115" s="216"/>
      <c r="D115" s="216"/>
      <c r="E115" s="216"/>
      <c r="F115" s="507"/>
      <c r="G115" s="217"/>
      <c r="H115" s="217"/>
      <c r="I115" s="217"/>
      <c r="J115" s="217"/>
      <c r="K115" s="217"/>
      <c r="L115" s="216"/>
      <c r="M115" s="216"/>
      <c r="N115" s="216"/>
      <c r="O115" s="216"/>
      <c r="P115" s="216"/>
      <c r="Q115" s="216"/>
      <c r="R115" s="507"/>
      <c r="S115" s="216"/>
      <c r="T115" s="507"/>
      <c r="U115" s="216"/>
      <c r="V115" s="216"/>
      <c r="W115" s="216"/>
      <c r="X115" s="507"/>
      <c r="Y115" s="216"/>
      <c r="Z115" s="216"/>
      <c r="AA115" s="218"/>
      <c r="AB115" s="218"/>
      <c r="AC115" s="219"/>
      <c r="AD115" s="220"/>
      <c r="AE115" s="220"/>
      <c r="AF115" s="220"/>
      <c r="AG115" s="220"/>
      <c r="AH115" s="220"/>
      <c r="AI115" s="220"/>
      <c r="AJ115" s="220"/>
      <c r="AK115" s="220"/>
      <c r="AL115" s="220"/>
      <c r="AM115" s="220"/>
      <c r="AN115" s="220"/>
      <c r="AO115" s="220"/>
      <c r="AP115" s="217"/>
      <c r="AQ115" s="221"/>
      <c r="AR115" s="248"/>
    </row>
    <row r="116" spans="1:44" ht="20">
      <c r="A116" s="481"/>
      <c r="B116" s="246"/>
      <c r="C116" s="216"/>
      <c r="D116" s="216"/>
      <c r="E116" s="216"/>
      <c r="F116" s="507"/>
      <c r="G116" s="217"/>
      <c r="H116" s="217"/>
      <c r="I116" s="217"/>
      <c r="J116" s="217"/>
      <c r="K116" s="217"/>
      <c r="L116" s="216"/>
      <c r="M116" s="216"/>
      <c r="N116" s="216"/>
      <c r="O116" s="216"/>
      <c r="P116" s="216"/>
      <c r="Q116" s="216"/>
      <c r="R116" s="507"/>
      <c r="S116" s="216"/>
      <c r="T116" s="507"/>
      <c r="U116" s="216"/>
      <c r="V116" s="216"/>
      <c r="W116" s="216"/>
      <c r="X116" s="507"/>
      <c r="Y116" s="216"/>
      <c r="Z116" s="216"/>
      <c r="AA116" s="218"/>
      <c r="AB116" s="218"/>
      <c r="AC116" s="219"/>
      <c r="AD116" s="79"/>
      <c r="AE116" s="220"/>
      <c r="AF116" s="220"/>
      <c r="AG116" s="220"/>
      <c r="AH116" s="220"/>
      <c r="AI116" s="76"/>
      <c r="AJ116" s="220"/>
      <c r="AK116" s="220"/>
      <c r="AL116" s="220"/>
      <c r="AM116" s="220"/>
      <c r="AN116" s="220"/>
      <c r="AO116" s="220"/>
      <c r="AP116" s="217"/>
      <c r="AQ116" s="221"/>
      <c r="AR116" s="248"/>
    </row>
    <row r="117" spans="1:44" ht="20">
      <c r="A117" s="487"/>
      <c r="B117" s="246"/>
      <c r="C117" s="216"/>
      <c r="D117" s="216"/>
      <c r="E117" s="216"/>
      <c r="F117" s="482"/>
      <c r="G117" s="217"/>
      <c r="H117" s="217"/>
      <c r="I117" s="217"/>
      <c r="J117" s="217"/>
      <c r="K117" s="217"/>
      <c r="L117" s="216"/>
      <c r="M117" s="216"/>
      <c r="N117" s="216"/>
      <c r="O117" s="216"/>
      <c r="P117" s="216"/>
      <c r="Q117" s="216"/>
      <c r="R117" s="216"/>
      <c r="S117" s="216"/>
      <c r="T117" s="216"/>
      <c r="U117" s="216"/>
      <c r="V117" s="216"/>
      <c r="W117" s="216"/>
      <c r="X117" s="482"/>
      <c r="Y117" s="79"/>
      <c r="Z117" s="218"/>
      <c r="AA117" s="516"/>
      <c r="AB117" s="218"/>
      <c r="AC117" s="483"/>
      <c r="AD117" s="79"/>
      <c r="AE117" s="485"/>
      <c r="AF117" s="486"/>
      <c r="AG117" s="486"/>
      <c r="AH117" s="220"/>
      <c r="AI117" s="488"/>
      <c r="AJ117" s="220"/>
      <c r="AK117" s="220"/>
      <c r="AL117" s="489"/>
      <c r="AM117" s="488"/>
      <c r="AN117" s="76"/>
      <c r="AO117" s="76"/>
      <c r="AP117" s="76"/>
      <c r="AQ117" s="221"/>
      <c r="AR117" s="248"/>
    </row>
    <row r="118" spans="1:44" ht="20">
      <c r="A118" s="481"/>
      <c r="B118" s="246"/>
      <c r="C118" s="216"/>
      <c r="D118" s="216"/>
      <c r="E118" s="216"/>
      <c r="F118" s="507"/>
      <c r="G118" s="217"/>
      <c r="H118" s="217"/>
      <c r="I118" s="217"/>
      <c r="J118" s="217"/>
      <c r="K118" s="217"/>
      <c r="L118" s="216"/>
      <c r="M118" s="216"/>
      <c r="N118" s="216"/>
      <c r="O118" s="216"/>
      <c r="P118" s="216"/>
      <c r="Q118" s="216"/>
      <c r="R118" s="507"/>
      <c r="S118" s="216"/>
      <c r="T118" s="507"/>
      <c r="U118" s="216"/>
      <c r="V118" s="216"/>
      <c r="W118" s="216"/>
      <c r="X118" s="507"/>
      <c r="Y118" s="216"/>
      <c r="Z118" s="216"/>
      <c r="AA118" s="218"/>
      <c r="AB118" s="218"/>
      <c r="AC118" s="219"/>
      <c r="AD118" s="220"/>
      <c r="AE118" s="220"/>
      <c r="AF118" s="220"/>
      <c r="AG118" s="220"/>
      <c r="AH118" s="220"/>
      <c r="AI118" s="220"/>
      <c r="AJ118" s="220"/>
      <c r="AK118" s="220"/>
      <c r="AL118" s="220"/>
      <c r="AM118" s="220"/>
      <c r="AN118" s="220"/>
      <c r="AO118" s="220"/>
      <c r="AP118" s="217"/>
      <c r="AQ118" s="221"/>
      <c r="AR118" s="248"/>
    </row>
    <row r="119" spans="1:44" ht="20">
      <c r="A119" s="481"/>
      <c r="B119" s="246"/>
      <c r="C119" s="216"/>
      <c r="D119" s="216"/>
      <c r="E119" s="216"/>
      <c r="F119" s="507"/>
      <c r="G119" s="217"/>
      <c r="H119" s="217"/>
      <c r="I119" s="217"/>
      <c r="J119" s="217"/>
      <c r="K119" s="217"/>
      <c r="L119" s="216"/>
      <c r="M119" s="216"/>
      <c r="N119" s="216"/>
      <c r="O119" s="216"/>
      <c r="P119" s="216"/>
      <c r="Q119" s="216"/>
      <c r="R119" s="507"/>
      <c r="S119" s="216"/>
      <c r="T119" s="507"/>
      <c r="U119" s="216"/>
      <c r="V119" s="216"/>
      <c r="W119" s="216"/>
      <c r="X119" s="507"/>
      <c r="Y119" s="216"/>
      <c r="Z119" s="517"/>
      <c r="AA119" s="218"/>
      <c r="AB119" s="218"/>
      <c r="AC119" s="219"/>
      <c r="AD119" s="220"/>
      <c r="AE119" s="220"/>
      <c r="AF119" s="220"/>
      <c r="AG119" s="220"/>
      <c r="AH119" s="220"/>
      <c r="AI119" s="220"/>
      <c r="AJ119" s="220"/>
      <c r="AK119" s="220"/>
      <c r="AL119" s="220"/>
      <c r="AM119" s="220"/>
      <c r="AN119" s="220"/>
      <c r="AO119" s="220"/>
      <c r="AP119" s="217"/>
      <c r="AQ119" s="221"/>
      <c r="AR119" s="248"/>
    </row>
    <row r="120" spans="1:44" ht="20">
      <c r="A120" s="487"/>
      <c r="B120" s="246"/>
      <c r="C120" s="216"/>
      <c r="D120" s="216"/>
      <c r="E120" s="216"/>
      <c r="F120" s="482"/>
      <c r="G120" s="217"/>
      <c r="H120" s="217"/>
      <c r="I120" s="217"/>
      <c r="J120" s="217"/>
      <c r="K120" s="217"/>
      <c r="L120" s="216"/>
      <c r="M120" s="216"/>
      <c r="N120" s="216"/>
      <c r="O120" s="216"/>
      <c r="P120" s="216"/>
      <c r="Q120" s="216"/>
      <c r="R120" s="216"/>
      <c r="S120" s="216"/>
      <c r="T120" s="216"/>
      <c r="U120" s="216"/>
      <c r="V120" s="216"/>
      <c r="W120" s="216"/>
      <c r="X120" s="217"/>
      <c r="Y120" s="79"/>
      <c r="Z120" s="234"/>
      <c r="AA120" s="86"/>
      <c r="AB120" s="218"/>
      <c r="AC120" s="483"/>
      <c r="AD120" s="79"/>
      <c r="AE120" s="485"/>
      <c r="AF120" s="486"/>
      <c r="AG120" s="486"/>
      <c r="AH120" s="220"/>
      <c r="AI120" s="488"/>
      <c r="AJ120" s="220"/>
      <c r="AK120" s="220"/>
      <c r="AL120" s="489"/>
      <c r="AM120" s="488"/>
      <c r="AN120" s="76"/>
      <c r="AO120" s="76"/>
      <c r="AP120" s="76"/>
      <c r="AQ120" s="221"/>
      <c r="AR120" s="248"/>
    </row>
    <row r="121" spans="1:44" ht="20">
      <c r="A121" s="487"/>
      <c r="B121" s="246"/>
      <c r="C121" s="216"/>
      <c r="D121" s="216"/>
      <c r="E121" s="216"/>
      <c r="F121" s="482"/>
      <c r="G121" s="217"/>
      <c r="H121" s="217"/>
      <c r="I121" s="217"/>
      <c r="J121" s="217"/>
      <c r="K121" s="217"/>
      <c r="L121" s="216"/>
      <c r="M121" s="216"/>
      <c r="N121" s="216"/>
      <c r="O121" s="216"/>
      <c r="P121" s="216"/>
      <c r="Q121" s="216"/>
      <c r="R121" s="216"/>
      <c r="S121" s="216"/>
      <c r="T121" s="216"/>
      <c r="U121" s="216"/>
      <c r="V121" s="216"/>
      <c r="W121" s="216"/>
      <c r="X121" s="217"/>
      <c r="Y121" s="79"/>
      <c r="Z121" s="234"/>
      <c r="AA121" s="86"/>
      <c r="AB121" s="218"/>
      <c r="AC121" s="483"/>
      <c r="AD121" s="79"/>
      <c r="AE121" s="485"/>
      <c r="AF121" s="486"/>
      <c r="AG121" s="486"/>
      <c r="AH121" s="220"/>
      <c r="AI121" s="488"/>
      <c r="AJ121" s="220"/>
      <c r="AK121" s="220"/>
      <c r="AL121" s="489"/>
      <c r="AM121" s="488"/>
      <c r="AN121" s="76"/>
      <c r="AO121" s="76"/>
      <c r="AP121" s="76"/>
      <c r="AQ121" s="221"/>
      <c r="AR121" s="248"/>
    </row>
    <row r="122" spans="1:44" ht="20">
      <c r="A122" s="481"/>
      <c r="B122" s="246"/>
      <c r="C122" s="216"/>
      <c r="D122" s="216"/>
      <c r="E122" s="216"/>
      <c r="F122" s="518"/>
      <c r="G122" s="217"/>
      <c r="H122" s="217"/>
      <c r="I122" s="217"/>
      <c r="J122" s="217"/>
      <c r="K122" s="217"/>
      <c r="L122" s="216"/>
      <c r="M122" s="216"/>
      <c r="N122" s="216"/>
      <c r="O122" s="216"/>
      <c r="P122" s="216"/>
      <c r="Q122" s="216"/>
      <c r="R122" s="216"/>
      <c r="S122" s="216"/>
      <c r="T122" s="518"/>
      <c r="U122" s="216"/>
      <c r="V122" s="216"/>
      <c r="W122" s="216"/>
      <c r="X122" s="217"/>
      <c r="Y122" s="519"/>
      <c r="Z122" s="519"/>
      <c r="AA122" s="519"/>
      <c r="AB122" s="519"/>
      <c r="AC122" s="518"/>
      <c r="AD122" s="220"/>
      <c r="AE122" s="520"/>
      <c r="AF122" s="519"/>
      <c r="AG122" s="220"/>
      <c r="AH122" s="519"/>
      <c r="AI122" s="521"/>
      <c r="AJ122" s="220"/>
      <c r="AK122" s="522"/>
      <c r="AL122" s="522"/>
      <c r="AM122" s="522"/>
      <c r="AN122" s="519"/>
      <c r="AO122" s="220"/>
      <c r="AP122" s="217"/>
      <c r="AQ122" s="221"/>
      <c r="AR122" s="248"/>
    </row>
    <row r="123" spans="1:44" ht="20">
      <c r="A123" s="481"/>
      <c r="B123" s="246"/>
      <c r="C123" s="216"/>
      <c r="D123" s="216"/>
      <c r="E123" s="216"/>
      <c r="F123" s="518"/>
      <c r="G123" s="217"/>
      <c r="H123" s="217"/>
      <c r="I123" s="217"/>
      <c r="J123" s="217"/>
      <c r="K123" s="217"/>
      <c r="L123" s="216"/>
      <c r="M123" s="216"/>
      <c r="N123" s="216"/>
      <c r="O123" s="216"/>
      <c r="P123" s="216"/>
      <c r="Q123" s="216"/>
      <c r="R123" s="216"/>
      <c r="S123" s="216"/>
      <c r="T123" s="523"/>
      <c r="U123" s="216"/>
      <c r="V123" s="216"/>
      <c r="W123" s="216"/>
      <c r="X123" s="217"/>
      <c r="Y123" s="519"/>
      <c r="Z123" s="519"/>
      <c r="AA123" s="218"/>
      <c r="AB123" s="519"/>
      <c r="AC123" s="518"/>
      <c r="AD123" s="220"/>
      <c r="AE123" s="520"/>
      <c r="AF123" s="519"/>
      <c r="AG123" s="220"/>
      <c r="AH123" s="519"/>
      <c r="AI123" s="521"/>
      <c r="AJ123" s="220"/>
      <c r="AK123" s="522"/>
      <c r="AL123" s="522"/>
      <c r="AM123" s="522"/>
      <c r="AN123" s="519"/>
      <c r="AO123" s="220"/>
      <c r="AP123" s="217"/>
      <c r="AQ123" s="221"/>
      <c r="AR123" s="248"/>
    </row>
    <row r="124" spans="1:44" ht="20">
      <c r="A124" s="481"/>
      <c r="B124" s="246"/>
      <c r="C124" s="216"/>
      <c r="D124" s="216"/>
      <c r="E124" s="216"/>
      <c r="F124" s="482"/>
      <c r="G124" s="217"/>
      <c r="H124" s="217"/>
      <c r="I124" s="217"/>
      <c r="J124" s="217"/>
      <c r="K124" s="217"/>
      <c r="L124" s="216"/>
      <c r="M124" s="216"/>
      <c r="N124" s="216"/>
      <c r="O124" s="216"/>
      <c r="P124" s="216"/>
      <c r="Q124" s="216"/>
      <c r="R124" s="216"/>
      <c r="S124" s="216"/>
      <c r="T124" s="216"/>
      <c r="U124" s="216"/>
      <c r="V124" s="216"/>
      <c r="W124" s="216"/>
      <c r="X124" s="482"/>
      <c r="Y124" s="216"/>
      <c r="Z124" s="234"/>
      <c r="AA124" s="218"/>
      <c r="AB124" s="218"/>
      <c r="AC124" s="483"/>
      <c r="AD124" s="220"/>
      <c r="AE124" s="220"/>
      <c r="AF124" s="484"/>
      <c r="AG124" s="484"/>
      <c r="AH124" s="220"/>
      <c r="AI124" s="220"/>
      <c r="AJ124" s="220"/>
      <c r="AK124" s="484"/>
      <c r="AL124" s="220"/>
      <c r="AM124" s="220"/>
      <c r="AN124" s="220"/>
      <c r="AO124" s="220"/>
      <c r="AP124" s="217"/>
      <c r="AQ124" s="221"/>
      <c r="AR124" s="248"/>
    </row>
    <row r="125" spans="1:44" ht="20">
      <c r="A125" s="487"/>
      <c r="B125" s="246"/>
      <c r="C125" s="216"/>
      <c r="D125" s="216"/>
      <c r="E125" s="216"/>
      <c r="F125" s="482"/>
      <c r="G125" s="217"/>
      <c r="H125" s="217"/>
      <c r="I125" s="217"/>
      <c r="J125" s="217"/>
      <c r="K125" s="217"/>
      <c r="L125" s="216"/>
      <c r="M125" s="216"/>
      <c r="N125" s="216"/>
      <c r="O125" s="216"/>
      <c r="P125" s="216"/>
      <c r="Q125" s="216"/>
      <c r="R125" s="216"/>
      <c r="S125" s="216"/>
      <c r="T125" s="216"/>
      <c r="U125" s="216"/>
      <c r="V125" s="216"/>
      <c r="W125" s="216"/>
      <c r="X125" s="217"/>
      <c r="Y125" s="79"/>
      <c r="Z125" s="234"/>
      <c r="AA125" s="86"/>
      <c r="AB125" s="218"/>
      <c r="AC125" s="483"/>
      <c r="AD125" s="79"/>
      <c r="AE125" s="485"/>
      <c r="AF125" s="486"/>
      <c r="AG125" s="486"/>
      <c r="AH125" s="220"/>
      <c r="AI125" s="488"/>
      <c r="AJ125" s="220"/>
      <c r="AK125" s="220"/>
      <c r="AL125" s="489"/>
      <c r="AM125" s="488"/>
      <c r="AN125" s="76"/>
      <c r="AO125" s="76"/>
      <c r="AP125" s="76"/>
      <c r="AQ125" s="221"/>
      <c r="AR125" s="248"/>
    </row>
    <row r="126" spans="1:44" ht="20">
      <c r="A126" s="487"/>
      <c r="B126" s="246"/>
      <c r="C126" s="216"/>
      <c r="D126" s="216"/>
      <c r="E126" s="216"/>
      <c r="F126" s="217"/>
      <c r="G126" s="217"/>
      <c r="H126" s="217"/>
      <c r="I126" s="217"/>
      <c r="J126" s="217"/>
      <c r="K126" s="217"/>
      <c r="L126" s="216"/>
      <c r="M126" s="216"/>
      <c r="N126" s="216"/>
      <c r="O126" s="216"/>
      <c r="P126" s="216"/>
      <c r="Q126" s="216"/>
      <c r="R126" s="216"/>
      <c r="S126" s="216"/>
      <c r="T126" s="216"/>
      <c r="U126" s="216"/>
      <c r="V126" s="216"/>
      <c r="W126" s="216"/>
      <c r="X126" s="217"/>
      <c r="Y126" s="79"/>
      <c r="Z126" s="234"/>
      <c r="AA126" s="86"/>
      <c r="AB126" s="218"/>
      <c r="AC126" s="219"/>
      <c r="AD126" s="79"/>
      <c r="AE126" s="485"/>
      <c r="AF126" s="486"/>
      <c r="AG126" s="486"/>
      <c r="AH126" s="220"/>
      <c r="AI126" s="488"/>
      <c r="AJ126" s="220"/>
      <c r="AK126" s="220"/>
      <c r="AL126" s="489"/>
      <c r="AM126" s="488"/>
      <c r="AN126" s="76"/>
      <c r="AO126" s="76"/>
      <c r="AP126" s="76"/>
      <c r="AQ126" s="221"/>
      <c r="AR126" s="248"/>
    </row>
    <row r="127" spans="1:44" ht="20">
      <c r="A127" s="487"/>
      <c r="B127" s="246"/>
      <c r="C127" s="216"/>
      <c r="D127" s="216"/>
      <c r="E127" s="216"/>
      <c r="F127" s="482"/>
      <c r="G127" s="217"/>
      <c r="H127" s="217"/>
      <c r="I127" s="217"/>
      <c r="J127" s="217"/>
      <c r="K127" s="217"/>
      <c r="L127" s="216"/>
      <c r="M127" s="216"/>
      <c r="N127" s="216"/>
      <c r="O127" s="216"/>
      <c r="P127" s="216"/>
      <c r="Q127" s="216"/>
      <c r="R127" s="216"/>
      <c r="S127" s="216"/>
      <c r="T127" s="216"/>
      <c r="U127" s="216"/>
      <c r="V127" s="216"/>
      <c r="W127" s="216"/>
      <c r="X127" s="482"/>
      <c r="Y127" s="79"/>
      <c r="Z127" s="234"/>
      <c r="AA127" s="86"/>
      <c r="AB127" s="218"/>
      <c r="AC127" s="483"/>
      <c r="AD127" s="79"/>
      <c r="AE127" s="485"/>
      <c r="AF127" s="486"/>
      <c r="AG127" s="486"/>
      <c r="AH127" s="220"/>
      <c r="AI127" s="488"/>
      <c r="AJ127" s="220"/>
      <c r="AK127" s="220"/>
      <c r="AL127" s="489"/>
      <c r="AM127" s="488"/>
      <c r="AN127" s="76"/>
      <c r="AO127" s="76"/>
      <c r="AP127" s="76"/>
      <c r="AQ127" s="221"/>
      <c r="AR127" s="248"/>
    </row>
    <row r="128" spans="1:44" ht="20">
      <c r="A128" s="524"/>
      <c r="B128" s="247"/>
      <c r="C128" s="222"/>
      <c r="D128" s="222"/>
      <c r="E128" s="222"/>
      <c r="F128" s="525"/>
      <c r="G128" s="526"/>
      <c r="H128" s="526"/>
      <c r="I128" s="526"/>
      <c r="J128" s="526"/>
      <c r="K128" s="526"/>
      <c r="L128" s="222"/>
      <c r="M128" s="222"/>
      <c r="N128" s="222"/>
      <c r="O128" s="222"/>
      <c r="P128" s="222"/>
      <c r="Q128" s="222"/>
      <c r="R128" s="222"/>
      <c r="S128" s="222"/>
      <c r="T128" s="222"/>
      <c r="U128" s="222"/>
      <c r="V128" s="222"/>
      <c r="W128" s="222"/>
      <c r="X128" s="525"/>
      <c r="Y128" s="527"/>
      <c r="Z128" s="528"/>
      <c r="AA128" s="223"/>
      <c r="AB128" s="223"/>
      <c r="AC128" s="529"/>
      <c r="AD128" s="79"/>
      <c r="AE128" s="485"/>
      <c r="AF128" s="486"/>
      <c r="AG128" s="530"/>
      <c r="AH128" s="224"/>
      <c r="AI128" s="488"/>
      <c r="AJ128" s="224"/>
      <c r="AK128" s="224"/>
      <c r="AL128" s="489"/>
      <c r="AM128" s="531"/>
      <c r="AN128" s="495"/>
      <c r="AO128" s="495"/>
      <c r="AP128" s="76"/>
      <c r="AQ128" s="442"/>
      <c r="AR128" s="248"/>
    </row>
    <row r="129" spans="1:44" ht="20">
      <c r="A129" s="524"/>
      <c r="B129" s="247"/>
      <c r="C129" s="222"/>
      <c r="D129" s="222"/>
      <c r="E129" s="222"/>
      <c r="F129" s="526"/>
      <c r="G129" s="526"/>
      <c r="H129" s="526"/>
      <c r="I129" s="526"/>
      <c r="J129" s="526"/>
      <c r="K129" s="526"/>
      <c r="L129" s="222"/>
      <c r="M129" s="222"/>
      <c r="N129" s="222"/>
      <c r="O129" s="222"/>
      <c r="P129" s="222"/>
      <c r="Q129" s="222"/>
      <c r="R129" s="222"/>
      <c r="S129" s="222"/>
      <c r="T129" s="222"/>
      <c r="U129" s="222"/>
      <c r="V129" s="222"/>
      <c r="W129" s="222"/>
      <c r="X129" s="526"/>
      <c r="Y129" s="527"/>
      <c r="Z129" s="235"/>
      <c r="AA129" s="528"/>
      <c r="AB129" s="223"/>
      <c r="AC129" s="532"/>
      <c r="AD129" s="527"/>
      <c r="AE129" s="533"/>
      <c r="AF129" s="530"/>
      <c r="AG129" s="530"/>
      <c r="AH129" s="224"/>
      <c r="AI129" s="488"/>
      <c r="AJ129" s="224"/>
      <c r="AK129" s="224"/>
      <c r="AL129" s="534"/>
      <c r="AM129" s="531"/>
      <c r="AN129" s="495"/>
      <c r="AO129" s="495"/>
      <c r="AP129" s="76"/>
      <c r="AQ129" s="535"/>
      <c r="AR129" s="248"/>
    </row>
    <row r="130" spans="1:44" ht="20">
      <c r="A130" s="264"/>
      <c r="B130" s="247"/>
      <c r="C130" s="222"/>
      <c r="D130" s="222"/>
      <c r="E130" s="222"/>
      <c r="F130" s="536"/>
      <c r="G130" s="526"/>
      <c r="H130" s="526"/>
      <c r="I130" s="526"/>
      <c r="J130" s="526"/>
      <c r="K130" s="526"/>
      <c r="L130" s="222"/>
      <c r="M130" s="222"/>
      <c r="N130" s="222"/>
      <c r="O130" s="222"/>
      <c r="P130" s="222"/>
      <c r="Q130" s="222"/>
      <c r="R130" s="222"/>
      <c r="S130" s="222"/>
      <c r="T130" s="222"/>
      <c r="U130" s="222"/>
      <c r="V130" s="222"/>
      <c r="W130" s="222"/>
      <c r="X130" s="537"/>
      <c r="Y130" s="222"/>
      <c r="Z130" s="235"/>
      <c r="AA130" s="223"/>
      <c r="AB130" s="223"/>
      <c r="AC130" s="537"/>
      <c r="AD130" s="538"/>
      <c r="AE130" s="539"/>
      <c r="AF130" s="540"/>
      <c r="AG130" s="539"/>
      <c r="AH130" s="525"/>
      <c r="AI130" s="539"/>
      <c r="AJ130" s="525"/>
      <c r="AK130" s="525"/>
      <c r="AL130" s="539"/>
      <c r="AM130" s="525"/>
      <c r="AN130" s="525"/>
      <c r="AO130" s="525"/>
      <c r="AP130" s="217"/>
      <c r="AQ130" s="442"/>
      <c r="AR130" s="248"/>
    </row>
    <row r="131" spans="1:44" ht="20">
      <c r="A131" s="216"/>
      <c r="B131" s="246"/>
      <c r="C131" s="216"/>
      <c r="D131" s="216"/>
      <c r="E131" s="216"/>
      <c r="F131" s="518"/>
      <c r="G131" s="217"/>
      <c r="H131" s="217"/>
      <c r="I131" s="217"/>
      <c r="J131" s="217"/>
      <c r="K131" s="217"/>
      <c r="L131" s="216"/>
      <c r="M131" s="216"/>
      <c r="N131" s="216"/>
      <c r="O131" s="216"/>
      <c r="P131" s="216"/>
      <c r="Q131" s="216"/>
      <c r="R131" s="216"/>
      <c r="S131" s="216"/>
      <c r="T131" s="216"/>
      <c r="U131" s="216"/>
      <c r="V131" s="216"/>
      <c r="W131" s="216"/>
      <c r="X131" s="522"/>
      <c r="Y131" s="216"/>
      <c r="Z131" s="234"/>
      <c r="AA131" s="223"/>
      <c r="AB131" s="218"/>
      <c r="AC131" s="541"/>
      <c r="AD131" s="542"/>
      <c r="AE131" s="79"/>
      <c r="AF131" s="87"/>
      <c r="AG131" s="484"/>
      <c r="AH131" s="483"/>
      <c r="AI131" s="220"/>
      <c r="AJ131" s="483"/>
      <c r="AK131" s="483"/>
      <c r="AL131" s="483"/>
      <c r="AM131" s="483"/>
      <c r="AN131" s="483"/>
      <c r="AO131" s="483"/>
      <c r="AP131" s="522"/>
      <c r="AQ131" s="221"/>
      <c r="AR131" s="248"/>
    </row>
    <row r="132" spans="1:44" ht="20">
      <c r="A132" s="216"/>
      <c r="B132" s="246"/>
      <c r="C132" s="216"/>
      <c r="D132" s="216"/>
      <c r="E132" s="216"/>
      <c r="F132" s="518"/>
      <c r="G132" s="526"/>
      <c r="H132" s="526"/>
      <c r="I132" s="526"/>
      <c r="J132" s="217"/>
      <c r="K132" s="217"/>
      <c r="L132" s="216"/>
      <c r="M132" s="222"/>
      <c r="N132" s="222"/>
      <c r="O132" s="222"/>
      <c r="P132" s="222"/>
      <c r="Q132" s="222"/>
      <c r="R132" s="222"/>
      <c r="S132" s="222"/>
      <c r="T132" s="222"/>
      <c r="U132" s="222"/>
      <c r="V132" s="222"/>
      <c r="W132" s="222"/>
      <c r="X132" s="522"/>
      <c r="Y132" s="216"/>
      <c r="Z132" s="235"/>
      <c r="AA132" s="528"/>
      <c r="AB132" s="223"/>
      <c r="AC132" s="537"/>
      <c r="AD132" s="527"/>
      <c r="AE132" s="527"/>
      <c r="AF132" s="494"/>
      <c r="AG132" s="543"/>
      <c r="AH132" s="220"/>
      <c r="AI132" s="224"/>
      <c r="AJ132" s="220"/>
      <c r="AK132" s="220"/>
      <c r="AL132" s="496"/>
      <c r="AM132" s="495"/>
      <c r="AN132" s="544"/>
      <c r="AO132" s="495"/>
      <c r="AP132" s="522"/>
      <c r="AQ132" s="442"/>
      <c r="AR132" s="248"/>
    </row>
    <row r="133" spans="1:44" ht="20">
      <c r="A133" s="216"/>
      <c r="B133" s="246"/>
      <c r="C133" s="216"/>
      <c r="D133" s="216"/>
      <c r="E133" s="216"/>
      <c r="F133" s="518"/>
      <c r="G133" s="526"/>
      <c r="H133" s="526"/>
      <c r="I133" s="526"/>
      <c r="J133" s="217"/>
      <c r="K133" s="217"/>
      <c r="L133" s="216"/>
      <c r="M133" s="222"/>
      <c r="N133" s="222"/>
      <c r="O133" s="222"/>
      <c r="P133" s="222"/>
      <c r="Q133" s="222"/>
      <c r="R133" s="222"/>
      <c r="S133" s="222"/>
      <c r="T133" s="222"/>
      <c r="U133" s="222"/>
      <c r="V133" s="222"/>
      <c r="W133" s="222"/>
      <c r="X133" s="522"/>
      <c r="Y133" s="216"/>
      <c r="Z133" s="235"/>
      <c r="AA133" s="528"/>
      <c r="AB133" s="223"/>
      <c r="AC133" s="541"/>
      <c r="AD133" s="527"/>
      <c r="AE133" s="527"/>
      <c r="AF133" s="494"/>
      <c r="AG133" s="543"/>
      <c r="AH133" s="220"/>
      <c r="AI133" s="224"/>
      <c r="AJ133" s="220"/>
      <c r="AK133" s="220"/>
      <c r="AL133" s="496"/>
      <c r="AM133" s="495"/>
      <c r="AN133" s="544"/>
      <c r="AO133" s="495"/>
      <c r="AP133" s="522"/>
      <c r="AQ133" s="442"/>
      <c r="AR133" s="248"/>
    </row>
    <row r="134" spans="1:44" ht="20">
      <c r="A134" s="216"/>
      <c r="B134" s="246"/>
      <c r="C134" s="216"/>
      <c r="D134" s="216"/>
      <c r="E134" s="216"/>
      <c r="F134" s="518"/>
      <c r="G134" s="526"/>
      <c r="H134" s="526"/>
      <c r="I134" s="526"/>
      <c r="J134" s="217"/>
      <c r="K134" s="217"/>
      <c r="L134" s="216"/>
      <c r="M134" s="222"/>
      <c r="N134" s="222"/>
      <c r="O134" s="222"/>
      <c r="P134" s="222"/>
      <c r="Q134" s="222"/>
      <c r="R134" s="222"/>
      <c r="S134" s="222"/>
      <c r="T134" s="222"/>
      <c r="U134" s="222"/>
      <c r="V134" s="222"/>
      <c r="W134" s="222"/>
      <c r="X134" s="518"/>
      <c r="Y134" s="216"/>
      <c r="Z134" s="235"/>
      <c r="AA134" s="223"/>
      <c r="AB134" s="223"/>
      <c r="AC134" s="537"/>
      <c r="AD134" s="538"/>
      <c r="AE134" s="545"/>
      <c r="AF134" s="199"/>
      <c r="AG134" s="546"/>
      <c r="AH134" s="483"/>
      <c r="AI134" s="547"/>
      <c r="AJ134" s="483"/>
      <c r="AK134" s="483"/>
      <c r="AL134" s="548"/>
      <c r="AM134" s="495"/>
      <c r="AN134" s="544"/>
      <c r="AO134" s="495"/>
      <c r="AP134" s="76"/>
      <c r="AQ134" s="442"/>
      <c r="AR134" s="248"/>
    </row>
    <row r="135" spans="1:44" ht="20">
      <c r="A135" s="216"/>
      <c r="B135" s="246"/>
      <c r="C135" s="216"/>
      <c r="D135" s="216"/>
      <c r="E135" s="216"/>
      <c r="F135" s="482"/>
      <c r="G135" s="526"/>
      <c r="H135" s="217"/>
      <c r="I135" s="217"/>
      <c r="J135" s="217"/>
      <c r="K135" s="217"/>
      <c r="L135" s="216"/>
      <c r="M135" s="216"/>
      <c r="N135" s="216"/>
      <c r="O135" s="216"/>
      <c r="P135" s="216"/>
      <c r="Q135" s="216"/>
      <c r="R135" s="216"/>
      <c r="S135" s="216"/>
      <c r="T135" s="216"/>
      <c r="U135" s="216"/>
      <c r="V135" s="216"/>
      <c r="W135" s="216"/>
      <c r="X135" s="482"/>
      <c r="Y135" s="216"/>
      <c r="Z135" s="234"/>
      <c r="AA135" s="549"/>
      <c r="AB135" s="218"/>
      <c r="AC135" s="483"/>
      <c r="AD135" s="545"/>
      <c r="AE135" s="545"/>
      <c r="AF135" s="199"/>
      <c r="AG135" s="546"/>
      <c r="AH135" s="224"/>
      <c r="AI135" s="547"/>
      <c r="AJ135" s="220"/>
      <c r="AK135" s="224"/>
      <c r="AL135" s="548"/>
      <c r="AM135" s="76"/>
      <c r="AN135" s="504"/>
      <c r="AO135" s="76"/>
      <c r="AP135" s="76"/>
      <c r="AQ135" s="442"/>
      <c r="AR135" s="248"/>
    </row>
    <row r="136" spans="1:44" ht="20">
      <c r="A136" s="481"/>
      <c r="B136" s="246"/>
      <c r="C136" s="216"/>
      <c r="D136" s="216"/>
      <c r="E136" s="216"/>
      <c r="F136" s="482"/>
      <c r="G136" s="217"/>
      <c r="H136" s="217"/>
      <c r="I136" s="217"/>
      <c r="J136" s="217"/>
      <c r="K136" s="217"/>
      <c r="L136" s="216"/>
      <c r="M136" s="216"/>
      <c r="N136" s="216"/>
      <c r="O136" s="216"/>
      <c r="P136" s="216"/>
      <c r="Q136" s="216"/>
      <c r="R136" s="216"/>
      <c r="S136" s="216"/>
      <c r="T136" s="216"/>
      <c r="U136" s="216"/>
      <c r="V136" s="216"/>
      <c r="W136" s="216"/>
      <c r="X136" s="217"/>
      <c r="Y136" s="216"/>
      <c r="Z136" s="234"/>
      <c r="AA136" s="550"/>
      <c r="AB136" s="218"/>
      <c r="AC136" s="483"/>
      <c r="AD136" s="79"/>
      <c r="AE136" s="79"/>
      <c r="AF136" s="87"/>
      <c r="AG136" s="484"/>
      <c r="AH136" s="76"/>
      <c r="AI136" s="220"/>
      <c r="AJ136" s="220"/>
      <c r="AK136" s="504"/>
      <c r="AL136" s="220"/>
      <c r="AM136" s="220"/>
      <c r="AN136" s="220"/>
      <c r="AO136" s="220"/>
      <c r="AP136" s="234"/>
      <c r="AQ136" s="221"/>
      <c r="AR136" s="248"/>
    </row>
    <row r="137" spans="1:44" ht="20">
      <c r="A137" s="511"/>
      <c r="B137" s="247"/>
      <c r="C137" s="222"/>
      <c r="D137" s="222"/>
      <c r="E137" s="222"/>
      <c r="F137" s="551"/>
      <c r="G137" s="526"/>
      <c r="H137" s="526"/>
      <c r="I137" s="526"/>
      <c r="J137" s="526"/>
      <c r="K137" s="526"/>
      <c r="L137" s="222"/>
      <c r="M137" s="222"/>
      <c r="N137" s="511"/>
      <c r="O137" s="511"/>
      <c r="P137" s="511"/>
      <c r="Q137" s="511"/>
      <c r="R137" s="511"/>
      <c r="S137" s="511"/>
      <c r="T137" s="511"/>
      <c r="U137" s="511"/>
      <c r="V137" s="511"/>
      <c r="W137" s="222"/>
      <c r="X137" s="551"/>
      <c r="Y137" s="511"/>
      <c r="Z137" s="552"/>
      <c r="AA137" s="553"/>
      <c r="AB137" s="553"/>
      <c r="AC137" s="529"/>
      <c r="AD137" s="189"/>
      <c r="AE137" s="554"/>
      <c r="AF137" s="224"/>
      <c r="AG137" s="555"/>
      <c r="AH137" s="224"/>
      <c r="AI137" s="554"/>
      <c r="AJ137" s="224"/>
      <c r="AK137" s="543"/>
      <c r="AL137" s="554"/>
      <c r="AM137" s="224"/>
      <c r="AN137" s="224"/>
      <c r="AO137" s="224"/>
      <c r="AP137" s="526"/>
      <c r="AQ137" s="442"/>
      <c r="AR137" s="248"/>
    </row>
    <row r="138" spans="1:44" ht="20">
      <c r="A138" s="511"/>
      <c r="B138" s="247"/>
      <c r="C138" s="222"/>
      <c r="D138" s="222"/>
      <c r="E138" s="222"/>
      <c r="F138" s="551"/>
      <c r="G138" s="526"/>
      <c r="H138" s="526"/>
      <c r="I138" s="526"/>
      <c r="J138" s="526"/>
      <c r="K138" s="526"/>
      <c r="L138" s="222"/>
      <c r="M138" s="222"/>
      <c r="N138" s="511"/>
      <c r="O138" s="511"/>
      <c r="P138" s="511"/>
      <c r="Q138" s="511"/>
      <c r="R138" s="511"/>
      <c r="S138" s="511"/>
      <c r="T138" s="511"/>
      <c r="U138" s="511"/>
      <c r="V138" s="511"/>
      <c r="W138" s="222"/>
      <c r="X138" s="551"/>
      <c r="Y138" s="511"/>
      <c r="Z138" s="552"/>
      <c r="AA138" s="553"/>
      <c r="AB138" s="553"/>
      <c r="AC138" s="483"/>
      <c r="AD138" s="80"/>
      <c r="AE138" s="236"/>
      <c r="AF138" s="236"/>
      <c r="AG138" s="556"/>
      <c r="AH138" s="224"/>
      <c r="AI138" s="220"/>
      <c r="AJ138" s="236"/>
      <c r="AK138" s="543"/>
      <c r="AL138" s="236"/>
      <c r="AM138" s="224"/>
      <c r="AN138" s="224"/>
      <c r="AO138" s="224"/>
      <c r="AP138" s="526"/>
      <c r="AQ138" s="442"/>
      <c r="AR138" s="248"/>
    </row>
    <row r="139" spans="1:44" ht="20">
      <c r="A139" s="511"/>
      <c r="B139" s="247"/>
      <c r="C139" s="222"/>
      <c r="D139" s="222"/>
      <c r="E139" s="222"/>
      <c r="F139" s="551"/>
      <c r="G139" s="526"/>
      <c r="H139" s="526"/>
      <c r="I139" s="526"/>
      <c r="J139" s="526"/>
      <c r="K139" s="526"/>
      <c r="L139" s="222"/>
      <c r="M139" s="222"/>
      <c r="N139" s="511"/>
      <c r="O139" s="511"/>
      <c r="P139" s="511"/>
      <c r="Q139" s="511"/>
      <c r="R139" s="511"/>
      <c r="S139" s="511"/>
      <c r="T139" s="511"/>
      <c r="U139" s="511"/>
      <c r="V139" s="511"/>
      <c r="W139" s="222"/>
      <c r="X139" s="551"/>
      <c r="Y139" s="511"/>
      <c r="Z139" s="552"/>
      <c r="AA139" s="553"/>
      <c r="AB139" s="553"/>
      <c r="AC139" s="529"/>
      <c r="AD139" s="557"/>
      <c r="AE139" s="558"/>
      <c r="AF139" s="558"/>
      <c r="AG139" s="559"/>
      <c r="AH139" s="220"/>
      <c r="AI139" s="558"/>
      <c r="AJ139" s="220"/>
      <c r="AK139" s="484"/>
      <c r="AL139" s="558"/>
      <c r="AM139" s="224"/>
      <c r="AN139" s="224"/>
      <c r="AO139" s="224"/>
      <c r="AP139" s="526"/>
      <c r="AQ139" s="442"/>
      <c r="AR139" s="248"/>
    </row>
    <row r="140" spans="1:44" ht="20">
      <c r="A140" s="511"/>
      <c r="B140" s="247"/>
      <c r="C140" s="222"/>
      <c r="D140" s="222"/>
      <c r="E140" s="222"/>
      <c r="F140" s="551"/>
      <c r="G140" s="217"/>
      <c r="H140" s="526"/>
      <c r="I140" s="217"/>
      <c r="J140" s="217"/>
      <c r="K140" s="217"/>
      <c r="L140" s="216"/>
      <c r="M140" s="216"/>
      <c r="N140" s="511"/>
      <c r="O140" s="511"/>
      <c r="P140" s="511"/>
      <c r="Q140" s="511"/>
      <c r="R140" s="511"/>
      <c r="S140" s="511"/>
      <c r="T140" s="511"/>
      <c r="U140" s="511"/>
      <c r="V140" s="511"/>
      <c r="W140" s="216"/>
      <c r="X140" s="551"/>
      <c r="Y140" s="511"/>
      <c r="Z140" s="552"/>
      <c r="AA140" s="560"/>
      <c r="AB140" s="553"/>
      <c r="AC140" s="483"/>
      <c r="AD140" s="79"/>
      <c r="AE140" s="79"/>
      <c r="AF140" s="87"/>
      <c r="AG140" s="87"/>
      <c r="AH140" s="561"/>
      <c r="AI140" s="76"/>
      <c r="AJ140" s="76"/>
      <c r="AK140" s="220"/>
      <c r="AL140" s="88"/>
      <c r="AM140" s="220"/>
      <c r="AN140" s="76"/>
      <c r="AO140" s="76"/>
      <c r="AP140" s="234"/>
      <c r="AQ140" s="442"/>
      <c r="AR140" s="248"/>
    </row>
    <row r="141" spans="1:44" ht="20">
      <c r="A141" s="511"/>
      <c r="B141" s="247"/>
      <c r="C141" s="222"/>
      <c r="D141" s="222"/>
      <c r="E141" s="222"/>
      <c r="F141" s="551"/>
      <c r="G141" s="217"/>
      <c r="H141" s="526"/>
      <c r="I141" s="217"/>
      <c r="J141" s="217"/>
      <c r="K141" s="217"/>
      <c r="L141" s="216"/>
      <c r="M141" s="216"/>
      <c r="N141" s="511"/>
      <c r="O141" s="511"/>
      <c r="P141" s="511"/>
      <c r="Q141" s="511"/>
      <c r="R141" s="511"/>
      <c r="S141" s="511"/>
      <c r="T141" s="511"/>
      <c r="U141" s="511"/>
      <c r="V141" s="511"/>
      <c r="W141" s="216"/>
      <c r="X141" s="551"/>
      <c r="Y141" s="511"/>
      <c r="Z141" s="552"/>
      <c r="AA141" s="560"/>
      <c r="AB141" s="553"/>
      <c r="AC141" s="483"/>
      <c r="AD141" s="79"/>
      <c r="AE141" s="79"/>
      <c r="AF141" s="484"/>
      <c r="AG141" s="87"/>
      <c r="AH141" s="495"/>
      <c r="AI141" s="76"/>
      <c r="AJ141" s="495"/>
      <c r="AK141" s="224"/>
      <c r="AL141" s="88"/>
      <c r="AM141" s="220"/>
      <c r="AN141" s="76"/>
      <c r="AO141" s="220"/>
      <c r="AP141" s="76"/>
      <c r="AQ141" s="442"/>
      <c r="AR141" s="248"/>
    </row>
    <row r="142" spans="1:44" ht="20">
      <c r="A142" s="511"/>
      <c r="B142" s="247"/>
      <c r="C142" s="222"/>
      <c r="D142" s="222"/>
      <c r="E142" s="222"/>
      <c r="F142" s="551"/>
      <c r="G142" s="526"/>
      <c r="H142" s="526"/>
      <c r="I142" s="526"/>
      <c r="J142" s="526"/>
      <c r="K142" s="526"/>
      <c r="L142" s="222"/>
      <c r="M142" s="222"/>
      <c r="N142" s="511"/>
      <c r="O142" s="511"/>
      <c r="P142" s="511"/>
      <c r="Q142" s="511"/>
      <c r="R142" s="511"/>
      <c r="S142" s="511"/>
      <c r="T142" s="511"/>
      <c r="U142" s="511"/>
      <c r="V142" s="511"/>
      <c r="W142" s="222"/>
      <c r="X142" s="551"/>
      <c r="Y142" s="511"/>
      <c r="Z142" s="552"/>
      <c r="AA142" s="553"/>
      <c r="AB142" s="553"/>
      <c r="AC142" s="529"/>
      <c r="AD142" s="189"/>
      <c r="AE142" s="554"/>
      <c r="AF142" s="562"/>
      <c r="AG142" s="484"/>
      <c r="AH142" s="224"/>
      <c r="AI142" s="554"/>
      <c r="AJ142" s="224"/>
      <c r="AK142" s="543"/>
      <c r="AL142" s="554"/>
      <c r="AM142" s="224"/>
      <c r="AN142" s="224"/>
      <c r="AO142" s="224"/>
      <c r="AP142" s="526"/>
      <c r="AQ142" s="442"/>
      <c r="AR142" s="248"/>
    </row>
    <row r="143" spans="1:44" ht="20">
      <c r="A143" s="511"/>
      <c r="B143" s="247"/>
      <c r="C143" s="222"/>
      <c r="D143" s="222"/>
      <c r="E143" s="222"/>
      <c r="F143" s="551"/>
      <c r="G143" s="526"/>
      <c r="H143" s="526"/>
      <c r="I143" s="526"/>
      <c r="J143" s="526"/>
      <c r="K143" s="526"/>
      <c r="L143" s="222"/>
      <c r="M143" s="222"/>
      <c r="N143" s="511"/>
      <c r="O143" s="511"/>
      <c r="P143" s="511"/>
      <c r="Q143" s="511"/>
      <c r="R143" s="511"/>
      <c r="S143" s="511"/>
      <c r="T143" s="511"/>
      <c r="U143" s="511"/>
      <c r="V143" s="511"/>
      <c r="W143" s="222"/>
      <c r="X143" s="551"/>
      <c r="Y143" s="511"/>
      <c r="Z143" s="552"/>
      <c r="AA143" s="553"/>
      <c r="AB143" s="553"/>
      <c r="AC143" s="529"/>
      <c r="AD143" s="189"/>
      <c r="AE143" s="554"/>
      <c r="AF143" s="562"/>
      <c r="AG143" s="546"/>
      <c r="AH143" s="220"/>
      <c r="AI143" s="554"/>
      <c r="AJ143" s="220"/>
      <c r="AK143" s="484"/>
      <c r="AL143" s="554"/>
      <c r="AM143" s="554"/>
      <c r="AN143" s="554"/>
      <c r="AO143" s="554"/>
      <c r="AP143" s="563"/>
      <c r="AQ143" s="442"/>
      <c r="AR143" s="248"/>
    </row>
    <row r="144" spans="1:44" ht="20">
      <c r="A144" s="511"/>
      <c r="B144" s="247"/>
      <c r="C144" s="222"/>
      <c r="D144" s="222"/>
      <c r="E144" s="216"/>
      <c r="F144" s="551"/>
      <c r="G144" s="217"/>
      <c r="H144" s="217"/>
      <c r="I144" s="217"/>
      <c r="J144" s="217"/>
      <c r="K144" s="217"/>
      <c r="L144" s="216"/>
      <c r="M144" s="216"/>
      <c r="N144" s="511"/>
      <c r="O144" s="511"/>
      <c r="P144" s="511"/>
      <c r="Q144" s="511"/>
      <c r="R144" s="511"/>
      <c r="S144" s="511"/>
      <c r="T144" s="511"/>
      <c r="U144" s="511"/>
      <c r="V144" s="511"/>
      <c r="W144" s="216"/>
      <c r="X144" s="551"/>
      <c r="Y144" s="511"/>
      <c r="Z144" s="552"/>
      <c r="AA144" s="560"/>
      <c r="AB144" s="553"/>
      <c r="AC144" s="483"/>
      <c r="AD144" s="80"/>
      <c r="AE144" s="236"/>
      <c r="AF144" s="564"/>
      <c r="AG144" s="556"/>
      <c r="AH144" s="76"/>
      <c r="AI144" s="236"/>
      <c r="AJ144" s="220"/>
      <c r="AK144" s="484"/>
      <c r="AL144" s="236"/>
      <c r="AM144" s="236"/>
      <c r="AN144" s="236"/>
      <c r="AO144" s="236"/>
      <c r="AP144" s="81"/>
      <c r="AQ144" s="442"/>
      <c r="AR144" s="248"/>
    </row>
    <row r="145" spans="1:44" ht="20">
      <c r="A145" s="511"/>
      <c r="B145" s="247"/>
      <c r="C145" s="222"/>
      <c r="D145" s="222"/>
      <c r="E145" s="216"/>
      <c r="F145" s="551"/>
      <c r="G145" s="217"/>
      <c r="H145" s="217"/>
      <c r="I145" s="217"/>
      <c r="J145" s="217"/>
      <c r="K145" s="217"/>
      <c r="L145" s="216"/>
      <c r="M145" s="216"/>
      <c r="N145" s="511"/>
      <c r="O145" s="511"/>
      <c r="P145" s="511"/>
      <c r="Q145" s="511"/>
      <c r="R145" s="511"/>
      <c r="S145" s="511"/>
      <c r="T145" s="511"/>
      <c r="U145" s="511"/>
      <c r="V145" s="511"/>
      <c r="W145" s="216"/>
      <c r="X145" s="551"/>
      <c r="Y145" s="511"/>
      <c r="Z145" s="552"/>
      <c r="AA145" s="560"/>
      <c r="AB145" s="553"/>
      <c r="AC145" s="483"/>
      <c r="AD145" s="80"/>
      <c r="AE145" s="80"/>
      <c r="AF145" s="564"/>
      <c r="AG145" s="556"/>
      <c r="AH145" s="220"/>
      <c r="AI145" s="236"/>
      <c r="AJ145" s="220"/>
      <c r="AK145" s="484"/>
      <c r="AL145" s="236"/>
      <c r="AM145" s="236"/>
      <c r="AN145" s="236"/>
      <c r="AO145" s="236"/>
      <c r="AP145" s="238"/>
      <c r="AQ145" s="442"/>
      <c r="AR145" s="248"/>
    </row>
    <row r="146" spans="1:44" ht="20">
      <c r="A146" s="511"/>
      <c r="B146" s="247"/>
      <c r="C146" s="222"/>
      <c r="D146" s="222"/>
      <c r="E146" s="216"/>
      <c r="F146" s="551"/>
      <c r="G146" s="217"/>
      <c r="H146" s="217"/>
      <c r="I146" s="217"/>
      <c r="J146" s="217"/>
      <c r="K146" s="217"/>
      <c r="L146" s="216"/>
      <c r="M146" s="216"/>
      <c r="N146" s="511"/>
      <c r="O146" s="511"/>
      <c r="P146" s="511"/>
      <c r="Q146" s="511"/>
      <c r="R146" s="511"/>
      <c r="S146" s="511"/>
      <c r="T146" s="511"/>
      <c r="U146" s="511"/>
      <c r="V146" s="511"/>
      <c r="W146" s="216"/>
      <c r="X146" s="551"/>
      <c r="Y146" s="511"/>
      <c r="Z146" s="552"/>
      <c r="AA146" s="553"/>
      <c r="AB146" s="553"/>
      <c r="AC146" s="483"/>
      <c r="AD146" s="80"/>
      <c r="AE146" s="80"/>
      <c r="AF146" s="564"/>
      <c r="AG146" s="556"/>
      <c r="AH146" s="220"/>
      <c r="AI146" s="236"/>
      <c r="AJ146" s="220"/>
      <c r="AK146" s="484"/>
      <c r="AL146" s="236"/>
      <c r="AM146" s="236"/>
      <c r="AN146" s="236"/>
      <c r="AO146" s="236"/>
      <c r="AP146" s="238"/>
      <c r="AQ146" s="442"/>
      <c r="AR146" s="248"/>
    </row>
    <row r="147" spans="1:44" ht="20">
      <c r="A147" s="511"/>
      <c r="B147" s="247"/>
      <c r="C147" s="222"/>
      <c r="D147" s="222"/>
      <c r="E147" s="216"/>
      <c r="F147" s="551"/>
      <c r="G147" s="217"/>
      <c r="H147" s="217"/>
      <c r="I147" s="217"/>
      <c r="J147" s="217"/>
      <c r="K147" s="217"/>
      <c r="L147" s="216"/>
      <c r="M147" s="216"/>
      <c r="N147" s="511"/>
      <c r="O147" s="511"/>
      <c r="P147" s="511"/>
      <c r="Q147" s="511"/>
      <c r="R147" s="511"/>
      <c r="S147" s="511"/>
      <c r="T147" s="511"/>
      <c r="U147" s="511"/>
      <c r="V147" s="511"/>
      <c r="W147" s="216"/>
      <c r="X147" s="551"/>
      <c r="Y147" s="511"/>
      <c r="Z147" s="552"/>
      <c r="AA147" s="560"/>
      <c r="AB147" s="553"/>
      <c r="AC147" s="483"/>
      <c r="AD147" s="189"/>
      <c r="AE147" s="189"/>
      <c r="AF147" s="562"/>
      <c r="AG147" s="546"/>
      <c r="AH147" s="76"/>
      <c r="AI147" s="554"/>
      <c r="AJ147" s="220"/>
      <c r="AK147" s="484"/>
      <c r="AL147" s="554"/>
      <c r="AM147" s="554"/>
      <c r="AN147" s="554"/>
      <c r="AO147" s="554"/>
      <c r="AP147" s="196"/>
      <c r="AQ147" s="442"/>
      <c r="AR147" s="248"/>
    </row>
    <row r="148" spans="1:44" ht="20">
      <c r="A148" s="511"/>
      <c r="B148" s="247"/>
      <c r="C148" s="222"/>
      <c r="D148" s="222"/>
      <c r="E148" s="216"/>
      <c r="F148" s="551"/>
      <c r="G148" s="217"/>
      <c r="H148" s="217"/>
      <c r="I148" s="217"/>
      <c r="J148" s="217"/>
      <c r="K148" s="217"/>
      <c r="L148" s="216"/>
      <c r="M148" s="216"/>
      <c r="N148" s="511"/>
      <c r="O148" s="511"/>
      <c r="P148" s="511"/>
      <c r="Q148" s="511"/>
      <c r="R148" s="511"/>
      <c r="S148" s="511"/>
      <c r="T148" s="511"/>
      <c r="U148" s="511"/>
      <c r="V148" s="511"/>
      <c r="W148" s="216"/>
      <c r="X148" s="551"/>
      <c r="Y148" s="511"/>
      <c r="Z148" s="552"/>
      <c r="AA148" s="560"/>
      <c r="AB148" s="553"/>
      <c r="AC148" s="483"/>
      <c r="AD148" s="509"/>
      <c r="AE148" s="162"/>
      <c r="AF148" s="565"/>
      <c r="AG148" s="556"/>
      <c r="AH148" s="509"/>
      <c r="AI148" s="83"/>
      <c r="AJ148" s="83"/>
      <c r="AK148" s="78"/>
      <c r="AL148" s="203"/>
      <c r="AM148" s="236"/>
      <c r="AN148" s="236"/>
      <c r="AO148" s="236"/>
      <c r="AP148" s="76"/>
      <c r="AQ148" s="442"/>
      <c r="AR148" s="248"/>
    </row>
    <row r="149" spans="1:44" ht="20">
      <c r="A149" s="511"/>
      <c r="B149" s="247"/>
      <c r="C149" s="222"/>
      <c r="D149" s="222"/>
      <c r="E149" s="216"/>
      <c r="F149" s="551"/>
      <c r="G149" s="217"/>
      <c r="H149" s="217"/>
      <c r="I149" s="217"/>
      <c r="J149" s="217"/>
      <c r="K149" s="217"/>
      <c r="L149" s="216"/>
      <c r="M149" s="216"/>
      <c r="N149" s="511"/>
      <c r="O149" s="511"/>
      <c r="P149" s="511"/>
      <c r="Q149" s="511"/>
      <c r="R149" s="511"/>
      <c r="S149" s="511"/>
      <c r="T149" s="511"/>
      <c r="U149" s="511"/>
      <c r="V149" s="511"/>
      <c r="W149" s="216"/>
      <c r="X149" s="551"/>
      <c r="Y149" s="511"/>
      <c r="Z149" s="552"/>
      <c r="AA149" s="553"/>
      <c r="AB149" s="553"/>
      <c r="AC149" s="483"/>
      <c r="AD149" s="509"/>
      <c r="AE149" s="509"/>
      <c r="AF149" s="566"/>
      <c r="AG149" s="556"/>
      <c r="AH149" s="220"/>
      <c r="AI149" s="83"/>
      <c r="AJ149" s="76"/>
      <c r="AK149" s="504"/>
      <c r="AL149" s="203"/>
      <c r="AM149" s="236"/>
      <c r="AN149" s="236"/>
      <c r="AO149" s="236"/>
      <c r="AP149" s="217"/>
      <c r="AQ149" s="442"/>
      <c r="AR149" s="248"/>
    </row>
    <row r="150" spans="1:44" ht="20">
      <c r="A150" s="511"/>
      <c r="B150" s="247"/>
      <c r="C150" s="222"/>
      <c r="D150" s="222"/>
      <c r="E150" s="216"/>
      <c r="F150" s="551"/>
      <c r="G150" s="217"/>
      <c r="H150" s="217"/>
      <c r="I150" s="217"/>
      <c r="J150" s="217"/>
      <c r="K150" s="217"/>
      <c r="L150" s="216"/>
      <c r="M150" s="216"/>
      <c r="N150" s="511"/>
      <c r="O150" s="511"/>
      <c r="P150" s="511"/>
      <c r="Q150" s="511"/>
      <c r="R150" s="511"/>
      <c r="S150" s="511"/>
      <c r="T150" s="511"/>
      <c r="U150" s="511"/>
      <c r="V150" s="511"/>
      <c r="W150" s="216"/>
      <c r="X150" s="551"/>
      <c r="Y150" s="511"/>
      <c r="Z150" s="560"/>
      <c r="AA150" s="560"/>
      <c r="AB150" s="553"/>
      <c r="AC150" s="567"/>
      <c r="AD150" s="79"/>
      <c r="AE150" s="79"/>
      <c r="AF150" s="484"/>
      <c r="AG150" s="484"/>
      <c r="AH150" s="76"/>
      <c r="AI150" s="76"/>
      <c r="AJ150" s="76"/>
      <c r="AK150" s="504"/>
      <c r="AL150" s="220"/>
      <c r="AM150" s="220"/>
      <c r="AN150" s="236"/>
      <c r="AO150" s="236"/>
      <c r="AP150" s="76"/>
      <c r="AQ150" s="442"/>
      <c r="AR150" s="248"/>
    </row>
    <row r="151" spans="1:44" ht="20">
      <c r="A151" s="511"/>
      <c r="B151" s="247"/>
      <c r="C151" s="222"/>
      <c r="D151" s="222"/>
      <c r="E151" s="216"/>
      <c r="F151" s="551"/>
      <c r="G151" s="217"/>
      <c r="H151" s="217"/>
      <c r="I151" s="217"/>
      <c r="J151" s="217"/>
      <c r="K151" s="217"/>
      <c r="L151" s="216"/>
      <c r="M151" s="216"/>
      <c r="N151" s="511"/>
      <c r="O151" s="511"/>
      <c r="P151" s="511"/>
      <c r="Q151" s="511"/>
      <c r="R151" s="511"/>
      <c r="S151" s="511"/>
      <c r="T151" s="511"/>
      <c r="U151" s="511"/>
      <c r="V151" s="511"/>
      <c r="W151" s="216"/>
      <c r="X151" s="551"/>
      <c r="Y151" s="511"/>
      <c r="Z151" s="552"/>
      <c r="AA151" s="553"/>
      <c r="AB151" s="553"/>
      <c r="AC151" s="483"/>
      <c r="AD151" s="236"/>
      <c r="AE151" s="236"/>
      <c r="AF151" s="568"/>
      <c r="AG151" s="556"/>
      <c r="AH151" s="76"/>
      <c r="AI151" s="164"/>
      <c r="AJ151" s="164"/>
      <c r="AK151" s="504"/>
      <c r="AL151" s="509"/>
      <c r="AM151" s="220"/>
      <c r="AN151" s="236"/>
      <c r="AO151" s="236"/>
      <c r="AP151" s="217"/>
      <c r="AQ151" s="442"/>
      <c r="AR151" s="248"/>
    </row>
    <row r="152" spans="1:44" ht="20">
      <c r="A152" s="511"/>
      <c r="B152" s="247"/>
      <c r="C152" s="222"/>
      <c r="D152" s="222"/>
      <c r="E152" s="216"/>
      <c r="F152" s="514"/>
      <c r="G152" s="217"/>
      <c r="H152" s="217"/>
      <c r="I152" s="217"/>
      <c r="J152" s="217"/>
      <c r="K152" s="217"/>
      <c r="L152" s="216"/>
      <c r="M152" s="216"/>
      <c r="N152" s="511"/>
      <c r="O152" s="511"/>
      <c r="P152" s="511"/>
      <c r="Q152" s="511"/>
      <c r="R152" s="511"/>
      <c r="S152" s="511"/>
      <c r="T152" s="511"/>
      <c r="U152" s="511"/>
      <c r="V152" s="511"/>
      <c r="W152" s="216"/>
      <c r="X152" s="514"/>
      <c r="Y152" s="511"/>
      <c r="Z152" s="552"/>
      <c r="AA152" s="553"/>
      <c r="AB152" s="553"/>
      <c r="AC152" s="219"/>
      <c r="AD152" s="236"/>
      <c r="AE152" s="236"/>
      <c r="AF152" s="220"/>
      <c r="AG152" s="203"/>
      <c r="AH152" s="220"/>
      <c r="AI152" s="236"/>
      <c r="AJ152" s="220"/>
      <c r="AK152" s="220"/>
      <c r="AL152" s="236"/>
      <c r="AM152" s="236"/>
      <c r="AN152" s="569"/>
      <c r="AO152" s="570"/>
      <c r="AP152" s="217"/>
      <c r="AQ152" s="442"/>
      <c r="AR152" s="248"/>
    </row>
    <row r="153" spans="1:44" ht="20">
      <c r="A153" s="511"/>
      <c r="B153" s="247"/>
      <c r="C153" s="222"/>
      <c r="D153" s="222"/>
      <c r="E153" s="216"/>
      <c r="F153" s="551"/>
      <c r="G153" s="217"/>
      <c r="H153" s="217"/>
      <c r="I153" s="217"/>
      <c r="J153" s="217"/>
      <c r="K153" s="217"/>
      <c r="L153" s="216"/>
      <c r="M153" s="216"/>
      <c r="N153" s="511"/>
      <c r="O153" s="511"/>
      <c r="P153" s="511"/>
      <c r="Q153" s="511"/>
      <c r="R153" s="511"/>
      <c r="S153" s="511"/>
      <c r="T153" s="511"/>
      <c r="U153" s="511"/>
      <c r="V153" s="511"/>
      <c r="W153" s="216"/>
      <c r="X153" s="551"/>
      <c r="Y153" s="511"/>
      <c r="Z153" s="560"/>
      <c r="AA153" s="560"/>
      <c r="AB153" s="553"/>
      <c r="AC153" s="483"/>
      <c r="AD153" s="203"/>
      <c r="AE153" s="82"/>
      <c r="AF153" s="484"/>
      <c r="AG153" s="556"/>
      <c r="AH153" s="220"/>
      <c r="AI153" s="83"/>
      <c r="AJ153" s="76"/>
      <c r="AK153" s="504"/>
      <c r="AL153" s="203"/>
      <c r="AM153" s="236"/>
      <c r="AN153" s="236"/>
      <c r="AO153" s="236"/>
      <c r="AP153" s="76"/>
      <c r="AQ153" s="221"/>
      <c r="AR153" s="248"/>
    </row>
    <row r="154" spans="1:44" ht="20">
      <c r="A154" s="511"/>
      <c r="B154" s="246"/>
      <c r="C154" s="216"/>
      <c r="D154" s="222"/>
      <c r="E154" s="216"/>
      <c r="F154" s="551"/>
      <c r="G154" s="217"/>
      <c r="H154" s="217"/>
      <c r="I154" s="217"/>
      <c r="J154" s="217"/>
      <c r="K154" s="217"/>
      <c r="L154" s="216"/>
      <c r="M154" s="216"/>
      <c r="N154" s="511"/>
      <c r="O154" s="511"/>
      <c r="P154" s="511"/>
      <c r="Q154" s="511"/>
      <c r="R154" s="511"/>
      <c r="S154" s="511"/>
      <c r="T154" s="511"/>
      <c r="U154" s="511"/>
      <c r="V154" s="511"/>
      <c r="W154" s="216"/>
      <c r="X154" s="551"/>
      <c r="Y154" s="511"/>
      <c r="Z154" s="552"/>
      <c r="AA154" s="553"/>
      <c r="AB154" s="553"/>
      <c r="AC154" s="483"/>
      <c r="AD154" s="236"/>
      <c r="AE154" s="236"/>
      <c r="AF154" s="490"/>
      <c r="AG154" s="556"/>
      <c r="AH154" s="220"/>
      <c r="AI154" s="81"/>
      <c r="AJ154" s="76"/>
      <c r="AK154" s="504"/>
      <c r="AL154" s="236"/>
      <c r="AM154" s="236"/>
      <c r="AN154" s="236"/>
      <c r="AO154" s="236"/>
      <c r="AP154" s="217"/>
      <c r="AQ154" s="221"/>
      <c r="AR154" s="248"/>
    </row>
    <row r="155" spans="1:44" ht="20">
      <c r="A155" s="216"/>
      <c r="B155" s="246"/>
      <c r="C155" s="216"/>
      <c r="D155" s="216"/>
      <c r="E155" s="216"/>
      <c r="F155" s="482"/>
      <c r="G155" s="217"/>
      <c r="H155" s="217"/>
      <c r="I155" s="217"/>
      <c r="J155" s="217"/>
      <c r="K155" s="217"/>
      <c r="L155" s="216"/>
      <c r="M155" s="216"/>
      <c r="N155" s="511"/>
      <c r="O155" s="511"/>
      <c r="P155" s="511"/>
      <c r="Q155" s="511"/>
      <c r="R155" s="511"/>
      <c r="S155" s="511"/>
      <c r="T155" s="511"/>
      <c r="U155" s="511"/>
      <c r="V155" s="511"/>
      <c r="W155" s="216"/>
      <c r="X155" s="482"/>
      <c r="Y155" s="216"/>
      <c r="Z155" s="234"/>
      <c r="AA155" s="553"/>
      <c r="AB155" s="218"/>
      <c r="AC155" s="483"/>
      <c r="AD155" s="571"/>
      <c r="AE155" s="80"/>
      <c r="AF155" s="484"/>
      <c r="AG155" s="556"/>
      <c r="AH155" s="220"/>
      <c r="AI155" s="236"/>
      <c r="AJ155" s="220"/>
      <c r="AK155" s="484"/>
      <c r="AL155" s="236"/>
      <c r="AM155" s="236"/>
      <c r="AN155" s="236"/>
      <c r="AO155" s="236"/>
      <c r="AP155" s="234"/>
      <c r="AQ155" s="221"/>
      <c r="AR155" s="248"/>
    </row>
    <row r="156" spans="1:44" ht="20">
      <c r="A156" s="216"/>
      <c r="B156" s="246"/>
      <c r="C156" s="216"/>
      <c r="D156" s="216"/>
      <c r="E156" s="216"/>
      <c r="F156" s="551"/>
      <c r="G156" s="217"/>
      <c r="H156" s="217"/>
      <c r="I156" s="217"/>
      <c r="J156" s="217"/>
      <c r="K156" s="217"/>
      <c r="L156" s="216"/>
      <c r="M156" s="216"/>
      <c r="N156" s="511"/>
      <c r="O156" s="511"/>
      <c r="P156" s="511"/>
      <c r="Q156" s="511"/>
      <c r="R156" s="511"/>
      <c r="S156" s="511"/>
      <c r="T156" s="511"/>
      <c r="U156" s="511"/>
      <c r="V156" s="511"/>
      <c r="W156" s="216"/>
      <c r="X156" s="482"/>
      <c r="Y156" s="511"/>
      <c r="Z156" s="552"/>
      <c r="AA156" s="553"/>
      <c r="AB156" s="553"/>
      <c r="AC156" s="572"/>
      <c r="AD156" s="571"/>
      <c r="AE156" s="571"/>
      <c r="AF156" s="573"/>
      <c r="AG156" s="573"/>
      <c r="AH156" s="574"/>
      <c r="AI156" s="574"/>
      <c r="AJ156" s="574"/>
      <c r="AK156" s="573"/>
      <c r="AL156" s="574"/>
      <c r="AM156" s="574"/>
      <c r="AN156" s="574"/>
      <c r="AO156" s="236"/>
      <c r="AP156" s="552"/>
      <c r="AQ156" s="221"/>
      <c r="AR156" s="248"/>
    </row>
    <row r="157" spans="1:44" ht="20">
      <c r="A157" s="216"/>
      <c r="B157" s="246"/>
      <c r="C157" s="216"/>
      <c r="D157" s="216"/>
      <c r="E157" s="216"/>
      <c r="F157" s="551"/>
      <c r="G157" s="217"/>
      <c r="H157" s="217"/>
      <c r="I157" s="217"/>
      <c r="J157" s="217"/>
      <c r="K157" s="217"/>
      <c r="L157" s="216"/>
      <c r="M157" s="216"/>
      <c r="N157" s="511"/>
      <c r="O157" s="511"/>
      <c r="P157" s="511"/>
      <c r="Q157" s="511"/>
      <c r="R157" s="511"/>
      <c r="S157" s="511"/>
      <c r="T157" s="511"/>
      <c r="U157" s="511"/>
      <c r="V157" s="511"/>
      <c r="W157" s="216"/>
      <c r="X157" s="482"/>
      <c r="Y157" s="511"/>
      <c r="Z157" s="552"/>
      <c r="AA157" s="553"/>
      <c r="AB157" s="553"/>
      <c r="AC157" s="572"/>
      <c r="AD157" s="571"/>
      <c r="AE157" s="571"/>
      <c r="AF157" s="573"/>
      <c r="AG157" s="573"/>
      <c r="AH157" s="574"/>
      <c r="AI157" s="574"/>
      <c r="AJ157" s="574"/>
      <c r="AK157" s="573"/>
      <c r="AL157" s="574"/>
      <c r="AM157" s="574"/>
      <c r="AN157" s="574"/>
      <c r="AO157" s="236"/>
      <c r="AP157" s="552"/>
      <c r="AQ157" s="221"/>
      <c r="AR157" s="248"/>
    </row>
    <row r="158" spans="1:44" ht="20">
      <c r="A158" s="481"/>
      <c r="B158" s="246"/>
      <c r="C158" s="216"/>
      <c r="D158" s="216"/>
      <c r="E158" s="216"/>
      <c r="F158" s="482"/>
      <c r="G158" s="217"/>
      <c r="H158" s="217"/>
      <c r="I158" s="217"/>
      <c r="J158" s="217"/>
      <c r="K158" s="217"/>
      <c r="L158" s="216"/>
      <c r="M158" s="216"/>
      <c r="N158" s="216"/>
      <c r="O158" s="216"/>
      <c r="P158" s="216"/>
      <c r="Q158" s="216"/>
      <c r="R158" s="216"/>
      <c r="S158" s="216"/>
      <c r="T158" s="216"/>
      <c r="U158" s="216"/>
      <c r="V158" s="216"/>
      <c r="W158" s="216"/>
      <c r="X158" s="482"/>
      <c r="Y158" s="216"/>
      <c r="Z158" s="234"/>
      <c r="AA158" s="218"/>
      <c r="AB158" s="218"/>
      <c r="AC158" s="483"/>
      <c r="AD158" s="220"/>
      <c r="AE158" s="79"/>
      <c r="AF158" s="484"/>
      <c r="AG158" s="484"/>
      <c r="AH158" s="220"/>
      <c r="AI158" s="220"/>
      <c r="AJ158" s="220"/>
      <c r="AK158" s="484"/>
      <c r="AL158" s="220"/>
      <c r="AM158" s="217"/>
      <c r="AN158" s="220"/>
      <c r="AO158" s="220"/>
      <c r="AP158" s="234"/>
      <c r="AQ158" s="221"/>
      <c r="AR158" s="248"/>
    </row>
    <row r="159" spans="1:44" ht="20">
      <c r="A159" s="216"/>
      <c r="B159" s="246"/>
      <c r="C159" s="216"/>
      <c r="D159" s="216"/>
      <c r="E159" s="216"/>
      <c r="F159" s="569"/>
      <c r="G159" s="217"/>
      <c r="H159" s="526"/>
      <c r="I159" s="217"/>
      <c r="J159" s="526"/>
      <c r="K159" s="217"/>
      <c r="L159" s="222"/>
      <c r="M159" s="216"/>
      <c r="N159" s="222"/>
      <c r="O159" s="222"/>
      <c r="P159" s="222"/>
      <c r="Q159" s="216"/>
      <c r="R159" s="216"/>
      <c r="S159" s="216"/>
      <c r="T159" s="216"/>
      <c r="U159" s="216"/>
      <c r="V159" s="216"/>
      <c r="W159" s="216"/>
      <c r="X159" s="525"/>
      <c r="Y159" s="222"/>
      <c r="Z159" s="575"/>
      <c r="AA159" s="553"/>
      <c r="AB159" s="218"/>
      <c r="AC159" s="529"/>
      <c r="AD159" s="574"/>
      <c r="AE159" s="236"/>
      <c r="AF159" s="564"/>
      <c r="AG159" s="556"/>
      <c r="AH159" s="220"/>
      <c r="AI159" s="220"/>
      <c r="AJ159" s="224"/>
      <c r="AK159" s="543"/>
      <c r="AL159" s="220"/>
      <c r="AM159" s="236"/>
      <c r="AN159" s="236"/>
      <c r="AO159" s="236"/>
      <c r="AP159" s="575"/>
      <c r="AQ159" s="221"/>
      <c r="AR159" s="248"/>
    </row>
    <row r="160" spans="1:44" ht="20">
      <c r="A160" s="216"/>
      <c r="B160" s="246"/>
      <c r="C160" s="216"/>
      <c r="D160" s="216"/>
      <c r="E160" s="216"/>
      <c r="F160" s="482"/>
      <c r="G160" s="217"/>
      <c r="H160" s="217"/>
      <c r="I160" s="217"/>
      <c r="J160" s="217"/>
      <c r="K160" s="217"/>
      <c r="L160" s="216"/>
      <c r="M160" s="216"/>
      <c r="N160" s="216"/>
      <c r="O160" s="216"/>
      <c r="P160" s="216"/>
      <c r="Q160" s="216"/>
      <c r="R160" s="216"/>
      <c r="S160" s="216"/>
      <c r="T160" s="216"/>
      <c r="U160" s="216"/>
      <c r="V160" s="216"/>
      <c r="W160" s="216"/>
      <c r="X160" s="482"/>
      <c r="Y160" s="216"/>
      <c r="Z160" s="575"/>
      <c r="AA160" s="553"/>
      <c r="AB160" s="218"/>
      <c r="AC160" s="483"/>
      <c r="AD160" s="80"/>
      <c r="AE160" s="80"/>
      <c r="AF160" s="564"/>
      <c r="AG160" s="556"/>
      <c r="AH160" s="76"/>
      <c r="AI160" s="220"/>
      <c r="AJ160" s="220"/>
      <c r="AK160" s="484"/>
      <c r="AL160" s="220"/>
      <c r="AM160" s="236"/>
      <c r="AN160" s="236"/>
      <c r="AO160" s="236"/>
      <c r="AP160" s="81"/>
      <c r="AQ160" s="221"/>
      <c r="AR160" s="248"/>
    </row>
    <row r="161" spans="1:44" ht="20">
      <c r="A161" s="216"/>
      <c r="B161" s="246"/>
      <c r="C161" s="216"/>
      <c r="D161" s="216"/>
      <c r="E161" s="216"/>
      <c r="F161" s="482"/>
      <c r="G161" s="217"/>
      <c r="H161" s="217"/>
      <c r="I161" s="217"/>
      <c r="J161" s="217"/>
      <c r="K161" s="217"/>
      <c r="L161" s="216"/>
      <c r="M161" s="216"/>
      <c r="N161" s="216"/>
      <c r="O161" s="216"/>
      <c r="P161" s="216"/>
      <c r="Q161" s="216"/>
      <c r="R161" s="216"/>
      <c r="S161" s="216"/>
      <c r="T161" s="216"/>
      <c r="U161" s="216"/>
      <c r="V161" s="216"/>
      <c r="W161" s="216"/>
      <c r="X161" s="482"/>
      <c r="Y161" s="216"/>
      <c r="Z161" s="234"/>
      <c r="AA161" s="553"/>
      <c r="AB161" s="218"/>
      <c r="AC161" s="483"/>
      <c r="AD161" s="236"/>
      <c r="AE161" s="236"/>
      <c r="AF161" s="236"/>
      <c r="AG161" s="556"/>
      <c r="AH161" s="220"/>
      <c r="AI161" s="220"/>
      <c r="AJ161" s="220"/>
      <c r="AK161" s="484"/>
      <c r="AL161" s="220"/>
      <c r="AM161" s="236"/>
      <c r="AN161" s="236"/>
      <c r="AO161" s="236"/>
      <c r="AP161" s="575"/>
      <c r="AQ161" s="221"/>
      <c r="AR161" s="248"/>
    </row>
    <row r="162" spans="1:44" ht="20">
      <c r="A162" s="216"/>
      <c r="B162" s="246"/>
      <c r="C162" s="216"/>
      <c r="D162" s="216"/>
      <c r="E162" s="216"/>
      <c r="F162" s="482"/>
      <c r="G162" s="217"/>
      <c r="H162" s="217"/>
      <c r="I162" s="217"/>
      <c r="J162" s="217"/>
      <c r="K162" s="217"/>
      <c r="L162" s="216"/>
      <c r="M162" s="216"/>
      <c r="N162" s="216"/>
      <c r="O162" s="216"/>
      <c r="P162" s="216"/>
      <c r="Q162" s="216"/>
      <c r="R162" s="216"/>
      <c r="S162" s="216"/>
      <c r="T162" s="216"/>
      <c r="U162" s="216"/>
      <c r="V162" s="216"/>
      <c r="W162" s="216"/>
      <c r="X162" s="482"/>
      <c r="Y162" s="216"/>
      <c r="Z162" s="234"/>
      <c r="AA162" s="237"/>
      <c r="AB162" s="218"/>
      <c r="AC162" s="483"/>
      <c r="AD162" s="236"/>
      <c r="AE162" s="236"/>
      <c r="AF162" s="236"/>
      <c r="AG162" s="556"/>
      <c r="AH162" s="220"/>
      <c r="AI162" s="236"/>
      <c r="AJ162" s="220"/>
      <c r="AK162" s="484"/>
      <c r="AL162" s="236"/>
      <c r="AM162" s="236"/>
      <c r="AN162" s="236"/>
      <c r="AO162" s="236"/>
      <c r="AP162" s="575"/>
      <c r="AQ162" s="221"/>
      <c r="AR162" s="248"/>
    </row>
    <row r="163" spans="1:44" ht="20">
      <c r="A163" s="216"/>
      <c r="B163" s="246"/>
      <c r="C163" s="216"/>
      <c r="D163" s="216"/>
      <c r="E163" s="216"/>
      <c r="F163" s="482"/>
      <c r="G163" s="217"/>
      <c r="H163" s="217"/>
      <c r="I163" s="217"/>
      <c r="J163" s="217"/>
      <c r="K163" s="217"/>
      <c r="L163" s="216"/>
      <c r="M163" s="216"/>
      <c r="N163" s="216"/>
      <c r="O163" s="216"/>
      <c r="P163" s="216"/>
      <c r="Q163" s="216"/>
      <c r="R163" s="216"/>
      <c r="S163" s="216"/>
      <c r="T163" s="216"/>
      <c r="U163" s="216"/>
      <c r="V163" s="216"/>
      <c r="W163" s="216"/>
      <c r="X163" s="482"/>
      <c r="Y163" s="216"/>
      <c r="Z163" s="234"/>
      <c r="AA163" s="237"/>
      <c r="AB163" s="218"/>
      <c r="AC163" s="483"/>
      <c r="AD163" s="236"/>
      <c r="AE163" s="236"/>
      <c r="AF163" s="236"/>
      <c r="AG163" s="556"/>
      <c r="AH163" s="220"/>
      <c r="AI163" s="236"/>
      <c r="AJ163" s="220"/>
      <c r="AK163" s="484"/>
      <c r="AL163" s="236"/>
      <c r="AM163" s="236"/>
      <c r="AN163" s="236"/>
      <c r="AO163" s="236"/>
      <c r="AP163" s="575"/>
      <c r="AQ163" s="221"/>
      <c r="AR163" s="248"/>
    </row>
    <row r="164" spans="1:44" ht="20">
      <c r="A164" s="76"/>
      <c r="B164" s="246"/>
      <c r="C164" s="216"/>
      <c r="D164" s="216"/>
      <c r="E164" s="216"/>
      <c r="F164" s="482"/>
      <c r="G164" s="217"/>
      <c r="H164" s="217"/>
      <c r="I164" s="217"/>
      <c r="J164" s="217"/>
      <c r="K164" s="217"/>
      <c r="L164" s="216"/>
      <c r="M164" s="216"/>
      <c r="N164" s="216"/>
      <c r="O164" s="216"/>
      <c r="P164" s="216"/>
      <c r="Q164" s="216"/>
      <c r="R164" s="216"/>
      <c r="S164" s="216"/>
      <c r="T164" s="216"/>
      <c r="U164" s="216"/>
      <c r="V164" s="216"/>
      <c r="W164" s="216"/>
      <c r="X164" s="482"/>
      <c r="Y164" s="76"/>
      <c r="Z164" s="86"/>
      <c r="AA164" s="237"/>
      <c r="AB164" s="218"/>
      <c r="AC164" s="483"/>
      <c r="AD164" s="80"/>
      <c r="AE164" s="576"/>
      <c r="AF164" s="577"/>
      <c r="AG164" s="578"/>
      <c r="AH164" s="220"/>
      <c r="AI164" s="579"/>
      <c r="AJ164" s="220"/>
      <c r="AK164" s="220"/>
      <c r="AL164" s="580"/>
      <c r="AM164" s="579"/>
      <c r="AN164" s="81"/>
      <c r="AO164" s="81"/>
      <c r="AP164" s="238"/>
      <c r="AQ164" s="221"/>
      <c r="AR164" s="248"/>
    </row>
    <row r="165" spans="1:44" ht="20">
      <c r="A165" s="216"/>
      <c r="B165" s="246"/>
      <c r="C165" s="216"/>
      <c r="D165" s="216"/>
      <c r="E165" s="216"/>
      <c r="F165" s="482"/>
      <c r="G165" s="217"/>
      <c r="H165" s="217"/>
      <c r="I165" s="217"/>
      <c r="J165" s="217"/>
      <c r="K165" s="217"/>
      <c r="L165" s="216"/>
      <c r="M165" s="216"/>
      <c r="N165" s="216"/>
      <c r="O165" s="216"/>
      <c r="P165" s="216"/>
      <c r="Q165" s="216"/>
      <c r="R165" s="216"/>
      <c r="S165" s="216"/>
      <c r="T165" s="216"/>
      <c r="U165" s="216"/>
      <c r="V165" s="216"/>
      <c r="W165" s="216"/>
      <c r="X165" s="482"/>
      <c r="Y165" s="76"/>
      <c r="Z165" s="575"/>
      <c r="AA165" s="218"/>
      <c r="AB165" s="218"/>
      <c r="AC165" s="483"/>
      <c r="AD165" s="236"/>
      <c r="AE165" s="576"/>
      <c r="AF165" s="577"/>
      <c r="AG165" s="578"/>
      <c r="AH165" s="220"/>
      <c r="AI165" s="236"/>
      <c r="AJ165" s="220"/>
      <c r="AK165" s="220"/>
      <c r="AL165" s="580"/>
      <c r="AM165" s="236"/>
      <c r="AN165" s="236"/>
      <c r="AO165" s="236"/>
      <c r="AP165" s="238"/>
      <c r="AQ165" s="221"/>
      <c r="AR165" s="248"/>
    </row>
    <row r="166" spans="1:44" ht="20">
      <c r="A166" s="216"/>
      <c r="B166" s="246"/>
      <c r="C166" s="216"/>
      <c r="D166" s="216"/>
      <c r="E166" s="216"/>
      <c r="F166" s="482"/>
      <c r="G166" s="217"/>
      <c r="H166" s="217"/>
      <c r="I166" s="217"/>
      <c r="J166" s="217"/>
      <c r="K166" s="217"/>
      <c r="L166" s="216"/>
      <c r="M166" s="216"/>
      <c r="N166" s="216"/>
      <c r="O166" s="216"/>
      <c r="P166" s="216"/>
      <c r="Q166" s="216"/>
      <c r="R166" s="216"/>
      <c r="S166" s="216"/>
      <c r="T166" s="216"/>
      <c r="U166" s="216"/>
      <c r="V166" s="216"/>
      <c r="W166" s="216"/>
      <c r="X166" s="482"/>
      <c r="Y166" s="216"/>
      <c r="Z166" s="234"/>
      <c r="AA166" s="237"/>
      <c r="AB166" s="218"/>
      <c r="AC166" s="483"/>
      <c r="AD166" s="236"/>
      <c r="AE166" s="576"/>
      <c r="AF166" s="577"/>
      <c r="AG166" s="578"/>
      <c r="AH166" s="220"/>
      <c r="AI166" s="236"/>
      <c r="AJ166" s="220"/>
      <c r="AK166" s="220"/>
      <c r="AL166" s="580"/>
      <c r="AM166" s="236"/>
      <c r="AN166" s="236"/>
      <c r="AO166" s="236"/>
      <c r="AP166" s="238"/>
      <c r="AQ166" s="221"/>
      <c r="AR166" s="248"/>
    </row>
    <row r="167" spans="1:44" ht="20">
      <c r="A167" s="76"/>
      <c r="B167" s="246"/>
      <c r="C167" s="216"/>
      <c r="D167" s="216"/>
      <c r="E167" s="216"/>
      <c r="F167" s="482"/>
      <c r="G167" s="217"/>
      <c r="H167" s="217"/>
      <c r="I167" s="217"/>
      <c r="J167" s="217"/>
      <c r="K167" s="217"/>
      <c r="L167" s="216"/>
      <c r="M167" s="216"/>
      <c r="N167" s="216"/>
      <c r="O167" s="216"/>
      <c r="P167" s="216"/>
      <c r="Q167" s="216"/>
      <c r="R167" s="216"/>
      <c r="S167" s="216"/>
      <c r="T167" s="216"/>
      <c r="U167" s="216"/>
      <c r="V167" s="216"/>
      <c r="W167" s="216"/>
      <c r="X167" s="482"/>
      <c r="Y167" s="76"/>
      <c r="Z167" s="86"/>
      <c r="AA167" s="237"/>
      <c r="AB167" s="218"/>
      <c r="AC167" s="219"/>
      <c r="AD167" s="80"/>
      <c r="AE167" s="576"/>
      <c r="AF167" s="577"/>
      <c r="AG167" s="578"/>
      <c r="AH167" s="220"/>
      <c r="AI167" s="579"/>
      <c r="AJ167" s="220"/>
      <c r="AK167" s="220"/>
      <c r="AL167" s="580"/>
      <c r="AM167" s="500"/>
      <c r="AN167" s="83"/>
      <c r="AO167" s="83"/>
      <c r="AP167" s="238"/>
      <c r="AQ167" s="221"/>
      <c r="AR167" s="248"/>
    </row>
    <row r="168" spans="1:44" ht="20">
      <c r="A168" s="216"/>
      <c r="B168" s="246"/>
      <c r="C168" s="216"/>
      <c r="D168" s="216"/>
      <c r="E168" s="216"/>
      <c r="F168" s="217"/>
      <c r="G168" s="217"/>
      <c r="H168" s="217"/>
      <c r="I168" s="217"/>
      <c r="J168" s="217"/>
      <c r="K168" s="217"/>
      <c r="L168" s="216"/>
      <c r="M168" s="216"/>
      <c r="N168" s="216"/>
      <c r="O168" s="216"/>
      <c r="P168" s="216"/>
      <c r="Q168" s="216"/>
      <c r="R168" s="216"/>
      <c r="S168" s="216"/>
      <c r="T168" s="216"/>
      <c r="U168" s="216"/>
      <c r="V168" s="216"/>
      <c r="W168" s="216"/>
      <c r="X168" s="217"/>
      <c r="Y168" s="216"/>
      <c r="Z168" s="234"/>
      <c r="AA168" s="237"/>
      <c r="AB168" s="218"/>
      <c r="AC168" s="219"/>
      <c r="AD168" s="236"/>
      <c r="AE168" s="236"/>
      <c r="AF168" s="236"/>
      <c r="AG168" s="203"/>
      <c r="AH168" s="220"/>
      <c r="AI168" s="236"/>
      <c r="AJ168" s="220"/>
      <c r="AK168" s="220"/>
      <c r="AL168" s="236"/>
      <c r="AM168" s="236"/>
      <c r="AN168" s="236"/>
      <c r="AO168" s="236"/>
      <c r="AP168" s="238"/>
      <c r="AQ168" s="221"/>
      <c r="AR168" s="248"/>
    </row>
    <row r="169" spans="1:44" ht="20">
      <c r="A169" s="216"/>
      <c r="B169" s="246"/>
      <c r="C169" s="216"/>
      <c r="D169" s="216"/>
      <c r="E169" s="216"/>
      <c r="F169" s="482"/>
      <c r="G169" s="217"/>
      <c r="H169" s="217"/>
      <c r="I169" s="217"/>
      <c r="J169" s="217"/>
      <c r="K169" s="217"/>
      <c r="L169" s="216"/>
      <c r="M169" s="216"/>
      <c r="N169" s="216"/>
      <c r="O169" s="216"/>
      <c r="P169" s="216"/>
      <c r="Q169" s="216"/>
      <c r="R169" s="216"/>
      <c r="S169" s="216"/>
      <c r="T169" s="216"/>
      <c r="U169" s="216"/>
      <c r="V169" s="216"/>
      <c r="W169" s="216"/>
      <c r="X169" s="482"/>
      <c r="Y169" s="581"/>
      <c r="Z169" s="234"/>
      <c r="AA169" s="582"/>
      <c r="AB169" s="218"/>
      <c r="AC169" s="483"/>
      <c r="AD169" s="554"/>
      <c r="AE169" s="554"/>
      <c r="AF169" s="562"/>
      <c r="AG169" s="546"/>
      <c r="AH169" s="220"/>
      <c r="AI169" s="554"/>
      <c r="AJ169" s="220"/>
      <c r="AK169" s="484"/>
      <c r="AL169" s="554"/>
      <c r="AM169" s="554"/>
      <c r="AN169" s="540"/>
      <c r="AO169" s="540"/>
      <c r="AP169" s="563"/>
      <c r="AQ169" s="221"/>
      <c r="AR169" s="248"/>
    </row>
    <row r="170" spans="1:44" ht="20">
      <c r="A170" s="216"/>
      <c r="B170" s="246"/>
      <c r="C170" s="216"/>
      <c r="D170" s="216"/>
      <c r="E170" s="216"/>
      <c r="F170" s="217"/>
      <c r="G170" s="217"/>
      <c r="H170" s="217"/>
      <c r="I170" s="217"/>
      <c r="J170" s="217"/>
      <c r="K170" s="217"/>
      <c r="L170" s="216"/>
      <c r="M170" s="216"/>
      <c r="N170" s="216"/>
      <c r="O170" s="216"/>
      <c r="P170" s="216"/>
      <c r="Q170" s="216"/>
      <c r="R170" s="216"/>
      <c r="S170" s="216"/>
      <c r="T170" s="216"/>
      <c r="U170" s="216"/>
      <c r="V170" s="216"/>
      <c r="W170" s="216"/>
      <c r="X170" s="217"/>
      <c r="Y170" s="581"/>
      <c r="Z170" s="234"/>
      <c r="AA170" s="582"/>
      <c r="AB170" s="218"/>
      <c r="AC170" s="219"/>
      <c r="AD170" s="554"/>
      <c r="AE170" s="554"/>
      <c r="AF170" s="562"/>
      <c r="AG170" s="546"/>
      <c r="AH170" s="220"/>
      <c r="AI170" s="554"/>
      <c r="AJ170" s="220"/>
      <c r="AK170" s="220"/>
      <c r="AL170" s="554"/>
      <c r="AM170" s="554"/>
      <c r="AN170" s="554"/>
      <c r="AO170" s="554"/>
      <c r="AP170" s="563"/>
      <c r="AQ170" s="221"/>
      <c r="AR170" s="248"/>
    </row>
    <row r="171" spans="1:44" ht="20">
      <c r="A171" s="216"/>
      <c r="B171" s="246"/>
      <c r="C171" s="216"/>
      <c r="D171" s="216"/>
      <c r="E171" s="216"/>
      <c r="F171" s="217"/>
      <c r="G171" s="217"/>
      <c r="H171" s="217"/>
      <c r="I171" s="217"/>
      <c r="J171" s="217"/>
      <c r="K171" s="217"/>
      <c r="L171" s="216"/>
      <c r="M171" s="216"/>
      <c r="N171" s="216"/>
      <c r="O171" s="216"/>
      <c r="P171" s="216"/>
      <c r="Q171" s="216"/>
      <c r="R171" s="216"/>
      <c r="S171" s="216"/>
      <c r="T171" s="216"/>
      <c r="U171" s="216"/>
      <c r="V171" s="216"/>
      <c r="W171" s="216"/>
      <c r="X171" s="217"/>
      <c r="Y171" s="31"/>
      <c r="Z171" s="234"/>
      <c r="AA171" s="583"/>
      <c r="AB171" s="218"/>
      <c r="AC171" s="219"/>
      <c r="AD171" s="203"/>
      <c r="AE171" s="203"/>
      <c r="AF171" s="556"/>
      <c r="AG171" s="556"/>
      <c r="AH171" s="220"/>
      <c r="AI171" s="203"/>
      <c r="AJ171" s="220"/>
      <c r="AK171" s="220"/>
      <c r="AL171" s="203"/>
      <c r="AM171" s="236"/>
      <c r="AN171" s="236"/>
      <c r="AO171" s="236"/>
      <c r="AP171" s="584"/>
      <c r="AQ171" s="221"/>
      <c r="AR171" s="248"/>
    </row>
    <row r="172" spans="1:44" ht="20">
      <c r="A172" s="216"/>
      <c r="B172" s="246"/>
      <c r="C172" s="216"/>
      <c r="D172" s="216"/>
      <c r="E172" s="216"/>
      <c r="F172" s="217"/>
      <c r="G172" s="217"/>
      <c r="H172" s="217"/>
      <c r="I172" s="217"/>
      <c r="J172" s="217"/>
      <c r="K172" s="217"/>
      <c r="L172" s="216"/>
      <c r="M172" s="216"/>
      <c r="N172" s="216"/>
      <c r="O172" s="216"/>
      <c r="P172" s="216"/>
      <c r="Q172" s="216"/>
      <c r="R172" s="216"/>
      <c r="S172" s="216"/>
      <c r="T172" s="216"/>
      <c r="U172" s="216"/>
      <c r="V172" s="216"/>
      <c r="W172" s="216"/>
      <c r="X172" s="217"/>
      <c r="Y172" s="581"/>
      <c r="Z172" s="234"/>
      <c r="AA172" s="582"/>
      <c r="AB172" s="218"/>
      <c r="AC172" s="219"/>
      <c r="AD172" s="554"/>
      <c r="AE172" s="554"/>
      <c r="AF172" s="562"/>
      <c r="AG172" s="546"/>
      <c r="AH172" s="574"/>
      <c r="AI172" s="554"/>
      <c r="AJ172" s="220"/>
      <c r="AK172" s="484"/>
      <c r="AL172" s="554"/>
      <c r="AM172" s="554"/>
      <c r="AN172" s="554"/>
      <c r="AO172" s="554"/>
      <c r="AP172" s="563"/>
      <c r="AQ172" s="221"/>
      <c r="AR172" s="248"/>
    </row>
    <row r="173" spans="1:44" ht="20">
      <c r="A173" s="216"/>
      <c r="B173" s="246"/>
      <c r="C173" s="216"/>
      <c r="D173" s="216"/>
      <c r="E173" s="216"/>
      <c r="F173" s="482"/>
      <c r="G173" s="217"/>
      <c r="H173" s="217"/>
      <c r="I173" s="217"/>
      <c r="J173" s="217"/>
      <c r="K173" s="217"/>
      <c r="L173" s="216"/>
      <c r="M173" s="216"/>
      <c r="N173" s="216"/>
      <c r="O173" s="216"/>
      <c r="P173" s="216"/>
      <c r="Q173" s="216"/>
      <c r="R173" s="216"/>
      <c r="S173" s="216"/>
      <c r="T173" s="216"/>
      <c r="U173" s="216"/>
      <c r="V173" s="216"/>
      <c r="W173" s="216"/>
      <c r="X173" s="217"/>
      <c r="Y173" s="581"/>
      <c r="Z173" s="234"/>
      <c r="AA173" s="582"/>
      <c r="AB173" s="218"/>
      <c r="AC173" s="219"/>
      <c r="AD173" s="554"/>
      <c r="AE173" s="554"/>
      <c r="AF173" s="554"/>
      <c r="AG173" s="547"/>
      <c r="AH173" s="220"/>
      <c r="AI173" s="554"/>
      <c r="AJ173" s="220"/>
      <c r="AK173" s="220"/>
      <c r="AL173" s="554"/>
      <c r="AM173" s="554"/>
      <c r="AN173" s="554"/>
      <c r="AO173" s="554"/>
      <c r="AP173" s="563"/>
      <c r="AQ173" s="221"/>
      <c r="AR173" s="248"/>
    </row>
    <row r="174" spans="1:44" ht="20">
      <c r="A174" s="216"/>
      <c r="B174" s="246"/>
      <c r="C174" s="216"/>
      <c r="D174" s="216"/>
      <c r="E174" s="216"/>
      <c r="F174" s="482"/>
      <c r="G174" s="217"/>
      <c r="H174" s="217"/>
      <c r="I174" s="217"/>
      <c r="J174" s="217"/>
      <c r="K174" s="217"/>
      <c r="L174" s="216"/>
      <c r="M174" s="216"/>
      <c r="N174" s="216"/>
      <c r="O174" s="216"/>
      <c r="P174" s="216"/>
      <c r="Q174" s="216"/>
      <c r="R174" s="216"/>
      <c r="S174" s="216"/>
      <c r="T174" s="216"/>
      <c r="U174" s="216"/>
      <c r="V174" s="216"/>
      <c r="W174" s="216"/>
      <c r="X174" s="217"/>
      <c r="Y174" s="581"/>
      <c r="Z174" s="234"/>
      <c r="AA174" s="582"/>
      <c r="AB174" s="218"/>
      <c r="AC174" s="219"/>
      <c r="AD174" s="554"/>
      <c r="AE174" s="554"/>
      <c r="AF174" s="562"/>
      <c r="AG174" s="546"/>
      <c r="AH174" s="220"/>
      <c r="AI174" s="554"/>
      <c r="AJ174" s="220"/>
      <c r="AK174" s="220"/>
      <c r="AL174" s="554"/>
      <c r="AM174" s="554"/>
      <c r="AN174" s="554"/>
      <c r="AO174" s="554"/>
      <c r="AP174" s="563"/>
      <c r="AQ174" s="221"/>
      <c r="AR174" s="248"/>
    </row>
    <row r="175" spans="1:44" ht="20">
      <c r="A175" s="216"/>
      <c r="B175" s="246"/>
      <c r="C175" s="216"/>
      <c r="D175" s="216"/>
      <c r="E175" s="216"/>
      <c r="F175" s="482"/>
      <c r="G175" s="217"/>
      <c r="H175" s="217"/>
      <c r="I175" s="217"/>
      <c r="J175" s="217"/>
      <c r="K175" s="217"/>
      <c r="L175" s="216"/>
      <c r="M175" s="216"/>
      <c r="N175" s="216"/>
      <c r="O175" s="216"/>
      <c r="P175" s="216"/>
      <c r="Q175" s="216"/>
      <c r="R175" s="216"/>
      <c r="S175" s="216"/>
      <c r="T175" s="216"/>
      <c r="U175" s="216"/>
      <c r="V175" s="216"/>
      <c r="W175" s="216"/>
      <c r="X175" s="482"/>
      <c r="Y175" s="581"/>
      <c r="Z175" s="234"/>
      <c r="AA175" s="582"/>
      <c r="AB175" s="218"/>
      <c r="AC175" s="219"/>
      <c r="AD175" s="554"/>
      <c r="AE175" s="554"/>
      <c r="AF175" s="585"/>
      <c r="AG175" s="546"/>
      <c r="AH175" s="220"/>
      <c r="AI175" s="554"/>
      <c r="AJ175" s="220"/>
      <c r="AK175" s="484"/>
      <c r="AL175" s="554"/>
      <c r="AM175" s="554"/>
      <c r="AN175" s="540"/>
      <c r="AO175" s="554"/>
      <c r="AP175" s="563"/>
      <c r="AQ175" s="221"/>
      <c r="AR175" s="248"/>
    </row>
    <row r="176" spans="1:44" ht="20">
      <c r="A176" s="216"/>
      <c r="B176" s="246"/>
      <c r="C176" s="216"/>
      <c r="D176" s="216"/>
      <c r="E176" s="216"/>
      <c r="F176" s="217"/>
      <c r="G176" s="217"/>
      <c r="H176" s="217"/>
      <c r="I176" s="217"/>
      <c r="J176" s="217"/>
      <c r="K176" s="217"/>
      <c r="L176" s="216"/>
      <c r="M176" s="216"/>
      <c r="N176" s="216"/>
      <c r="O176" s="216"/>
      <c r="P176" s="216"/>
      <c r="Q176" s="216"/>
      <c r="R176" s="216"/>
      <c r="S176" s="216"/>
      <c r="T176" s="216"/>
      <c r="U176" s="216"/>
      <c r="V176" s="216"/>
      <c r="W176" s="216"/>
      <c r="X176" s="217"/>
      <c r="Y176" s="586"/>
      <c r="Z176" s="234"/>
      <c r="AA176" s="237"/>
      <c r="AB176" s="218"/>
      <c r="AC176" s="219"/>
      <c r="AD176" s="236"/>
      <c r="AE176" s="236"/>
      <c r="AF176" s="568"/>
      <c r="AG176" s="546"/>
      <c r="AH176" s="220"/>
      <c r="AI176" s="236"/>
      <c r="AJ176" s="220"/>
      <c r="AK176" s="220"/>
      <c r="AL176" s="564"/>
      <c r="AM176" s="236"/>
      <c r="AN176" s="236"/>
      <c r="AO176" s="236"/>
      <c r="AP176" s="238"/>
      <c r="AQ176" s="221"/>
      <c r="AR176" s="248"/>
    </row>
    <row r="177" spans="1:44" ht="20">
      <c r="A177" s="216"/>
      <c r="B177" s="246"/>
      <c r="C177" s="216"/>
      <c r="D177" s="216"/>
      <c r="E177" s="216"/>
      <c r="F177" s="217"/>
      <c r="G177" s="217"/>
      <c r="H177" s="217"/>
      <c r="I177" s="217"/>
      <c r="J177" s="217"/>
      <c r="K177" s="217"/>
      <c r="L177" s="216"/>
      <c r="M177" s="216"/>
      <c r="N177" s="216"/>
      <c r="O177" s="216"/>
      <c r="P177" s="216"/>
      <c r="Q177" s="216"/>
      <c r="R177" s="216"/>
      <c r="S177" s="216"/>
      <c r="T177" s="216"/>
      <c r="U177" s="216"/>
      <c r="V177" s="216"/>
      <c r="W177" s="216"/>
      <c r="X177" s="217"/>
      <c r="Y177" s="581"/>
      <c r="Z177" s="234"/>
      <c r="AA177" s="582"/>
      <c r="AB177" s="218"/>
      <c r="AC177" s="219"/>
      <c r="AD177" s="554"/>
      <c r="AE177" s="554"/>
      <c r="AF177" s="562"/>
      <c r="AG177" s="546"/>
      <c r="AH177" s="220"/>
      <c r="AI177" s="554"/>
      <c r="AJ177" s="220"/>
      <c r="AK177" s="220"/>
      <c r="AL177" s="554"/>
      <c r="AM177" s="554"/>
      <c r="AN177" s="554"/>
      <c r="AO177" s="554"/>
      <c r="AP177" s="563"/>
      <c r="AQ177" s="221"/>
      <c r="AR177" s="248"/>
    </row>
    <row r="178" spans="1:44" ht="20">
      <c r="A178" s="216"/>
      <c r="B178" s="246"/>
      <c r="C178" s="216"/>
      <c r="D178" s="216"/>
      <c r="E178" s="216"/>
      <c r="F178" s="482"/>
      <c r="G178" s="217"/>
      <c r="H178" s="217"/>
      <c r="I178" s="217"/>
      <c r="J178" s="217"/>
      <c r="K178" s="217"/>
      <c r="L178" s="216"/>
      <c r="M178" s="216"/>
      <c r="N178" s="216"/>
      <c r="O178" s="216"/>
      <c r="P178" s="216"/>
      <c r="Q178" s="216"/>
      <c r="R178" s="216"/>
      <c r="S178" s="216"/>
      <c r="T178" s="216"/>
      <c r="U178" s="216"/>
      <c r="V178" s="216"/>
      <c r="W178" s="216"/>
      <c r="X178" s="217"/>
      <c r="Y178" s="581"/>
      <c r="Z178" s="234"/>
      <c r="AA178" s="582"/>
      <c r="AB178" s="218"/>
      <c r="AC178" s="219"/>
      <c r="AD178" s="554"/>
      <c r="AE178" s="236"/>
      <c r="AF178" s="564"/>
      <c r="AG178" s="556"/>
      <c r="AH178" s="220"/>
      <c r="AI178" s="236"/>
      <c r="AJ178" s="220"/>
      <c r="AK178" s="220"/>
      <c r="AL178" s="236"/>
      <c r="AM178" s="236"/>
      <c r="AN178" s="236"/>
      <c r="AO178" s="236"/>
      <c r="AP178" s="238"/>
      <c r="AQ178" s="221"/>
      <c r="AR178" s="248"/>
    </row>
    <row r="179" spans="1:44" ht="20">
      <c r="A179" s="216"/>
      <c r="B179" s="246"/>
      <c r="C179" s="216"/>
      <c r="D179" s="216"/>
      <c r="E179" s="216"/>
      <c r="F179" s="587"/>
      <c r="G179" s="217"/>
      <c r="H179" s="217"/>
      <c r="I179" s="217"/>
      <c r="J179" s="217"/>
      <c r="K179" s="217"/>
      <c r="L179" s="216"/>
      <c r="M179" s="216"/>
      <c r="N179" s="216"/>
      <c r="O179" s="216"/>
      <c r="P179" s="216"/>
      <c r="Q179" s="216"/>
      <c r="R179" s="216"/>
      <c r="S179" s="216"/>
      <c r="T179" s="216"/>
      <c r="U179" s="216"/>
      <c r="V179" s="216"/>
      <c r="W179" s="216"/>
      <c r="X179" s="217"/>
      <c r="Y179" s="31"/>
      <c r="Z179" s="234"/>
      <c r="AA179" s="583"/>
      <c r="AB179" s="218"/>
      <c r="AC179" s="219"/>
      <c r="AD179" s="203"/>
      <c r="AE179" s="203"/>
      <c r="AF179" s="573"/>
      <c r="AG179" s="556"/>
      <c r="AH179" s="220"/>
      <c r="AI179" s="203"/>
      <c r="AJ179" s="220"/>
      <c r="AK179" s="220"/>
      <c r="AL179" s="203"/>
      <c r="AM179" s="236"/>
      <c r="AN179" s="236"/>
      <c r="AO179" s="236"/>
      <c r="AP179" s="584"/>
      <c r="AQ179" s="221"/>
      <c r="AR179" s="248"/>
    </row>
    <row r="180" spans="1:44" ht="20">
      <c r="A180" s="216"/>
      <c r="B180" s="246"/>
      <c r="C180" s="216"/>
      <c r="D180" s="216"/>
      <c r="E180" s="216"/>
      <c r="F180" s="217"/>
      <c r="G180" s="217"/>
      <c r="H180" s="217"/>
      <c r="I180" s="217"/>
      <c r="J180" s="217"/>
      <c r="K180" s="217"/>
      <c r="L180" s="216"/>
      <c r="M180" s="216"/>
      <c r="N180" s="216"/>
      <c r="O180" s="216"/>
      <c r="P180" s="216"/>
      <c r="Q180" s="216"/>
      <c r="R180" s="216"/>
      <c r="S180" s="216"/>
      <c r="T180" s="216"/>
      <c r="U180" s="216"/>
      <c r="V180" s="216"/>
      <c r="W180" s="216"/>
      <c r="X180" s="217"/>
      <c r="Y180" s="586"/>
      <c r="Z180" s="234"/>
      <c r="AA180" s="237"/>
      <c r="AB180" s="218"/>
      <c r="AC180" s="219"/>
      <c r="AD180" s="236"/>
      <c r="AE180" s="574"/>
      <c r="AF180" s="573"/>
      <c r="AG180" s="573"/>
      <c r="AH180" s="574"/>
      <c r="AI180" s="574"/>
      <c r="AJ180" s="574"/>
      <c r="AK180" s="574"/>
      <c r="AL180" s="574"/>
      <c r="AM180" s="574"/>
      <c r="AN180" s="574"/>
      <c r="AO180" s="574"/>
      <c r="AP180" s="588"/>
      <c r="AQ180" s="221"/>
      <c r="AR180" s="248"/>
    </row>
    <row r="181" spans="1:44" ht="20">
      <c r="A181" s="216"/>
      <c r="B181" s="246"/>
      <c r="C181" s="216"/>
      <c r="D181" s="216"/>
      <c r="E181" s="216"/>
      <c r="F181" s="217"/>
      <c r="G181" s="217"/>
      <c r="H181" s="217"/>
      <c r="I181" s="217"/>
      <c r="J181" s="217"/>
      <c r="K181" s="217"/>
      <c r="L181" s="216"/>
      <c r="M181" s="216"/>
      <c r="N181" s="216"/>
      <c r="O181" s="216"/>
      <c r="P181" s="216"/>
      <c r="Q181" s="216"/>
      <c r="R181" s="216"/>
      <c r="S181" s="216"/>
      <c r="T181" s="216"/>
      <c r="U181" s="216"/>
      <c r="V181" s="216"/>
      <c r="W181" s="216"/>
      <c r="X181" s="217"/>
      <c r="Y181" s="586"/>
      <c r="Z181" s="234"/>
      <c r="AA181" s="237"/>
      <c r="AB181" s="218"/>
      <c r="AC181" s="219"/>
      <c r="AD181" s="236"/>
      <c r="AE181" s="236"/>
      <c r="AF181" s="573"/>
      <c r="AG181" s="573"/>
      <c r="AH181" s="220"/>
      <c r="AI181" s="236"/>
      <c r="AJ181" s="220"/>
      <c r="AK181" s="220"/>
      <c r="AL181" s="236"/>
      <c r="AM181" s="236"/>
      <c r="AN181" s="236"/>
      <c r="AO181" s="236"/>
      <c r="AP181" s="238"/>
      <c r="AQ181" s="221"/>
      <c r="AR181" s="248"/>
    </row>
    <row r="182" spans="1:44" ht="20">
      <c r="A182" s="216"/>
      <c r="B182" s="246"/>
      <c r="C182" s="216"/>
      <c r="D182" s="216"/>
      <c r="E182" s="216"/>
      <c r="F182" s="217"/>
      <c r="G182" s="217"/>
      <c r="H182" s="217"/>
      <c r="I182" s="217"/>
      <c r="J182" s="217"/>
      <c r="K182" s="217"/>
      <c r="L182" s="216"/>
      <c r="M182" s="216"/>
      <c r="N182" s="216"/>
      <c r="O182" s="216"/>
      <c r="P182" s="216"/>
      <c r="Q182" s="216"/>
      <c r="R182" s="216"/>
      <c r="S182" s="216"/>
      <c r="T182" s="216"/>
      <c r="U182" s="216"/>
      <c r="V182" s="216"/>
      <c r="W182" s="216"/>
      <c r="X182" s="217"/>
      <c r="Y182" s="581"/>
      <c r="Z182" s="234"/>
      <c r="AA182" s="582"/>
      <c r="AB182" s="218"/>
      <c r="AC182" s="219"/>
      <c r="AD182" s="554"/>
      <c r="AE182" s="554"/>
      <c r="AF182" s="562"/>
      <c r="AG182" s="546"/>
      <c r="AH182" s="220"/>
      <c r="AI182" s="554"/>
      <c r="AJ182" s="220"/>
      <c r="AK182" s="220"/>
      <c r="AL182" s="554"/>
      <c r="AM182" s="554"/>
      <c r="AN182" s="554"/>
      <c r="AO182" s="554"/>
      <c r="AP182" s="563"/>
      <c r="AQ182" s="221"/>
      <c r="AR182" s="248"/>
    </row>
    <row r="183" spans="1:44" ht="20">
      <c r="A183" s="216"/>
      <c r="B183" s="246"/>
      <c r="C183" s="216"/>
      <c r="D183" s="216"/>
      <c r="E183" s="216"/>
      <c r="F183" s="217"/>
      <c r="G183" s="217"/>
      <c r="H183" s="217"/>
      <c r="I183" s="217"/>
      <c r="J183" s="217"/>
      <c r="K183" s="217"/>
      <c r="L183" s="216"/>
      <c r="M183" s="216"/>
      <c r="N183" s="216"/>
      <c r="O183" s="216"/>
      <c r="P183" s="216"/>
      <c r="Q183" s="216"/>
      <c r="R183" s="216"/>
      <c r="S183" s="216"/>
      <c r="T183" s="216"/>
      <c r="U183" s="216"/>
      <c r="V183" s="216"/>
      <c r="W183" s="216"/>
      <c r="X183" s="217"/>
      <c r="Y183" s="586"/>
      <c r="Z183" s="575"/>
      <c r="AA183" s="218"/>
      <c r="AB183" s="218"/>
      <c r="AC183" s="219"/>
      <c r="AD183" s="236"/>
      <c r="AE183" s="236"/>
      <c r="AF183" s="564"/>
      <c r="AG183" s="556"/>
      <c r="AH183" s="220"/>
      <c r="AI183" s="236"/>
      <c r="AJ183" s="220"/>
      <c r="AK183" s="220"/>
      <c r="AL183" s="236"/>
      <c r="AM183" s="236"/>
      <c r="AN183" s="236"/>
      <c r="AO183" s="236"/>
      <c r="AP183" s="563"/>
      <c r="AQ183" s="221"/>
      <c r="AR183" s="248"/>
    </row>
    <row r="184" spans="1:44" ht="20">
      <c r="A184" s="216"/>
      <c r="B184" s="246"/>
      <c r="C184" s="216"/>
      <c r="D184" s="216"/>
      <c r="E184" s="216"/>
      <c r="F184" s="482"/>
      <c r="G184" s="217"/>
      <c r="H184" s="217"/>
      <c r="I184" s="217"/>
      <c r="J184" s="217"/>
      <c r="K184" s="217"/>
      <c r="L184" s="216"/>
      <c r="M184" s="216"/>
      <c r="N184" s="216"/>
      <c r="O184" s="216"/>
      <c r="P184" s="216"/>
      <c r="Q184" s="216"/>
      <c r="R184" s="216"/>
      <c r="S184" s="216"/>
      <c r="T184" s="216"/>
      <c r="U184" s="216"/>
      <c r="V184" s="216"/>
      <c r="W184" s="216"/>
      <c r="X184" s="217"/>
      <c r="Y184" s="586"/>
      <c r="Z184" s="575"/>
      <c r="AA184" s="218"/>
      <c r="AB184" s="218"/>
      <c r="AC184" s="219"/>
      <c r="AD184" s="236"/>
      <c r="AE184" s="236"/>
      <c r="AF184" s="564"/>
      <c r="AG184" s="556"/>
      <c r="AH184" s="220"/>
      <c r="AI184" s="236"/>
      <c r="AJ184" s="220"/>
      <c r="AK184" s="220"/>
      <c r="AL184" s="236"/>
      <c r="AM184" s="236"/>
      <c r="AN184" s="236"/>
      <c r="AO184" s="236"/>
      <c r="AP184" s="238"/>
      <c r="AQ184" s="221"/>
      <c r="AR184" s="248"/>
    </row>
    <row r="185" spans="1:44" ht="20">
      <c r="A185" s="216"/>
      <c r="B185" s="589"/>
      <c r="C185" s="216"/>
      <c r="D185" s="216"/>
      <c r="E185" s="216"/>
      <c r="F185" s="217"/>
      <c r="G185" s="217"/>
      <c r="H185" s="217"/>
      <c r="I185" s="217"/>
      <c r="J185" s="217"/>
      <c r="K185" s="217"/>
      <c r="L185" s="216"/>
      <c r="M185" s="216"/>
      <c r="N185" s="216"/>
      <c r="O185" s="216"/>
      <c r="P185" s="216"/>
      <c r="Q185" s="216"/>
      <c r="R185" s="216"/>
      <c r="S185" s="216"/>
      <c r="T185" s="216"/>
      <c r="U185" s="216"/>
      <c r="V185" s="216"/>
      <c r="W185" s="216"/>
      <c r="X185" s="217"/>
      <c r="Y185" s="581"/>
      <c r="Z185" s="590"/>
      <c r="AA185" s="218"/>
      <c r="AB185" s="218"/>
      <c r="AC185" s="219"/>
      <c r="AD185" s="554"/>
      <c r="AE185" s="554"/>
      <c r="AF185" s="562"/>
      <c r="AG185" s="546"/>
      <c r="AH185" s="220"/>
      <c r="AI185" s="554"/>
      <c r="AJ185" s="220"/>
      <c r="AK185" s="220"/>
      <c r="AL185" s="554"/>
      <c r="AM185" s="554"/>
      <c r="AN185" s="554"/>
      <c r="AO185" s="554"/>
      <c r="AP185" s="563"/>
      <c r="AQ185" s="221"/>
      <c r="AR185" s="248"/>
    </row>
    <row r="186" spans="1:44" ht="20">
      <c r="A186" s="216"/>
      <c r="B186" s="246"/>
      <c r="C186" s="216"/>
      <c r="D186" s="216"/>
      <c r="E186" s="216"/>
      <c r="F186" s="217"/>
      <c r="G186" s="217"/>
      <c r="H186" s="217"/>
      <c r="I186" s="217"/>
      <c r="J186" s="217"/>
      <c r="K186" s="217"/>
      <c r="L186" s="216"/>
      <c r="M186" s="216"/>
      <c r="N186" s="216"/>
      <c r="O186" s="216"/>
      <c r="P186" s="216"/>
      <c r="Q186" s="216"/>
      <c r="R186" s="216"/>
      <c r="S186" s="216"/>
      <c r="T186" s="216"/>
      <c r="U186" s="216"/>
      <c r="V186" s="216"/>
      <c r="W186" s="216"/>
      <c r="X186" s="217"/>
      <c r="Y186" s="581"/>
      <c r="Z186" s="234"/>
      <c r="AA186" s="582"/>
      <c r="AB186" s="218"/>
      <c r="AC186" s="219"/>
      <c r="AD186" s="554"/>
      <c r="AE186" s="554"/>
      <c r="AF186" s="585"/>
      <c r="AG186" s="591"/>
      <c r="AH186" s="220"/>
      <c r="AI186" s="554"/>
      <c r="AJ186" s="220"/>
      <c r="AK186" s="220"/>
      <c r="AL186" s="554"/>
      <c r="AM186" s="554"/>
      <c r="AN186" s="554"/>
      <c r="AO186" s="554"/>
      <c r="AP186" s="563"/>
      <c r="AQ186" s="221"/>
      <c r="AR186" s="248"/>
    </row>
    <row r="187" spans="1:44" ht="20">
      <c r="A187" s="586"/>
      <c r="B187" s="246"/>
      <c r="C187" s="216"/>
      <c r="D187" s="216"/>
      <c r="E187" s="216"/>
      <c r="F187" s="217"/>
      <c r="G187" s="217"/>
      <c r="H187" s="217"/>
      <c r="I187" s="217"/>
      <c r="J187" s="217"/>
      <c r="K187" s="217"/>
      <c r="L187" s="216"/>
      <c r="M187" s="216"/>
      <c r="N187" s="216"/>
      <c r="O187" s="216"/>
      <c r="P187" s="216"/>
      <c r="Q187" s="216"/>
      <c r="R187" s="216"/>
      <c r="S187" s="216"/>
      <c r="T187" s="216"/>
      <c r="U187" s="216"/>
      <c r="V187" s="216"/>
      <c r="W187" s="216"/>
      <c r="X187" s="217"/>
      <c r="Y187" s="586"/>
      <c r="Z187" s="575"/>
      <c r="AA187" s="218"/>
      <c r="AB187" s="218"/>
      <c r="AC187" s="219"/>
      <c r="AD187" s="236"/>
      <c r="AE187" s="236"/>
      <c r="AF187" s="236"/>
      <c r="AG187" s="203"/>
      <c r="AH187" s="220"/>
      <c r="AI187" s="236"/>
      <c r="AJ187" s="220"/>
      <c r="AK187" s="220"/>
      <c r="AL187" s="236"/>
      <c r="AM187" s="236"/>
      <c r="AN187" s="236"/>
      <c r="AO187" s="236"/>
      <c r="AP187" s="238"/>
      <c r="AQ187" s="221"/>
      <c r="AR187" s="248"/>
    </row>
    <row r="188" spans="1:44" ht="20">
      <c r="A188" s="216"/>
      <c r="B188" s="246"/>
      <c r="C188" s="216"/>
      <c r="D188" s="216"/>
      <c r="E188" s="216"/>
      <c r="F188" s="217"/>
      <c r="G188" s="217"/>
      <c r="H188" s="217"/>
      <c r="I188" s="217"/>
      <c r="J188" s="217"/>
      <c r="K188" s="217"/>
      <c r="L188" s="216"/>
      <c r="M188" s="216"/>
      <c r="N188" s="216"/>
      <c r="O188" s="216"/>
      <c r="P188" s="216"/>
      <c r="Q188" s="216"/>
      <c r="R188" s="216"/>
      <c r="S188" s="216"/>
      <c r="T188" s="216"/>
      <c r="U188" s="216"/>
      <c r="V188" s="216"/>
      <c r="W188" s="216"/>
      <c r="X188" s="217"/>
      <c r="Y188" s="586"/>
      <c r="Z188" s="575"/>
      <c r="AA188" s="218"/>
      <c r="AB188" s="218"/>
      <c r="AC188" s="219"/>
      <c r="AD188" s="236"/>
      <c r="AE188" s="236"/>
      <c r="AF188" s="236"/>
      <c r="AG188" s="203"/>
      <c r="AH188" s="220"/>
      <c r="AI188" s="236"/>
      <c r="AJ188" s="220"/>
      <c r="AK188" s="220"/>
      <c r="AL188" s="236"/>
      <c r="AM188" s="236"/>
      <c r="AN188" s="236"/>
      <c r="AO188" s="236"/>
      <c r="AP188" s="238"/>
      <c r="AQ188" s="221"/>
      <c r="AR188" s="248"/>
    </row>
    <row r="189" spans="1:44" ht="20">
      <c r="A189" s="586"/>
      <c r="B189" s="246"/>
      <c r="C189" s="216"/>
      <c r="D189" s="216"/>
      <c r="E189" s="216"/>
      <c r="F189" s="217"/>
      <c r="G189" s="217"/>
      <c r="H189" s="217"/>
      <c r="I189" s="217"/>
      <c r="J189" s="217"/>
      <c r="K189" s="217"/>
      <c r="L189" s="216"/>
      <c r="M189" s="216"/>
      <c r="N189" s="216"/>
      <c r="O189" s="216"/>
      <c r="P189" s="216"/>
      <c r="Q189" s="216"/>
      <c r="R189" s="216"/>
      <c r="S189" s="216"/>
      <c r="T189" s="216"/>
      <c r="U189" s="216"/>
      <c r="V189" s="216"/>
      <c r="W189" s="216"/>
      <c r="X189" s="217"/>
      <c r="Y189" s="586"/>
      <c r="Z189" s="234"/>
      <c r="AA189" s="237"/>
      <c r="AB189" s="218"/>
      <c r="AC189" s="219"/>
      <c r="AD189" s="236"/>
      <c r="AE189" s="236"/>
      <c r="AF189" s="236"/>
      <c r="AG189" s="203"/>
      <c r="AH189" s="220"/>
      <c r="AI189" s="236"/>
      <c r="AJ189" s="220"/>
      <c r="AK189" s="220"/>
      <c r="AL189" s="236"/>
      <c r="AM189" s="236"/>
      <c r="AN189" s="236"/>
      <c r="AO189" s="236"/>
      <c r="AP189" s="238"/>
      <c r="AQ189" s="221"/>
      <c r="AR189" s="248"/>
    </row>
    <row r="190" spans="1:44" ht="20">
      <c r="A190" s="216"/>
      <c r="B190" s="246"/>
      <c r="C190" s="216"/>
      <c r="D190" s="216"/>
      <c r="E190" s="216"/>
      <c r="F190" s="482"/>
      <c r="G190" s="217"/>
      <c r="H190" s="217"/>
      <c r="I190" s="217"/>
      <c r="J190" s="217"/>
      <c r="K190" s="217"/>
      <c r="L190" s="216"/>
      <c r="M190" s="216"/>
      <c r="N190" s="216"/>
      <c r="O190" s="216"/>
      <c r="P190" s="216"/>
      <c r="Q190" s="216"/>
      <c r="R190" s="216"/>
      <c r="S190" s="216"/>
      <c r="T190" s="216"/>
      <c r="U190" s="216"/>
      <c r="V190" s="216"/>
      <c r="W190" s="216"/>
      <c r="X190" s="217"/>
      <c r="Y190" s="592"/>
      <c r="Z190" s="234"/>
      <c r="AA190" s="593"/>
      <c r="AB190" s="218"/>
      <c r="AC190" s="219"/>
      <c r="AD190" s="509"/>
      <c r="AE190" s="509"/>
      <c r="AF190" s="591"/>
      <c r="AG190" s="546"/>
      <c r="AH190" s="220"/>
      <c r="AI190" s="236"/>
      <c r="AJ190" s="594"/>
      <c r="AK190" s="203"/>
      <c r="AL190" s="236"/>
      <c r="AM190" s="203"/>
      <c r="AN190" s="220"/>
      <c r="AO190" s="203"/>
      <c r="AP190" s="238"/>
      <c r="AQ190" s="221"/>
      <c r="AR190" s="248"/>
    </row>
    <row r="191" spans="1:44" ht="20">
      <c r="A191" s="586"/>
      <c r="B191" s="246"/>
      <c r="C191" s="216"/>
      <c r="D191" s="216"/>
      <c r="E191" s="216"/>
      <c r="F191" s="482"/>
      <c r="G191" s="217"/>
      <c r="H191" s="217"/>
      <c r="I191" s="217"/>
      <c r="J191" s="217"/>
      <c r="K191" s="217"/>
      <c r="L191" s="216"/>
      <c r="M191" s="216"/>
      <c r="N191" s="216"/>
      <c r="O191" s="216"/>
      <c r="P191" s="216"/>
      <c r="Q191" s="216"/>
      <c r="R191" s="216"/>
      <c r="S191" s="216"/>
      <c r="T191" s="216"/>
      <c r="U191" s="216"/>
      <c r="V191" s="216"/>
      <c r="W191" s="216"/>
      <c r="X191" s="217"/>
      <c r="Y191" s="595"/>
      <c r="Z191" s="234"/>
      <c r="AA191" s="218"/>
      <c r="AB191" s="218"/>
      <c r="AC191" s="219"/>
      <c r="AD191" s="594"/>
      <c r="AE191" s="594"/>
      <c r="AF191" s="591"/>
      <c r="AG191" s="546"/>
      <c r="AH191" s="594"/>
      <c r="AI191" s="594"/>
      <c r="AJ191" s="594"/>
      <c r="AK191" s="594"/>
      <c r="AL191" s="236"/>
      <c r="AM191" s="224"/>
      <c r="AN191" s="224"/>
      <c r="AO191" s="224"/>
      <c r="AP191" s="563"/>
      <c r="AQ191" s="221"/>
      <c r="AR191" s="248"/>
    </row>
    <row r="192" spans="1:44" ht="20">
      <c r="A192" s="264"/>
      <c r="B192" s="246"/>
      <c r="C192" s="222"/>
      <c r="D192" s="216"/>
      <c r="E192" s="222"/>
      <c r="F192" s="525"/>
      <c r="G192" s="526"/>
      <c r="H192" s="526"/>
      <c r="I192" s="526"/>
      <c r="J192" s="526"/>
      <c r="K192" s="526"/>
      <c r="L192" s="222"/>
      <c r="M192" s="222"/>
      <c r="N192" s="222"/>
      <c r="O192" s="222"/>
      <c r="P192" s="222"/>
      <c r="Q192" s="222"/>
      <c r="R192" s="222"/>
      <c r="S192" s="222"/>
      <c r="T192" s="222"/>
      <c r="U192" s="222"/>
      <c r="V192" s="222"/>
      <c r="W192" s="222"/>
      <c r="X192" s="525"/>
      <c r="Y192" s="222"/>
      <c r="Z192" s="235"/>
      <c r="AA192" s="593"/>
      <c r="AB192" s="223"/>
      <c r="AC192" s="529"/>
      <c r="AD192" s="509"/>
      <c r="AE192" s="509"/>
      <c r="AF192" s="509"/>
      <c r="AG192" s="220"/>
      <c r="AH192" s="236"/>
      <c r="AI192" s="236"/>
      <c r="AJ192" s="594"/>
      <c r="AK192" s="594"/>
      <c r="AL192" s="236"/>
      <c r="AM192" s="203"/>
      <c r="AN192" s="203"/>
      <c r="AO192" s="203"/>
      <c r="AP192" s="238"/>
      <c r="AQ192" s="221"/>
      <c r="AR192" s="248"/>
    </row>
    <row r="193" spans="1:44" ht="20">
      <c r="A193" s="264"/>
      <c r="B193" s="246"/>
      <c r="C193" s="222"/>
      <c r="D193" s="216"/>
      <c r="E193" s="222"/>
      <c r="F193" s="525"/>
      <c r="G193" s="217"/>
      <c r="H193" s="217"/>
      <c r="I193" s="217"/>
      <c r="J193" s="217"/>
      <c r="K193" s="217"/>
      <c r="L193" s="216"/>
      <c r="M193" s="216"/>
      <c r="N193" s="216"/>
      <c r="O193" s="216"/>
      <c r="P193" s="222"/>
      <c r="Q193" s="222"/>
      <c r="R193" s="222"/>
      <c r="S193" s="216"/>
      <c r="T193" s="216"/>
      <c r="U193" s="216"/>
      <c r="V193" s="216"/>
      <c r="W193" s="222"/>
      <c r="X193" s="525"/>
      <c r="Y193" s="222"/>
      <c r="Z193" s="234"/>
      <c r="AA193" s="593"/>
      <c r="AB193" s="218"/>
      <c r="AC193" s="483"/>
      <c r="AD193" s="509"/>
      <c r="AE193" s="509"/>
      <c r="AF193" s="203"/>
      <c r="AG193" s="220"/>
      <c r="AH193" s="220"/>
      <c r="AI193" s="509"/>
      <c r="AJ193" s="594"/>
      <c r="AK193" s="594"/>
      <c r="AL193" s="236"/>
      <c r="AM193" s="509"/>
      <c r="AN193" s="509"/>
      <c r="AO193" s="509"/>
      <c r="AP193" s="238"/>
      <c r="AQ193" s="221"/>
      <c r="AR193" s="248"/>
    </row>
    <row r="194" spans="1:44" ht="20">
      <c r="A194" s="481"/>
      <c r="B194" s="246"/>
      <c r="C194" s="222"/>
      <c r="D194" s="216"/>
      <c r="E194" s="216"/>
      <c r="F194" s="482"/>
      <c r="G194" s="217"/>
      <c r="H194" s="217"/>
      <c r="I194" s="217"/>
      <c r="J194" s="217"/>
      <c r="K194" s="217"/>
      <c r="L194" s="216"/>
      <c r="M194" s="216"/>
      <c r="N194" s="216"/>
      <c r="O194" s="216"/>
      <c r="P194" s="216"/>
      <c r="Q194" s="216"/>
      <c r="R194" s="216"/>
      <c r="S194" s="216"/>
      <c r="T194" s="216"/>
      <c r="U194" s="216"/>
      <c r="V194" s="216"/>
      <c r="W194" s="216"/>
      <c r="X194" s="217"/>
      <c r="Y194" s="216"/>
      <c r="Z194" s="234"/>
      <c r="AA194" s="593"/>
      <c r="AB194" s="218"/>
      <c r="AC194" s="219"/>
      <c r="AD194" s="509"/>
      <c r="AE194" s="509"/>
      <c r="AF194" s="509"/>
      <c r="AG194" s="220"/>
      <c r="AH194" s="220"/>
      <c r="AI194" s="203"/>
      <c r="AJ194" s="220"/>
      <c r="AK194" s="220"/>
      <c r="AL194" s="236"/>
      <c r="AM194" s="236"/>
      <c r="AN194" s="236"/>
      <c r="AO194" s="236"/>
      <c r="AP194" s="238"/>
      <c r="AQ194" s="221"/>
      <c r="AR194" s="248"/>
    </row>
    <row r="195" spans="1:44" ht="20">
      <c r="A195" s="481"/>
      <c r="B195" s="246"/>
      <c r="C195" s="216"/>
      <c r="D195" s="216"/>
      <c r="E195" s="216"/>
      <c r="F195" s="217"/>
      <c r="G195" s="217"/>
      <c r="H195" s="217"/>
      <c r="I195" s="217"/>
      <c r="J195" s="217"/>
      <c r="K195" s="217"/>
      <c r="L195" s="216"/>
      <c r="M195" s="216"/>
      <c r="N195" s="216"/>
      <c r="O195" s="216"/>
      <c r="P195" s="216"/>
      <c r="Q195" s="216"/>
      <c r="R195" s="216"/>
      <c r="S195" s="216"/>
      <c r="T195" s="216"/>
      <c r="U195" s="216"/>
      <c r="V195" s="216"/>
      <c r="W195" s="216"/>
      <c r="X195" s="217"/>
      <c r="Y195" s="216"/>
      <c r="Z195" s="79"/>
      <c r="AA195" s="593"/>
      <c r="AB195" s="218"/>
      <c r="AC195" s="219"/>
      <c r="AD195" s="162"/>
      <c r="AE195" s="596"/>
      <c r="AF195" s="597"/>
      <c r="AG195" s="486"/>
      <c r="AH195" s="220"/>
      <c r="AI195" s="500"/>
      <c r="AJ195" s="220"/>
      <c r="AK195" s="220"/>
      <c r="AL195" s="580"/>
      <c r="AM195" s="579"/>
      <c r="AN195" s="81"/>
      <c r="AO195" s="164"/>
      <c r="AP195" s="81"/>
      <c r="AQ195" s="221"/>
      <c r="AR195" s="248"/>
    </row>
    <row r="196" spans="1:44" ht="20">
      <c r="A196" s="481"/>
      <c r="B196" s="246"/>
      <c r="C196" s="216"/>
      <c r="D196" s="216"/>
      <c r="E196" s="216"/>
      <c r="F196" s="217"/>
      <c r="G196" s="217"/>
      <c r="H196" s="217"/>
      <c r="I196" s="217"/>
      <c r="J196" s="217"/>
      <c r="K196" s="217"/>
      <c r="L196" s="216"/>
      <c r="M196" s="216"/>
      <c r="N196" s="216"/>
      <c r="O196" s="216"/>
      <c r="P196" s="216"/>
      <c r="Q196" s="216"/>
      <c r="R196" s="216"/>
      <c r="S196" s="216"/>
      <c r="T196" s="216"/>
      <c r="U196" s="216"/>
      <c r="V196" s="216"/>
      <c r="W196" s="216"/>
      <c r="X196" s="217"/>
      <c r="Y196" s="216"/>
      <c r="Z196" s="79"/>
      <c r="AA196" s="593"/>
      <c r="AB196" s="218"/>
      <c r="AC196" s="219"/>
      <c r="AD196" s="162"/>
      <c r="AE196" s="596"/>
      <c r="AF196" s="597"/>
      <c r="AG196" s="486"/>
      <c r="AH196" s="220"/>
      <c r="AI196" s="500"/>
      <c r="AJ196" s="220"/>
      <c r="AK196" s="220"/>
      <c r="AL196" s="580"/>
      <c r="AM196" s="579"/>
      <c r="AN196" s="81"/>
      <c r="AO196" s="164"/>
      <c r="AP196" s="81"/>
      <c r="AQ196" s="221"/>
      <c r="AR196" s="248"/>
    </row>
    <row r="197" spans="1:44" ht="20">
      <c r="A197" s="481"/>
      <c r="B197" s="246"/>
      <c r="C197" s="216"/>
      <c r="D197" s="216"/>
      <c r="E197" s="216"/>
      <c r="F197" s="217"/>
      <c r="G197" s="217"/>
      <c r="H197" s="217"/>
      <c r="I197" s="217"/>
      <c r="J197" s="217"/>
      <c r="K197" s="217"/>
      <c r="L197" s="216"/>
      <c r="M197" s="216"/>
      <c r="N197" s="216"/>
      <c r="O197" s="216"/>
      <c r="P197" s="216"/>
      <c r="Q197" s="216"/>
      <c r="R197" s="216"/>
      <c r="S197" s="216"/>
      <c r="T197" s="216"/>
      <c r="U197" s="216"/>
      <c r="V197" s="216"/>
      <c r="W197" s="216"/>
      <c r="X197" s="217"/>
      <c r="Y197" s="216"/>
      <c r="Z197" s="86"/>
      <c r="AA197" s="218"/>
      <c r="AB197" s="218"/>
      <c r="AC197" s="219"/>
      <c r="AD197" s="79"/>
      <c r="AE197" s="485"/>
      <c r="AF197" s="486"/>
      <c r="AG197" s="486"/>
      <c r="AH197" s="220"/>
      <c r="AI197" s="488"/>
      <c r="AJ197" s="220"/>
      <c r="AK197" s="220"/>
      <c r="AL197" s="489"/>
      <c r="AM197" s="488"/>
      <c r="AN197" s="76"/>
      <c r="AO197" s="76"/>
      <c r="AP197" s="76"/>
      <c r="AQ197" s="221"/>
      <c r="AR197" s="248"/>
    </row>
    <row r="198" spans="1:44" ht="20">
      <c r="A198" s="216"/>
      <c r="B198" s="246"/>
      <c r="C198" s="216"/>
      <c r="D198" s="216"/>
      <c r="E198" s="216"/>
      <c r="F198" s="217"/>
      <c r="G198" s="217"/>
      <c r="H198" s="217"/>
      <c r="I198" s="217"/>
      <c r="J198" s="217"/>
      <c r="K198" s="217"/>
      <c r="L198" s="216"/>
      <c r="M198" s="216"/>
      <c r="N198" s="216"/>
      <c r="O198" s="216"/>
      <c r="P198" s="216"/>
      <c r="Q198" s="216"/>
      <c r="R198" s="216"/>
      <c r="S198" s="216"/>
      <c r="T198" s="216"/>
      <c r="U198" s="216"/>
      <c r="V198" s="216"/>
      <c r="W198" s="216"/>
      <c r="X198" s="217"/>
      <c r="Y198" s="216"/>
      <c r="Z198" s="575"/>
      <c r="AA198" s="86"/>
      <c r="AB198" s="218"/>
      <c r="AC198" s="219"/>
      <c r="AD198" s="80"/>
      <c r="AE198" s="485"/>
      <c r="AF198" s="577"/>
      <c r="AG198" s="486"/>
      <c r="AH198" s="203"/>
      <c r="AI198" s="579"/>
      <c r="AJ198" s="236"/>
      <c r="AK198" s="236"/>
      <c r="AL198" s="489"/>
      <c r="AM198" s="579"/>
      <c r="AN198" s="81"/>
      <c r="AO198" s="81"/>
      <c r="AP198" s="81"/>
      <c r="AQ198" s="221"/>
      <c r="AR198" s="248"/>
    </row>
    <row r="199" spans="1:44" ht="20">
      <c r="A199" s="216"/>
      <c r="B199" s="246"/>
      <c r="C199" s="216"/>
      <c r="D199" s="216"/>
      <c r="E199" s="216"/>
      <c r="F199" s="217"/>
      <c r="G199" s="217"/>
      <c r="H199" s="217"/>
      <c r="I199" s="217"/>
      <c r="J199" s="217"/>
      <c r="K199" s="217"/>
      <c r="L199" s="216"/>
      <c r="M199" s="216"/>
      <c r="N199" s="216"/>
      <c r="O199" s="216"/>
      <c r="P199" s="216"/>
      <c r="Q199" s="216"/>
      <c r="R199" s="216"/>
      <c r="S199" s="216"/>
      <c r="T199" s="216"/>
      <c r="U199" s="216"/>
      <c r="V199" s="216"/>
      <c r="W199" s="216"/>
      <c r="X199" s="217"/>
      <c r="Y199" s="216"/>
      <c r="Z199" s="234"/>
      <c r="AA199" s="163"/>
      <c r="AB199" s="218"/>
      <c r="AC199" s="219"/>
      <c r="AD199" s="162"/>
      <c r="AE199" s="596"/>
      <c r="AF199" s="578"/>
      <c r="AG199" s="578"/>
      <c r="AH199" s="509"/>
      <c r="AI199" s="598"/>
      <c r="AJ199" s="509"/>
      <c r="AK199" s="220"/>
      <c r="AL199" s="599"/>
      <c r="AM199" s="488"/>
      <c r="AN199" s="164"/>
      <c r="AO199" s="76"/>
      <c r="AP199" s="164"/>
      <c r="AQ199" s="221"/>
      <c r="AR199" s="248"/>
    </row>
    <row r="200" spans="1:44" ht="20">
      <c r="A200" s="216"/>
      <c r="B200" s="246"/>
      <c r="C200" s="216"/>
      <c r="D200" s="216"/>
      <c r="E200" s="31"/>
      <c r="F200" s="217"/>
      <c r="G200" s="217"/>
      <c r="H200" s="217"/>
      <c r="I200" s="217"/>
      <c r="J200" s="217"/>
      <c r="K200" s="217"/>
      <c r="L200" s="216"/>
      <c r="M200" s="216"/>
      <c r="N200" s="216"/>
      <c r="O200" s="216"/>
      <c r="P200" s="216"/>
      <c r="Q200" s="216"/>
      <c r="R200" s="216"/>
      <c r="S200" s="216"/>
      <c r="T200" s="216"/>
      <c r="U200" s="216"/>
      <c r="V200" s="216"/>
      <c r="W200" s="216"/>
      <c r="X200" s="217"/>
      <c r="Y200" s="216"/>
      <c r="Z200" s="234"/>
      <c r="AA200" s="77"/>
      <c r="AB200" s="218"/>
      <c r="AC200" s="219"/>
      <c r="AD200" s="80"/>
      <c r="AE200" s="576"/>
      <c r="AF200" s="577"/>
      <c r="AG200" s="578"/>
      <c r="AH200" s="220"/>
      <c r="AI200" s="598"/>
      <c r="AJ200" s="220"/>
      <c r="AK200" s="220"/>
      <c r="AL200" s="599"/>
      <c r="AM200" s="598"/>
      <c r="AN200" s="81"/>
      <c r="AO200" s="81"/>
      <c r="AP200" s="81"/>
      <c r="AQ200" s="221"/>
      <c r="AR200" s="248"/>
    </row>
    <row r="201" spans="1:44" ht="20">
      <c r="A201" s="481"/>
      <c r="B201" s="246"/>
      <c r="C201" s="216"/>
      <c r="D201" s="216"/>
      <c r="E201" s="216"/>
      <c r="F201" s="217"/>
      <c r="G201" s="217"/>
      <c r="H201" s="217"/>
      <c r="I201" s="217"/>
      <c r="J201" s="217"/>
      <c r="K201" s="217"/>
      <c r="L201" s="216"/>
      <c r="M201" s="216"/>
      <c r="N201" s="216"/>
      <c r="O201" s="216"/>
      <c r="P201" s="216"/>
      <c r="Q201" s="216"/>
      <c r="R201" s="216"/>
      <c r="S201" s="216"/>
      <c r="T201" s="216"/>
      <c r="U201" s="216"/>
      <c r="V201" s="216"/>
      <c r="W201" s="216"/>
      <c r="X201" s="217"/>
      <c r="Y201" s="216"/>
      <c r="Z201" s="86"/>
      <c r="AA201" s="218"/>
      <c r="AB201" s="218"/>
      <c r="AC201" s="219"/>
      <c r="AD201" s="79"/>
      <c r="AE201" s="485"/>
      <c r="AF201" s="486"/>
      <c r="AG201" s="486"/>
      <c r="AH201" s="220"/>
      <c r="AI201" s="488"/>
      <c r="AJ201" s="220"/>
      <c r="AK201" s="220"/>
      <c r="AL201" s="489"/>
      <c r="AM201" s="488"/>
      <c r="AN201" s="76"/>
      <c r="AO201" s="76"/>
      <c r="AP201" s="76"/>
      <c r="AQ201" s="221"/>
      <c r="AR201" s="248"/>
    </row>
    <row r="202" spans="1:44" ht="20">
      <c r="A202" s="481"/>
      <c r="B202" s="246"/>
      <c r="C202" s="216"/>
      <c r="D202" s="216"/>
      <c r="E202" s="216"/>
      <c r="F202" s="217"/>
      <c r="G202" s="217"/>
      <c r="H202" s="217"/>
      <c r="I202" s="217"/>
      <c r="J202" s="217"/>
      <c r="K202" s="217"/>
      <c r="L202" s="216"/>
      <c r="M202" s="216"/>
      <c r="N202" s="216"/>
      <c r="O202" s="216"/>
      <c r="P202" s="216"/>
      <c r="Q202" s="216"/>
      <c r="R202" s="216"/>
      <c r="S202" s="216"/>
      <c r="T202" s="216"/>
      <c r="U202" s="216"/>
      <c r="V202" s="216"/>
      <c r="W202" s="216"/>
      <c r="X202" s="217"/>
      <c r="Y202" s="216"/>
      <c r="Z202" s="234"/>
      <c r="AA202" s="163"/>
      <c r="AB202" s="218"/>
      <c r="AC202" s="219"/>
      <c r="AD202" s="162"/>
      <c r="AE202" s="596"/>
      <c r="AF202" s="578"/>
      <c r="AG202" s="578"/>
      <c r="AH202" s="509"/>
      <c r="AI202" s="500"/>
      <c r="AJ202" s="203"/>
      <c r="AK202" s="203"/>
      <c r="AL202" s="600"/>
      <c r="AM202" s="488"/>
      <c r="AN202" s="504"/>
      <c r="AO202" s="504"/>
      <c r="AP202" s="164"/>
      <c r="AQ202" s="221"/>
      <c r="AR202" s="248"/>
    </row>
    <row r="203" spans="1:44" ht="20">
      <c r="A203" s="481"/>
      <c r="B203" s="246"/>
      <c r="C203" s="216"/>
      <c r="D203" s="216"/>
      <c r="E203" s="216"/>
      <c r="F203" s="217"/>
      <c r="G203" s="217"/>
      <c r="H203" s="217"/>
      <c r="I203" s="217"/>
      <c r="J203" s="217"/>
      <c r="K203" s="217"/>
      <c r="L203" s="216"/>
      <c r="M203" s="216"/>
      <c r="N203" s="216"/>
      <c r="O203" s="216"/>
      <c r="P203" s="216"/>
      <c r="Q203" s="216"/>
      <c r="R203" s="216"/>
      <c r="S203" s="216"/>
      <c r="T203" s="216"/>
      <c r="U203" s="216"/>
      <c r="V203" s="216"/>
      <c r="W203" s="216"/>
      <c r="X203" s="217"/>
      <c r="Y203" s="216"/>
      <c r="Z203" s="234"/>
      <c r="AA203" s="163"/>
      <c r="AB203" s="218"/>
      <c r="AC203" s="219"/>
      <c r="AD203" s="162"/>
      <c r="AE203" s="596"/>
      <c r="AF203" s="578"/>
      <c r="AG203" s="578"/>
      <c r="AH203" s="203"/>
      <c r="AI203" s="500"/>
      <c r="AJ203" s="203"/>
      <c r="AK203" s="203"/>
      <c r="AL203" s="600"/>
      <c r="AM203" s="505"/>
      <c r="AN203" s="484"/>
      <c r="AO203" s="484"/>
      <c r="AP203" s="164"/>
      <c r="AQ203" s="221"/>
      <c r="AR203" s="248"/>
    </row>
    <row r="204" spans="1:44" ht="20">
      <c r="A204" s="481"/>
      <c r="B204" s="246"/>
      <c r="C204" s="216"/>
      <c r="D204" s="216"/>
      <c r="E204" s="216"/>
      <c r="F204" s="502"/>
      <c r="G204" s="217"/>
      <c r="H204" s="217"/>
      <c r="I204" s="217"/>
      <c r="J204" s="217"/>
      <c r="K204" s="217"/>
      <c r="L204" s="216"/>
      <c r="M204" s="216"/>
      <c r="N204" s="216"/>
      <c r="O204" s="216"/>
      <c r="P204" s="216"/>
      <c r="Q204" s="216"/>
      <c r="R204" s="216"/>
      <c r="S204" s="216"/>
      <c r="T204" s="216"/>
      <c r="U204" s="216"/>
      <c r="V204" s="216"/>
      <c r="W204" s="216"/>
      <c r="X204" s="217"/>
      <c r="Y204" s="220"/>
      <c r="Z204" s="234"/>
      <c r="AA204" s="593"/>
      <c r="AB204" s="218"/>
      <c r="AC204" s="219"/>
      <c r="AD204" s="509"/>
      <c r="AE204" s="601"/>
      <c r="AF204" s="602"/>
      <c r="AG204" s="503"/>
      <c r="AH204" s="509"/>
      <c r="AI204" s="505"/>
      <c r="AJ204" s="220"/>
      <c r="AK204" s="603"/>
      <c r="AL204" s="505"/>
      <c r="AM204" s="488"/>
      <c r="AN204" s="76"/>
      <c r="AO204" s="76"/>
      <c r="AP204" s="509"/>
      <c r="AQ204" s="221"/>
      <c r="AR204" s="248"/>
    </row>
    <row r="205" spans="1:44" ht="20">
      <c r="A205" s="481"/>
      <c r="B205" s="246"/>
      <c r="C205" s="216"/>
      <c r="D205" s="216"/>
      <c r="E205" s="216"/>
      <c r="F205" s="482"/>
      <c r="G205" s="217"/>
      <c r="H205" s="217"/>
      <c r="I205" s="217"/>
      <c r="J205" s="217"/>
      <c r="K205" s="217"/>
      <c r="L205" s="216"/>
      <c r="M205" s="216"/>
      <c r="N205" s="216"/>
      <c r="O205" s="216"/>
      <c r="P205" s="216"/>
      <c r="Q205" s="216"/>
      <c r="R205" s="216"/>
      <c r="S205" s="216"/>
      <c r="T205" s="216"/>
      <c r="U205" s="216"/>
      <c r="V205" s="216"/>
      <c r="W205" s="216"/>
      <c r="X205" s="217"/>
      <c r="Y205" s="220"/>
      <c r="Z205" s="234"/>
      <c r="AA205" s="509"/>
      <c r="AB205" s="218"/>
      <c r="AC205" s="219"/>
      <c r="AD205" s="236"/>
      <c r="AE205" s="604"/>
      <c r="AF205" s="604"/>
      <c r="AG205" s="505"/>
      <c r="AH205" s="236"/>
      <c r="AI205" s="505"/>
      <c r="AJ205" s="220"/>
      <c r="AK205" s="220"/>
      <c r="AL205" s="505"/>
      <c r="AM205" s="488"/>
      <c r="AN205" s="76"/>
      <c r="AO205" s="76"/>
      <c r="AP205" s="509"/>
      <c r="AQ205" s="221"/>
      <c r="AR205" s="248"/>
    </row>
    <row r="206" spans="1:44" ht="20">
      <c r="A206" s="481"/>
      <c r="B206" s="246"/>
      <c r="C206" s="216"/>
      <c r="D206" s="216"/>
      <c r="E206" s="216"/>
      <c r="F206" s="482"/>
      <c r="G206" s="217"/>
      <c r="H206" s="217"/>
      <c r="I206" s="217"/>
      <c r="J206" s="217"/>
      <c r="K206" s="217"/>
      <c r="L206" s="216"/>
      <c r="M206" s="216"/>
      <c r="N206" s="216"/>
      <c r="O206" s="216"/>
      <c r="P206" s="216"/>
      <c r="Q206" s="216"/>
      <c r="R206" s="216"/>
      <c r="S206" s="216"/>
      <c r="T206" s="216"/>
      <c r="U206" s="216"/>
      <c r="V206" s="216"/>
      <c r="W206" s="216"/>
      <c r="X206" s="217"/>
      <c r="Y206" s="220"/>
      <c r="Z206" s="234"/>
      <c r="AA206" s="509"/>
      <c r="AB206" s="218"/>
      <c r="AC206" s="219"/>
      <c r="AD206" s="79"/>
      <c r="AE206" s="485"/>
      <c r="AF206" s="486"/>
      <c r="AG206" s="486"/>
      <c r="AH206" s="220"/>
      <c r="AI206" s="488"/>
      <c r="AJ206" s="220"/>
      <c r="AK206" s="220"/>
      <c r="AL206" s="489"/>
      <c r="AM206" s="500"/>
      <c r="AN206" s="83"/>
      <c r="AO206" s="164"/>
      <c r="AP206" s="76"/>
      <c r="AQ206" s="221"/>
      <c r="AR206" s="248"/>
    </row>
    <row r="207" spans="1:44" ht="20">
      <c r="A207" s="481"/>
      <c r="B207" s="246"/>
      <c r="C207" s="216"/>
      <c r="D207" s="216"/>
      <c r="E207" s="216"/>
      <c r="F207" s="217"/>
      <c r="G207" s="217"/>
      <c r="H207" s="217"/>
      <c r="I207" s="217"/>
      <c r="J207" s="217"/>
      <c r="K207" s="217"/>
      <c r="L207" s="216"/>
      <c r="M207" s="216"/>
      <c r="N207" s="216"/>
      <c r="O207" s="216"/>
      <c r="P207" s="216"/>
      <c r="Q207" s="216"/>
      <c r="R207" s="216"/>
      <c r="S207" s="216"/>
      <c r="T207" s="216"/>
      <c r="U207" s="216"/>
      <c r="V207" s="216"/>
      <c r="W207" s="216"/>
      <c r="X207" s="217"/>
      <c r="Y207" s="216"/>
      <c r="Z207" s="234"/>
      <c r="AA207" s="163"/>
      <c r="AB207" s="218"/>
      <c r="AC207" s="219"/>
      <c r="AD207" s="162"/>
      <c r="AE207" s="162"/>
      <c r="AF207" s="84"/>
      <c r="AG207" s="556"/>
      <c r="AH207" s="203"/>
      <c r="AI207" s="509"/>
      <c r="AJ207" s="509"/>
      <c r="AK207" s="509"/>
      <c r="AL207" s="85"/>
      <c r="AM207" s="76"/>
      <c r="AN207" s="504"/>
      <c r="AO207" s="76"/>
      <c r="AP207" s="164"/>
      <c r="AQ207" s="221"/>
      <c r="AR207" s="248"/>
    </row>
    <row r="208" spans="1:44" ht="20">
      <c r="A208" s="216"/>
      <c r="B208" s="246"/>
      <c r="C208" s="216"/>
      <c r="D208" s="216"/>
      <c r="E208" s="216"/>
      <c r="F208" s="502"/>
      <c r="G208" s="217"/>
      <c r="H208" s="217"/>
      <c r="I208" s="217"/>
      <c r="J208" s="217"/>
      <c r="K208" s="217"/>
      <c r="L208" s="216"/>
      <c r="M208" s="216"/>
      <c r="N208" s="216"/>
      <c r="O208" s="216"/>
      <c r="P208" s="216"/>
      <c r="Q208" s="216"/>
      <c r="R208" s="216"/>
      <c r="S208" s="216"/>
      <c r="T208" s="216"/>
      <c r="U208" s="216"/>
      <c r="V208" s="216"/>
      <c r="W208" s="216"/>
      <c r="X208" s="217"/>
      <c r="Y208" s="216"/>
      <c r="Z208" s="234"/>
      <c r="AA208" s="593"/>
      <c r="AB208" s="218"/>
      <c r="AC208" s="219"/>
      <c r="AD208" s="509"/>
      <c r="AE208" s="509"/>
      <c r="AF208" s="602"/>
      <c r="AG208" s="503"/>
      <c r="AH208" s="509"/>
      <c r="AI208" s="505"/>
      <c r="AJ208" s="220"/>
      <c r="AK208" s="603"/>
      <c r="AL208" s="505"/>
      <c r="AM208" s="220"/>
      <c r="AN208" s="220"/>
      <c r="AO208" s="220"/>
      <c r="AP208" s="513"/>
      <c r="AQ208" s="221"/>
      <c r="AR208" s="248"/>
    </row>
    <row r="209" spans="1:44" ht="20">
      <c r="A209" s="481"/>
      <c r="B209" s="246"/>
      <c r="C209" s="216"/>
      <c r="D209" s="216"/>
      <c r="E209" s="216"/>
      <c r="F209" s="217"/>
      <c r="G209" s="217"/>
      <c r="H209" s="217"/>
      <c r="I209" s="217"/>
      <c r="J209" s="217"/>
      <c r="K209" s="217"/>
      <c r="L209" s="216"/>
      <c r="M209" s="216"/>
      <c r="N209" s="216"/>
      <c r="O209" s="216"/>
      <c r="P209" s="216"/>
      <c r="Q209" s="216"/>
      <c r="R209" s="216"/>
      <c r="S209" s="216"/>
      <c r="T209" s="216"/>
      <c r="U209" s="216"/>
      <c r="V209" s="216"/>
      <c r="W209" s="216"/>
      <c r="X209" s="217"/>
      <c r="Y209" s="216"/>
      <c r="Z209" s="163"/>
      <c r="AA209" s="237"/>
      <c r="AB209" s="218"/>
      <c r="AC209" s="219"/>
      <c r="AD209" s="162"/>
      <c r="AE209" s="509"/>
      <c r="AF209" s="82"/>
      <c r="AG209" s="203"/>
      <c r="AH209" s="565"/>
      <c r="AI209" s="164"/>
      <c r="AJ209" s="162"/>
      <c r="AK209" s="181"/>
      <c r="AL209" s="203"/>
      <c r="AM209" s="76"/>
      <c r="AN209" s="76"/>
      <c r="AO209" s="76"/>
      <c r="AP209" s="164"/>
      <c r="AQ209" s="221"/>
      <c r="AR209" s="248"/>
    </row>
    <row r="210" spans="1:44" ht="20">
      <c r="A210" s="481"/>
      <c r="B210" s="246"/>
      <c r="C210" s="216"/>
      <c r="D210" s="216"/>
      <c r="E210" s="603"/>
      <c r="F210" s="217"/>
      <c r="G210" s="217"/>
      <c r="H210" s="217"/>
      <c r="I210" s="217"/>
      <c r="J210" s="217"/>
      <c r="K210" s="217"/>
      <c r="L210" s="216"/>
      <c r="M210" s="216"/>
      <c r="N210" s="216"/>
      <c r="O210" s="216"/>
      <c r="P210" s="216"/>
      <c r="Q210" s="216"/>
      <c r="R210" s="216"/>
      <c r="S210" s="216"/>
      <c r="T210" s="216"/>
      <c r="U210" s="216"/>
      <c r="V210" s="216"/>
      <c r="W210" s="216"/>
      <c r="X210" s="551"/>
      <c r="Y210" s="216"/>
      <c r="Z210" s="234"/>
      <c r="AA210" s="77"/>
      <c r="AB210" s="218"/>
      <c r="AC210" s="219"/>
      <c r="AD210" s="82"/>
      <c r="AE210" s="80"/>
      <c r="AF210" s="84"/>
      <c r="AG210" s="84"/>
      <c r="AH210" s="203"/>
      <c r="AI210" s="164"/>
      <c r="AJ210" s="509"/>
      <c r="AK210" s="509"/>
      <c r="AL210" s="85"/>
      <c r="AM210" s="76"/>
      <c r="AN210" s="76"/>
      <c r="AO210" s="76"/>
      <c r="AP210" s="164"/>
      <c r="AQ210" s="221"/>
      <c r="AR210" s="248"/>
    </row>
    <row r="211" spans="1:44" ht="20">
      <c r="A211" s="216"/>
      <c r="B211" s="246"/>
      <c r="C211" s="216"/>
      <c r="D211" s="216"/>
      <c r="E211" s="216"/>
      <c r="F211" s="502"/>
      <c r="G211" s="217"/>
      <c r="H211" s="217"/>
      <c r="I211" s="217"/>
      <c r="J211" s="217"/>
      <c r="K211" s="217"/>
      <c r="L211" s="216"/>
      <c r="M211" s="216"/>
      <c r="N211" s="216"/>
      <c r="O211" s="216"/>
      <c r="P211" s="216"/>
      <c r="Q211" s="216"/>
      <c r="R211" s="216"/>
      <c r="S211" s="216"/>
      <c r="T211" s="216"/>
      <c r="U211" s="216"/>
      <c r="V211" s="216"/>
      <c r="W211" s="216"/>
      <c r="X211" s="217"/>
      <c r="Y211" s="216"/>
      <c r="Z211" s="605"/>
      <c r="AA211" s="237"/>
      <c r="AB211" s="218"/>
      <c r="AC211" s="219"/>
      <c r="AD211" s="203"/>
      <c r="AE211" s="509"/>
      <c r="AF211" s="602"/>
      <c r="AG211" s="503"/>
      <c r="AH211" s="509"/>
      <c r="AI211" s="505"/>
      <c r="AJ211" s="220"/>
      <c r="AK211" s="603"/>
      <c r="AL211" s="505"/>
      <c r="AM211" s="220"/>
      <c r="AN211" s="220"/>
      <c r="AO211" s="220"/>
      <c r="AP211" s="513"/>
      <c r="AQ211" s="221"/>
      <c r="AR211" s="248"/>
    </row>
    <row r="212" spans="1:44" ht="20">
      <c r="A212" s="481"/>
      <c r="B212" s="246"/>
      <c r="C212" s="216"/>
      <c r="D212" s="216"/>
      <c r="E212" s="216"/>
      <c r="F212" s="217"/>
      <c r="G212" s="217"/>
      <c r="H212" s="217"/>
      <c r="I212" s="217"/>
      <c r="J212" s="217"/>
      <c r="K212" s="217"/>
      <c r="L212" s="216"/>
      <c r="M212" s="216"/>
      <c r="N212" s="216"/>
      <c r="O212" s="216"/>
      <c r="P212" s="216"/>
      <c r="Q212" s="216"/>
      <c r="R212" s="216"/>
      <c r="S212" s="216"/>
      <c r="T212" s="216"/>
      <c r="U212" s="216"/>
      <c r="V212" s="216"/>
      <c r="W212" s="216"/>
      <c r="X212" s="217"/>
      <c r="Y212" s="216"/>
      <c r="Z212" s="234"/>
      <c r="AA212" s="163"/>
      <c r="AB212" s="218"/>
      <c r="AC212" s="219"/>
      <c r="AD212" s="162"/>
      <c r="AE212" s="162"/>
      <c r="AF212" s="556"/>
      <c r="AG212" s="556"/>
      <c r="AH212" s="164"/>
      <c r="AI212" s="203"/>
      <c r="AJ212" s="203"/>
      <c r="AK212" s="484"/>
      <c r="AL212" s="220"/>
      <c r="AM212" s="220"/>
      <c r="AN212" s="220"/>
      <c r="AO212" s="220"/>
      <c r="AP212" s="164"/>
      <c r="AQ212" s="221"/>
      <c r="AR212" s="248"/>
    </row>
    <row r="213" spans="1:44" ht="20">
      <c r="A213" s="481"/>
      <c r="B213" s="246"/>
      <c r="C213" s="216"/>
      <c r="D213" s="216"/>
      <c r="E213" s="216"/>
      <c r="F213" s="217"/>
      <c r="G213" s="217"/>
      <c r="H213" s="217"/>
      <c r="I213" s="217"/>
      <c r="J213" s="217"/>
      <c r="K213" s="217"/>
      <c r="L213" s="216"/>
      <c r="M213" s="216"/>
      <c r="N213" s="216"/>
      <c r="O213" s="216"/>
      <c r="P213" s="216"/>
      <c r="Q213" s="216"/>
      <c r="R213" s="216"/>
      <c r="S213" s="216"/>
      <c r="T213" s="216"/>
      <c r="U213" s="216"/>
      <c r="V213" s="216"/>
      <c r="W213" s="216"/>
      <c r="X213" s="217"/>
      <c r="Y213" s="216"/>
      <c r="Z213" s="234"/>
      <c r="AA213" s="86"/>
      <c r="AB213" s="218"/>
      <c r="AC213" s="219"/>
      <c r="AD213" s="527"/>
      <c r="AE213" s="527"/>
      <c r="AF213" s="543"/>
      <c r="AG213" s="543"/>
      <c r="AH213" s="224"/>
      <c r="AI213" s="224"/>
      <c r="AJ213" s="224"/>
      <c r="AK213" s="543"/>
      <c r="AL213" s="224"/>
      <c r="AM213" s="203"/>
      <c r="AN213" s="203"/>
      <c r="AO213" s="203"/>
      <c r="AP213" s="76"/>
      <c r="AQ213" s="221"/>
      <c r="AR213" s="250"/>
    </row>
    <row r="214" spans="1:44" ht="20">
      <c r="A214" s="264"/>
      <c r="B214" s="246"/>
      <c r="C214" s="216"/>
      <c r="D214" s="216"/>
      <c r="E214" s="216"/>
      <c r="F214" s="217"/>
      <c r="G214" s="526"/>
      <c r="H214" s="526"/>
      <c r="I214" s="526"/>
      <c r="J214" s="526"/>
      <c r="K214" s="526"/>
      <c r="L214" s="222"/>
      <c r="M214" s="222"/>
      <c r="N214" s="222"/>
      <c r="O214" s="222"/>
      <c r="P214" s="222"/>
      <c r="Q214" s="222"/>
      <c r="R214" s="222"/>
      <c r="S214" s="222"/>
      <c r="T214" s="222"/>
      <c r="U214" s="222"/>
      <c r="V214" s="222"/>
      <c r="W214" s="222"/>
      <c r="X214" s="217"/>
      <c r="Y214" s="222"/>
      <c r="Z214" s="235"/>
      <c r="AA214" s="223"/>
      <c r="AB214" s="223"/>
      <c r="AC214" s="219"/>
      <c r="AD214" s="224"/>
      <c r="AE214" s="224"/>
      <c r="AF214" s="203"/>
      <c r="AG214" s="220"/>
      <c r="AH214" s="224"/>
      <c r="AI214" s="224"/>
      <c r="AJ214" s="220"/>
      <c r="AK214" s="224"/>
      <c r="AL214" s="220"/>
      <c r="AM214" s="224"/>
      <c r="AN214" s="543"/>
      <c r="AO214" s="495"/>
      <c r="AP214" s="509"/>
      <c r="AQ214" s="221"/>
      <c r="AR214" s="250"/>
    </row>
    <row r="215" spans="1:44" ht="20">
      <c r="A215" s="216"/>
      <c r="B215" s="247"/>
      <c r="C215" s="222"/>
      <c r="D215" s="222"/>
      <c r="E215" s="222"/>
      <c r="F215" s="526"/>
      <c r="G215" s="526"/>
      <c r="H215" s="526"/>
      <c r="I215" s="526"/>
      <c r="J215" s="526"/>
      <c r="K215" s="526"/>
      <c r="L215" s="222"/>
      <c r="M215" s="222"/>
      <c r="N215" s="222"/>
      <c r="O215" s="222"/>
      <c r="P215" s="222"/>
      <c r="Q215" s="222"/>
      <c r="R215" s="222"/>
      <c r="S215" s="222"/>
      <c r="T215" s="222"/>
      <c r="U215" s="222"/>
      <c r="V215" s="222"/>
      <c r="W215" s="222"/>
      <c r="X215" s="526"/>
      <c r="Y215" s="216"/>
      <c r="Z215" s="235"/>
      <c r="AA215" s="528"/>
      <c r="AB215" s="223"/>
      <c r="AC215" s="532"/>
      <c r="AD215" s="527"/>
      <c r="AE215" s="79"/>
      <c r="AF215" s="484"/>
      <c r="AG215" s="484"/>
      <c r="AH215" s="224"/>
      <c r="AI215" s="495"/>
      <c r="AJ215" s="495"/>
      <c r="AK215" s="544"/>
      <c r="AL215" s="220"/>
      <c r="AM215" s="224"/>
      <c r="AN215" s="224"/>
      <c r="AO215" s="224"/>
      <c r="AP215" s="495"/>
      <c r="AQ215" s="221"/>
      <c r="AR215" s="250"/>
    </row>
    <row r="216" spans="1:44" ht="20">
      <c r="A216" s="264"/>
      <c r="B216" s="247"/>
      <c r="C216" s="222"/>
      <c r="D216" s="222"/>
      <c r="E216" s="222"/>
      <c r="F216" s="526"/>
      <c r="G216" s="526"/>
      <c r="H216" s="526"/>
      <c r="I216" s="526"/>
      <c r="J216" s="526"/>
      <c r="K216" s="526"/>
      <c r="L216" s="222"/>
      <c r="M216" s="222"/>
      <c r="N216" s="222"/>
      <c r="O216" s="222"/>
      <c r="P216" s="222"/>
      <c r="Q216" s="222"/>
      <c r="R216" s="222"/>
      <c r="S216" s="222"/>
      <c r="T216" s="222"/>
      <c r="U216" s="222"/>
      <c r="V216" s="222"/>
      <c r="W216" s="222"/>
      <c r="X216" s="526"/>
      <c r="Y216" s="222"/>
      <c r="Z216" s="235"/>
      <c r="AA216" s="528"/>
      <c r="AB216" s="223"/>
      <c r="AC216" s="532"/>
      <c r="AD216" s="527"/>
      <c r="AE216" s="527"/>
      <c r="AF216" s="543"/>
      <c r="AG216" s="543"/>
      <c r="AH216" s="495"/>
      <c r="AI216" s="495"/>
      <c r="AJ216" s="495"/>
      <c r="AK216" s="544"/>
      <c r="AL216" s="224"/>
      <c r="AM216" s="224"/>
      <c r="AN216" s="224"/>
      <c r="AO216" s="224"/>
      <c r="AP216" s="495"/>
      <c r="AQ216" s="221"/>
      <c r="AR216" s="250"/>
    </row>
    <row r="217" spans="1:44" ht="20">
      <c r="A217" s="264"/>
      <c r="B217" s="247"/>
      <c r="C217" s="222"/>
      <c r="D217" s="222"/>
      <c r="E217" s="222"/>
      <c r="F217" s="525"/>
      <c r="G217" s="526"/>
      <c r="H217" s="526"/>
      <c r="I217" s="526"/>
      <c r="J217" s="526"/>
      <c r="K217" s="526"/>
      <c r="L217" s="222"/>
      <c r="M217" s="222"/>
      <c r="N217" s="222"/>
      <c r="O217" s="222"/>
      <c r="P217" s="222"/>
      <c r="Q217" s="222"/>
      <c r="R217" s="222"/>
      <c r="S217" s="222"/>
      <c r="T217" s="222"/>
      <c r="U217" s="222"/>
      <c r="V217" s="222"/>
      <c r="W217" s="222"/>
      <c r="X217" s="526"/>
      <c r="Y217" s="222"/>
      <c r="Z217" s="235"/>
      <c r="AA217" s="223"/>
      <c r="AB217" s="223"/>
      <c r="AC217" s="532"/>
      <c r="AD217" s="224"/>
      <c r="AE217" s="224"/>
      <c r="AF217" s="606"/>
      <c r="AG217" s="543"/>
      <c r="AH217" s="224"/>
      <c r="AI217" s="224"/>
      <c r="AJ217" s="224"/>
      <c r="AK217" s="224"/>
      <c r="AL217" s="224"/>
      <c r="AM217" s="224"/>
      <c r="AN217" s="543"/>
      <c r="AO217" s="224"/>
      <c r="AP217" s="526"/>
      <c r="AQ217" s="221"/>
      <c r="AR217" s="250"/>
    </row>
    <row r="218" spans="1:44" ht="20">
      <c r="A218" s="264"/>
      <c r="B218" s="247"/>
      <c r="C218" s="222"/>
      <c r="D218" s="222"/>
      <c r="E218" s="222"/>
      <c r="F218" s="482"/>
      <c r="G218" s="217"/>
      <c r="H218" s="440"/>
      <c r="I218" s="440"/>
      <c r="J218" s="217"/>
      <c r="K218" s="440"/>
      <c r="L218" s="222"/>
      <c r="M218" s="222"/>
      <c r="N218" s="222"/>
      <c r="O218" s="222"/>
      <c r="P218" s="222"/>
      <c r="Q218" s="222"/>
      <c r="R218" s="222"/>
      <c r="S218" s="222"/>
      <c r="T218" s="222"/>
      <c r="U218" s="222"/>
      <c r="V218" s="222"/>
      <c r="W218" s="222"/>
      <c r="X218" s="482"/>
      <c r="Y218" s="222"/>
      <c r="Z218" s="235"/>
      <c r="AA218" s="237"/>
      <c r="AB218" s="223"/>
      <c r="AC218" s="483"/>
      <c r="AD218" s="607"/>
      <c r="AE218" s="224"/>
      <c r="AF218" s="606"/>
      <c r="AG218" s="543"/>
      <c r="AH218" s="220"/>
      <c r="AI218" s="579"/>
      <c r="AJ218" s="220"/>
      <c r="AK218" s="224"/>
      <c r="AL218" s="580"/>
      <c r="AM218" s="224"/>
      <c r="AN218" s="224"/>
      <c r="AO218" s="224"/>
      <c r="AP218" s="440"/>
      <c r="AQ218" s="221"/>
      <c r="AR218" s="250"/>
    </row>
    <row r="219" spans="1:44" ht="20">
      <c r="A219" s="264"/>
      <c r="B219" s="247"/>
      <c r="C219" s="222"/>
      <c r="D219" s="222"/>
      <c r="E219" s="222"/>
      <c r="F219" s="525"/>
      <c r="G219" s="440"/>
      <c r="H219" s="440"/>
      <c r="I219" s="440"/>
      <c r="J219" s="440"/>
      <c r="K219" s="440"/>
      <c r="L219" s="222"/>
      <c r="M219" s="222"/>
      <c r="N219" s="222"/>
      <c r="O219" s="222"/>
      <c r="P219" s="222"/>
      <c r="Q219" s="222"/>
      <c r="R219" s="222"/>
      <c r="S219" s="222"/>
      <c r="T219" s="222"/>
      <c r="U219" s="222"/>
      <c r="V219" s="222"/>
      <c r="W219" s="222"/>
      <c r="X219" s="440"/>
      <c r="Y219" s="222"/>
      <c r="Z219" s="235"/>
      <c r="AA219" s="223"/>
      <c r="AB219" s="223"/>
      <c r="AC219" s="441"/>
      <c r="AD219" s="224"/>
      <c r="AE219" s="224"/>
      <c r="AF219" s="606"/>
      <c r="AG219" s="543"/>
      <c r="AH219" s="224"/>
      <c r="AI219" s="224"/>
      <c r="AJ219" s="224"/>
      <c r="AK219" s="543"/>
      <c r="AL219" s="224"/>
      <c r="AM219" s="224"/>
      <c r="AN219" s="224"/>
      <c r="AO219" s="224"/>
      <c r="AP219" s="440"/>
      <c r="AQ219" s="221"/>
      <c r="AR219" s="250"/>
    </row>
    <row r="220" spans="1:44" ht="20">
      <c r="A220" s="264"/>
      <c r="B220" s="247"/>
      <c r="C220" s="222"/>
      <c r="D220" s="222"/>
      <c r="E220" s="222"/>
      <c r="F220" s="440"/>
      <c r="G220" s="440"/>
      <c r="H220" s="440"/>
      <c r="I220" s="440"/>
      <c r="J220" s="440"/>
      <c r="K220" s="440"/>
      <c r="L220" s="222"/>
      <c r="M220" s="222"/>
      <c r="N220" s="222"/>
      <c r="O220" s="222"/>
      <c r="P220" s="222"/>
      <c r="Q220" s="222"/>
      <c r="R220" s="222"/>
      <c r="S220" s="222"/>
      <c r="T220" s="222"/>
      <c r="U220" s="222"/>
      <c r="V220" s="222"/>
      <c r="W220" s="222"/>
      <c r="X220" s="440"/>
      <c r="Y220" s="222"/>
      <c r="Z220" s="235"/>
      <c r="AA220" s="223"/>
      <c r="AB220" s="223"/>
      <c r="AC220" s="441"/>
      <c r="AD220" s="224"/>
      <c r="AE220" s="224"/>
      <c r="AF220" s="224"/>
      <c r="AG220" s="224"/>
      <c r="AH220" s="224"/>
      <c r="AI220" s="224"/>
      <c r="AJ220" s="224"/>
      <c r="AK220" s="224"/>
      <c r="AL220" s="224"/>
      <c r="AM220" s="224"/>
      <c r="AN220" s="224"/>
      <c r="AO220" s="224"/>
      <c r="AP220" s="440"/>
      <c r="AQ220" s="442"/>
      <c r="AR220" s="250"/>
    </row>
    <row r="221" spans="1:44" ht="20">
      <c r="A221" s="264"/>
      <c r="B221" s="247"/>
      <c r="C221" s="222"/>
      <c r="D221" s="222"/>
      <c r="E221" s="222"/>
      <c r="F221" s="440"/>
      <c r="G221" s="440"/>
      <c r="H221" s="440"/>
      <c r="I221" s="440"/>
      <c r="J221" s="440"/>
      <c r="K221" s="440"/>
      <c r="L221" s="222"/>
      <c r="M221" s="222"/>
      <c r="N221" s="222"/>
      <c r="O221" s="222"/>
      <c r="P221" s="222"/>
      <c r="Q221" s="222"/>
      <c r="R221" s="222"/>
      <c r="S221" s="222"/>
      <c r="T221" s="222"/>
      <c r="U221" s="222"/>
      <c r="V221" s="222"/>
      <c r="W221" s="222"/>
      <c r="X221" s="440"/>
      <c r="Y221" s="222"/>
      <c r="Z221" s="235"/>
      <c r="AA221" s="223"/>
      <c r="AB221" s="223"/>
      <c r="AC221" s="441"/>
      <c r="AD221" s="224"/>
      <c r="AE221" s="224"/>
      <c r="AF221" s="224"/>
      <c r="AG221" s="224"/>
      <c r="AH221" s="224"/>
      <c r="AI221" s="224"/>
      <c r="AJ221" s="224"/>
      <c r="AK221" s="224"/>
      <c r="AL221" s="224"/>
      <c r="AM221" s="224"/>
      <c r="AN221" s="224"/>
      <c r="AO221" s="224"/>
      <c r="AP221" s="440"/>
      <c r="AQ221" s="442"/>
      <c r="AR221" s="250"/>
    </row>
    <row r="222" spans="1:44" ht="20">
      <c r="A222" s="264"/>
      <c r="B222" s="247"/>
      <c r="C222" s="222"/>
      <c r="D222" s="222"/>
      <c r="E222" s="222"/>
      <c r="F222" s="440"/>
      <c r="G222" s="440"/>
      <c r="H222" s="440"/>
      <c r="I222" s="440"/>
      <c r="J222" s="440"/>
      <c r="K222" s="440"/>
      <c r="L222" s="222"/>
      <c r="M222" s="222"/>
      <c r="N222" s="222"/>
      <c r="O222" s="222"/>
      <c r="P222" s="222"/>
      <c r="Q222" s="222"/>
      <c r="R222" s="222"/>
      <c r="S222" s="222"/>
      <c r="T222" s="222"/>
      <c r="U222" s="222"/>
      <c r="V222" s="222"/>
      <c r="W222" s="222"/>
      <c r="X222" s="440"/>
      <c r="Y222" s="222"/>
      <c r="Z222" s="235"/>
      <c r="AA222" s="223"/>
      <c r="AB222" s="223"/>
      <c r="AC222" s="441"/>
      <c r="AD222" s="224"/>
      <c r="AE222" s="224"/>
      <c r="AF222" s="224"/>
      <c r="AG222" s="224"/>
      <c r="AH222" s="224"/>
      <c r="AI222" s="224"/>
      <c r="AJ222" s="224"/>
      <c r="AK222" s="224"/>
      <c r="AL222" s="224"/>
      <c r="AM222" s="224"/>
      <c r="AN222" s="224"/>
      <c r="AO222" s="224"/>
      <c r="AP222" s="440"/>
      <c r="AQ222" s="442"/>
      <c r="AR222" s="250"/>
    </row>
    <row r="223" spans="1:44" ht="20">
      <c r="A223" s="264"/>
      <c r="B223" s="247"/>
      <c r="C223" s="222"/>
      <c r="D223" s="222"/>
      <c r="E223" s="222"/>
      <c r="F223" s="440"/>
      <c r="G223" s="440"/>
      <c r="H223" s="440"/>
      <c r="I223" s="440"/>
      <c r="J223" s="440"/>
      <c r="K223" s="440"/>
      <c r="L223" s="222"/>
      <c r="M223" s="222"/>
      <c r="N223" s="222"/>
      <c r="O223" s="222"/>
      <c r="P223" s="222"/>
      <c r="Q223" s="222"/>
      <c r="R223" s="222"/>
      <c r="S223" s="222"/>
      <c r="T223" s="222"/>
      <c r="U223" s="222"/>
      <c r="V223" s="222"/>
      <c r="W223" s="222"/>
      <c r="X223" s="440"/>
      <c r="Y223" s="222"/>
      <c r="Z223" s="235"/>
      <c r="AA223" s="223"/>
      <c r="AB223" s="223"/>
      <c r="AC223" s="441"/>
      <c r="AD223" s="224"/>
      <c r="AE223" s="224"/>
      <c r="AF223" s="224"/>
      <c r="AG223" s="224"/>
      <c r="AH223" s="224"/>
      <c r="AI223" s="224"/>
      <c r="AJ223" s="224"/>
      <c r="AK223" s="224"/>
      <c r="AL223" s="224"/>
      <c r="AM223" s="224"/>
      <c r="AN223" s="224"/>
      <c r="AO223" s="224"/>
      <c r="AP223" s="440"/>
      <c r="AQ223" s="442"/>
      <c r="AR223" s="250"/>
    </row>
    <row r="224" spans="1:44" ht="20">
      <c r="A224" s="264"/>
      <c r="B224" s="247"/>
      <c r="C224" s="222"/>
      <c r="D224" s="222"/>
      <c r="E224" s="222"/>
      <c r="F224" s="440"/>
      <c r="G224" s="440"/>
      <c r="H224" s="440"/>
      <c r="I224" s="440"/>
      <c r="J224" s="440"/>
      <c r="K224" s="440"/>
      <c r="L224" s="222"/>
      <c r="M224" s="222"/>
      <c r="N224" s="222"/>
      <c r="O224" s="222"/>
      <c r="P224" s="222"/>
      <c r="Q224" s="222"/>
      <c r="R224" s="222"/>
      <c r="S224" s="222"/>
      <c r="T224" s="222"/>
      <c r="U224" s="222"/>
      <c r="V224" s="222"/>
      <c r="W224" s="222"/>
      <c r="X224" s="440"/>
      <c r="Y224" s="222"/>
      <c r="Z224" s="235"/>
      <c r="AA224" s="223"/>
      <c r="AB224" s="223"/>
      <c r="AC224" s="441"/>
      <c r="AD224" s="224"/>
      <c r="AE224" s="224"/>
      <c r="AF224" s="224"/>
      <c r="AG224" s="224"/>
      <c r="AH224" s="224"/>
      <c r="AI224" s="224"/>
      <c r="AJ224" s="224"/>
      <c r="AK224" s="224"/>
      <c r="AL224" s="224"/>
      <c r="AM224" s="224"/>
      <c r="AN224" s="224"/>
      <c r="AO224" s="224"/>
      <c r="AP224" s="440"/>
      <c r="AQ224" s="442"/>
      <c r="AR224" s="250"/>
    </row>
    <row r="225" spans="1:44" ht="20">
      <c r="A225" s="264"/>
      <c r="B225" s="247"/>
      <c r="C225" s="222"/>
      <c r="D225" s="222"/>
      <c r="E225" s="222"/>
      <c r="F225" s="440"/>
      <c r="G225" s="440"/>
      <c r="H225" s="440"/>
      <c r="I225" s="440"/>
      <c r="J225" s="440"/>
      <c r="K225" s="440"/>
      <c r="L225" s="222"/>
      <c r="M225" s="222"/>
      <c r="N225" s="222"/>
      <c r="O225" s="222"/>
      <c r="P225" s="222"/>
      <c r="Q225" s="222"/>
      <c r="R225" s="222"/>
      <c r="S225" s="222"/>
      <c r="T225" s="222"/>
      <c r="U225" s="222"/>
      <c r="V225" s="222"/>
      <c r="W225" s="222"/>
      <c r="X225" s="440"/>
      <c r="Y225" s="222"/>
      <c r="Z225" s="235"/>
      <c r="AA225" s="223"/>
      <c r="AB225" s="223"/>
      <c r="AC225" s="441"/>
      <c r="AD225" s="224"/>
      <c r="AE225" s="224"/>
      <c r="AF225" s="606"/>
      <c r="AG225" s="543"/>
      <c r="AH225" s="224"/>
      <c r="AI225" s="224"/>
      <c r="AJ225" s="224"/>
      <c r="AK225" s="224"/>
      <c r="AL225" s="224"/>
      <c r="AM225" s="224"/>
      <c r="AN225" s="224"/>
      <c r="AO225" s="224"/>
      <c r="AP225" s="440"/>
      <c r="AQ225" s="442"/>
      <c r="AR225" s="250"/>
    </row>
    <row r="226" spans="1:44" ht="20">
      <c r="A226" s="481"/>
      <c r="B226" s="246"/>
      <c r="C226" s="216"/>
      <c r="D226" s="216"/>
      <c r="E226" s="216"/>
      <c r="F226" s="482"/>
      <c r="G226" s="440"/>
      <c r="H226" s="440"/>
      <c r="I226" s="440"/>
      <c r="J226" s="440"/>
      <c r="K226" s="440"/>
      <c r="L226" s="222"/>
      <c r="M226" s="222"/>
      <c r="N226" s="222"/>
      <c r="O226" s="222"/>
      <c r="P226" s="222"/>
      <c r="Q226" s="222"/>
      <c r="R226" s="222"/>
      <c r="S226" s="222"/>
      <c r="T226" s="222"/>
      <c r="U226" s="222"/>
      <c r="V226" s="222"/>
      <c r="W226" s="222"/>
      <c r="X226" s="482"/>
      <c r="Y226" s="216"/>
      <c r="Z226" s="235"/>
      <c r="AA226" s="223"/>
      <c r="AB226" s="223"/>
      <c r="AC226" s="497"/>
      <c r="AD226" s="224"/>
      <c r="AE226" s="224"/>
      <c r="AF226" s="606"/>
      <c r="AG226" s="543"/>
      <c r="AH226" s="224"/>
      <c r="AI226" s="76"/>
      <c r="AJ226" s="224"/>
      <c r="AK226" s="224"/>
      <c r="AL226" s="88"/>
      <c r="AM226" s="224"/>
      <c r="AN226" s="224"/>
      <c r="AO226" s="224"/>
      <c r="AP226" s="440"/>
      <c r="AQ226" s="442"/>
      <c r="AR226" s="250"/>
    </row>
    <row r="227" spans="1:44" ht="20">
      <c r="A227" s="264"/>
      <c r="B227" s="247"/>
      <c r="C227" s="222"/>
      <c r="D227" s="222"/>
      <c r="E227" s="222"/>
      <c r="F227" s="525"/>
      <c r="G227" s="440"/>
      <c r="H227" s="440"/>
      <c r="I227" s="440"/>
      <c r="J227" s="440"/>
      <c r="K227" s="440"/>
      <c r="L227" s="222"/>
      <c r="M227" s="222"/>
      <c r="N227" s="222"/>
      <c r="O227" s="222"/>
      <c r="P227" s="222"/>
      <c r="Q227" s="222"/>
      <c r="R227" s="222"/>
      <c r="S227" s="222"/>
      <c r="T227" s="222"/>
      <c r="U227" s="222"/>
      <c r="V227" s="222"/>
      <c r="W227" s="222"/>
      <c r="X227" s="440"/>
      <c r="Y227" s="222"/>
      <c r="Z227" s="235"/>
      <c r="AA227" s="223"/>
      <c r="AB227" s="223"/>
      <c r="AC227" s="441"/>
      <c r="AD227" s="224"/>
      <c r="AE227" s="224"/>
      <c r="AF227" s="224"/>
      <c r="AG227" s="224"/>
      <c r="AH227" s="224"/>
      <c r="AI227" s="224"/>
      <c r="AJ227" s="224"/>
      <c r="AK227" s="224"/>
      <c r="AL227" s="224"/>
      <c r="AM227" s="224"/>
      <c r="AN227" s="224"/>
      <c r="AO227" s="224"/>
      <c r="AP227" s="440"/>
      <c r="AQ227" s="442"/>
      <c r="AR227" s="250"/>
    </row>
    <row r="228" spans="1:44" ht="20">
      <c r="A228" s="264"/>
      <c r="B228" s="247"/>
      <c r="C228" s="222"/>
      <c r="D228" s="222"/>
      <c r="E228" s="222"/>
      <c r="F228" s="525"/>
      <c r="G228" s="440"/>
      <c r="H228" s="440"/>
      <c r="I228" s="440"/>
      <c r="J228" s="440"/>
      <c r="K228" s="440"/>
      <c r="L228" s="222"/>
      <c r="M228" s="222"/>
      <c r="N228" s="222"/>
      <c r="O228" s="222"/>
      <c r="P228" s="222"/>
      <c r="Q228" s="222"/>
      <c r="R228" s="222"/>
      <c r="S228" s="222"/>
      <c r="T228" s="222"/>
      <c r="U228" s="222"/>
      <c r="V228" s="222"/>
      <c r="W228" s="222"/>
      <c r="X228" s="440"/>
      <c r="Y228" s="222"/>
      <c r="Z228" s="235"/>
      <c r="AA228" s="223"/>
      <c r="AB228" s="223"/>
      <c r="AC228" s="441"/>
      <c r="AD228" s="224"/>
      <c r="AE228" s="224"/>
      <c r="AF228" s="608"/>
      <c r="AG228" s="224"/>
      <c r="AH228" s="224"/>
      <c r="AI228" s="224"/>
      <c r="AJ228" s="224"/>
      <c r="AK228" s="224"/>
      <c r="AL228" s="224"/>
      <c r="AM228" s="224"/>
      <c r="AN228" s="224"/>
      <c r="AO228" s="224"/>
      <c r="AP228" s="440"/>
      <c r="AQ228" s="442"/>
      <c r="AR228" s="250"/>
    </row>
    <row r="229" spans="1:44" ht="20">
      <c r="A229" s="264"/>
      <c r="B229" s="247"/>
      <c r="C229" s="222"/>
      <c r="D229" s="222"/>
      <c r="E229" s="222"/>
      <c r="F229" s="525"/>
      <c r="G229" s="440"/>
      <c r="H229" s="440"/>
      <c r="I229" s="440"/>
      <c r="J229" s="440"/>
      <c r="K229" s="440"/>
      <c r="L229" s="222"/>
      <c r="M229" s="222"/>
      <c r="N229" s="222"/>
      <c r="O229" s="222"/>
      <c r="P229" s="222"/>
      <c r="Q229" s="222"/>
      <c r="R229" s="222"/>
      <c r="S229" s="222"/>
      <c r="T229" s="222"/>
      <c r="U229" s="222"/>
      <c r="V229" s="222"/>
      <c r="W229" s="222"/>
      <c r="X229" s="440"/>
      <c r="Y229" s="222"/>
      <c r="Z229" s="235"/>
      <c r="AA229" s="223"/>
      <c r="AB229" s="223"/>
      <c r="AC229" s="441"/>
      <c r="AD229" s="224"/>
      <c r="AE229" s="224"/>
      <c r="AF229" s="224"/>
      <c r="AG229" s="224"/>
      <c r="AH229" s="224"/>
      <c r="AI229" s="224"/>
      <c r="AJ229" s="224"/>
      <c r="AK229" s="224"/>
      <c r="AL229" s="224"/>
      <c r="AM229" s="224"/>
      <c r="AN229" s="224"/>
      <c r="AO229" s="224"/>
      <c r="AP229" s="440"/>
      <c r="AQ229" s="442"/>
      <c r="AR229" s="250"/>
    </row>
    <row r="230" spans="1:44" ht="20">
      <c r="A230" s="264"/>
      <c r="B230" s="247"/>
      <c r="C230" s="222"/>
      <c r="D230" s="222"/>
      <c r="E230" s="222"/>
      <c r="F230" s="525"/>
      <c r="G230" s="440"/>
      <c r="H230" s="440"/>
      <c r="I230" s="440"/>
      <c r="J230" s="440"/>
      <c r="K230" s="440"/>
      <c r="L230" s="222"/>
      <c r="M230" s="222"/>
      <c r="N230" s="222"/>
      <c r="O230" s="222"/>
      <c r="P230" s="222"/>
      <c r="Q230" s="222"/>
      <c r="R230" s="222"/>
      <c r="S230" s="222"/>
      <c r="T230" s="222"/>
      <c r="U230" s="222"/>
      <c r="V230" s="222"/>
      <c r="W230" s="222"/>
      <c r="X230" s="440"/>
      <c r="Y230" s="222"/>
      <c r="Z230" s="235"/>
      <c r="AA230" s="223"/>
      <c r="AB230" s="223"/>
      <c r="AC230" s="441"/>
      <c r="AD230" s="224"/>
      <c r="AE230" s="224"/>
      <c r="AF230" s="606"/>
      <c r="AG230" s="543"/>
      <c r="AH230" s="224"/>
      <c r="AI230" s="224"/>
      <c r="AJ230" s="224"/>
      <c r="AK230" s="224"/>
      <c r="AL230" s="224"/>
      <c r="AM230" s="224"/>
      <c r="AN230" s="224"/>
      <c r="AO230" s="224"/>
      <c r="AP230" s="440"/>
      <c r="AQ230" s="442"/>
      <c r="AR230" s="250"/>
    </row>
    <row r="231" spans="1:44" ht="20">
      <c r="A231" s="264"/>
      <c r="B231" s="247"/>
      <c r="C231" s="222"/>
      <c r="D231" s="222"/>
      <c r="E231" s="222"/>
      <c r="F231" s="440"/>
      <c r="G231" s="440"/>
      <c r="H231" s="440"/>
      <c r="I231" s="440"/>
      <c r="J231" s="440"/>
      <c r="K231" s="440"/>
      <c r="L231" s="222"/>
      <c r="M231" s="222"/>
      <c r="N231" s="222"/>
      <c r="O231" s="222"/>
      <c r="P231" s="222"/>
      <c r="Q231" s="222"/>
      <c r="R231" s="222"/>
      <c r="S231" s="222"/>
      <c r="T231" s="222"/>
      <c r="U231" s="222"/>
      <c r="V231" s="222"/>
      <c r="W231" s="222"/>
      <c r="X231" s="440"/>
      <c r="Y231" s="222"/>
      <c r="Z231" s="235"/>
      <c r="AA231" s="223"/>
      <c r="AB231" s="223"/>
      <c r="AC231" s="441"/>
      <c r="AD231" s="224"/>
      <c r="AE231" s="224"/>
      <c r="AF231" s="224"/>
      <c r="AG231" s="224"/>
      <c r="AH231" s="224"/>
      <c r="AI231" s="224"/>
      <c r="AJ231" s="224"/>
      <c r="AK231" s="224"/>
      <c r="AL231" s="224"/>
      <c r="AM231" s="224"/>
      <c r="AN231" s="224"/>
      <c r="AO231" s="224"/>
      <c r="AP231" s="440"/>
      <c r="AQ231" s="442"/>
      <c r="AR231" s="250"/>
    </row>
    <row r="232" spans="1:44" ht="20">
      <c r="A232" s="264"/>
      <c r="B232" s="247"/>
      <c r="C232" s="222"/>
      <c r="D232" s="222"/>
      <c r="E232" s="222"/>
      <c r="F232" s="440"/>
      <c r="G232" s="440"/>
      <c r="H232" s="440"/>
      <c r="I232" s="440"/>
      <c r="J232" s="440"/>
      <c r="K232" s="440"/>
      <c r="L232" s="222"/>
      <c r="M232" s="222"/>
      <c r="N232" s="222"/>
      <c r="O232" s="222"/>
      <c r="P232" s="222"/>
      <c r="Q232" s="222"/>
      <c r="R232" s="222"/>
      <c r="S232" s="222"/>
      <c r="T232" s="222"/>
      <c r="U232" s="222"/>
      <c r="V232" s="222"/>
      <c r="W232" s="222"/>
      <c r="X232" s="440"/>
      <c r="Y232" s="222"/>
      <c r="Z232" s="235"/>
      <c r="AA232" s="223"/>
      <c r="AB232" s="223"/>
      <c r="AC232" s="441"/>
      <c r="AD232" s="224"/>
      <c r="AE232" s="224"/>
      <c r="AF232" s="224"/>
      <c r="AG232" s="224"/>
      <c r="AH232" s="224"/>
      <c r="AI232" s="224"/>
      <c r="AJ232" s="224"/>
      <c r="AK232" s="224"/>
      <c r="AL232" s="224"/>
      <c r="AM232" s="224"/>
      <c r="AN232" s="224"/>
      <c r="AO232" s="224"/>
      <c r="AP232" s="440"/>
      <c r="AQ232" s="442"/>
      <c r="AR232" s="250"/>
    </row>
    <row r="233" spans="1:44" ht="20">
      <c r="A233" s="264"/>
      <c r="B233" s="247"/>
      <c r="C233" s="222"/>
      <c r="D233" s="222"/>
      <c r="E233" s="222"/>
      <c r="F233" s="440"/>
      <c r="G233" s="440"/>
      <c r="H233" s="440"/>
      <c r="I233" s="440"/>
      <c r="J233" s="440"/>
      <c r="K233" s="440"/>
      <c r="L233" s="222"/>
      <c r="M233" s="222"/>
      <c r="N233" s="222"/>
      <c r="O233" s="222"/>
      <c r="P233" s="222"/>
      <c r="Q233" s="222"/>
      <c r="R233" s="222"/>
      <c r="S233" s="222"/>
      <c r="T233" s="222"/>
      <c r="U233" s="222"/>
      <c r="V233" s="222"/>
      <c r="W233" s="222"/>
      <c r="X233" s="440"/>
      <c r="Y233" s="222"/>
      <c r="Z233" s="235"/>
      <c r="AA233" s="223"/>
      <c r="AB233" s="223"/>
      <c r="AC233" s="441"/>
      <c r="AD233" s="224"/>
      <c r="AE233" s="224"/>
      <c r="AF233" s="224"/>
      <c r="AG233" s="224"/>
      <c r="AH233" s="224"/>
      <c r="AI233" s="224"/>
      <c r="AJ233" s="224"/>
      <c r="AK233" s="224"/>
      <c r="AL233" s="224"/>
      <c r="AM233" s="224"/>
      <c r="AN233" s="224"/>
      <c r="AO233" s="224"/>
      <c r="AP233" s="440"/>
      <c r="AQ233" s="442"/>
      <c r="AR233" s="250"/>
    </row>
    <row r="234" spans="1:44" ht="20">
      <c r="A234" s="264"/>
      <c r="B234" s="247"/>
      <c r="C234" s="222"/>
      <c r="D234" s="222"/>
      <c r="E234" s="222"/>
      <c r="F234" s="440"/>
      <c r="G234" s="440"/>
      <c r="H234" s="440"/>
      <c r="I234" s="440"/>
      <c r="J234" s="440"/>
      <c r="K234" s="440"/>
      <c r="L234" s="222"/>
      <c r="M234" s="222"/>
      <c r="N234" s="222"/>
      <c r="O234" s="222"/>
      <c r="P234" s="222"/>
      <c r="Q234" s="222"/>
      <c r="R234" s="222"/>
      <c r="S234" s="222"/>
      <c r="T234" s="222"/>
      <c r="U234" s="222"/>
      <c r="V234" s="222"/>
      <c r="W234" s="222"/>
      <c r="X234" s="440"/>
      <c r="Y234" s="222"/>
      <c r="Z234" s="235"/>
      <c r="AA234" s="223"/>
      <c r="AB234" s="223"/>
      <c r="AC234" s="441"/>
      <c r="AD234" s="224"/>
      <c r="AE234" s="224"/>
      <c r="AF234" s="224"/>
      <c r="AG234" s="224"/>
      <c r="AH234" s="224"/>
      <c r="AI234" s="224"/>
      <c r="AJ234" s="224"/>
      <c r="AK234" s="224"/>
      <c r="AL234" s="224"/>
      <c r="AM234" s="224"/>
      <c r="AN234" s="224"/>
      <c r="AO234" s="224"/>
      <c r="AP234" s="440"/>
      <c r="AQ234" s="442"/>
      <c r="AR234" s="250"/>
    </row>
    <row r="235" spans="1:44" ht="20">
      <c r="A235" s="264"/>
      <c r="B235" s="247"/>
      <c r="C235" s="222"/>
      <c r="D235" s="222"/>
      <c r="E235" s="222"/>
      <c r="F235" s="440"/>
      <c r="G235" s="440"/>
      <c r="H235" s="440"/>
      <c r="I235" s="440"/>
      <c r="J235" s="440"/>
      <c r="K235" s="440"/>
      <c r="L235" s="222"/>
      <c r="M235" s="222"/>
      <c r="N235" s="222"/>
      <c r="O235" s="222"/>
      <c r="P235" s="222"/>
      <c r="Q235" s="222"/>
      <c r="R235" s="222"/>
      <c r="S235" s="222"/>
      <c r="T235" s="222"/>
      <c r="U235" s="222"/>
      <c r="V235" s="222"/>
      <c r="W235" s="222"/>
      <c r="X235" s="440"/>
      <c r="Y235" s="222"/>
      <c r="Z235" s="235"/>
      <c r="AA235" s="223"/>
      <c r="AB235" s="223"/>
      <c r="AC235" s="441"/>
      <c r="AD235" s="224"/>
      <c r="AE235" s="224"/>
      <c r="AF235" s="224"/>
      <c r="AG235" s="224"/>
      <c r="AH235" s="224"/>
      <c r="AI235" s="224"/>
      <c r="AJ235" s="224"/>
      <c r="AK235" s="224"/>
      <c r="AL235" s="224"/>
      <c r="AM235" s="224"/>
      <c r="AN235" s="224"/>
      <c r="AO235" s="224"/>
      <c r="AP235" s="440"/>
      <c r="AQ235" s="442"/>
      <c r="AR235" s="250"/>
    </row>
    <row r="236" spans="1:44" ht="20">
      <c r="A236" s="264"/>
      <c r="B236" s="247"/>
      <c r="C236" s="222"/>
      <c r="D236" s="222"/>
      <c r="E236" s="222"/>
      <c r="F236" s="440"/>
      <c r="G236" s="440"/>
      <c r="H236" s="440"/>
      <c r="I236" s="440"/>
      <c r="J236" s="440"/>
      <c r="K236" s="440"/>
      <c r="L236" s="222"/>
      <c r="M236" s="222"/>
      <c r="N236" s="222"/>
      <c r="O236" s="222"/>
      <c r="P236" s="222"/>
      <c r="Q236" s="222"/>
      <c r="R236" s="222"/>
      <c r="S236" s="222"/>
      <c r="T236" s="222"/>
      <c r="U236" s="222"/>
      <c r="V236" s="222"/>
      <c r="W236" s="222"/>
      <c r="X236" s="440"/>
      <c r="Y236" s="222"/>
      <c r="Z236" s="235"/>
      <c r="AA236" s="223"/>
      <c r="AB236" s="223"/>
      <c r="AC236" s="441"/>
      <c r="AD236" s="224"/>
      <c r="AE236" s="224"/>
      <c r="AF236" s="224"/>
      <c r="AG236" s="224"/>
      <c r="AH236" s="224"/>
      <c r="AI236" s="224"/>
      <c r="AJ236" s="224"/>
      <c r="AK236" s="224"/>
      <c r="AL236" s="224"/>
      <c r="AM236" s="224"/>
      <c r="AN236" s="224"/>
      <c r="AO236" s="224"/>
      <c r="AP236" s="440"/>
      <c r="AQ236" s="442"/>
      <c r="AR236" s="250"/>
    </row>
    <row r="237" spans="1:44" ht="20">
      <c r="A237" s="264"/>
      <c r="B237" s="247"/>
      <c r="C237" s="222"/>
      <c r="D237" s="222"/>
      <c r="E237" s="222"/>
      <c r="F237" s="440"/>
      <c r="G237" s="440"/>
      <c r="H237" s="440"/>
      <c r="I237" s="440"/>
      <c r="J237" s="440"/>
      <c r="K237" s="440"/>
      <c r="L237" s="222"/>
      <c r="M237" s="222"/>
      <c r="N237" s="222"/>
      <c r="O237" s="222"/>
      <c r="P237" s="222"/>
      <c r="Q237" s="222"/>
      <c r="R237" s="222"/>
      <c r="S237" s="222"/>
      <c r="T237" s="222"/>
      <c r="U237" s="222"/>
      <c r="V237" s="222"/>
      <c r="W237" s="222"/>
      <c r="X237" s="440"/>
      <c r="Y237" s="222"/>
      <c r="Z237" s="235"/>
      <c r="AA237" s="223"/>
      <c r="AB237" s="223"/>
      <c r="AC237" s="441"/>
      <c r="AD237" s="224"/>
      <c r="AE237" s="224"/>
      <c r="AF237" s="224"/>
      <c r="AG237" s="224"/>
      <c r="AH237" s="224"/>
      <c r="AI237" s="224"/>
      <c r="AJ237" s="224"/>
      <c r="AK237" s="224"/>
      <c r="AL237" s="224"/>
      <c r="AM237" s="224"/>
      <c r="AN237" s="224"/>
      <c r="AO237" s="224"/>
      <c r="AP237" s="440"/>
      <c r="AQ237" s="442"/>
      <c r="AR237" s="250"/>
    </row>
    <row r="238" spans="1:44" ht="20">
      <c r="A238" s="264"/>
      <c r="B238" s="247"/>
      <c r="C238" s="222"/>
      <c r="D238" s="222"/>
      <c r="E238" s="222"/>
      <c r="F238" s="440"/>
      <c r="G238" s="440"/>
      <c r="H238" s="440"/>
      <c r="I238" s="440"/>
      <c r="J238" s="440"/>
      <c r="K238" s="440"/>
      <c r="L238" s="222"/>
      <c r="M238" s="222"/>
      <c r="N238" s="222"/>
      <c r="O238" s="222"/>
      <c r="P238" s="222"/>
      <c r="Q238" s="222"/>
      <c r="R238" s="222"/>
      <c r="S238" s="222"/>
      <c r="T238" s="222"/>
      <c r="U238" s="222"/>
      <c r="V238" s="222"/>
      <c r="W238" s="222"/>
      <c r="X238" s="440"/>
      <c r="Y238" s="222"/>
      <c r="Z238" s="235"/>
      <c r="AA238" s="223"/>
      <c r="AB238" s="223"/>
      <c r="AC238" s="441"/>
      <c r="AD238" s="224"/>
      <c r="AE238" s="224"/>
      <c r="AF238" s="224"/>
      <c r="AG238" s="224"/>
      <c r="AH238" s="224"/>
      <c r="AI238" s="224"/>
      <c r="AJ238" s="224"/>
      <c r="AK238" s="224"/>
      <c r="AL238" s="224"/>
      <c r="AM238" s="224"/>
      <c r="AN238" s="224"/>
      <c r="AO238" s="224"/>
      <c r="AP238" s="440"/>
      <c r="AQ238" s="442"/>
      <c r="AR238" s="250"/>
    </row>
    <row r="239" spans="1:44" ht="20">
      <c r="A239" s="264"/>
      <c r="B239" s="247"/>
      <c r="C239" s="222"/>
      <c r="D239" s="222"/>
      <c r="E239" s="222"/>
      <c r="F239" s="440"/>
      <c r="G239" s="440"/>
      <c r="H239" s="440"/>
      <c r="I239" s="440"/>
      <c r="J239" s="440"/>
      <c r="K239" s="440"/>
      <c r="L239" s="222"/>
      <c r="M239" s="222"/>
      <c r="N239" s="222"/>
      <c r="O239" s="222"/>
      <c r="P239" s="222"/>
      <c r="Q239" s="222"/>
      <c r="R239" s="222"/>
      <c r="S239" s="222"/>
      <c r="T239" s="222"/>
      <c r="U239" s="222"/>
      <c r="V239" s="222"/>
      <c r="W239" s="222"/>
      <c r="X239" s="440"/>
      <c r="Y239" s="222"/>
      <c r="Z239" s="235"/>
      <c r="AA239" s="223"/>
      <c r="AB239" s="223"/>
      <c r="AC239" s="441"/>
      <c r="AD239" s="224"/>
      <c r="AE239" s="224"/>
      <c r="AF239" s="224"/>
      <c r="AG239" s="224"/>
      <c r="AH239" s="224"/>
      <c r="AI239" s="224"/>
      <c r="AJ239" s="224"/>
      <c r="AK239" s="224"/>
      <c r="AL239" s="224"/>
      <c r="AM239" s="224"/>
      <c r="AN239" s="224"/>
      <c r="AO239" s="224"/>
      <c r="AP239" s="440"/>
      <c r="AQ239" s="442"/>
      <c r="AR239" s="250"/>
    </row>
    <row r="240" spans="1:44" ht="20">
      <c r="A240" s="264"/>
      <c r="B240" s="247"/>
      <c r="C240" s="222"/>
      <c r="D240" s="222"/>
      <c r="E240" s="222"/>
      <c r="F240" s="440"/>
      <c r="G240" s="440"/>
      <c r="H240" s="440"/>
      <c r="I240" s="440"/>
      <c r="J240" s="440"/>
      <c r="K240" s="440"/>
      <c r="L240" s="222"/>
      <c r="M240" s="222"/>
      <c r="N240" s="222"/>
      <c r="O240" s="222"/>
      <c r="P240" s="222"/>
      <c r="Q240" s="222"/>
      <c r="R240" s="222"/>
      <c r="S240" s="222"/>
      <c r="T240" s="222"/>
      <c r="U240" s="222"/>
      <c r="V240" s="222"/>
      <c r="W240" s="222"/>
      <c r="X240" s="440"/>
      <c r="Y240" s="222"/>
      <c r="Z240" s="235"/>
      <c r="AA240" s="223"/>
      <c r="AB240" s="223"/>
      <c r="AC240" s="441"/>
      <c r="AD240" s="224"/>
      <c r="AE240" s="224"/>
      <c r="AF240" s="224"/>
      <c r="AG240" s="224"/>
      <c r="AH240" s="224"/>
      <c r="AI240" s="224"/>
      <c r="AJ240" s="224"/>
      <c r="AK240" s="224"/>
      <c r="AL240" s="224"/>
      <c r="AM240" s="224"/>
      <c r="AN240" s="224"/>
      <c r="AO240" s="224"/>
      <c r="AP240" s="440"/>
      <c r="AQ240" s="442"/>
      <c r="AR240" s="250"/>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ورقة29"/>
  <dimension ref="A1:Q652"/>
  <sheetViews>
    <sheetView rightToLeft="1" workbookViewId="0"/>
  </sheetViews>
  <sheetFormatPr defaultRowHeight="15.5"/>
  <sheetData>
    <row r="1" spans="1:17" ht="17.5">
      <c r="A1" s="7"/>
      <c r="B1" s="7"/>
      <c r="C1" s="7"/>
      <c r="D1" s="7"/>
      <c r="E1" s="7"/>
      <c r="F1" s="7"/>
      <c r="G1" s="7"/>
      <c r="H1" s="7"/>
      <c r="I1" s="7"/>
      <c r="J1" s="7"/>
      <c r="K1" s="7"/>
      <c r="L1" s="7"/>
      <c r="M1" s="7"/>
      <c r="N1" s="7"/>
      <c r="O1" s="7"/>
    </row>
    <row r="2" spans="1:17" ht="17.5">
      <c r="A2" s="7"/>
      <c r="B2" s="73" t="s">
        <v>82</v>
      </c>
      <c r="C2" s="824" t="s">
        <v>890</v>
      </c>
      <c r="D2" s="824"/>
      <c r="E2" s="825"/>
      <c r="F2" s="8"/>
      <c r="G2" s="8"/>
      <c r="H2" s="252"/>
      <c r="I2" s="313"/>
      <c r="J2" s="313"/>
      <c r="K2" s="313"/>
      <c r="L2" s="8"/>
      <c r="M2" s="9"/>
      <c r="N2" s="7"/>
      <c r="O2" s="9"/>
    </row>
    <row r="3" spans="1:17" ht="17.5">
      <c r="A3" s="7"/>
      <c r="B3" s="314"/>
      <c r="C3" s="315"/>
      <c r="D3" s="315"/>
      <c r="E3" s="315"/>
      <c r="F3" s="316"/>
      <c r="G3" s="7"/>
      <c r="H3" s="306"/>
      <c r="I3" s="829" t="e">
        <v>#VALUE!</v>
      </c>
      <c r="J3" s="829"/>
      <c r="K3" s="829"/>
      <c r="L3" s="7"/>
      <c r="M3" s="9"/>
      <c r="N3" s="7"/>
      <c r="O3" s="9"/>
    </row>
    <row r="4" spans="1:17" ht="17.5">
      <c r="A4" s="7"/>
      <c r="B4" s="821">
        <f ca="1">TODAY()</f>
        <v>46323</v>
      </c>
      <c r="C4" s="822"/>
      <c r="D4" s="822"/>
      <c r="E4" s="823"/>
      <c r="F4" s="316"/>
      <c r="G4" s="7"/>
      <c r="H4" s="306"/>
      <c r="I4" s="829"/>
      <c r="J4" s="829"/>
      <c r="K4" s="829"/>
      <c r="L4" s="7"/>
      <c r="M4" s="9"/>
      <c r="N4" s="7"/>
      <c r="O4" s="9"/>
      <c r="Q4" s="149"/>
    </row>
    <row r="5" spans="1:17" ht="17.5">
      <c r="A5" s="7"/>
      <c r="B5" s="317"/>
      <c r="C5" s="316"/>
      <c r="D5" s="316"/>
      <c r="E5" s="316"/>
      <c r="F5" s="316"/>
      <c r="G5" s="306"/>
      <c r="H5" s="306"/>
      <c r="I5" s="829"/>
      <c r="J5" s="829"/>
      <c r="K5" s="829"/>
      <c r="L5" s="7"/>
      <c r="M5" s="9"/>
      <c r="N5" s="7"/>
      <c r="O5" s="9"/>
    </row>
    <row r="6" spans="1:17" ht="17.5">
      <c r="A6" s="7"/>
      <c r="B6" s="818" t="s">
        <v>859</v>
      </c>
      <c r="C6" s="819"/>
      <c r="D6" s="819"/>
      <c r="E6" s="820"/>
      <c r="F6" s="7"/>
      <c r="G6" s="306"/>
      <c r="H6" s="306"/>
      <c r="I6" s="829"/>
      <c r="J6" s="829"/>
      <c r="K6" s="829"/>
      <c r="L6" s="7"/>
      <c r="M6" s="9"/>
      <c r="N6" s="7"/>
      <c r="O6" s="9"/>
    </row>
    <row r="7" spans="1:17" ht="17.5">
      <c r="A7" s="7"/>
      <c r="B7" s="9"/>
      <c r="C7" s="7"/>
      <c r="D7" s="7"/>
      <c r="E7" s="7"/>
      <c r="F7" s="7"/>
      <c r="G7" s="306"/>
      <c r="H7" s="306"/>
      <c r="I7" s="829"/>
      <c r="J7" s="829"/>
      <c r="K7" s="829"/>
      <c r="L7" s="7"/>
      <c r="M7" s="9"/>
      <c r="N7" s="7"/>
      <c r="O7" s="9"/>
      <c r="Q7" s="149"/>
    </row>
    <row r="8" spans="1:17" ht="17.5">
      <c r="A8" s="7"/>
      <c r="B8" s="307" t="s">
        <v>5</v>
      </c>
      <c r="C8" s="308" t="s">
        <v>592</v>
      </c>
      <c r="D8" s="830" t="s">
        <v>593</v>
      </c>
      <c r="E8" s="831"/>
      <c r="F8" s="7"/>
      <c r="G8" s="306"/>
      <c r="H8" s="306"/>
      <c r="I8" s="829"/>
      <c r="J8" s="829"/>
      <c r="K8" s="829"/>
      <c r="L8" s="7"/>
      <c r="M8" s="9"/>
      <c r="N8" s="7"/>
      <c r="O8" s="450"/>
    </row>
    <row r="9" spans="1:17" ht="17.5">
      <c r="A9" s="7"/>
      <c r="B9" s="309" t="s">
        <v>384</v>
      </c>
      <c r="C9" s="311" t="e">
        <f>SUMIFS(#REF!,#REF!,B9,#REF!,C2)/SUMIFS(#REF!,#REF!,B9,#REF!,C2)</f>
        <v>#REF!</v>
      </c>
      <c r="D9" s="832" t="e">
        <f>C9*C12</f>
        <v>#REF!</v>
      </c>
      <c r="E9" s="833"/>
      <c r="F9" s="7"/>
      <c r="G9" s="306"/>
      <c r="H9" s="306"/>
      <c r="I9" s="829"/>
      <c r="J9" s="829"/>
      <c r="K9" s="829"/>
      <c r="L9" s="7"/>
      <c r="M9" s="9"/>
      <c r="N9" s="7"/>
      <c r="O9" s="9"/>
    </row>
    <row r="10" spans="1:17" ht="17.5">
      <c r="A10" s="7"/>
      <c r="B10" s="310" t="s">
        <v>327</v>
      </c>
      <c r="C10" s="312" t="e">
        <f>Q7/Q8</f>
        <v>#DIV/0!</v>
      </c>
      <c r="D10" s="834" t="e">
        <f>C10*C12</f>
        <v>#DIV/0!</v>
      </c>
      <c r="E10" s="835"/>
      <c r="F10" s="7"/>
      <c r="G10" s="306"/>
      <c r="H10" s="306"/>
      <c r="I10" s="829"/>
      <c r="J10" s="829"/>
      <c r="K10" s="829"/>
      <c r="L10" s="7"/>
      <c r="M10" s="9"/>
      <c r="N10" s="7"/>
      <c r="O10" s="451" t="e">
        <f>C10*O8</f>
        <v>#DIV/0!</v>
      </c>
    </row>
    <row r="11" spans="1:17" ht="17.5">
      <c r="A11" s="7"/>
      <c r="B11" s="9"/>
      <c r="C11" s="7"/>
      <c r="D11" s="7"/>
      <c r="E11" s="7"/>
      <c r="F11" s="7"/>
      <c r="G11" s="306"/>
      <c r="H11" s="306"/>
      <c r="I11" s="829"/>
      <c r="J11" s="829"/>
      <c r="K11" s="829"/>
      <c r="L11" s="7"/>
      <c r="M11" s="9"/>
      <c r="N11" s="7"/>
      <c r="O11" s="451"/>
    </row>
    <row r="12" spans="1:17" ht="17.5">
      <c r="A12" s="7"/>
      <c r="B12" s="74" t="s">
        <v>83</v>
      </c>
      <c r="C12" s="319">
        <v>211.14</v>
      </c>
      <c r="D12" s="22" t="s">
        <v>592</v>
      </c>
      <c r="E12" s="72" t="e">
        <f>(SUMIF(#REF!,C2,#REF!))/(SUMIF(#REF!,C2,#REF!))</f>
        <v>#REF!</v>
      </c>
      <c r="F12" s="7"/>
      <c r="G12" s="306"/>
      <c r="H12" s="306"/>
      <c r="I12" s="829"/>
      <c r="J12" s="829"/>
      <c r="K12" s="829"/>
      <c r="L12" s="7"/>
      <c r="M12" s="9"/>
      <c r="N12" s="7"/>
      <c r="O12" s="9"/>
    </row>
    <row r="13" spans="1:17" ht="24.5">
      <c r="A13" s="7"/>
      <c r="B13" s="826" t="e">
        <f>" السعر المتوقع "&amp;TEXT((E12*C12),"0,0.00"&amp;" ﷼ ")</f>
        <v>#REF!</v>
      </c>
      <c r="C13" s="827"/>
      <c r="D13" s="827"/>
      <c r="E13" s="828"/>
      <c r="F13" s="7"/>
      <c r="G13" s="306"/>
      <c r="H13" s="306"/>
      <c r="I13" s="829"/>
      <c r="J13" s="829"/>
      <c r="K13" s="829"/>
      <c r="L13" s="7"/>
      <c r="M13" s="9"/>
      <c r="N13" s="7"/>
      <c r="O13" s="9"/>
    </row>
    <row r="14" spans="1:17" ht="17.5">
      <c r="A14" s="7"/>
      <c r="B14" s="9"/>
      <c r="C14" s="7"/>
      <c r="D14" s="7"/>
      <c r="E14" s="7"/>
      <c r="F14" s="7"/>
      <c r="G14" s="306"/>
      <c r="H14" s="318"/>
      <c r="I14" s="318"/>
      <c r="J14" s="318"/>
      <c r="K14" s="318"/>
      <c r="L14" s="265"/>
      <c r="M14" s="9"/>
      <c r="N14" s="7"/>
      <c r="O14" s="9"/>
    </row>
    <row r="15" spans="1:17" ht="70">
      <c r="A15" s="23"/>
      <c r="B15" s="18" t="s">
        <v>5</v>
      </c>
      <c r="C15" s="173" t="s">
        <v>429</v>
      </c>
      <c r="D15" s="173" t="s">
        <v>592</v>
      </c>
      <c r="E15" s="10" t="s">
        <v>84</v>
      </c>
      <c r="F15" s="10" t="s">
        <v>85</v>
      </c>
      <c r="G15" s="10" t="s">
        <v>86</v>
      </c>
      <c r="H15" s="10" t="s">
        <v>297</v>
      </c>
      <c r="I15" s="24" t="s">
        <v>87</v>
      </c>
      <c r="J15" s="24" t="s">
        <v>88</v>
      </c>
      <c r="K15" s="24" t="s">
        <v>314</v>
      </c>
      <c r="L15" s="24" t="s">
        <v>50</v>
      </c>
      <c r="M15" s="173" t="s">
        <v>876</v>
      </c>
      <c r="N15" s="10" t="s">
        <v>877</v>
      </c>
      <c r="O15" s="9"/>
      <c r="P15" s="7"/>
    </row>
    <row r="16" spans="1:17" ht="17.5">
      <c r="A16" s="23"/>
      <c r="B16" s="11">
        <v>25</v>
      </c>
      <c r="C16" s="11">
        <v>400</v>
      </c>
      <c r="D16" s="12" t="e">
        <f>#REF!/#REF!</f>
        <v>#REF!</v>
      </c>
      <c r="E16" s="13">
        <v>20000</v>
      </c>
      <c r="F16" s="11">
        <v>77</v>
      </c>
      <c r="G16" s="11">
        <v>159</v>
      </c>
      <c r="H16" s="11"/>
      <c r="I16" s="14" t="s">
        <v>105</v>
      </c>
      <c r="J16" s="11"/>
      <c r="K16" s="14" t="s">
        <v>384</v>
      </c>
      <c r="L16" s="19">
        <v>45889</v>
      </c>
      <c r="M16" s="9"/>
      <c r="N16" s="448"/>
    </row>
    <row r="17" spans="1:14" ht="17.5">
      <c r="A17" s="23"/>
      <c r="B17" s="15">
        <v>26</v>
      </c>
      <c r="C17" s="15">
        <v>400</v>
      </c>
      <c r="D17" s="12" t="e">
        <f>#REF!/#REF!</f>
        <v>#REF!</v>
      </c>
      <c r="E17" s="16">
        <v>10000</v>
      </c>
      <c r="F17" s="15">
        <v>77</v>
      </c>
      <c r="G17" s="15">
        <v>70</v>
      </c>
      <c r="H17" s="15"/>
      <c r="I17" s="17" t="s">
        <v>105</v>
      </c>
      <c r="J17" s="15"/>
      <c r="K17" s="14" t="s">
        <v>384</v>
      </c>
      <c r="L17" s="20">
        <v>45785</v>
      </c>
      <c r="M17" s="9"/>
      <c r="N17" s="448"/>
    </row>
    <row r="18" spans="1:14" ht="17.5">
      <c r="A18" s="23"/>
      <c r="B18" s="15">
        <v>27</v>
      </c>
      <c r="C18" s="15">
        <v>400</v>
      </c>
      <c r="D18" s="12" t="e">
        <f>#REF!/#REF!</f>
        <v>#REF!</v>
      </c>
      <c r="E18" s="16">
        <v>10000</v>
      </c>
      <c r="F18" s="15">
        <v>77</v>
      </c>
      <c r="G18" s="15">
        <v>9</v>
      </c>
      <c r="H18" s="15"/>
      <c r="I18" s="17" t="s">
        <v>105</v>
      </c>
      <c r="J18" s="15"/>
      <c r="K18" s="14" t="s">
        <v>384</v>
      </c>
      <c r="L18" s="20">
        <v>45754</v>
      </c>
      <c r="M18" s="9"/>
      <c r="N18" s="448"/>
    </row>
    <row r="19" spans="1:14" ht="17.5">
      <c r="A19" s="23"/>
      <c r="B19" s="15">
        <v>28</v>
      </c>
      <c r="C19" s="15">
        <v>400</v>
      </c>
      <c r="D19" s="12" t="e">
        <f>#REF!/#REF!</f>
        <v>#REF!</v>
      </c>
      <c r="E19" s="16">
        <v>11000</v>
      </c>
      <c r="F19" s="15">
        <v>77</v>
      </c>
      <c r="G19" s="15">
        <v>91</v>
      </c>
      <c r="H19" s="15"/>
      <c r="I19" s="17" t="s">
        <v>105</v>
      </c>
      <c r="J19" s="15"/>
      <c r="K19" s="14" t="s">
        <v>384</v>
      </c>
      <c r="L19" s="20">
        <v>45663</v>
      </c>
      <c r="M19" s="9"/>
      <c r="N19" s="448"/>
    </row>
    <row r="20" spans="1:14" ht="17.5">
      <c r="A20" s="23"/>
      <c r="B20" s="15">
        <v>334</v>
      </c>
      <c r="C20" s="15">
        <v>55</v>
      </c>
      <c r="D20" s="12" t="e">
        <f>#REF!/#REF!</f>
        <v>#REF!</v>
      </c>
      <c r="E20" s="16">
        <v>95000</v>
      </c>
      <c r="F20" s="15"/>
      <c r="G20" s="15"/>
      <c r="H20" s="15"/>
      <c r="I20" s="15" t="s">
        <v>849</v>
      </c>
      <c r="J20" s="15" t="s">
        <v>848</v>
      </c>
      <c r="K20" s="11" t="s">
        <v>327</v>
      </c>
      <c r="L20" s="20"/>
      <c r="M20" s="9"/>
      <c r="N20" s="448"/>
    </row>
    <row r="21" spans="1:14" ht="17.5">
      <c r="A21" s="23"/>
      <c r="B21" s="15">
        <v>335</v>
      </c>
      <c r="C21" s="15">
        <v>64</v>
      </c>
      <c r="D21" s="12" t="e">
        <f>#REF!/#REF!</f>
        <v>#REF!</v>
      </c>
      <c r="E21" s="16">
        <v>120000</v>
      </c>
      <c r="F21" s="15"/>
      <c r="G21" s="15"/>
      <c r="H21" s="15"/>
      <c r="I21" s="15" t="s">
        <v>849</v>
      </c>
      <c r="J21" s="15" t="s">
        <v>848</v>
      </c>
      <c r="K21" s="11" t="s">
        <v>327</v>
      </c>
      <c r="L21" s="20"/>
      <c r="M21" s="9"/>
      <c r="N21" s="448"/>
    </row>
    <row r="22" spans="1:14" ht="17.5">
      <c r="A22" s="23"/>
      <c r="B22" s="15">
        <v>336</v>
      </c>
      <c r="C22" s="15">
        <v>60</v>
      </c>
      <c r="D22" s="12" t="e">
        <f>#REF!/#REF!</f>
        <v>#REF!</v>
      </c>
      <c r="E22" s="16">
        <v>85000</v>
      </c>
      <c r="F22" s="15"/>
      <c r="G22" s="15"/>
      <c r="H22" s="15"/>
      <c r="I22" s="15" t="s">
        <v>849</v>
      </c>
      <c r="J22" s="15" t="s">
        <v>848</v>
      </c>
      <c r="K22" s="11" t="s">
        <v>327</v>
      </c>
      <c r="L22" s="20"/>
      <c r="M22" s="9"/>
      <c r="N22" s="448"/>
    </row>
    <row r="23" spans="1:14" ht="17.5">
      <c r="A23" s="23"/>
      <c r="B23" s="15">
        <v>337</v>
      </c>
      <c r="C23" s="15">
        <v>127</v>
      </c>
      <c r="D23" s="12" t="e">
        <f>#REF!/#REF!</f>
        <v>#REF!</v>
      </c>
      <c r="E23" s="16">
        <v>190000</v>
      </c>
      <c r="F23" s="15"/>
      <c r="G23" s="15"/>
      <c r="H23" s="15"/>
      <c r="I23" s="15" t="s">
        <v>849</v>
      </c>
      <c r="J23" s="15" t="s">
        <v>848</v>
      </c>
      <c r="K23" s="11" t="s">
        <v>327</v>
      </c>
      <c r="L23" s="20"/>
      <c r="M23" s="9"/>
      <c r="N23" s="448"/>
    </row>
    <row r="24" spans="1:14" ht="17.5">
      <c r="A24" s="23"/>
      <c r="B24" s="15">
        <v>274</v>
      </c>
      <c r="C24" s="15">
        <v>625</v>
      </c>
      <c r="D24" s="12" t="e">
        <f>#REF!/#REF!</f>
        <v>#REF!</v>
      </c>
      <c r="E24" s="16">
        <v>7700000</v>
      </c>
      <c r="F24" s="15">
        <v>2811</v>
      </c>
      <c r="G24" s="15">
        <v>15</v>
      </c>
      <c r="H24" s="15"/>
      <c r="I24" s="15" t="s">
        <v>622</v>
      </c>
      <c r="J24" s="15"/>
      <c r="K24" s="11" t="s">
        <v>384</v>
      </c>
      <c r="L24" s="20">
        <v>45727</v>
      </c>
      <c r="M24" s="9"/>
      <c r="N24" s="448"/>
    </row>
    <row r="25" spans="1:14" ht="17.5">
      <c r="A25" s="23"/>
      <c r="B25" s="15">
        <v>275</v>
      </c>
      <c r="C25" s="15">
        <v>850</v>
      </c>
      <c r="D25" s="12" t="e">
        <f>#REF!/#REF!</f>
        <v>#REF!</v>
      </c>
      <c r="E25" s="16">
        <v>6800000</v>
      </c>
      <c r="F25" s="15" t="s">
        <v>624</v>
      </c>
      <c r="G25" s="15" t="s">
        <v>623</v>
      </c>
      <c r="H25" s="15"/>
      <c r="I25" s="15" t="s">
        <v>622</v>
      </c>
      <c r="J25" s="15"/>
      <c r="K25" s="11" t="s">
        <v>384</v>
      </c>
      <c r="L25" s="20">
        <v>45715</v>
      </c>
      <c r="M25" s="9"/>
      <c r="N25" s="448"/>
    </row>
    <row r="26" spans="1:14" ht="17.5">
      <c r="A26" s="23"/>
      <c r="B26" s="15">
        <v>276</v>
      </c>
      <c r="C26" s="15">
        <v>525</v>
      </c>
      <c r="D26" s="12" t="e">
        <f>#REF!/#REF!</f>
        <v>#REF!</v>
      </c>
      <c r="E26" s="16">
        <v>5150000</v>
      </c>
      <c r="F26" s="15"/>
      <c r="G26" s="15"/>
      <c r="H26" s="15"/>
      <c r="I26" s="15" t="s">
        <v>622</v>
      </c>
      <c r="J26" s="15"/>
      <c r="K26" s="11" t="s">
        <v>327</v>
      </c>
      <c r="L26" s="20"/>
      <c r="M26" s="9"/>
      <c r="N26" s="448"/>
    </row>
    <row r="27" spans="1:14" ht="17.5">
      <c r="A27" s="23"/>
      <c r="B27" s="15">
        <v>277</v>
      </c>
      <c r="C27" s="15">
        <v>521</v>
      </c>
      <c r="D27" s="12" t="e">
        <f>#REF!/#REF!</f>
        <v>#REF!</v>
      </c>
      <c r="E27" s="16">
        <v>5260000</v>
      </c>
      <c r="F27" s="15"/>
      <c r="G27" s="15"/>
      <c r="H27" s="15"/>
      <c r="I27" s="15" t="s">
        <v>622</v>
      </c>
      <c r="J27" s="15"/>
      <c r="K27" s="11" t="s">
        <v>327</v>
      </c>
      <c r="L27" s="20"/>
      <c r="M27" s="9"/>
      <c r="N27" s="448"/>
    </row>
    <row r="28" spans="1:14" ht="17.5">
      <c r="A28" s="23"/>
      <c r="B28" s="15">
        <v>278</v>
      </c>
      <c r="C28" s="15">
        <v>312</v>
      </c>
      <c r="D28" s="12" t="e">
        <f>#REF!/#REF!</f>
        <v>#REF!</v>
      </c>
      <c r="E28" s="16">
        <v>4800000</v>
      </c>
      <c r="F28" s="15"/>
      <c r="G28" s="15"/>
      <c r="H28" s="15"/>
      <c r="I28" s="15" t="s">
        <v>622</v>
      </c>
      <c r="J28" s="15"/>
      <c r="K28" s="11" t="s">
        <v>327</v>
      </c>
      <c r="L28" s="20"/>
      <c r="M28" s="9"/>
      <c r="N28" s="448"/>
    </row>
    <row r="29" spans="1:14" ht="17.5">
      <c r="A29" s="23"/>
      <c r="B29" s="15">
        <v>279</v>
      </c>
      <c r="C29" s="15">
        <v>342</v>
      </c>
      <c r="D29" s="12" t="e">
        <f>#REF!/#REF!</f>
        <v>#REF!</v>
      </c>
      <c r="E29" s="16">
        <v>5500000</v>
      </c>
      <c r="F29" s="15"/>
      <c r="G29" s="15"/>
      <c r="H29" s="15"/>
      <c r="I29" s="15" t="s">
        <v>622</v>
      </c>
      <c r="J29" s="15"/>
      <c r="K29" s="11" t="s">
        <v>327</v>
      </c>
      <c r="L29" s="20"/>
      <c r="M29" s="9"/>
      <c r="N29" s="448"/>
    </row>
    <row r="30" spans="1:14" ht="17.5">
      <c r="A30" s="23"/>
      <c r="B30" s="15">
        <v>280</v>
      </c>
      <c r="C30" s="15">
        <v>342</v>
      </c>
      <c r="D30" s="12" t="e">
        <f>#REF!/#REF!</f>
        <v>#REF!</v>
      </c>
      <c r="E30" s="16">
        <v>6000000</v>
      </c>
      <c r="F30" s="15"/>
      <c r="G30" s="15"/>
      <c r="H30" s="15"/>
      <c r="I30" s="15" t="s">
        <v>622</v>
      </c>
      <c r="J30" s="15"/>
      <c r="K30" s="11" t="s">
        <v>327</v>
      </c>
      <c r="L30" s="20"/>
      <c r="M30" s="9"/>
      <c r="N30" s="448"/>
    </row>
    <row r="31" spans="1:14" ht="17.5">
      <c r="A31" s="23"/>
      <c r="B31" s="15">
        <v>91</v>
      </c>
      <c r="C31" s="15">
        <v>454</v>
      </c>
      <c r="D31" s="12" t="e">
        <f>#REF!/#REF!</f>
        <v>#REF!</v>
      </c>
      <c r="E31" s="16">
        <v>2500000</v>
      </c>
      <c r="F31" s="15"/>
      <c r="G31" s="15"/>
      <c r="H31" s="15"/>
      <c r="I31" s="15" t="s">
        <v>330</v>
      </c>
      <c r="J31" s="15" t="s">
        <v>294</v>
      </c>
      <c r="K31" s="11" t="s">
        <v>327</v>
      </c>
      <c r="L31" s="20"/>
      <c r="M31" s="9"/>
      <c r="N31" s="448"/>
    </row>
    <row r="32" spans="1:14" ht="17.5">
      <c r="A32" s="23"/>
      <c r="B32" s="15">
        <v>92</v>
      </c>
      <c r="C32" s="15">
        <v>454</v>
      </c>
      <c r="D32" s="12" t="e">
        <f>#REF!/#REF!</f>
        <v>#REF!</v>
      </c>
      <c r="E32" s="16">
        <v>1900000</v>
      </c>
      <c r="F32" s="15"/>
      <c r="G32" s="15"/>
      <c r="H32" s="15"/>
      <c r="I32" s="15" t="s">
        <v>330</v>
      </c>
      <c r="J32" s="15" t="s">
        <v>294</v>
      </c>
      <c r="K32" s="11" t="s">
        <v>327</v>
      </c>
      <c r="L32" s="20"/>
      <c r="M32" s="9"/>
      <c r="N32" s="448"/>
    </row>
    <row r="33" spans="1:14" ht="17.5">
      <c r="A33" s="23"/>
      <c r="B33" s="15">
        <v>93</v>
      </c>
      <c r="C33" s="15">
        <v>600</v>
      </c>
      <c r="D33" s="12" t="e">
        <f>#REF!/#REF!</f>
        <v>#REF!</v>
      </c>
      <c r="E33" s="16">
        <v>3800000</v>
      </c>
      <c r="F33" s="15"/>
      <c r="G33" s="15"/>
      <c r="H33" s="15"/>
      <c r="I33" s="15" t="s">
        <v>330</v>
      </c>
      <c r="J33" s="15" t="s">
        <v>294</v>
      </c>
      <c r="K33" s="11" t="s">
        <v>327</v>
      </c>
      <c r="L33" s="20"/>
      <c r="M33" s="9"/>
      <c r="N33" s="448"/>
    </row>
    <row r="34" spans="1:14" ht="17.5">
      <c r="A34" s="23"/>
      <c r="B34" s="15">
        <v>94</v>
      </c>
      <c r="C34" s="15">
        <v>300</v>
      </c>
      <c r="D34" s="12" t="e">
        <f>#REF!/#REF!</f>
        <v>#REF!</v>
      </c>
      <c r="E34" s="16">
        <v>2300000</v>
      </c>
      <c r="F34" s="15"/>
      <c r="G34" s="15"/>
      <c r="H34" s="15"/>
      <c r="I34" s="15" t="s">
        <v>330</v>
      </c>
      <c r="J34" s="15" t="s">
        <v>294</v>
      </c>
      <c r="K34" s="11" t="s">
        <v>327</v>
      </c>
      <c r="L34" s="20"/>
      <c r="M34" s="9"/>
      <c r="N34" s="448"/>
    </row>
    <row r="35" spans="1:14" ht="17.5">
      <c r="A35" s="23"/>
      <c r="B35" s="15">
        <v>221</v>
      </c>
      <c r="C35" s="15">
        <v>1062</v>
      </c>
      <c r="D35" s="12" t="e">
        <f>#REF!/#REF!</f>
        <v>#REF!</v>
      </c>
      <c r="E35" s="16">
        <v>5310000</v>
      </c>
      <c r="F35" s="15">
        <v>4010</v>
      </c>
      <c r="G35" s="15">
        <v>47</v>
      </c>
      <c r="H35" s="15"/>
      <c r="I35" s="15" t="s">
        <v>612</v>
      </c>
      <c r="J35" s="15"/>
      <c r="K35" s="11" t="s">
        <v>384</v>
      </c>
      <c r="L35" s="20">
        <v>45847</v>
      </c>
      <c r="M35" s="9"/>
      <c r="N35" s="448"/>
    </row>
    <row r="36" spans="1:14" ht="17.5">
      <c r="A36" s="23"/>
      <c r="B36" s="15">
        <v>222</v>
      </c>
      <c r="C36" s="15">
        <v>1062</v>
      </c>
      <c r="D36" s="12" t="e">
        <f>#REF!/#REF!</f>
        <v>#REF!</v>
      </c>
      <c r="E36" s="16">
        <v>5310000</v>
      </c>
      <c r="F36" s="15">
        <v>4010</v>
      </c>
      <c r="G36" s="15">
        <v>46</v>
      </c>
      <c r="H36" s="15"/>
      <c r="I36" s="15" t="s">
        <v>612</v>
      </c>
      <c r="J36" s="15"/>
      <c r="K36" s="11" t="s">
        <v>384</v>
      </c>
      <c r="L36" s="20">
        <v>45847</v>
      </c>
      <c r="M36" s="9"/>
      <c r="N36" s="448"/>
    </row>
    <row r="37" spans="1:14" ht="17.5">
      <c r="A37" s="23"/>
      <c r="B37" s="15">
        <v>223</v>
      </c>
      <c r="C37" s="15">
        <v>200</v>
      </c>
      <c r="D37" s="12" t="e">
        <f>#REF!/#REF!</f>
        <v>#REF!</v>
      </c>
      <c r="E37" s="16">
        <v>1344455</v>
      </c>
      <c r="F37" s="15" t="s">
        <v>320</v>
      </c>
      <c r="G37" s="15" t="s">
        <v>613</v>
      </c>
      <c r="H37" s="15"/>
      <c r="I37" s="15" t="s">
        <v>612</v>
      </c>
      <c r="J37" s="15"/>
      <c r="K37" s="11" t="s">
        <v>384</v>
      </c>
      <c r="L37" s="20">
        <v>45859</v>
      </c>
      <c r="M37" s="9"/>
      <c r="N37" s="448"/>
    </row>
    <row r="38" spans="1:14" ht="17.5">
      <c r="A38" s="23"/>
      <c r="B38" s="15">
        <v>224</v>
      </c>
      <c r="C38" s="15">
        <v>200</v>
      </c>
      <c r="D38" s="12" t="e">
        <f>#REF!/#REF!</f>
        <v>#REF!</v>
      </c>
      <c r="E38" s="16">
        <v>1000000</v>
      </c>
      <c r="F38" s="15" t="s">
        <v>320</v>
      </c>
      <c r="G38" s="15" t="s">
        <v>322</v>
      </c>
      <c r="H38" s="15"/>
      <c r="I38" s="15" t="s">
        <v>612</v>
      </c>
      <c r="J38" s="15"/>
      <c r="K38" s="11" t="s">
        <v>384</v>
      </c>
      <c r="L38" s="20">
        <v>45881</v>
      </c>
      <c r="M38" s="9"/>
      <c r="N38" s="448"/>
    </row>
    <row r="39" spans="1:14" ht="17.5">
      <c r="A39" s="23"/>
      <c r="B39" s="15">
        <v>225</v>
      </c>
      <c r="C39" s="15">
        <v>375</v>
      </c>
      <c r="D39" s="12" t="e">
        <f>#REF!/#REF!</f>
        <v>#REF!</v>
      </c>
      <c r="E39" s="16">
        <v>2600000</v>
      </c>
      <c r="F39" s="15"/>
      <c r="G39" s="15"/>
      <c r="H39" s="15"/>
      <c r="I39" s="15" t="s">
        <v>612</v>
      </c>
      <c r="J39" s="15"/>
      <c r="K39" s="11" t="s">
        <v>327</v>
      </c>
      <c r="L39" s="20"/>
      <c r="M39" s="9"/>
      <c r="N39" s="448"/>
    </row>
    <row r="40" spans="1:14" ht="17.5">
      <c r="A40" s="23"/>
      <c r="B40" s="15">
        <v>226</v>
      </c>
      <c r="C40" s="15">
        <v>437</v>
      </c>
      <c r="D40" s="12" t="e">
        <f>#REF!/#REF!</f>
        <v>#REF!</v>
      </c>
      <c r="E40" s="16">
        <v>2100000</v>
      </c>
      <c r="F40" s="15"/>
      <c r="G40" s="15"/>
      <c r="H40" s="15"/>
      <c r="I40" s="15" t="s">
        <v>612</v>
      </c>
      <c r="J40" s="15"/>
      <c r="K40" s="11" t="s">
        <v>327</v>
      </c>
      <c r="L40" s="20"/>
      <c r="M40" s="9"/>
      <c r="N40" s="448"/>
    </row>
    <row r="41" spans="1:14" ht="17.5">
      <c r="A41" s="23"/>
      <c r="B41" s="15">
        <v>227</v>
      </c>
      <c r="C41" s="15">
        <v>360</v>
      </c>
      <c r="D41" s="12" t="e">
        <f>#REF!/#REF!</f>
        <v>#REF!</v>
      </c>
      <c r="E41" s="16">
        <v>2700000</v>
      </c>
      <c r="F41" s="15"/>
      <c r="G41" s="15"/>
      <c r="H41" s="15"/>
      <c r="I41" s="15" t="s">
        <v>612</v>
      </c>
      <c r="J41" s="15"/>
      <c r="K41" s="11" t="s">
        <v>327</v>
      </c>
      <c r="L41" s="20"/>
      <c r="M41" s="9"/>
      <c r="N41" s="448"/>
    </row>
    <row r="42" spans="1:14" ht="17.5">
      <c r="A42" s="23"/>
      <c r="B42" s="15">
        <v>228</v>
      </c>
      <c r="C42" s="15">
        <v>450</v>
      </c>
      <c r="D42" s="12" t="e">
        <f>#REF!/#REF!</f>
        <v>#REF!</v>
      </c>
      <c r="E42" s="16">
        <v>3050000</v>
      </c>
      <c r="F42" s="15"/>
      <c r="G42" s="15"/>
      <c r="H42" s="15"/>
      <c r="I42" s="15" t="s">
        <v>612</v>
      </c>
      <c r="J42" s="15"/>
      <c r="K42" s="11" t="s">
        <v>327</v>
      </c>
      <c r="L42" s="20"/>
      <c r="M42" s="9"/>
      <c r="N42" s="448"/>
    </row>
    <row r="43" spans="1:14" ht="17.5">
      <c r="A43" s="23"/>
      <c r="B43" s="15">
        <v>86</v>
      </c>
      <c r="C43" s="15">
        <v>376.5</v>
      </c>
      <c r="D43" s="12" t="e">
        <f>#REF!/#REF!</f>
        <v>#REF!</v>
      </c>
      <c r="E43" s="16">
        <v>2850000</v>
      </c>
      <c r="F43" s="15" t="s">
        <v>320</v>
      </c>
      <c r="G43" s="15" t="s">
        <v>321</v>
      </c>
      <c r="H43" s="15"/>
      <c r="I43" s="15" t="s">
        <v>318</v>
      </c>
      <c r="J43" s="15" t="s">
        <v>294</v>
      </c>
      <c r="K43" s="11" t="s">
        <v>319</v>
      </c>
      <c r="L43" s="20">
        <v>45922</v>
      </c>
      <c r="M43" s="9"/>
      <c r="N43" s="448"/>
    </row>
    <row r="44" spans="1:14" ht="17.5">
      <c r="A44" s="23"/>
      <c r="B44" s="15">
        <v>87</v>
      </c>
      <c r="C44" s="15">
        <v>200</v>
      </c>
      <c r="D44" s="12" t="e">
        <f>#REF!/#REF!</f>
        <v>#REF!</v>
      </c>
      <c r="E44" s="16">
        <v>1000000</v>
      </c>
      <c r="F44" s="15" t="s">
        <v>320</v>
      </c>
      <c r="G44" s="15" t="s">
        <v>322</v>
      </c>
      <c r="H44" s="15"/>
      <c r="I44" s="15" t="s">
        <v>318</v>
      </c>
      <c r="J44" s="15" t="s">
        <v>294</v>
      </c>
      <c r="K44" s="11" t="s">
        <v>319</v>
      </c>
      <c r="L44" s="20">
        <v>45881</v>
      </c>
      <c r="M44" s="9"/>
      <c r="N44" s="448"/>
    </row>
    <row r="45" spans="1:14" ht="17.5">
      <c r="A45" s="23"/>
      <c r="B45" s="15">
        <v>88</v>
      </c>
      <c r="C45" s="15">
        <v>200</v>
      </c>
      <c r="D45" s="12" t="e">
        <f>#REF!/#REF!</f>
        <v>#REF!</v>
      </c>
      <c r="E45" s="16">
        <v>1344455</v>
      </c>
      <c r="F45" s="15" t="s">
        <v>320</v>
      </c>
      <c r="G45" s="15" t="s">
        <v>322</v>
      </c>
      <c r="H45" s="15"/>
      <c r="I45" s="15" t="s">
        <v>318</v>
      </c>
      <c r="J45" s="15" t="s">
        <v>294</v>
      </c>
      <c r="K45" s="11" t="s">
        <v>319</v>
      </c>
      <c r="L45" s="20">
        <v>45859</v>
      </c>
      <c r="M45" s="9"/>
      <c r="N45" s="448"/>
    </row>
    <row r="46" spans="1:14" ht="17.5">
      <c r="A46" s="23"/>
      <c r="B46" s="15">
        <v>89</v>
      </c>
      <c r="C46" s="15">
        <v>450</v>
      </c>
      <c r="D46" s="12" t="e">
        <f>#REF!/#REF!</f>
        <v>#REF!</v>
      </c>
      <c r="E46" s="16">
        <v>3440000</v>
      </c>
      <c r="F46" s="15" t="s">
        <v>324</v>
      </c>
      <c r="G46" s="15" t="s">
        <v>323</v>
      </c>
      <c r="H46" s="15"/>
      <c r="I46" s="15" t="s">
        <v>318</v>
      </c>
      <c r="J46" s="15" t="s">
        <v>294</v>
      </c>
      <c r="K46" s="11" t="s">
        <v>319</v>
      </c>
      <c r="L46" s="20">
        <v>45798</v>
      </c>
      <c r="M46" s="9"/>
      <c r="N46" s="448"/>
    </row>
    <row r="47" spans="1:14" ht="17.5">
      <c r="A47" s="23"/>
      <c r="B47" s="15">
        <v>90</v>
      </c>
      <c r="C47" s="15">
        <v>450</v>
      </c>
      <c r="D47" s="12" t="e">
        <f>#REF!/#REF!</f>
        <v>#REF!</v>
      </c>
      <c r="E47" s="16">
        <v>3335413</v>
      </c>
      <c r="F47" s="15" t="s">
        <v>326</v>
      </c>
      <c r="G47" s="15" t="s">
        <v>325</v>
      </c>
      <c r="H47" s="15"/>
      <c r="I47" s="15" t="s">
        <v>318</v>
      </c>
      <c r="J47" s="15" t="s">
        <v>294</v>
      </c>
      <c r="K47" s="11" t="s">
        <v>319</v>
      </c>
      <c r="L47" s="20">
        <v>45785</v>
      </c>
      <c r="M47" s="9"/>
      <c r="N47" s="448"/>
    </row>
    <row r="48" spans="1:14" ht="17.5">
      <c r="A48" s="23"/>
      <c r="B48" s="15">
        <v>95</v>
      </c>
      <c r="C48" s="15">
        <v>450</v>
      </c>
      <c r="D48" s="12" t="e">
        <f>#REF!/#REF!</f>
        <v>#REF!</v>
      </c>
      <c r="E48" s="16">
        <v>2200000</v>
      </c>
      <c r="F48" s="15"/>
      <c r="G48" s="15"/>
      <c r="H48" s="15"/>
      <c r="I48" s="15" t="s">
        <v>318</v>
      </c>
      <c r="J48" s="15" t="s">
        <v>294</v>
      </c>
      <c r="K48" s="11" t="s">
        <v>327</v>
      </c>
      <c r="L48" s="20"/>
      <c r="M48" s="9"/>
      <c r="N48" s="448"/>
    </row>
    <row r="49" spans="1:14" ht="17.5">
      <c r="A49" s="23"/>
      <c r="B49" s="15">
        <v>96</v>
      </c>
      <c r="C49" s="15">
        <v>445</v>
      </c>
      <c r="D49" s="12" t="e">
        <f>#REF!/#REF!</f>
        <v>#REF!</v>
      </c>
      <c r="E49" s="16">
        <v>3000000</v>
      </c>
      <c r="F49" s="15"/>
      <c r="G49" s="15"/>
      <c r="H49" s="15"/>
      <c r="I49" s="15" t="s">
        <v>318</v>
      </c>
      <c r="J49" s="15" t="s">
        <v>294</v>
      </c>
      <c r="K49" s="11" t="s">
        <v>327</v>
      </c>
      <c r="L49" s="20"/>
      <c r="M49" s="9"/>
      <c r="N49" s="448"/>
    </row>
    <row r="50" spans="1:14" ht="17.5">
      <c r="A50" s="23"/>
      <c r="B50" s="15">
        <v>97</v>
      </c>
      <c r="C50" s="15">
        <v>445</v>
      </c>
      <c r="D50" s="12" t="e">
        <f>#REF!/#REF!</f>
        <v>#REF!</v>
      </c>
      <c r="E50" s="16">
        <v>2600000</v>
      </c>
      <c r="F50" s="15"/>
      <c r="G50" s="15"/>
      <c r="H50" s="15"/>
      <c r="I50" s="15" t="s">
        <v>318</v>
      </c>
      <c r="J50" s="15" t="s">
        <v>294</v>
      </c>
      <c r="K50" s="11" t="s">
        <v>327</v>
      </c>
      <c r="L50" s="20"/>
      <c r="M50" s="9"/>
      <c r="N50" s="448"/>
    </row>
    <row r="51" spans="1:14" ht="17.5">
      <c r="A51" s="23"/>
      <c r="B51" s="15">
        <v>98</v>
      </c>
      <c r="C51" s="15">
        <v>500</v>
      </c>
      <c r="D51" s="12" t="e">
        <f>#REF!/#REF!</f>
        <v>#REF!</v>
      </c>
      <c r="E51" s="16">
        <v>3500000</v>
      </c>
      <c r="F51" s="15"/>
      <c r="G51" s="15"/>
      <c r="H51" s="15"/>
      <c r="I51" s="15" t="s">
        <v>318</v>
      </c>
      <c r="J51" s="15" t="s">
        <v>294</v>
      </c>
      <c r="K51" s="11" t="s">
        <v>327</v>
      </c>
      <c r="L51" s="20"/>
      <c r="M51" s="9"/>
      <c r="N51" s="448"/>
    </row>
    <row r="52" spans="1:14" ht="17.5">
      <c r="A52" s="23"/>
      <c r="B52" s="15">
        <v>177</v>
      </c>
      <c r="C52" s="15">
        <v>300</v>
      </c>
      <c r="D52" s="12" t="e">
        <f>#REF!/#REF!</f>
        <v>#REF!</v>
      </c>
      <c r="E52" s="16">
        <v>1200000</v>
      </c>
      <c r="F52" s="15"/>
      <c r="G52" s="15"/>
      <c r="H52" s="15"/>
      <c r="I52" s="15" t="s">
        <v>582</v>
      </c>
      <c r="J52" s="15" t="s">
        <v>121</v>
      </c>
      <c r="K52" s="15" t="s">
        <v>327</v>
      </c>
      <c r="L52" s="20"/>
      <c r="M52" s="9"/>
      <c r="N52" s="448"/>
    </row>
    <row r="53" spans="1:14" ht="17.5">
      <c r="A53" s="23"/>
      <c r="B53" s="15">
        <v>178</v>
      </c>
      <c r="C53" s="15">
        <v>375</v>
      </c>
      <c r="D53" s="12" t="e">
        <f>#REF!/#REF!</f>
        <v>#REF!</v>
      </c>
      <c r="E53" s="16">
        <v>1400000</v>
      </c>
      <c r="F53" s="15"/>
      <c r="G53" s="15"/>
      <c r="H53" s="15"/>
      <c r="I53" s="15" t="s">
        <v>582</v>
      </c>
      <c r="J53" s="15" t="s">
        <v>121</v>
      </c>
      <c r="K53" s="15" t="s">
        <v>327</v>
      </c>
      <c r="L53" s="20"/>
      <c r="M53" s="9"/>
      <c r="N53" s="448"/>
    </row>
    <row r="54" spans="1:14" ht="17.5">
      <c r="A54" s="23"/>
      <c r="B54" s="15">
        <v>179</v>
      </c>
      <c r="C54" s="15">
        <v>240</v>
      </c>
      <c r="D54" s="12" t="e">
        <f>#REF!/#REF!</f>
        <v>#REF!</v>
      </c>
      <c r="E54" s="16">
        <v>900000</v>
      </c>
      <c r="F54" s="15"/>
      <c r="G54" s="15"/>
      <c r="H54" s="15"/>
      <c r="I54" s="15" t="s">
        <v>582</v>
      </c>
      <c r="J54" s="15" t="s">
        <v>121</v>
      </c>
      <c r="K54" s="15" t="s">
        <v>327</v>
      </c>
      <c r="L54" s="20"/>
      <c r="M54" s="9"/>
      <c r="N54" s="448"/>
    </row>
    <row r="55" spans="1:14" ht="17.5">
      <c r="A55" s="23"/>
      <c r="B55" s="15">
        <v>180</v>
      </c>
      <c r="C55" s="15">
        <v>242</v>
      </c>
      <c r="D55" s="12" t="e">
        <f>#REF!/#REF!</f>
        <v>#REF!</v>
      </c>
      <c r="E55" s="16">
        <v>1350000</v>
      </c>
      <c r="F55" s="15"/>
      <c r="G55" s="15"/>
      <c r="H55" s="15"/>
      <c r="I55" s="15" t="s">
        <v>582</v>
      </c>
      <c r="J55" s="15" t="s">
        <v>121</v>
      </c>
      <c r="K55" s="15" t="s">
        <v>327</v>
      </c>
      <c r="L55" s="20"/>
      <c r="M55" s="9"/>
      <c r="N55" s="448"/>
    </row>
    <row r="56" spans="1:14" ht="17.5">
      <c r="A56" s="23"/>
      <c r="B56" s="15">
        <v>181</v>
      </c>
      <c r="C56" s="15">
        <v>375</v>
      </c>
      <c r="D56" s="12" t="e">
        <f>#REF!/#REF!</f>
        <v>#REF!</v>
      </c>
      <c r="E56" s="16">
        <v>1800000</v>
      </c>
      <c r="F56" s="15"/>
      <c r="G56" s="15"/>
      <c r="H56" s="15"/>
      <c r="I56" s="15" t="s">
        <v>582</v>
      </c>
      <c r="J56" s="15" t="s">
        <v>121</v>
      </c>
      <c r="K56" s="15" t="s">
        <v>327</v>
      </c>
      <c r="L56" s="20"/>
      <c r="M56" s="9"/>
      <c r="N56" s="448"/>
    </row>
    <row r="57" spans="1:14" ht="17.5">
      <c r="A57" s="23"/>
      <c r="B57" s="15">
        <v>182</v>
      </c>
      <c r="C57" s="15">
        <v>375</v>
      </c>
      <c r="D57" s="12" t="e">
        <f>#REF!/#REF!</f>
        <v>#REF!</v>
      </c>
      <c r="E57" s="16">
        <v>1900000</v>
      </c>
      <c r="F57" s="15">
        <v>3020</v>
      </c>
      <c r="G57" s="15" t="s">
        <v>584</v>
      </c>
      <c r="H57" s="15"/>
      <c r="I57" s="15" t="s">
        <v>582</v>
      </c>
      <c r="J57" s="15" t="s">
        <v>121</v>
      </c>
      <c r="K57" s="15" t="s">
        <v>384</v>
      </c>
      <c r="L57" s="20"/>
      <c r="M57" s="9"/>
      <c r="N57" s="448"/>
    </row>
    <row r="58" spans="1:14" ht="17.5">
      <c r="A58" s="23"/>
      <c r="B58" s="15">
        <v>183</v>
      </c>
      <c r="C58" s="15">
        <v>375</v>
      </c>
      <c r="D58" s="12" t="e">
        <f>#REF!/#REF!</f>
        <v>#REF!</v>
      </c>
      <c r="E58" s="16">
        <v>1000000</v>
      </c>
      <c r="F58" s="15">
        <v>3020</v>
      </c>
      <c r="G58" s="15" t="s">
        <v>583</v>
      </c>
      <c r="H58" s="15"/>
      <c r="I58" s="15" t="s">
        <v>582</v>
      </c>
      <c r="J58" s="15" t="s">
        <v>121</v>
      </c>
      <c r="K58" s="15" t="s">
        <v>384</v>
      </c>
      <c r="L58" s="20"/>
      <c r="M58" s="9"/>
      <c r="N58" s="448"/>
    </row>
    <row r="59" spans="1:14" ht="17.5">
      <c r="A59" s="23"/>
      <c r="B59" s="15">
        <v>184</v>
      </c>
      <c r="C59" s="15">
        <v>936</v>
      </c>
      <c r="D59" s="12" t="e">
        <f>#REF!/#REF!</f>
        <v>#REF!</v>
      </c>
      <c r="E59" s="16">
        <v>2000000</v>
      </c>
      <c r="F59" s="15">
        <v>3020</v>
      </c>
      <c r="G59" s="15">
        <v>5590</v>
      </c>
      <c r="H59" s="15"/>
      <c r="I59" s="15" t="s">
        <v>582</v>
      </c>
      <c r="J59" s="15" t="s">
        <v>121</v>
      </c>
      <c r="K59" s="15" t="s">
        <v>384</v>
      </c>
      <c r="L59" s="20">
        <v>45888</v>
      </c>
      <c r="M59" s="9"/>
      <c r="N59" s="448"/>
    </row>
    <row r="60" spans="1:14" ht="17.5">
      <c r="A60" s="23"/>
      <c r="B60" s="15">
        <v>185</v>
      </c>
      <c r="C60" s="15">
        <v>468</v>
      </c>
      <c r="D60" s="12" t="e">
        <f>#REF!/#REF!</f>
        <v>#REF!</v>
      </c>
      <c r="E60" s="16">
        <v>1550000</v>
      </c>
      <c r="F60" s="15">
        <v>3020</v>
      </c>
      <c r="G60" s="15" t="s">
        <v>585</v>
      </c>
      <c r="H60" s="15"/>
      <c r="I60" s="15" t="s">
        <v>582</v>
      </c>
      <c r="J60" s="15" t="s">
        <v>121</v>
      </c>
      <c r="K60" s="15" t="s">
        <v>384</v>
      </c>
      <c r="L60" s="20">
        <v>45882</v>
      </c>
      <c r="M60" s="9"/>
      <c r="N60" s="448"/>
    </row>
    <row r="61" spans="1:14" ht="17.5">
      <c r="A61" s="23"/>
      <c r="B61" s="15">
        <v>186</v>
      </c>
      <c r="C61" s="15">
        <v>600</v>
      </c>
      <c r="D61" s="12" t="e">
        <f>#REF!/#REF!</f>
        <v>#REF!</v>
      </c>
      <c r="E61" s="16">
        <v>1600000</v>
      </c>
      <c r="F61" s="15">
        <v>3020</v>
      </c>
      <c r="G61" s="15">
        <v>3722</v>
      </c>
      <c r="H61" s="15"/>
      <c r="I61" s="15" t="s">
        <v>582</v>
      </c>
      <c r="J61" s="15" t="s">
        <v>121</v>
      </c>
      <c r="K61" s="15" t="s">
        <v>384</v>
      </c>
      <c r="L61" s="20">
        <v>45874</v>
      </c>
      <c r="M61" s="9"/>
      <c r="N61" s="448"/>
    </row>
    <row r="62" spans="1:14" ht="17.5">
      <c r="A62" s="23"/>
      <c r="B62" s="15">
        <v>107</v>
      </c>
      <c r="C62" s="15">
        <v>288</v>
      </c>
      <c r="D62" s="12" t="e">
        <f>#REF!/#REF!</f>
        <v>#REF!</v>
      </c>
      <c r="E62" s="16">
        <v>2200000</v>
      </c>
      <c r="F62" s="15">
        <v>1628</v>
      </c>
      <c r="G62" s="15" t="s">
        <v>385</v>
      </c>
      <c r="H62" s="15"/>
      <c r="I62" s="15" t="s">
        <v>382</v>
      </c>
      <c r="J62" s="15" t="s">
        <v>383</v>
      </c>
      <c r="K62" s="15" t="s">
        <v>384</v>
      </c>
      <c r="L62" s="20">
        <v>45799</v>
      </c>
      <c r="M62" s="9"/>
      <c r="N62" s="448"/>
    </row>
    <row r="63" spans="1:14" ht="17.5">
      <c r="A63" s="23"/>
      <c r="B63" s="15">
        <v>108</v>
      </c>
      <c r="C63" s="15">
        <v>625</v>
      </c>
      <c r="D63" s="12" t="e">
        <f>#REF!/#REF!</f>
        <v>#REF!</v>
      </c>
      <c r="E63" s="16">
        <v>3725000</v>
      </c>
      <c r="F63" s="15">
        <v>1896</v>
      </c>
      <c r="G63" s="15">
        <v>616</v>
      </c>
      <c r="H63" s="15"/>
      <c r="I63" s="15" t="s">
        <v>382</v>
      </c>
      <c r="J63" s="15" t="s">
        <v>383</v>
      </c>
      <c r="K63" s="15" t="s">
        <v>384</v>
      </c>
      <c r="L63" s="20">
        <v>45774</v>
      </c>
      <c r="M63" s="9"/>
      <c r="N63" s="448"/>
    </row>
    <row r="64" spans="1:14" ht="17.5">
      <c r="A64" s="23"/>
      <c r="B64" s="15">
        <v>109</v>
      </c>
      <c r="C64" s="15">
        <v>600</v>
      </c>
      <c r="D64" s="12" t="e">
        <f>#REF!/#REF!</f>
        <v>#REF!</v>
      </c>
      <c r="E64" s="16">
        <v>3510000</v>
      </c>
      <c r="F64" s="15">
        <v>2249</v>
      </c>
      <c r="G64" s="15">
        <v>370</v>
      </c>
      <c r="H64" s="15"/>
      <c r="I64" s="15" t="s">
        <v>382</v>
      </c>
      <c r="J64" s="15" t="s">
        <v>383</v>
      </c>
      <c r="K64" s="15" t="s">
        <v>384</v>
      </c>
      <c r="L64" s="20">
        <v>45713</v>
      </c>
      <c r="M64" s="9"/>
      <c r="N64" s="448"/>
    </row>
    <row r="65" spans="1:14" ht="17.5">
      <c r="A65" s="23"/>
      <c r="B65" s="15">
        <v>110</v>
      </c>
      <c r="C65" s="15">
        <v>390.2</v>
      </c>
      <c r="D65" s="12" t="e">
        <f>#REF!/#REF!</f>
        <v>#REF!</v>
      </c>
      <c r="E65" s="16">
        <v>2500000</v>
      </c>
      <c r="F65" s="15">
        <v>1628</v>
      </c>
      <c r="G65" s="15" t="s">
        <v>386</v>
      </c>
      <c r="H65" s="15"/>
      <c r="I65" s="15" t="s">
        <v>382</v>
      </c>
      <c r="J65" s="15" t="s">
        <v>383</v>
      </c>
      <c r="K65" s="15" t="s">
        <v>384</v>
      </c>
      <c r="L65" s="20">
        <v>45686</v>
      </c>
      <c r="M65" s="9"/>
      <c r="N65" s="448"/>
    </row>
    <row r="66" spans="1:14" ht="17.5">
      <c r="A66" s="23"/>
      <c r="B66" s="15">
        <v>37</v>
      </c>
      <c r="C66" s="15">
        <v>61</v>
      </c>
      <c r="D66" s="12" t="e">
        <f>#REF!/#REF!</f>
        <v>#REF!</v>
      </c>
      <c r="E66" s="16">
        <v>55000</v>
      </c>
      <c r="F66" s="15"/>
      <c r="G66" s="15"/>
      <c r="H66" s="15"/>
      <c r="I66" s="17" t="s">
        <v>116</v>
      </c>
      <c r="J66" s="17" t="s">
        <v>117</v>
      </c>
      <c r="K66" s="17" t="s">
        <v>327</v>
      </c>
      <c r="L66" s="20"/>
      <c r="M66" s="9"/>
      <c r="N66" s="448"/>
    </row>
    <row r="67" spans="1:14" ht="17.5">
      <c r="A67" s="23"/>
      <c r="B67" s="15">
        <v>38</v>
      </c>
      <c r="C67" s="15">
        <v>150</v>
      </c>
      <c r="D67" s="12" t="e">
        <f>#REF!/#REF!</f>
        <v>#REF!</v>
      </c>
      <c r="E67" s="16">
        <v>130000</v>
      </c>
      <c r="F67" s="15"/>
      <c r="G67" s="15"/>
      <c r="H67" s="15"/>
      <c r="I67" s="17" t="s">
        <v>116</v>
      </c>
      <c r="J67" s="17" t="s">
        <v>117</v>
      </c>
      <c r="K67" s="17" t="s">
        <v>327</v>
      </c>
      <c r="L67" s="20"/>
      <c r="M67" s="9"/>
      <c r="N67" s="448"/>
    </row>
    <row r="68" spans="1:14" ht="17.5">
      <c r="A68" s="23"/>
      <c r="B68" s="15">
        <v>39</v>
      </c>
      <c r="C68" s="15">
        <v>500</v>
      </c>
      <c r="D68" s="12" t="e">
        <f>#REF!/#REF!</f>
        <v>#REF!</v>
      </c>
      <c r="E68" s="16">
        <v>650000</v>
      </c>
      <c r="F68" s="15"/>
      <c r="G68" s="15"/>
      <c r="H68" s="15"/>
      <c r="I68" s="17" t="s">
        <v>116</v>
      </c>
      <c r="J68" s="17" t="s">
        <v>118</v>
      </c>
      <c r="K68" s="17" t="s">
        <v>327</v>
      </c>
      <c r="L68" s="20"/>
      <c r="M68" s="9"/>
      <c r="N68" s="448"/>
    </row>
    <row r="69" spans="1:14" ht="17.5">
      <c r="A69" s="23"/>
      <c r="B69" s="15">
        <v>40</v>
      </c>
      <c r="C69" s="15">
        <v>112</v>
      </c>
      <c r="D69" s="12" t="e">
        <f>#REF!/#REF!</f>
        <v>#REF!</v>
      </c>
      <c r="E69" s="16">
        <v>85000</v>
      </c>
      <c r="F69" s="15"/>
      <c r="G69" s="15"/>
      <c r="H69" s="15"/>
      <c r="I69" s="17" t="s">
        <v>116</v>
      </c>
      <c r="J69" s="17" t="s">
        <v>117</v>
      </c>
      <c r="K69" s="17" t="s">
        <v>327</v>
      </c>
      <c r="L69" s="20"/>
      <c r="M69" s="9"/>
      <c r="N69" s="448"/>
    </row>
    <row r="70" spans="1:14" ht="17.5">
      <c r="A70" s="23"/>
      <c r="B70" s="15">
        <v>41</v>
      </c>
      <c r="C70" s="15">
        <v>218</v>
      </c>
      <c r="D70" s="12" t="e">
        <f>#REF!/#REF!</f>
        <v>#REF!</v>
      </c>
      <c r="E70" s="16">
        <v>230000</v>
      </c>
      <c r="F70" s="15"/>
      <c r="G70" s="15"/>
      <c r="H70" s="15"/>
      <c r="I70" s="17" t="s">
        <v>116</v>
      </c>
      <c r="J70" s="17" t="s">
        <v>117</v>
      </c>
      <c r="K70" s="17" t="s">
        <v>327</v>
      </c>
      <c r="L70" s="20"/>
      <c r="M70" s="9"/>
      <c r="N70" s="448"/>
    </row>
    <row r="71" spans="1:14" ht="17.5">
      <c r="A71" s="23"/>
      <c r="B71" s="15">
        <v>116</v>
      </c>
      <c r="C71" s="15">
        <v>140</v>
      </c>
      <c r="D71" s="12" t="e">
        <f>#REF!/#REF!</f>
        <v>#REF!</v>
      </c>
      <c r="E71" s="16">
        <v>970000</v>
      </c>
      <c r="F71" s="15">
        <v>3804</v>
      </c>
      <c r="G71" s="15">
        <v>37</v>
      </c>
      <c r="H71" s="15"/>
      <c r="I71" s="15" t="s">
        <v>423</v>
      </c>
      <c r="J71" s="15" t="s">
        <v>424</v>
      </c>
      <c r="K71" s="15" t="s">
        <v>384</v>
      </c>
      <c r="L71" s="20">
        <v>45918</v>
      </c>
      <c r="M71" s="9"/>
      <c r="N71" s="448"/>
    </row>
    <row r="72" spans="1:14" ht="17.5">
      <c r="A72" s="23"/>
      <c r="B72" s="15">
        <v>117</v>
      </c>
      <c r="C72" s="15">
        <v>183.1</v>
      </c>
      <c r="D72" s="12" t="e">
        <f>#REF!/#REF!</f>
        <v>#REF!</v>
      </c>
      <c r="E72" s="16">
        <v>974025</v>
      </c>
      <c r="F72" s="15">
        <v>3804</v>
      </c>
      <c r="G72" s="15">
        <v>4</v>
      </c>
      <c r="H72" s="15"/>
      <c r="I72" s="15" t="s">
        <v>423</v>
      </c>
      <c r="J72" s="15" t="s">
        <v>424</v>
      </c>
      <c r="K72" s="15" t="s">
        <v>384</v>
      </c>
      <c r="L72" s="20">
        <v>45921</v>
      </c>
      <c r="M72" s="9"/>
      <c r="N72" s="448"/>
    </row>
    <row r="73" spans="1:14" ht="17.5">
      <c r="A73" s="23"/>
      <c r="B73" s="15">
        <v>118</v>
      </c>
      <c r="C73" s="15">
        <v>109.6</v>
      </c>
      <c r="D73" s="12" t="e">
        <f>#REF!/#REF!</f>
        <v>#REF!</v>
      </c>
      <c r="E73" s="16">
        <v>820000</v>
      </c>
      <c r="F73" s="15">
        <v>3121</v>
      </c>
      <c r="G73" s="15">
        <v>2</v>
      </c>
      <c r="H73" s="15"/>
      <c r="I73" s="15" t="s">
        <v>423</v>
      </c>
      <c r="J73" s="15" t="s">
        <v>424</v>
      </c>
      <c r="K73" s="15" t="s">
        <v>384</v>
      </c>
      <c r="L73" s="20">
        <v>45924</v>
      </c>
      <c r="M73" s="9"/>
      <c r="N73" s="448"/>
    </row>
    <row r="74" spans="1:14" ht="17.5">
      <c r="A74" s="23"/>
      <c r="B74" s="15">
        <v>119</v>
      </c>
      <c r="C74" s="15">
        <v>187.8</v>
      </c>
      <c r="D74" s="12" t="e">
        <f>#REF!/#REF!</f>
        <v>#REF!</v>
      </c>
      <c r="E74" s="16">
        <v>1110000</v>
      </c>
      <c r="F74" s="15">
        <v>3966</v>
      </c>
      <c r="G74" s="15">
        <v>1</v>
      </c>
      <c r="H74" s="15"/>
      <c r="I74" s="15" t="s">
        <v>423</v>
      </c>
      <c r="J74" s="15" t="s">
        <v>424</v>
      </c>
      <c r="K74" s="15" t="s">
        <v>384</v>
      </c>
      <c r="L74" s="20">
        <v>45943</v>
      </c>
      <c r="M74" s="9"/>
      <c r="N74" s="448"/>
    </row>
    <row r="75" spans="1:14" ht="17.5">
      <c r="A75" s="23"/>
      <c r="B75" s="15">
        <v>167</v>
      </c>
      <c r="C75" s="15">
        <v>186</v>
      </c>
      <c r="D75" s="12" t="e">
        <f>#REF!/#REF!</f>
        <v>#REF!</v>
      </c>
      <c r="E75" s="16">
        <v>1270000</v>
      </c>
      <c r="F75" s="15">
        <v>3393</v>
      </c>
      <c r="G75" s="15" t="s">
        <v>517</v>
      </c>
      <c r="H75" s="15"/>
      <c r="I75" s="15" t="s">
        <v>519</v>
      </c>
      <c r="J75" s="15" t="s">
        <v>516</v>
      </c>
      <c r="K75" s="15" t="s">
        <v>384</v>
      </c>
      <c r="L75" s="20">
        <v>45979</v>
      </c>
      <c r="M75" s="9"/>
      <c r="N75" s="448"/>
    </row>
    <row r="76" spans="1:14" ht="17.5">
      <c r="A76" s="23"/>
      <c r="B76" s="15">
        <v>168</v>
      </c>
      <c r="C76" s="15">
        <v>129</v>
      </c>
      <c r="D76" s="12" t="e">
        <f>#REF!/#REF!</f>
        <v>#REF!</v>
      </c>
      <c r="E76" s="16">
        <v>739000</v>
      </c>
      <c r="F76" s="15">
        <v>3393</v>
      </c>
      <c r="G76" s="15" t="s">
        <v>518</v>
      </c>
      <c r="H76" s="15"/>
      <c r="I76" s="15" t="s">
        <v>519</v>
      </c>
      <c r="J76" s="15" t="s">
        <v>516</v>
      </c>
      <c r="K76" s="15" t="s">
        <v>384</v>
      </c>
      <c r="L76" s="20">
        <v>45979</v>
      </c>
      <c r="M76" s="9"/>
      <c r="N76" s="448"/>
    </row>
    <row r="77" spans="1:14" ht="17.5">
      <c r="A77" s="23"/>
      <c r="B77" s="15">
        <v>169</v>
      </c>
      <c r="C77" s="15">
        <v>114.3</v>
      </c>
      <c r="D77" s="12" t="e">
        <f>#REF!/#REF!</f>
        <v>#REF!</v>
      </c>
      <c r="E77" s="16">
        <v>1100000</v>
      </c>
      <c r="F77" s="15"/>
      <c r="G77" s="15"/>
      <c r="H77" s="15"/>
      <c r="I77" s="15" t="s">
        <v>520</v>
      </c>
      <c r="J77" s="15" t="s">
        <v>127</v>
      </c>
      <c r="K77" s="15" t="s">
        <v>384</v>
      </c>
      <c r="L77" s="20">
        <v>45972</v>
      </c>
      <c r="M77" s="9"/>
      <c r="N77" s="448"/>
    </row>
    <row r="78" spans="1:14" ht="17.5">
      <c r="A78" s="23"/>
      <c r="B78" s="15">
        <v>170</v>
      </c>
      <c r="C78" s="15">
        <v>131.94</v>
      </c>
      <c r="D78" s="12" t="e">
        <f>#REF!/#REF!</f>
        <v>#REF!</v>
      </c>
      <c r="E78" s="16">
        <v>1800000</v>
      </c>
      <c r="F78" s="15"/>
      <c r="G78" s="15"/>
      <c r="H78" s="15"/>
      <c r="I78" s="15" t="s">
        <v>520</v>
      </c>
      <c r="J78" s="15" t="s">
        <v>127</v>
      </c>
      <c r="K78" s="15" t="s">
        <v>384</v>
      </c>
      <c r="L78" s="20">
        <v>45965</v>
      </c>
      <c r="M78" s="9"/>
      <c r="N78" s="448"/>
    </row>
    <row r="79" spans="1:14" ht="17.5">
      <c r="A79" s="23"/>
      <c r="B79" s="15">
        <v>171</v>
      </c>
      <c r="C79" s="15">
        <v>114.29</v>
      </c>
      <c r="D79" s="12" t="e">
        <f>#REF!/#REF!</f>
        <v>#REF!</v>
      </c>
      <c r="E79" s="16">
        <v>1100000</v>
      </c>
      <c r="F79" s="15"/>
      <c r="G79" s="15"/>
      <c r="H79" s="15"/>
      <c r="I79" s="15" t="s">
        <v>520</v>
      </c>
      <c r="J79" s="15" t="s">
        <v>127</v>
      </c>
      <c r="K79" s="15" t="s">
        <v>384</v>
      </c>
      <c r="L79" s="20">
        <v>45973</v>
      </c>
      <c r="M79" s="9"/>
      <c r="N79" s="448"/>
    </row>
    <row r="80" spans="1:14" ht="17.5">
      <c r="A80" s="23"/>
      <c r="B80" s="15">
        <v>172</v>
      </c>
      <c r="C80" s="15">
        <v>152.79</v>
      </c>
      <c r="D80" s="12" t="e">
        <f>#REF!/#REF!</f>
        <v>#REF!</v>
      </c>
      <c r="E80" s="16">
        <v>2300000</v>
      </c>
      <c r="F80" s="15"/>
      <c r="G80" s="15"/>
      <c r="H80" s="15"/>
      <c r="I80" s="15" t="s">
        <v>520</v>
      </c>
      <c r="J80" s="15" t="s">
        <v>127</v>
      </c>
      <c r="K80" s="15" t="s">
        <v>384</v>
      </c>
      <c r="L80" s="20">
        <v>45973</v>
      </c>
      <c r="M80" s="9"/>
      <c r="N80" s="448"/>
    </row>
    <row r="81" spans="1:14" ht="17.5">
      <c r="A81" s="23"/>
      <c r="B81" s="15">
        <v>259</v>
      </c>
      <c r="C81" s="15">
        <v>41</v>
      </c>
      <c r="D81" s="12" t="e">
        <f>#REF!/#REF!</f>
        <v>#REF!</v>
      </c>
      <c r="E81" s="16">
        <v>1050000</v>
      </c>
      <c r="F81" s="15"/>
      <c r="G81" s="15"/>
      <c r="H81" s="15"/>
      <c r="I81" s="15" t="s">
        <v>621</v>
      </c>
      <c r="J81" s="15"/>
      <c r="K81" s="15" t="s">
        <v>327</v>
      </c>
      <c r="L81" s="20"/>
      <c r="M81" s="9"/>
      <c r="N81" s="448"/>
    </row>
    <row r="82" spans="1:14" ht="17.5">
      <c r="A82" s="23"/>
      <c r="B82" s="15">
        <v>260</v>
      </c>
      <c r="C82" s="15">
        <v>117</v>
      </c>
      <c r="D82" s="12" t="e">
        <f>#REF!/#REF!</f>
        <v>#REF!</v>
      </c>
      <c r="E82" s="16">
        <v>2200000</v>
      </c>
      <c r="F82" s="15"/>
      <c r="G82" s="15"/>
      <c r="H82" s="15"/>
      <c r="I82" s="15" t="s">
        <v>621</v>
      </c>
      <c r="J82" s="15"/>
      <c r="K82" s="15" t="s">
        <v>327</v>
      </c>
      <c r="L82" s="20"/>
      <c r="M82" s="9"/>
      <c r="N82" s="448"/>
    </row>
    <row r="83" spans="1:14" ht="17.5">
      <c r="A83" s="23"/>
      <c r="B83" s="15">
        <v>261</v>
      </c>
      <c r="C83" s="15">
        <v>137</v>
      </c>
      <c r="D83" s="12" t="e">
        <f>#REF!/#REF!</f>
        <v>#REF!</v>
      </c>
      <c r="E83" s="16">
        <v>2700000</v>
      </c>
      <c r="F83" s="15"/>
      <c r="G83" s="15"/>
      <c r="H83" s="15"/>
      <c r="I83" s="15" t="s">
        <v>621</v>
      </c>
      <c r="J83" s="15"/>
      <c r="K83" s="15" t="s">
        <v>327</v>
      </c>
      <c r="L83" s="20"/>
      <c r="M83" s="9"/>
      <c r="N83" s="448"/>
    </row>
    <row r="84" spans="1:14" ht="17.5">
      <c r="A84" s="23"/>
      <c r="B84" s="15">
        <v>262</v>
      </c>
      <c r="C84" s="15">
        <v>92</v>
      </c>
      <c r="D84" s="12" t="e">
        <f>#REF!/#REF!</f>
        <v>#REF!</v>
      </c>
      <c r="E84" s="16">
        <v>1700000</v>
      </c>
      <c r="F84" s="15"/>
      <c r="G84" s="15"/>
      <c r="H84" s="15"/>
      <c r="I84" s="15" t="s">
        <v>621</v>
      </c>
      <c r="J84" s="15"/>
      <c r="K84" s="15" t="s">
        <v>327</v>
      </c>
      <c r="L84" s="20"/>
      <c r="M84" s="9"/>
      <c r="N84" s="448"/>
    </row>
    <row r="85" spans="1:14" ht="17.5">
      <c r="A85" s="23"/>
      <c r="B85" s="15">
        <v>263</v>
      </c>
      <c r="C85" s="15">
        <v>42</v>
      </c>
      <c r="D85" s="12" t="e">
        <f>#REF!/#REF!</f>
        <v>#REF!</v>
      </c>
      <c r="E85" s="16">
        <v>1100000</v>
      </c>
      <c r="F85" s="15"/>
      <c r="G85" s="15"/>
      <c r="H85" s="15"/>
      <c r="I85" s="15" t="s">
        <v>621</v>
      </c>
      <c r="J85" s="15"/>
      <c r="K85" s="15" t="s">
        <v>327</v>
      </c>
      <c r="L85" s="20"/>
      <c r="M85" s="9"/>
      <c r="N85" s="448"/>
    </row>
    <row r="86" spans="1:14" ht="17.5">
      <c r="A86" s="23"/>
      <c r="B86" s="15">
        <v>264</v>
      </c>
      <c r="C86" s="15">
        <v>44</v>
      </c>
      <c r="D86" s="12" t="e">
        <f>#REF!/#REF!</f>
        <v>#REF!</v>
      </c>
      <c r="E86" s="16">
        <v>1500000</v>
      </c>
      <c r="F86" s="15"/>
      <c r="G86" s="15"/>
      <c r="H86" s="15"/>
      <c r="I86" s="15" t="s">
        <v>621</v>
      </c>
      <c r="J86" s="15"/>
      <c r="K86" s="15" t="s">
        <v>327</v>
      </c>
      <c r="L86" s="20"/>
      <c r="M86" s="9"/>
      <c r="N86" s="448"/>
    </row>
    <row r="87" spans="1:14" ht="17.5">
      <c r="A87" s="23"/>
      <c r="B87" s="15">
        <v>265</v>
      </c>
      <c r="C87" s="15">
        <v>99</v>
      </c>
      <c r="D87" s="12" t="e">
        <f>#REF!/#REF!</f>
        <v>#REF!</v>
      </c>
      <c r="E87" s="16">
        <v>2250000</v>
      </c>
      <c r="F87" s="15"/>
      <c r="G87" s="15"/>
      <c r="H87" s="15"/>
      <c r="I87" s="15" t="s">
        <v>621</v>
      </c>
      <c r="J87" s="15"/>
      <c r="K87" s="15" t="s">
        <v>327</v>
      </c>
      <c r="L87" s="20"/>
      <c r="M87" s="9"/>
      <c r="N87" s="448"/>
    </row>
    <row r="88" spans="1:14" ht="17.5">
      <c r="A88" s="23"/>
      <c r="B88" s="15">
        <v>266</v>
      </c>
      <c r="C88" s="15">
        <v>137</v>
      </c>
      <c r="D88" s="12" t="e">
        <f>#REF!/#REF!</f>
        <v>#REF!</v>
      </c>
      <c r="E88" s="16">
        <v>2500000</v>
      </c>
      <c r="F88" s="15"/>
      <c r="G88" s="15"/>
      <c r="H88" s="15"/>
      <c r="I88" s="15" t="s">
        <v>621</v>
      </c>
      <c r="J88" s="15"/>
      <c r="K88" s="15" t="s">
        <v>327</v>
      </c>
      <c r="L88" s="20"/>
      <c r="M88" s="9"/>
      <c r="N88" s="448"/>
    </row>
    <row r="89" spans="1:14" ht="17.5">
      <c r="A89" s="23"/>
      <c r="B89" s="15">
        <v>267</v>
      </c>
      <c r="C89" s="15">
        <v>124</v>
      </c>
      <c r="D89" s="12" t="e">
        <f>#REF!/#REF!</f>
        <v>#REF!</v>
      </c>
      <c r="E89" s="16">
        <v>2200000</v>
      </c>
      <c r="F89" s="15"/>
      <c r="G89" s="15"/>
      <c r="H89" s="15"/>
      <c r="I89" s="15" t="s">
        <v>621</v>
      </c>
      <c r="J89" s="15"/>
      <c r="K89" s="15" t="s">
        <v>327</v>
      </c>
      <c r="L89" s="20"/>
      <c r="M89" s="9"/>
      <c r="N89" s="448"/>
    </row>
    <row r="90" spans="1:14" ht="17.5">
      <c r="A90" s="23"/>
      <c r="B90" s="15">
        <v>268</v>
      </c>
      <c r="C90" s="15">
        <v>137</v>
      </c>
      <c r="D90" s="12" t="e">
        <f>#REF!/#REF!</f>
        <v>#REF!</v>
      </c>
      <c r="E90" s="16">
        <v>3000000</v>
      </c>
      <c r="F90" s="15"/>
      <c r="G90" s="15"/>
      <c r="H90" s="15"/>
      <c r="I90" s="15" t="s">
        <v>621</v>
      </c>
      <c r="J90" s="15"/>
      <c r="K90" s="15" t="s">
        <v>327</v>
      </c>
      <c r="L90" s="20"/>
      <c r="M90" s="9"/>
      <c r="N90" s="448"/>
    </row>
    <row r="91" spans="1:14" ht="17.5">
      <c r="A91" s="23"/>
      <c r="B91" s="15">
        <v>269</v>
      </c>
      <c r="C91" s="15">
        <v>92</v>
      </c>
      <c r="D91" s="12" t="e">
        <f>#REF!/#REF!</f>
        <v>#REF!</v>
      </c>
      <c r="E91" s="16">
        <v>2100000</v>
      </c>
      <c r="F91" s="15"/>
      <c r="G91" s="15"/>
      <c r="H91" s="15"/>
      <c r="I91" s="15" t="s">
        <v>621</v>
      </c>
      <c r="J91" s="15"/>
      <c r="K91" s="15" t="s">
        <v>327</v>
      </c>
      <c r="L91" s="20"/>
      <c r="M91" s="9"/>
      <c r="N91" s="448"/>
    </row>
    <row r="92" spans="1:14" ht="17.5">
      <c r="A92" s="23"/>
      <c r="B92" s="15">
        <v>270</v>
      </c>
      <c r="C92" s="15">
        <v>137</v>
      </c>
      <c r="D92" s="12" t="e">
        <f>#REF!/#REF!</f>
        <v>#REF!</v>
      </c>
      <c r="E92" s="16">
        <v>2850000</v>
      </c>
      <c r="F92" s="15"/>
      <c r="G92" s="15"/>
      <c r="H92" s="15"/>
      <c r="I92" s="15" t="s">
        <v>621</v>
      </c>
      <c r="J92" s="15"/>
      <c r="K92" s="15" t="s">
        <v>327</v>
      </c>
      <c r="L92" s="20"/>
      <c r="M92" s="9"/>
      <c r="N92" s="448"/>
    </row>
    <row r="93" spans="1:14" ht="17.5">
      <c r="A93" s="23"/>
      <c r="B93" s="15">
        <v>271</v>
      </c>
      <c r="C93" s="15">
        <v>217</v>
      </c>
      <c r="D93" s="12" t="e">
        <f>#REF!/#REF!</f>
        <v>#REF!</v>
      </c>
      <c r="E93" s="16">
        <v>4000000</v>
      </c>
      <c r="F93" s="15"/>
      <c r="G93" s="15"/>
      <c r="H93" s="15"/>
      <c r="I93" s="15" t="s">
        <v>621</v>
      </c>
      <c r="J93" s="15"/>
      <c r="K93" s="15" t="s">
        <v>327</v>
      </c>
      <c r="L93" s="20"/>
      <c r="M93" s="9"/>
      <c r="N93" s="448"/>
    </row>
    <row r="94" spans="1:14" ht="17.5">
      <c r="A94" s="23"/>
      <c r="B94" s="15">
        <v>272</v>
      </c>
      <c r="C94" s="15">
        <v>118</v>
      </c>
      <c r="D94" s="12" t="e">
        <f>#REF!/#REF!</f>
        <v>#REF!</v>
      </c>
      <c r="E94" s="16">
        <v>2399999</v>
      </c>
      <c r="F94" s="15"/>
      <c r="G94" s="15"/>
      <c r="H94" s="15"/>
      <c r="I94" s="15" t="s">
        <v>621</v>
      </c>
      <c r="J94" s="15"/>
      <c r="K94" s="15" t="s">
        <v>327</v>
      </c>
      <c r="L94" s="20"/>
      <c r="M94" s="9"/>
      <c r="N94" s="448"/>
    </row>
    <row r="95" spans="1:14" ht="17.5">
      <c r="A95" s="23"/>
      <c r="B95" s="15">
        <v>273</v>
      </c>
      <c r="C95" s="15">
        <v>118</v>
      </c>
      <c r="D95" s="12" t="e">
        <f>#REF!/#REF!</f>
        <v>#REF!</v>
      </c>
      <c r="E95" s="16">
        <v>2200000</v>
      </c>
      <c r="F95" s="15"/>
      <c r="G95" s="15"/>
      <c r="H95" s="15"/>
      <c r="I95" s="15" t="s">
        <v>621</v>
      </c>
      <c r="J95" s="15"/>
      <c r="K95" s="15" t="s">
        <v>327</v>
      </c>
      <c r="L95" s="20"/>
      <c r="M95" s="9"/>
      <c r="N95" s="448"/>
    </row>
    <row r="96" spans="1:14" ht="17.5">
      <c r="A96" s="23"/>
      <c r="B96" s="15">
        <v>138</v>
      </c>
      <c r="C96" s="15">
        <v>88.6</v>
      </c>
      <c r="D96" s="12" t="e">
        <f>#REF!/#REF!</f>
        <v>#REF!</v>
      </c>
      <c r="E96" s="16">
        <v>989000</v>
      </c>
      <c r="F96" s="15">
        <v>2737</v>
      </c>
      <c r="G96" s="15">
        <v>4</v>
      </c>
      <c r="H96" s="15"/>
      <c r="I96" s="15" t="s">
        <v>494</v>
      </c>
      <c r="J96" s="15" t="s">
        <v>127</v>
      </c>
      <c r="K96" s="15" t="s">
        <v>384</v>
      </c>
      <c r="L96" s="20">
        <v>45935</v>
      </c>
      <c r="M96" s="9"/>
      <c r="N96" s="448"/>
    </row>
    <row r="97" spans="1:14" ht="17.5">
      <c r="A97" s="23"/>
      <c r="B97" s="15">
        <v>139</v>
      </c>
      <c r="C97" s="15">
        <v>130.1</v>
      </c>
      <c r="D97" s="12" t="e">
        <f>#REF!/#REF!</f>
        <v>#REF!</v>
      </c>
      <c r="E97" s="16">
        <v>1155000</v>
      </c>
      <c r="F97" s="15">
        <v>2737</v>
      </c>
      <c r="G97" s="15">
        <v>2</v>
      </c>
      <c r="H97" s="15"/>
      <c r="I97" s="15" t="s">
        <v>494</v>
      </c>
      <c r="J97" s="15" t="s">
        <v>127</v>
      </c>
      <c r="K97" s="15" t="s">
        <v>384</v>
      </c>
      <c r="L97" s="20">
        <v>45935</v>
      </c>
      <c r="M97" s="9"/>
      <c r="N97" s="448"/>
    </row>
    <row r="98" spans="1:14" ht="17.5">
      <c r="A98" s="23"/>
      <c r="B98" s="15">
        <v>140</v>
      </c>
      <c r="C98" s="15">
        <v>135.19999999999999</v>
      </c>
      <c r="D98" s="12" t="e">
        <f>#REF!/#REF!</f>
        <v>#REF!</v>
      </c>
      <c r="E98" s="16">
        <v>1340000</v>
      </c>
      <c r="F98" s="15">
        <v>2737</v>
      </c>
      <c r="G98" s="15">
        <v>1938</v>
      </c>
      <c r="H98" s="15"/>
      <c r="I98" s="15" t="s">
        <v>494</v>
      </c>
      <c r="J98" s="15" t="s">
        <v>127</v>
      </c>
      <c r="K98" s="15" t="s">
        <v>384</v>
      </c>
      <c r="L98" s="20">
        <v>45931</v>
      </c>
      <c r="M98" s="9"/>
      <c r="N98" s="448"/>
    </row>
    <row r="99" spans="1:14" ht="17.5">
      <c r="A99" s="23"/>
      <c r="B99" s="15">
        <v>141</v>
      </c>
      <c r="C99" s="15">
        <v>186.5</v>
      </c>
      <c r="D99" s="12" t="e">
        <f>#REF!/#REF!</f>
        <v>#REF!</v>
      </c>
      <c r="E99" s="16">
        <v>830000</v>
      </c>
      <c r="F99" s="15">
        <v>2737</v>
      </c>
      <c r="G99" s="15">
        <v>2</v>
      </c>
      <c r="H99" s="15"/>
      <c r="I99" s="15" t="s">
        <v>494</v>
      </c>
      <c r="J99" s="15" t="s">
        <v>127</v>
      </c>
      <c r="K99" s="15" t="s">
        <v>384</v>
      </c>
      <c r="L99" s="20">
        <v>45927</v>
      </c>
      <c r="M99" s="9"/>
      <c r="N99" s="448"/>
    </row>
    <row r="100" spans="1:14" ht="17.5">
      <c r="A100" s="23"/>
      <c r="B100" s="15">
        <v>142</v>
      </c>
      <c r="C100" s="15">
        <v>110.6</v>
      </c>
      <c r="D100" s="12" t="e">
        <f>#REF!/#REF!</f>
        <v>#REF!</v>
      </c>
      <c r="E100" s="16">
        <v>1169000</v>
      </c>
      <c r="F100" s="15">
        <v>2737</v>
      </c>
      <c r="G100" s="15">
        <v>5</v>
      </c>
      <c r="H100" s="15"/>
      <c r="I100" s="15" t="s">
        <v>494</v>
      </c>
      <c r="J100" s="15" t="s">
        <v>127</v>
      </c>
      <c r="K100" s="15" t="s">
        <v>384</v>
      </c>
      <c r="L100" s="20">
        <v>45922</v>
      </c>
      <c r="M100" s="9"/>
      <c r="N100" s="448"/>
    </row>
    <row r="101" spans="1:14" ht="17.5">
      <c r="A101" s="23"/>
      <c r="B101" s="15">
        <v>143</v>
      </c>
      <c r="C101" s="15">
        <v>130.1</v>
      </c>
      <c r="D101" s="12" t="e">
        <f>#REF!/#REF!</f>
        <v>#REF!</v>
      </c>
      <c r="E101" s="16">
        <v>1145000</v>
      </c>
      <c r="F101" s="15">
        <v>2737</v>
      </c>
      <c r="G101" s="15">
        <v>2</v>
      </c>
      <c r="H101" s="15"/>
      <c r="I101" s="15" t="s">
        <v>494</v>
      </c>
      <c r="J101" s="15" t="s">
        <v>127</v>
      </c>
      <c r="K101" s="15" t="s">
        <v>384</v>
      </c>
      <c r="L101" s="20">
        <v>45921</v>
      </c>
      <c r="M101" s="9"/>
      <c r="N101" s="448"/>
    </row>
    <row r="102" spans="1:14" ht="17.5">
      <c r="A102" s="23"/>
      <c r="B102" s="15">
        <v>144</v>
      </c>
      <c r="C102" s="15">
        <v>152</v>
      </c>
      <c r="D102" s="12" t="e">
        <f>#REF!/#REF!</f>
        <v>#REF!</v>
      </c>
      <c r="E102" s="16">
        <v>1150000</v>
      </c>
      <c r="F102" s="15">
        <v>2737</v>
      </c>
      <c r="G102" s="15">
        <v>2</v>
      </c>
      <c r="H102" s="15"/>
      <c r="I102" s="15" t="s">
        <v>494</v>
      </c>
      <c r="J102" s="15" t="s">
        <v>127</v>
      </c>
      <c r="K102" s="15" t="s">
        <v>384</v>
      </c>
      <c r="L102" s="20">
        <v>45909</v>
      </c>
      <c r="M102" s="9"/>
      <c r="N102" s="448"/>
    </row>
    <row r="103" spans="1:14" ht="17.5">
      <c r="A103" s="23"/>
      <c r="B103" s="15">
        <v>145</v>
      </c>
      <c r="C103" s="15">
        <v>115.2</v>
      </c>
      <c r="D103" s="12" t="e">
        <f>#REF!/#REF!</f>
        <v>#REF!</v>
      </c>
      <c r="E103" s="16">
        <v>960000</v>
      </c>
      <c r="F103" s="15">
        <v>2737</v>
      </c>
      <c r="G103" s="15">
        <v>5</v>
      </c>
      <c r="H103" s="15"/>
      <c r="I103" s="15" t="s">
        <v>494</v>
      </c>
      <c r="J103" s="15" t="s">
        <v>127</v>
      </c>
      <c r="K103" s="15" t="s">
        <v>384</v>
      </c>
      <c r="L103" s="20">
        <v>45908</v>
      </c>
      <c r="M103" s="9"/>
      <c r="N103" s="448"/>
    </row>
    <row r="104" spans="1:14" ht="17.5">
      <c r="A104" s="23"/>
      <c r="B104" s="15">
        <v>146</v>
      </c>
      <c r="C104" s="15">
        <v>155.5</v>
      </c>
      <c r="D104" s="12" t="e">
        <f>#REF!/#REF!</f>
        <v>#REF!</v>
      </c>
      <c r="E104" s="16">
        <v>1280000</v>
      </c>
      <c r="F104" s="15">
        <v>2737</v>
      </c>
      <c r="G104" s="15">
        <v>3</v>
      </c>
      <c r="H104" s="15"/>
      <c r="I104" s="15" t="s">
        <v>494</v>
      </c>
      <c r="J104" s="15" t="s">
        <v>127</v>
      </c>
      <c r="K104" s="15" t="s">
        <v>384</v>
      </c>
      <c r="L104" s="20">
        <v>45907</v>
      </c>
      <c r="M104" s="9"/>
      <c r="N104" s="448"/>
    </row>
    <row r="105" spans="1:14" ht="17.5">
      <c r="A105" s="23"/>
      <c r="B105" s="15">
        <v>147</v>
      </c>
      <c r="C105" s="15">
        <v>158.5</v>
      </c>
      <c r="D105" s="12" t="e">
        <f>#REF!/#REF!</f>
        <v>#REF!</v>
      </c>
      <c r="E105" s="16">
        <v>1470000</v>
      </c>
      <c r="F105" s="15">
        <v>2737</v>
      </c>
      <c r="G105" s="15">
        <v>2</v>
      </c>
      <c r="H105" s="15"/>
      <c r="I105" s="15" t="s">
        <v>494</v>
      </c>
      <c r="J105" s="15" t="s">
        <v>127</v>
      </c>
      <c r="K105" s="15" t="s">
        <v>384</v>
      </c>
      <c r="L105" s="20">
        <v>45904</v>
      </c>
      <c r="M105" s="9"/>
      <c r="N105" s="448"/>
    </row>
    <row r="106" spans="1:14" ht="17.5">
      <c r="A106" s="23"/>
      <c r="B106" s="15">
        <v>148</v>
      </c>
      <c r="C106" s="15">
        <v>132</v>
      </c>
      <c r="D106" s="12" t="e">
        <f>#REF!/#REF!</f>
        <v>#REF!</v>
      </c>
      <c r="E106" s="16">
        <v>1200000</v>
      </c>
      <c r="F106" s="15"/>
      <c r="G106" s="15"/>
      <c r="H106" s="15"/>
      <c r="I106" s="15" t="s">
        <v>494</v>
      </c>
      <c r="J106" s="15" t="s">
        <v>127</v>
      </c>
      <c r="K106" s="15" t="s">
        <v>327</v>
      </c>
      <c r="L106" s="20"/>
      <c r="M106" s="9"/>
      <c r="N106" s="448"/>
    </row>
    <row r="107" spans="1:14" ht="17.5">
      <c r="A107" s="23"/>
      <c r="B107" s="15">
        <v>149</v>
      </c>
      <c r="C107" s="15">
        <v>121</v>
      </c>
      <c r="D107" s="12" t="e">
        <f>#REF!/#REF!</f>
        <v>#REF!</v>
      </c>
      <c r="E107" s="16">
        <v>1150000</v>
      </c>
      <c r="F107" s="15"/>
      <c r="G107" s="15"/>
      <c r="H107" s="15"/>
      <c r="I107" s="15" t="s">
        <v>494</v>
      </c>
      <c r="J107" s="15" t="s">
        <v>127</v>
      </c>
      <c r="K107" s="15" t="s">
        <v>327</v>
      </c>
      <c r="L107" s="20"/>
      <c r="M107" s="9"/>
      <c r="N107" s="448"/>
    </row>
    <row r="108" spans="1:14" ht="17.5">
      <c r="A108" s="23"/>
      <c r="B108" s="15">
        <v>150</v>
      </c>
      <c r="C108" s="15">
        <v>132</v>
      </c>
      <c r="D108" s="12" t="e">
        <f>#REF!/#REF!</f>
        <v>#REF!</v>
      </c>
      <c r="E108" s="16">
        <v>1200000</v>
      </c>
      <c r="F108" s="15"/>
      <c r="G108" s="15"/>
      <c r="H108" s="15"/>
      <c r="I108" s="15" t="s">
        <v>494</v>
      </c>
      <c r="J108" s="15" t="s">
        <v>127</v>
      </c>
      <c r="K108" s="15" t="s">
        <v>327</v>
      </c>
      <c r="L108" s="20"/>
      <c r="M108" s="9"/>
      <c r="N108" s="448"/>
    </row>
    <row r="109" spans="1:14" ht="17.5">
      <c r="A109" s="23"/>
      <c r="B109" s="15">
        <v>151</v>
      </c>
      <c r="C109" s="15">
        <v>187</v>
      </c>
      <c r="D109" s="12" t="e">
        <f>#REF!/#REF!</f>
        <v>#REF!</v>
      </c>
      <c r="E109" s="16">
        <v>1300000</v>
      </c>
      <c r="F109" s="15"/>
      <c r="G109" s="15"/>
      <c r="H109" s="15"/>
      <c r="I109" s="15" t="s">
        <v>494</v>
      </c>
      <c r="J109" s="15" t="s">
        <v>127</v>
      </c>
      <c r="K109" s="15" t="s">
        <v>327</v>
      </c>
      <c r="L109" s="20"/>
      <c r="M109" s="9"/>
      <c r="N109" s="448"/>
    </row>
    <row r="110" spans="1:14" ht="17.5">
      <c r="A110" s="23"/>
      <c r="B110" s="15">
        <v>152</v>
      </c>
      <c r="C110" s="15">
        <v>170</v>
      </c>
      <c r="D110" s="12" t="e">
        <f>#REF!/#REF!</f>
        <v>#REF!</v>
      </c>
      <c r="E110" s="16">
        <v>1470000</v>
      </c>
      <c r="F110" s="15"/>
      <c r="G110" s="15"/>
      <c r="H110" s="15"/>
      <c r="I110" s="15" t="s">
        <v>494</v>
      </c>
      <c r="J110" s="15" t="s">
        <v>127</v>
      </c>
      <c r="K110" s="15" t="s">
        <v>327</v>
      </c>
      <c r="L110" s="20"/>
      <c r="M110" s="9"/>
      <c r="N110" s="448"/>
    </row>
    <row r="111" spans="1:14" ht="17.5">
      <c r="A111" s="23"/>
      <c r="B111" s="15">
        <v>153</v>
      </c>
      <c r="C111" s="15">
        <v>130</v>
      </c>
      <c r="D111" s="12" t="e">
        <f>#REF!/#REF!</f>
        <v>#REF!</v>
      </c>
      <c r="E111" s="16">
        <v>1250000</v>
      </c>
      <c r="F111" s="15"/>
      <c r="G111" s="15"/>
      <c r="H111" s="15"/>
      <c r="I111" s="15" t="s">
        <v>494</v>
      </c>
      <c r="J111" s="15" t="s">
        <v>127</v>
      </c>
      <c r="K111" s="15" t="s">
        <v>327</v>
      </c>
      <c r="L111" s="20"/>
      <c r="M111" s="9"/>
      <c r="N111" s="448"/>
    </row>
    <row r="112" spans="1:14" ht="17.5">
      <c r="A112" s="23"/>
      <c r="B112" s="15">
        <v>120</v>
      </c>
      <c r="C112" s="15">
        <v>158.80000000000001</v>
      </c>
      <c r="D112" s="12" t="e">
        <f>#REF!/#REF!</f>
        <v>#REF!</v>
      </c>
      <c r="E112" s="16">
        <v>660000</v>
      </c>
      <c r="F112" s="15">
        <v>3532</v>
      </c>
      <c r="G112" s="15"/>
      <c r="H112" s="15"/>
      <c r="I112" s="15" t="s">
        <v>425</v>
      </c>
      <c r="J112" s="15" t="s">
        <v>426</v>
      </c>
      <c r="K112" s="15" t="s">
        <v>384</v>
      </c>
      <c r="L112" s="20">
        <v>45963</v>
      </c>
      <c r="M112" s="9"/>
      <c r="N112" s="448"/>
    </row>
    <row r="113" spans="1:14" ht="17.5">
      <c r="A113" s="23"/>
      <c r="B113" s="15">
        <v>121</v>
      </c>
      <c r="C113" s="15">
        <v>73.599999999999994</v>
      </c>
      <c r="D113" s="12" t="e">
        <f>#REF!/#REF!</f>
        <v>#REF!</v>
      </c>
      <c r="E113" s="16">
        <v>350000</v>
      </c>
      <c r="F113" s="15">
        <v>3532</v>
      </c>
      <c r="G113" s="15"/>
      <c r="H113" s="15"/>
      <c r="I113" s="15" t="s">
        <v>425</v>
      </c>
      <c r="J113" s="15" t="s">
        <v>426</v>
      </c>
      <c r="K113" s="15" t="s">
        <v>384</v>
      </c>
      <c r="L113" s="20">
        <v>45959</v>
      </c>
      <c r="M113" s="9"/>
      <c r="N113" s="448"/>
    </row>
    <row r="114" spans="1:14" ht="17.5">
      <c r="A114" s="23"/>
      <c r="B114" s="15">
        <v>122</v>
      </c>
      <c r="C114" s="15">
        <v>310.10000000000002</v>
      </c>
      <c r="D114" s="12" t="e">
        <f>#REF!/#REF!</f>
        <v>#REF!</v>
      </c>
      <c r="E114" s="16">
        <v>900000</v>
      </c>
      <c r="F114" s="15">
        <v>3532</v>
      </c>
      <c r="G114" s="15"/>
      <c r="H114" s="15"/>
      <c r="I114" s="15" t="s">
        <v>425</v>
      </c>
      <c r="J114" s="15" t="s">
        <v>426</v>
      </c>
      <c r="K114" s="15" t="s">
        <v>384</v>
      </c>
      <c r="L114" s="20">
        <v>45957</v>
      </c>
      <c r="M114" s="9"/>
      <c r="N114" s="448"/>
    </row>
    <row r="115" spans="1:14" ht="17.5">
      <c r="A115" s="23"/>
      <c r="B115" s="15">
        <v>123</v>
      </c>
      <c r="C115" s="15">
        <v>178.5</v>
      </c>
      <c r="D115" s="12" t="e">
        <f>#REF!/#REF!</f>
        <v>#REF!</v>
      </c>
      <c r="E115" s="16">
        <v>1163220</v>
      </c>
      <c r="F115" s="15">
        <v>3532</v>
      </c>
      <c r="G115" s="15"/>
      <c r="H115" s="15"/>
      <c r="I115" s="15" t="s">
        <v>425</v>
      </c>
      <c r="J115" s="15" t="s">
        <v>426</v>
      </c>
      <c r="K115" s="15" t="s">
        <v>384</v>
      </c>
      <c r="L115" s="20">
        <v>45949</v>
      </c>
      <c r="M115" s="9"/>
      <c r="N115" s="448"/>
    </row>
    <row r="116" spans="1:14" ht="17.5">
      <c r="A116" s="23"/>
      <c r="B116" s="15">
        <v>124</v>
      </c>
      <c r="C116" s="15">
        <v>101.8</v>
      </c>
      <c r="D116" s="12" t="e">
        <f>#REF!/#REF!</f>
        <v>#REF!</v>
      </c>
      <c r="E116" s="16">
        <v>445000</v>
      </c>
      <c r="F116" s="15">
        <v>3532</v>
      </c>
      <c r="G116" s="15"/>
      <c r="H116" s="15"/>
      <c r="I116" s="15" t="s">
        <v>425</v>
      </c>
      <c r="J116" s="15" t="s">
        <v>426</v>
      </c>
      <c r="K116" s="15" t="s">
        <v>384</v>
      </c>
      <c r="L116" s="20">
        <v>45944</v>
      </c>
      <c r="M116" s="9"/>
      <c r="N116" s="448"/>
    </row>
    <row r="117" spans="1:14" ht="17.5">
      <c r="A117" s="23"/>
      <c r="B117" s="15">
        <v>125</v>
      </c>
      <c r="C117" s="15">
        <v>172.4</v>
      </c>
      <c r="D117" s="12" t="e">
        <f>#REF!/#REF!</f>
        <v>#REF!</v>
      </c>
      <c r="E117" s="16">
        <v>550000</v>
      </c>
      <c r="F117" s="15">
        <v>3532</v>
      </c>
      <c r="G117" s="15"/>
      <c r="H117" s="15"/>
      <c r="I117" s="15" t="s">
        <v>425</v>
      </c>
      <c r="J117" s="15" t="s">
        <v>426</v>
      </c>
      <c r="K117" s="15" t="s">
        <v>384</v>
      </c>
      <c r="L117" s="20">
        <v>45940</v>
      </c>
      <c r="M117" s="9"/>
      <c r="N117" s="448"/>
    </row>
    <row r="118" spans="1:14" ht="17.5">
      <c r="A118" s="23"/>
      <c r="B118" s="15">
        <v>281</v>
      </c>
      <c r="C118" s="15">
        <v>151</v>
      </c>
      <c r="D118" s="12" t="e">
        <f>#REF!/#REF!</f>
        <v>#REF!</v>
      </c>
      <c r="E118" s="16">
        <v>1050000</v>
      </c>
      <c r="F118" s="15"/>
      <c r="G118" s="15"/>
      <c r="H118" s="15"/>
      <c r="I118" s="15" t="s">
        <v>635</v>
      </c>
      <c r="J118" s="15"/>
      <c r="K118" s="15" t="s">
        <v>327</v>
      </c>
      <c r="L118" s="20"/>
      <c r="M118" s="9"/>
      <c r="N118" s="448"/>
    </row>
    <row r="119" spans="1:14" ht="17.5">
      <c r="A119" s="23"/>
      <c r="B119" s="15">
        <v>282</v>
      </c>
      <c r="C119" s="15">
        <v>120</v>
      </c>
      <c r="D119" s="12" t="e">
        <f>#REF!/#REF!</f>
        <v>#REF!</v>
      </c>
      <c r="E119" s="16">
        <v>1500000</v>
      </c>
      <c r="F119" s="15"/>
      <c r="G119" s="15"/>
      <c r="H119" s="15"/>
      <c r="I119" s="15" t="s">
        <v>635</v>
      </c>
      <c r="J119" s="15"/>
      <c r="K119" s="15" t="s">
        <v>327</v>
      </c>
      <c r="L119" s="20"/>
      <c r="M119" s="9"/>
      <c r="N119" s="448"/>
    </row>
    <row r="120" spans="1:14" ht="17.5">
      <c r="A120" s="23"/>
      <c r="B120" s="15">
        <v>283</v>
      </c>
      <c r="C120" s="15">
        <v>146</v>
      </c>
      <c r="D120" s="12" t="e">
        <f>#REF!/#REF!</f>
        <v>#REF!</v>
      </c>
      <c r="E120" s="16">
        <v>1773645</v>
      </c>
      <c r="F120" s="15"/>
      <c r="G120" s="15"/>
      <c r="H120" s="15"/>
      <c r="I120" s="15" t="s">
        <v>635</v>
      </c>
      <c r="J120" s="15"/>
      <c r="K120" s="15" t="s">
        <v>327</v>
      </c>
      <c r="L120" s="20"/>
      <c r="M120" s="9"/>
      <c r="N120" s="448"/>
    </row>
    <row r="121" spans="1:14" ht="17.5">
      <c r="A121" s="23"/>
      <c r="B121" s="15">
        <v>284</v>
      </c>
      <c r="C121" s="15">
        <v>139</v>
      </c>
      <c r="D121" s="12" t="e">
        <f>#REF!/#REF!</f>
        <v>#REF!</v>
      </c>
      <c r="E121" s="16">
        <v>1390000</v>
      </c>
      <c r="F121" s="15"/>
      <c r="G121" s="15"/>
      <c r="H121" s="15"/>
      <c r="I121" s="15" t="s">
        <v>635</v>
      </c>
      <c r="J121" s="15"/>
      <c r="K121" s="15" t="s">
        <v>327</v>
      </c>
      <c r="L121" s="20"/>
      <c r="M121" s="9"/>
      <c r="N121" s="448"/>
    </row>
    <row r="122" spans="1:14" ht="17.5">
      <c r="A122" s="23"/>
      <c r="B122" s="15">
        <v>285</v>
      </c>
      <c r="C122" s="15">
        <v>137</v>
      </c>
      <c r="D122" s="12" t="e">
        <f>#REF!/#REF!</f>
        <v>#REF!</v>
      </c>
      <c r="E122" s="16">
        <v>1580000</v>
      </c>
      <c r="F122" s="15"/>
      <c r="G122" s="15"/>
      <c r="H122" s="15"/>
      <c r="I122" s="15" t="s">
        <v>635</v>
      </c>
      <c r="J122" s="15"/>
      <c r="K122" s="15" t="s">
        <v>327</v>
      </c>
      <c r="L122" s="20"/>
      <c r="M122" s="9"/>
      <c r="N122" s="448"/>
    </row>
    <row r="123" spans="1:14" ht="17.5">
      <c r="A123" s="23"/>
      <c r="B123" s="15">
        <v>286</v>
      </c>
      <c r="C123" s="15">
        <v>137</v>
      </c>
      <c r="D123" s="12" t="e">
        <f>#REF!/#REF!</f>
        <v>#REF!</v>
      </c>
      <c r="E123" s="16">
        <v>1579760</v>
      </c>
      <c r="F123" s="15"/>
      <c r="G123" s="15"/>
      <c r="H123" s="15"/>
      <c r="I123" s="15" t="s">
        <v>635</v>
      </c>
      <c r="J123" s="15"/>
      <c r="K123" s="15" t="s">
        <v>327</v>
      </c>
      <c r="L123" s="20"/>
      <c r="M123" s="9"/>
      <c r="N123" s="448"/>
    </row>
    <row r="124" spans="1:14" ht="17.5">
      <c r="A124" s="23"/>
      <c r="B124" s="15">
        <v>287</v>
      </c>
      <c r="C124" s="15">
        <v>108</v>
      </c>
      <c r="D124" s="12" t="e">
        <f>#REF!/#REF!</f>
        <v>#REF!</v>
      </c>
      <c r="E124" s="16">
        <v>1250000</v>
      </c>
      <c r="F124" s="15"/>
      <c r="G124" s="15"/>
      <c r="H124" s="15"/>
      <c r="I124" s="15" t="s">
        <v>635</v>
      </c>
      <c r="J124" s="15"/>
      <c r="K124" s="15" t="s">
        <v>327</v>
      </c>
      <c r="L124" s="20"/>
      <c r="M124" s="9"/>
      <c r="N124" s="448"/>
    </row>
    <row r="125" spans="1:14" ht="17.5">
      <c r="A125" s="23"/>
      <c r="B125" s="15">
        <v>288</v>
      </c>
      <c r="C125" s="15">
        <v>152</v>
      </c>
      <c r="D125" s="12" t="e">
        <f>#REF!/#REF!</f>
        <v>#REF!</v>
      </c>
      <c r="E125" s="16">
        <v>1050000</v>
      </c>
      <c r="F125" s="15"/>
      <c r="G125" s="15"/>
      <c r="H125" s="15"/>
      <c r="I125" s="15" t="s">
        <v>635</v>
      </c>
      <c r="J125" s="15"/>
      <c r="K125" s="15" t="s">
        <v>327</v>
      </c>
      <c r="L125" s="20"/>
      <c r="M125" s="9"/>
      <c r="N125" s="448"/>
    </row>
    <row r="126" spans="1:14" ht="17.5">
      <c r="A126" s="23"/>
      <c r="B126" s="15">
        <v>289</v>
      </c>
      <c r="C126" s="15">
        <v>137.30000000000001</v>
      </c>
      <c r="D126" s="12" t="e">
        <f>#REF!/#REF!</f>
        <v>#REF!</v>
      </c>
      <c r="E126" s="16">
        <v>1550000</v>
      </c>
      <c r="F126" s="15">
        <v>2460</v>
      </c>
      <c r="G126" s="15">
        <v>1959</v>
      </c>
      <c r="H126" s="15"/>
      <c r="I126" s="15" t="s">
        <v>635</v>
      </c>
      <c r="J126" s="15"/>
      <c r="K126" s="15" t="s">
        <v>384</v>
      </c>
      <c r="L126" s="20">
        <v>45941</v>
      </c>
      <c r="M126" s="9"/>
      <c r="N126" s="448"/>
    </row>
    <row r="127" spans="1:14" ht="17.5">
      <c r="A127" s="23"/>
      <c r="B127" s="15">
        <v>290</v>
      </c>
      <c r="C127" s="15">
        <v>126.4</v>
      </c>
      <c r="D127" s="12" t="e">
        <f>#REF!/#REF!</f>
        <v>#REF!</v>
      </c>
      <c r="E127" s="16">
        <v>940000</v>
      </c>
      <c r="F127" s="15">
        <v>3858</v>
      </c>
      <c r="G127" s="15">
        <v>6</v>
      </c>
      <c r="H127" s="15"/>
      <c r="I127" s="15" t="s">
        <v>635</v>
      </c>
      <c r="J127" s="15"/>
      <c r="K127" s="15" t="s">
        <v>384</v>
      </c>
      <c r="L127" s="20">
        <v>46005</v>
      </c>
      <c r="M127" s="9"/>
      <c r="N127" s="448"/>
    </row>
    <row r="128" spans="1:14" ht="17.5">
      <c r="A128" s="23"/>
      <c r="B128" s="15">
        <v>291</v>
      </c>
      <c r="C128" s="15">
        <v>131.19999999999999</v>
      </c>
      <c r="D128" s="12" t="e">
        <f>#REF!/#REF!</f>
        <v>#REF!</v>
      </c>
      <c r="E128" s="16">
        <v>1400000</v>
      </c>
      <c r="F128" s="15">
        <v>3786</v>
      </c>
      <c r="G128" s="15">
        <v>5</v>
      </c>
      <c r="H128" s="15"/>
      <c r="I128" s="15" t="s">
        <v>635</v>
      </c>
      <c r="J128" s="15"/>
      <c r="K128" s="15" t="s">
        <v>384</v>
      </c>
      <c r="L128" s="20">
        <v>45999</v>
      </c>
      <c r="M128" s="9"/>
      <c r="N128" s="448"/>
    </row>
    <row r="129" spans="1:14" ht="17.5">
      <c r="A129" s="23"/>
      <c r="B129" s="15">
        <v>292</v>
      </c>
      <c r="C129" s="15">
        <v>133.9</v>
      </c>
      <c r="D129" s="12" t="e">
        <f>#REF!/#REF!</f>
        <v>#REF!</v>
      </c>
      <c r="E129" s="16">
        <v>700000</v>
      </c>
      <c r="F129" s="15"/>
      <c r="G129" s="15"/>
      <c r="H129" s="15"/>
      <c r="I129" s="15" t="s">
        <v>635</v>
      </c>
      <c r="J129" s="15"/>
      <c r="K129" s="15" t="s">
        <v>384</v>
      </c>
      <c r="L129" s="20">
        <v>45966</v>
      </c>
      <c r="M129" s="9"/>
      <c r="N129" s="448"/>
    </row>
    <row r="130" spans="1:14" ht="17.5">
      <c r="A130" s="23"/>
      <c r="B130" s="15">
        <v>355</v>
      </c>
      <c r="C130" s="15">
        <v>115.1</v>
      </c>
      <c r="D130" s="12" t="e">
        <f>#REF!/#REF!</f>
        <v>#REF!</v>
      </c>
      <c r="E130" s="16">
        <v>1200000</v>
      </c>
      <c r="F130" s="15" t="s">
        <v>854</v>
      </c>
      <c r="G130" s="15"/>
      <c r="H130" s="15"/>
      <c r="I130" s="15" t="s">
        <v>853</v>
      </c>
      <c r="J130" s="15" t="s">
        <v>848</v>
      </c>
      <c r="K130" s="15" t="s">
        <v>384</v>
      </c>
      <c r="L130" s="20">
        <v>45902</v>
      </c>
      <c r="M130" s="9"/>
      <c r="N130" s="448"/>
    </row>
    <row r="131" spans="1:14" ht="17.5">
      <c r="A131" s="23"/>
      <c r="B131" s="15">
        <v>356</v>
      </c>
      <c r="C131" s="15">
        <v>126.1</v>
      </c>
      <c r="D131" s="12" t="e">
        <f>#REF!/#REF!</f>
        <v>#REF!</v>
      </c>
      <c r="E131" s="16">
        <v>960000</v>
      </c>
      <c r="F131" s="15" t="s">
        <v>854</v>
      </c>
      <c r="G131" s="15"/>
      <c r="H131" s="15"/>
      <c r="I131" s="15" t="s">
        <v>853</v>
      </c>
      <c r="J131" s="15" t="s">
        <v>848</v>
      </c>
      <c r="K131" s="15" t="s">
        <v>384</v>
      </c>
      <c r="L131" s="20">
        <v>45907</v>
      </c>
      <c r="M131" s="9"/>
      <c r="N131" s="448"/>
    </row>
    <row r="132" spans="1:14" ht="17.5">
      <c r="A132" s="23"/>
      <c r="B132" s="15">
        <v>357</v>
      </c>
      <c r="C132" s="15">
        <v>122.8</v>
      </c>
      <c r="D132" s="12" t="e">
        <f>#REF!/#REF!</f>
        <v>#REF!</v>
      </c>
      <c r="E132" s="16">
        <v>1409224</v>
      </c>
      <c r="F132" s="15" t="s">
        <v>854</v>
      </c>
      <c r="G132" s="15"/>
      <c r="H132" s="15"/>
      <c r="I132" s="15" t="s">
        <v>853</v>
      </c>
      <c r="J132" s="15" t="s">
        <v>848</v>
      </c>
      <c r="K132" s="15" t="s">
        <v>384</v>
      </c>
      <c r="L132" s="20">
        <v>45910</v>
      </c>
      <c r="M132" s="9"/>
      <c r="N132" s="448"/>
    </row>
    <row r="133" spans="1:14" ht="17.5">
      <c r="A133" s="23"/>
      <c r="B133" s="15">
        <v>358</v>
      </c>
      <c r="C133" s="15">
        <v>188.6</v>
      </c>
      <c r="D133" s="12" t="e">
        <f>#REF!/#REF!</f>
        <v>#REF!</v>
      </c>
      <c r="E133" s="16">
        <v>2065000</v>
      </c>
      <c r="F133" s="15" t="s">
        <v>854</v>
      </c>
      <c r="G133" s="15"/>
      <c r="H133" s="15"/>
      <c r="I133" s="15" t="s">
        <v>853</v>
      </c>
      <c r="J133" s="15" t="s">
        <v>848</v>
      </c>
      <c r="K133" s="15" t="s">
        <v>384</v>
      </c>
      <c r="L133" s="20">
        <v>45910</v>
      </c>
      <c r="M133" s="9"/>
      <c r="N133" s="448"/>
    </row>
    <row r="134" spans="1:14" ht="17.5">
      <c r="A134" s="23"/>
      <c r="B134" s="15">
        <v>359</v>
      </c>
      <c r="C134" s="15">
        <v>55.2</v>
      </c>
      <c r="D134" s="12" t="e">
        <f>#REF!/#REF!</f>
        <v>#REF!</v>
      </c>
      <c r="E134" s="16">
        <v>475000</v>
      </c>
      <c r="F134" s="15" t="s">
        <v>854</v>
      </c>
      <c r="G134" s="15"/>
      <c r="H134" s="15"/>
      <c r="I134" s="15" t="s">
        <v>853</v>
      </c>
      <c r="J134" s="15" t="s">
        <v>848</v>
      </c>
      <c r="K134" s="15" t="s">
        <v>384</v>
      </c>
      <c r="L134" s="20">
        <v>45911</v>
      </c>
      <c r="M134" s="9"/>
      <c r="N134" s="448"/>
    </row>
    <row r="135" spans="1:14" ht="17.5">
      <c r="A135" s="23"/>
      <c r="B135" s="15">
        <v>360</v>
      </c>
      <c r="C135" s="15">
        <v>154.6</v>
      </c>
      <c r="D135" s="12" t="e">
        <f>#REF!/#REF!</f>
        <v>#REF!</v>
      </c>
      <c r="E135" s="16">
        <v>1650000</v>
      </c>
      <c r="F135" s="15" t="s">
        <v>854</v>
      </c>
      <c r="G135" s="15"/>
      <c r="H135" s="15"/>
      <c r="I135" s="15" t="s">
        <v>853</v>
      </c>
      <c r="J135" s="15" t="s">
        <v>848</v>
      </c>
      <c r="K135" s="15" t="s">
        <v>384</v>
      </c>
      <c r="L135" s="20">
        <v>45918</v>
      </c>
      <c r="M135" s="9"/>
      <c r="N135" s="448"/>
    </row>
    <row r="136" spans="1:14" ht="17.5">
      <c r="A136" s="23"/>
      <c r="B136" s="15">
        <v>361</v>
      </c>
      <c r="C136" s="15">
        <v>208.9</v>
      </c>
      <c r="D136" s="12" t="e">
        <f>#REF!/#REF!</f>
        <v>#REF!</v>
      </c>
      <c r="E136" s="16">
        <v>1850000</v>
      </c>
      <c r="F136" s="15" t="s">
        <v>854</v>
      </c>
      <c r="G136" s="15"/>
      <c r="H136" s="15"/>
      <c r="I136" s="15" t="s">
        <v>853</v>
      </c>
      <c r="J136" s="15" t="s">
        <v>848</v>
      </c>
      <c r="K136" s="15" t="s">
        <v>384</v>
      </c>
      <c r="L136" s="20">
        <v>45924</v>
      </c>
      <c r="M136" s="9"/>
      <c r="N136" s="448"/>
    </row>
    <row r="137" spans="1:14" ht="17.5">
      <c r="A137" s="23"/>
      <c r="B137" s="15">
        <v>362</v>
      </c>
      <c r="C137" s="15">
        <v>208.1</v>
      </c>
      <c r="D137" s="12" t="e">
        <f>#REF!/#REF!</f>
        <v>#REF!</v>
      </c>
      <c r="E137" s="16">
        <v>1500000</v>
      </c>
      <c r="F137" s="15" t="s">
        <v>854</v>
      </c>
      <c r="G137" s="15"/>
      <c r="H137" s="15"/>
      <c r="I137" s="15" t="s">
        <v>853</v>
      </c>
      <c r="J137" s="15" t="s">
        <v>848</v>
      </c>
      <c r="K137" s="15" t="s">
        <v>384</v>
      </c>
      <c r="L137" s="20">
        <v>45952</v>
      </c>
      <c r="M137" s="9"/>
      <c r="N137" s="448"/>
    </row>
    <row r="138" spans="1:14" ht="17.5">
      <c r="A138" s="23"/>
      <c r="B138" s="15">
        <v>363</v>
      </c>
      <c r="C138" s="15">
        <v>93.1</v>
      </c>
      <c r="D138" s="12" t="e">
        <f>#REF!/#REF!</f>
        <v>#REF!</v>
      </c>
      <c r="E138" s="16">
        <v>1099000</v>
      </c>
      <c r="F138" s="15" t="s">
        <v>854</v>
      </c>
      <c r="G138" s="15"/>
      <c r="H138" s="15"/>
      <c r="I138" s="15" t="s">
        <v>853</v>
      </c>
      <c r="J138" s="15" t="s">
        <v>848</v>
      </c>
      <c r="K138" s="15" t="s">
        <v>384</v>
      </c>
      <c r="L138" s="20">
        <v>45970</v>
      </c>
      <c r="M138" s="9"/>
      <c r="N138" s="448"/>
    </row>
    <row r="139" spans="1:14" ht="17.5">
      <c r="A139" s="23"/>
      <c r="B139" s="15">
        <v>364</v>
      </c>
      <c r="C139" s="15">
        <v>158.80000000000001</v>
      </c>
      <c r="D139" s="12" t="e">
        <f>#REF!/#REF!</f>
        <v>#REF!</v>
      </c>
      <c r="E139" s="16">
        <v>1000000</v>
      </c>
      <c r="F139" s="15" t="s">
        <v>854</v>
      </c>
      <c r="G139" s="15"/>
      <c r="H139" s="15"/>
      <c r="I139" s="15" t="s">
        <v>853</v>
      </c>
      <c r="J139" s="15" t="s">
        <v>848</v>
      </c>
      <c r="K139" s="15" t="s">
        <v>384</v>
      </c>
      <c r="L139" s="20">
        <v>46012</v>
      </c>
      <c r="M139" s="9"/>
      <c r="N139" s="448"/>
    </row>
    <row r="140" spans="1:14" ht="17.5">
      <c r="A140" s="23"/>
      <c r="B140" s="15">
        <v>366</v>
      </c>
      <c r="C140" s="15">
        <v>51.8</v>
      </c>
      <c r="D140" s="12" t="e">
        <f>#REF!/#REF!</f>
        <v>#REF!</v>
      </c>
      <c r="E140" s="16">
        <v>750000</v>
      </c>
      <c r="F140" s="15" t="s">
        <v>854</v>
      </c>
      <c r="G140" s="15"/>
      <c r="H140" s="15"/>
      <c r="I140" s="15" t="s">
        <v>853</v>
      </c>
      <c r="J140" s="15" t="s">
        <v>848</v>
      </c>
      <c r="K140" s="15" t="s">
        <v>384</v>
      </c>
      <c r="L140" s="20">
        <v>46003</v>
      </c>
      <c r="M140" s="9"/>
      <c r="N140" s="448"/>
    </row>
    <row r="141" spans="1:14" ht="17.5">
      <c r="A141" s="23"/>
      <c r="B141" s="15">
        <v>367</v>
      </c>
      <c r="C141" s="15">
        <v>158.80000000000001</v>
      </c>
      <c r="D141" s="12" t="e">
        <f>#REF!/#REF!</f>
        <v>#REF!</v>
      </c>
      <c r="E141" s="16">
        <v>1000000</v>
      </c>
      <c r="F141" s="15" t="s">
        <v>854</v>
      </c>
      <c r="G141" s="15"/>
      <c r="H141" s="15"/>
      <c r="I141" s="15" t="s">
        <v>853</v>
      </c>
      <c r="J141" s="15" t="s">
        <v>848</v>
      </c>
      <c r="K141" s="15" t="s">
        <v>384</v>
      </c>
      <c r="L141" s="20">
        <v>46012</v>
      </c>
      <c r="M141" s="9"/>
      <c r="N141" s="448"/>
    </row>
    <row r="142" spans="1:14" ht="17.5">
      <c r="A142" s="23"/>
      <c r="B142" s="15">
        <v>368</v>
      </c>
      <c r="C142" s="15">
        <v>81</v>
      </c>
      <c r="D142" s="12" t="e">
        <f>#REF!/#REF!</f>
        <v>#REF!</v>
      </c>
      <c r="E142" s="16">
        <v>1200000</v>
      </c>
      <c r="F142" s="15"/>
      <c r="G142" s="15"/>
      <c r="H142" s="15"/>
      <c r="I142" s="15" t="s">
        <v>853</v>
      </c>
      <c r="J142" s="15" t="s">
        <v>848</v>
      </c>
      <c r="K142" s="15" t="s">
        <v>327</v>
      </c>
      <c r="L142" s="20"/>
      <c r="M142" s="9"/>
      <c r="N142" s="448"/>
    </row>
    <row r="143" spans="1:14" ht="17.5">
      <c r="A143" s="23"/>
      <c r="B143" s="15">
        <v>369</v>
      </c>
      <c r="C143" s="15">
        <v>115</v>
      </c>
      <c r="D143" s="12" t="e">
        <f>#REF!/#REF!</f>
        <v>#REF!</v>
      </c>
      <c r="E143" s="16">
        <v>981000</v>
      </c>
      <c r="F143" s="15"/>
      <c r="G143" s="15"/>
      <c r="H143" s="15"/>
      <c r="I143" s="15" t="s">
        <v>853</v>
      </c>
      <c r="J143" s="15" t="s">
        <v>848</v>
      </c>
      <c r="K143" s="15" t="s">
        <v>327</v>
      </c>
      <c r="L143" s="20"/>
      <c r="M143" s="9"/>
      <c r="N143" s="448"/>
    </row>
    <row r="144" spans="1:14" ht="17.5">
      <c r="A144" s="23"/>
      <c r="B144" s="15">
        <v>370</v>
      </c>
      <c r="C144" s="15">
        <v>150</v>
      </c>
      <c r="D144" s="12" t="e">
        <f>#REF!/#REF!</f>
        <v>#REF!</v>
      </c>
      <c r="E144" s="16">
        <v>1150000</v>
      </c>
      <c r="F144" s="15"/>
      <c r="G144" s="15"/>
      <c r="H144" s="15"/>
      <c r="I144" s="15" t="s">
        <v>853</v>
      </c>
      <c r="J144" s="15" t="s">
        <v>848</v>
      </c>
      <c r="K144" s="15" t="s">
        <v>327</v>
      </c>
      <c r="L144" s="20"/>
      <c r="M144" s="9"/>
      <c r="N144" s="448"/>
    </row>
    <row r="145" spans="1:14" ht="17.5">
      <c r="A145" s="23"/>
      <c r="B145" s="15">
        <v>371</v>
      </c>
      <c r="C145" s="15">
        <v>94</v>
      </c>
      <c r="D145" s="12" t="e">
        <f>#REF!/#REF!</f>
        <v>#REF!</v>
      </c>
      <c r="E145" s="16">
        <v>989000</v>
      </c>
      <c r="F145" s="15"/>
      <c r="G145" s="15"/>
      <c r="H145" s="15"/>
      <c r="I145" s="15" t="s">
        <v>853</v>
      </c>
      <c r="J145" s="15" t="s">
        <v>848</v>
      </c>
      <c r="K145" s="15" t="s">
        <v>327</v>
      </c>
      <c r="L145" s="20"/>
      <c r="M145" s="9"/>
      <c r="N145" s="448"/>
    </row>
    <row r="146" spans="1:14" ht="17.5">
      <c r="A146" s="23"/>
      <c r="B146" s="15">
        <v>372</v>
      </c>
      <c r="C146" s="15">
        <v>65</v>
      </c>
      <c r="D146" s="12" t="e">
        <f>#REF!/#REF!</f>
        <v>#REF!</v>
      </c>
      <c r="E146" s="16">
        <v>879000</v>
      </c>
      <c r="F146" s="15"/>
      <c r="G146" s="15"/>
      <c r="H146" s="15"/>
      <c r="I146" s="15" t="s">
        <v>853</v>
      </c>
      <c r="J146" s="15" t="s">
        <v>848</v>
      </c>
      <c r="K146" s="15" t="s">
        <v>327</v>
      </c>
      <c r="L146" s="20"/>
      <c r="M146" s="9"/>
      <c r="N146" s="448"/>
    </row>
    <row r="147" spans="1:14" ht="17.5">
      <c r="A147" s="23"/>
      <c r="B147" s="15">
        <v>373</v>
      </c>
      <c r="C147" s="15">
        <v>152</v>
      </c>
      <c r="D147" s="12" t="e">
        <f>#REF!/#REF!</f>
        <v>#REF!</v>
      </c>
      <c r="E147" s="16">
        <v>1200000</v>
      </c>
      <c r="F147" s="15"/>
      <c r="G147" s="15"/>
      <c r="H147" s="15"/>
      <c r="I147" s="15" t="s">
        <v>853</v>
      </c>
      <c r="J147" s="15" t="s">
        <v>848</v>
      </c>
      <c r="K147" s="15" t="s">
        <v>327</v>
      </c>
      <c r="L147" s="20"/>
      <c r="M147" s="9"/>
      <c r="N147" s="448"/>
    </row>
    <row r="148" spans="1:14" ht="17.5">
      <c r="A148" s="23"/>
      <c r="B148" s="15">
        <v>374</v>
      </c>
      <c r="C148" s="15">
        <v>152</v>
      </c>
      <c r="D148" s="12" t="e">
        <f>#REF!/#REF!</f>
        <v>#REF!</v>
      </c>
      <c r="E148" s="16">
        <v>1050000</v>
      </c>
      <c r="F148" s="15"/>
      <c r="G148" s="15"/>
      <c r="H148" s="15"/>
      <c r="I148" s="15" t="s">
        <v>853</v>
      </c>
      <c r="J148" s="15" t="s">
        <v>848</v>
      </c>
      <c r="K148" s="15" t="s">
        <v>327</v>
      </c>
      <c r="L148" s="20"/>
      <c r="M148" s="9"/>
      <c r="N148" s="448"/>
    </row>
    <row r="149" spans="1:14" ht="17.5">
      <c r="A149" s="23"/>
      <c r="B149" s="15">
        <v>154</v>
      </c>
      <c r="C149" s="15">
        <v>129.69999999999999</v>
      </c>
      <c r="D149" s="12" t="e">
        <f>#REF!/#REF!</f>
        <v>#REF!</v>
      </c>
      <c r="E149" s="16">
        <v>860000</v>
      </c>
      <c r="F149" s="15">
        <v>3007</v>
      </c>
      <c r="G149" s="15">
        <v>1</v>
      </c>
      <c r="H149" s="15"/>
      <c r="I149" s="15" t="s">
        <v>495</v>
      </c>
      <c r="J149" s="15" t="s">
        <v>311</v>
      </c>
      <c r="K149" s="15" t="s">
        <v>384</v>
      </c>
      <c r="L149" s="20">
        <v>45930</v>
      </c>
      <c r="M149" s="9"/>
      <c r="N149" s="448"/>
    </row>
    <row r="150" spans="1:14" ht="17.5">
      <c r="A150" s="23"/>
      <c r="B150" s="15">
        <v>155</v>
      </c>
      <c r="C150" s="15">
        <v>151</v>
      </c>
      <c r="D150" s="12" t="e">
        <f>#REF!/#REF!</f>
        <v>#REF!</v>
      </c>
      <c r="E150" s="16">
        <v>900000</v>
      </c>
      <c r="F150" s="15">
        <v>2934</v>
      </c>
      <c r="G150" s="15">
        <v>2</v>
      </c>
      <c r="H150" s="15"/>
      <c r="I150" s="15" t="s">
        <v>495</v>
      </c>
      <c r="J150" s="15" t="s">
        <v>311</v>
      </c>
      <c r="K150" s="15" t="s">
        <v>384</v>
      </c>
      <c r="L150" s="20">
        <v>45914</v>
      </c>
      <c r="M150" s="9"/>
      <c r="N150" s="448"/>
    </row>
    <row r="151" spans="1:14" ht="17.5">
      <c r="A151" s="23"/>
      <c r="B151" s="15">
        <v>156</v>
      </c>
      <c r="C151" s="15">
        <v>87.7</v>
      </c>
      <c r="D151" s="12" t="e">
        <f>#REF!/#REF!</f>
        <v>#REF!</v>
      </c>
      <c r="E151" s="16">
        <v>700000</v>
      </c>
      <c r="F151" s="15">
        <v>3007</v>
      </c>
      <c r="G151" s="15">
        <v>1</v>
      </c>
      <c r="H151" s="15"/>
      <c r="I151" s="15" t="s">
        <v>495</v>
      </c>
      <c r="J151" s="15" t="s">
        <v>311</v>
      </c>
      <c r="K151" s="15" t="s">
        <v>384</v>
      </c>
      <c r="L151" s="20">
        <v>45873</v>
      </c>
      <c r="M151" s="9"/>
      <c r="N151" s="448"/>
    </row>
    <row r="152" spans="1:14" ht="17.5">
      <c r="A152" s="23"/>
      <c r="B152" s="15">
        <v>157</v>
      </c>
      <c r="C152" s="15">
        <v>77.099999999999994</v>
      </c>
      <c r="D152" s="12" t="e">
        <f>#REF!/#REF!</f>
        <v>#REF!</v>
      </c>
      <c r="E152" s="16">
        <v>770000</v>
      </c>
      <c r="F152" s="15">
        <v>2934</v>
      </c>
      <c r="G152" s="15">
        <v>1</v>
      </c>
      <c r="H152" s="15"/>
      <c r="I152" s="15" t="s">
        <v>495</v>
      </c>
      <c r="J152" s="15" t="s">
        <v>311</v>
      </c>
      <c r="K152" s="15" t="s">
        <v>384</v>
      </c>
      <c r="L152" s="20">
        <v>45840</v>
      </c>
      <c r="M152" s="9"/>
      <c r="N152" s="448"/>
    </row>
    <row r="153" spans="1:14" ht="17.5">
      <c r="A153" s="23"/>
      <c r="B153" s="15">
        <v>158</v>
      </c>
      <c r="C153" s="15">
        <v>138</v>
      </c>
      <c r="D153" s="12" t="e">
        <f>#REF!/#REF!</f>
        <v>#REF!</v>
      </c>
      <c r="E153" s="16">
        <v>1000000</v>
      </c>
      <c r="F153" s="15"/>
      <c r="G153" s="15"/>
      <c r="H153" s="15"/>
      <c r="I153" s="15" t="s">
        <v>495</v>
      </c>
      <c r="J153" s="15" t="s">
        <v>311</v>
      </c>
      <c r="K153" s="15" t="s">
        <v>327</v>
      </c>
      <c r="L153" s="20"/>
      <c r="M153" s="9"/>
      <c r="N153" s="448"/>
    </row>
    <row r="154" spans="1:14" ht="17.5">
      <c r="A154" s="23"/>
      <c r="B154" s="15">
        <v>159</v>
      </c>
      <c r="C154" s="15">
        <v>200</v>
      </c>
      <c r="D154" s="12" t="e">
        <f>#REF!/#REF!</f>
        <v>#REF!</v>
      </c>
      <c r="E154" s="16">
        <v>850000</v>
      </c>
      <c r="F154" s="15"/>
      <c r="G154" s="15"/>
      <c r="H154" s="15"/>
      <c r="I154" s="15" t="s">
        <v>495</v>
      </c>
      <c r="J154" s="15" t="s">
        <v>311</v>
      </c>
      <c r="K154" s="15" t="s">
        <v>327</v>
      </c>
      <c r="L154" s="20"/>
      <c r="M154" s="9"/>
      <c r="N154" s="448"/>
    </row>
    <row r="155" spans="1:14" ht="17.5">
      <c r="A155" s="23"/>
      <c r="B155" s="15">
        <v>160</v>
      </c>
      <c r="C155" s="15">
        <v>129</v>
      </c>
      <c r="D155" s="12" t="e">
        <f>#REF!/#REF!</f>
        <v>#REF!</v>
      </c>
      <c r="E155" s="16">
        <v>900000</v>
      </c>
      <c r="F155" s="15"/>
      <c r="G155" s="15"/>
      <c r="H155" s="15"/>
      <c r="I155" s="15" t="s">
        <v>495</v>
      </c>
      <c r="J155" s="15" t="s">
        <v>311</v>
      </c>
      <c r="K155" s="15" t="s">
        <v>327</v>
      </c>
      <c r="L155" s="20"/>
      <c r="M155" s="9"/>
      <c r="N155" s="448"/>
    </row>
    <row r="156" spans="1:14" ht="17.5">
      <c r="A156" s="23"/>
      <c r="B156" s="15">
        <v>161</v>
      </c>
      <c r="C156" s="15">
        <v>129</v>
      </c>
      <c r="D156" s="12" t="e">
        <f>#REF!/#REF!</f>
        <v>#REF!</v>
      </c>
      <c r="E156" s="16">
        <v>900000</v>
      </c>
      <c r="F156" s="15"/>
      <c r="G156" s="15"/>
      <c r="H156" s="15"/>
      <c r="I156" s="15" t="s">
        <v>495</v>
      </c>
      <c r="J156" s="15" t="s">
        <v>311</v>
      </c>
      <c r="K156" s="15" t="s">
        <v>327</v>
      </c>
      <c r="L156" s="20"/>
      <c r="M156" s="9"/>
      <c r="N156" s="448"/>
    </row>
    <row r="157" spans="1:14" ht="17.5">
      <c r="A157" s="23"/>
      <c r="B157" s="15">
        <v>162</v>
      </c>
      <c r="C157" s="15">
        <v>124</v>
      </c>
      <c r="D157" s="12" t="e">
        <f>#REF!/#REF!</f>
        <v>#REF!</v>
      </c>
      <c r="E157" s="16">
        <v>820000</v>
      </c>
      <c r="F157" s="15"/>
      <c r="G157" s="15"/>
      <c r="H157" s="15"/>
      <c r="I157" s="15" t="s">
        <v>495</v>
      </c>
      <c r="J157" s="15" t="s">
        <v>311</v>
      </c>
      <c r="K157" s="15" t="s">
        <v>327</v>
      </c>
      <c r="L157" s="20"/>
      <c r="M157" s="9"/>
      <c r="N157" s="448"/>
    </row>
    <row r="158" spans="1:14" ht="17.5">
      <c r="A158" s="23"/>
      <c r="B158" s="15">
        <v>163</v>
      </c>
      <c r="C158" s="15">
        <v>138</v>
      </c>
      <c r="D158" s="12" t="e">
        <f>#REF!/#REF!</f>
        <v>#REF!</v>
      </c>
      <c r="E158" s="16">
        <v>1150000</v>
      </c>
      <c r="F158" s="15"/>
      <c r="G158" s="15"/>
      <c r="H158" s="15"/>
      <c r="I158" s="15" t="s">
        <v>495</v>
      </c>
      <c r="J158" s="15" t="s">
        <v>311</v>
      </c>
      <c r="K158" s="15" t="s">
        <v>327</v>
      </c>
      <c r="L158" s="20"/>
      <c r="M158" s="9"/>
      <c r="N158" s="448"/>
    </row>
    <row r="159" spans="1:14" ht="17.5">
      <c r="A159" s="23"/>
      <c r="B159" s="15">
        <v>164</v>
      </c>
      <c r="C159" s="15">
        <v>157</v>
      </c>
      <c r="D159" s="12" t="e">
        <f>#REF!/#REF!</f>
        <v>#REF!</v>
      </c>
      <c r="E159" s="16">
        <v>1000000</v>
      </c>
      <c r="F159" s="15"/>
      <c r="G159" s="15"/>
      <c r="H159" s="15"/>
      <c r="I159" s="15" t="s">
        <v>495</v>
      </c>
      <c r="J159" s="15" t="s">
        <v>311</v>
      </c>
      <c r="K159" s="15" t="s">
        <v>327</v>
      </c>
      <c r="L159" s="20"/>
      <c r="M159" s="9"/>
      <c r="N159" s="448"/>
    </row>
    <row r="160" spans="1:14" ht="17.5">
      <c r="A160" s="23"/>
      <c r="B160" s="15">
        <v>165</v>
      </c>
      <c r="C160" s="15">
        <v>129</v>
      </c>
      <c r="D160" s="12" t="e">
        <f>#REF!/#REF!</f>
        <v>#REF!</v>
      </c>
      <c r="E160" s="16">
        <v>900000</v>
      </c>
      <c r="F160" s="15"/>
      <c r="G160" s="15"/>
      <c r="H160" s="15"/>
      <c r="I160" s="15" t="s">
        <v>495</v>
      </c>
      <c r="J160" s="15" t="s">
        <v>311</v>
      </c>
      <c r="K160" s="15" t="s">
        <v>327</v>
      </c>
      <c r="L160" s="20"/>
      <c r="M160" s="9"/>
      <c r="N160" s="448"/>
    </row>
    <row r="161" spans="1:14" ht="17.5">
      <c r="A161" s="23"/>
      <c r="B161" s="15">
        <v>237</v>
      </c>
      <c r="C161" s="15">
        <v>49</v>
      </c>
      <c r="D161" s="12" t="e">
        <f>#REF!/#REF!</f>
        <v>#REF!</v>
      </c>
      <c r="E161" s="16">
        <v>75000</v>
      </c>
      <c r="F161" s="15"/>
      <c r="G161" s="15"/>
      <c r="H161" s="15"/>
      <c r="I161" s="15" t="s">
        <v>620</v>
      </c>
      <c r="J161" s="15"/>
      <c r="K161" s="15" t="s">
        <v>327</v>
      </c>
      <c r="L161" s="20"/>
      <c r="M161" s="9"/>
      <c r="N161" s="448"/>
    </row>
    <row r="162" spans="1:14" ht="17.5">
      <c r="A162" s="23"/>
      <c r="B162" s="15">
        <v>238</v>
      </c>
      <c r="C162" s="15">
        <v>49</v>
      </c>
      <c r="D162" s="12" t="e">
        <f>#REF!/#REF!</f>
        <v>#REF!</v>
      </c>
      <c r="E162" s="16">
        <v>98000</v>
      </c>
      <c r="F162" s="15"/>
      <c r="G162" s="15"/>
      <c r="H162" s="15"/>
      <c r="I162" s="15" t="s">
        <v>620</v>
      </c>
      <c r="J162" s="15"/>
      <c r="K162" s="15" t="s">
        <v>327</v>
      </c>
      <c r="L162" s="20"/>
      <c r="M162" s="9"/>
      <c r="N162" s="448"/>
    </row>
    <row r="163" spans="1:14" ht="17.5">
      <c r="A163" s="23"/>
      <c r="B163" s="15">
        <v>239</v>
      </c>
      <c r="C163" s="15">
        <v>168</v>
      </c>
      <c r="D163" s="12" t="e">
        <f>#REF!/#REF!</f>
        <v>#REF!</v>
      </c>
      <c r="E163" s="16">
        <v>300000</v>
      </c>
      <c r="F163" s="15"/>
      <c r="G163" s="15"/>
      <c r="H163" s="15"/>
      <c r="I163" s="15" t="s">
        <v>620</v>
      </c>
      <c r="J163" s="15"/>
      <c r="K163" s="15" t="s">
        <v>327</v>
      </c>
      <c r="L163" s="20"/>
      <c r="M163" s="9"/>
      <c r="N163" s="448"/>
    </row>
    <row r="164" spans="1:14" ht="17.5">
      <c r="A164" s="23"/>
      <c r="B164" s="15">
        <v>240</v>
      </c>
      <c r="C164" s="15">
        <v>216</v>
      </c>
      <c r="D164" s="12" t="e">
        <f>#REF!/#REF!</f>
        <v>#REF!</v>
      </c>
      <c r="E164" s="16">
        <v>265000</v>
      </c>
      <c r="F164" s="15"/>
      <c r="G164" s="15"/>
      <c r="H164" s="15"/>
      <c r="I164" s="15" t="s">
        <v>620</v>
      </c>
      <c r="J164" s="15"/>
      <c r="K164" s="15" t="s">
        <v>327</v>
      </c>
      <c r="L164" s="20"/>
      <c r="M164" s="9"/>
      <c r="N164" s="448"/>
    </row>
    <row r="165" spans="1:14" ht="17.5">
      <c r="A165" s="23"/>
      <c r="B165" s="15">
        <v>241</v>
      </c>
      <c r="C165" s="15">
        <v>265</v>
      </c>
      <c r="D165" s="12" t="e">
        <f>#REF!/#REF!</f>
        <v>#REF!</v>
      </c>
      <c r="E165" s="16">
        <v>265000</v>
      </c>
      <c r="F165" s="15"/>
      <c r="G165" s="15"/>
      <c r="H165" s="15"/>
      <c r="I165" s="15" t="s">
        <v>620</v>
      </c>
      <c r="J165" s="15"/>
      <c r="K165" s="15" t="s">
        <v>327</v>
      </c>
      <c r="L165" s="20"/>
      <c r="M165" s="9"/>
      <c r="N165" s="448"/>
    </row>
    <row r="166" spans="1:14" ht="17.5">
      <c r="A166" s="23"/>
      <c r="B166" s="15">
        <v>242</v>
      </c>
      <c r="C166" s="15">
        <v>42</v>
      </c>
      <c r="D166" s="12" t="e">
        <f>#REF!/#REF!</f>
        <v>#REF!</v>
      </c>
      <c r="E166" s="16">
        <v>120000</v>
      </c>
      <c r="F166" s="15"/>
      <c r="G166" s="15"/>
      <c r="H166" s="15"/>
      <c r="I166" s="15" t="s">
        <v>620</v>
      </c>
      <c r="J166" s="15"/>
      <c r="K166" s="15" t="s">
        <v>327</v>
      </c>
      <c r="L166" s="20"/>
      <c r="M166" s="9"/>
      <c r="N166" s="448"/>
    </row>
    <row r="167" spans="1:14" ht="17.5">
      <c r="A167" s="23"/>
      <c r="B167" s="15">
        <v>243</v>
      </c>
      <c r="C167" s="15">
        <v>118</v>
      </c>
      <c r="D167" s="12" t="e">
        <f>#REF!/#REF!</f>
        <v>#REF!</v>
      </c>
      <c r="E167" s="16">
        <v>195000</v>
      </c>
      <c r="F167" s="15"/>
      <c r="G167" s="15"/>
      <c r="H167" s="15"/>
      <c r="I167" s="15" t="s">
        <v>620</v>
      </c>
      <c r="J167" s="15"/>
      <c r="K167" s="15" t="s">
        <v>327</v>
      </c>
      <c r="L167" s="20"/>
      <c r="M167" s="9"/>
      <c r="N167" s="448"/>
    </row>
    <row r="168" spans="1:14" ht="17.5">
      <c r="A168" s="23"/>
      <c r="B168" s="15">
        <v>244</v>
      </c>
      <c r="C168" s="15">
        <v>40</v>
      </c>
      <c r="D168" s="12" t="e">
        <f>#REF!/#REF!</f>
        <v>#REF!</v>
      </c>
      <c r="E168" s="16">
        <v>98000</v>
      </c>
      <c r="F168" s="15"/>
      <c r="G168" s="15"/>
      <c r="H168" s="15"/>
      <c r="I168" s="15" t="s">
        <v>620</v>
      </c>
      <c r="J168" s="15"/>
      <c r="K168" s="15" t="s">
        <v>327</v>
      </c>
      <c r="L168" s="20"/>
      <c r="M168" s="9"/>
      <c r="N168" s="448"/>
    </row>
    <row r="169" spans="1:14" ht="17.5">
      <c r="A169" s="23"/>
      <c r="B169" s="15">
        <v>245</v>
      </c>
      <c r="C169" s="15">
        <v>168</v>
      </c>
      <c r="D169" s="12" t="e">
        <f>#REF!/#REF!</f>
        <v>#REF!</v>
      </c>
      <c r="E169" s="16">
        <v>260000</v>
      </c>
      <c r="F169" s="15"/>
      <c r="G169" s="15"/>
      <c r="H169" s="15"/>
      <c r="I169" s="15" t="s">
        <v>620</v>
      </c>
      <c r="J169" s="15"/>
      <c r="K169" s="15" t="s">
        <v>327</v>
      </c>
      <c r="L169" s="20"/>
      <c r="M169" s="9"/>
      <c r="N169" s="448"/>
    </row>
    <row r="170" spans="1:14" ht="17.5">
      <c r="A170" s="23"/>
      <c r="B170" s="15">
        <v>246</v>
      </c>
      <c r="C170" s="15">
        <v>41</v>
      </c>
      <c r="D170" s="12" t="e">
        <f>#REF!/#REF!</f>
        <v>#REF!</v>
      </c>
      <c r="E170" s="16">
        <v>99999</v>
      </c>
      <c r="F170" s="15"/>
      <c r="G170" s="15"/>
      <c r="H170" s="15"/>
      <c r="I170" s="15" t="s">
        <v>620</v>
      </c>
      <c r="J170" s="15"/>
      <c r="K170" s="15" t="s">
        <v>327</v>
      </c>
      <c r="L170" s="20"/>
      <c r="M170" s="9"/>
      <c r="N170" s="448"/>
    </row>
    <row r="171" spans="1:14" ht="17.5">
      <c r="A171" s="23"/>
      <c r="B171" s="15">
        <v>247</v>
      </c>
      <c r="C171" s="15">
        <v>93</v>
      </c>
      <c r="D171" s="12" t="e">
        <f>#REF!/#REF!</f>
        <v>#REF!</v>
      </c>
      <c r="E171" s="16">
        <v>170000</v>
      </c>
      <c r="F171" s="15"/>
      <c r="G171" s="15"/>
      <c r="H171" s="15"/>
      <c r="I171" s="15" t="s">
        <v>620</v>
      </c>
      <c r="J171" s="15"/>
      <c r="K171" s="15" t="s">
        <v>327</v>
      </c>
      <c r="L171" s="20"/>
      <c r="M171" s="9"/>
      <c r="N171" s="448"/>
    </row>
    <row r="172" spans="1:14" ht="17.5">
      <c r="A172" s="23"/>
      <c r="B172" s="15">
        <v>248</v>
      </c>
      <c r="C172" s="15">
        <v>78</v>
      </c>
      <c r="D172" s="12" t="e">
        <f>#REF!/#REF!</f>
        <v>#REF!</v>
      </c>
      <c r="E172" s="16">
        <v>180000</v>
      </c>
      <c r="F172" s="15"/>
      <c r="G172" s="15"/>
      <c r="H172" s="15"/>
      <c r="I172" s="15" t="s">
        <v>620</v>
      </c>
      <c r="J172" s="15"/>
      <c r="K172" s="15" t="s">
        <v>327</v>
      </c>
      <c r="L172" s="20"/>
      <c r="M172" s="9"/>
      <c r="N172" s="448"/>
    </row>
    <row r="173" spans="1:14" ht="17.5">
      <c r="A173" s="23"/>
      <c r="B173" s="15">
        <v>249</v>
      </c>
      <c r="C173" s="15">
        <v>50</v>
      </c>
      <c r="D173" s="12" t="e">
        <f>#REF!/#REF!</f>
        <v>#REF!</v>
      </c>
      <c r="E173" s="16">
        <v>110000</v>
      </c>
      <c r="F173" s="15"/>
      <c r="G173" s="15"/>
      <c r="H173" s="15"/>
      <c r="I173" s="15" t="s">
        <v>620</v>
      </c>
      <c r="J173" s="15"/>
      <c r="K173" s="15" t="s">
        <v>327</v>
      </c>
      <c r="L173" s="20"/>
      <c r="M173" s="9"/>
      <c r="N173" s="448"/>
    </row>
    <row r="174" spans="1:14" ht="17.5">
      <c r="A174" s="23"/>
      <c r="B174" s="15">
        <v>250</v>
      </c>
      <c r="C174" s="15">
        <v>44</v>
      </c>
      <c r="D174" s="12" t="e">
        <f>#REF!/#REF!</f>
        <v>#REF!</v>
      </c>
      <c r="E174" s="16">
        <v>80000</v>
      </c>
      <c r="F174" s="15"/>
      <c r="G174" s="15"/>
      <c r="H174" s="15"/>
      <c r="I174" s="15" t="s">
        <v>620</v>
      </c>
      <c r="J174" s="15"/>
      <c r="K174" s="15" t="s">
        <v>327</v>
      </c>
      <c r="L174" s="20"/>
      <c r="M174" s="9"/>
      <c r="N174" s="448"/>
    </row>
    <row r="175" spans="1:14" ht="17.5">
      <c r="A175" s="23"/>
      <c r="B175" s="15">
        <v>251</v>
      </c>
      <c r="C175" s="15">
        <v>41</v>
      </c>
      <c r="D175" s="12" t="e">
        <f>#REF!/#REF!</f>
        <v>#REF!</v>
      </c>
      <c r="E175" s="16">
        <v>85000</v>
      </c>
      <c r="F175" s="15"/>
      <c r="G175" s="15"/>
      <c r="H175" s="15"/>
      <c r="I175" s="15" t="s">
        <v>620</v>
      </c>
      <c r="J175" s="15"/>
      <c r="K175" s="15" t="s">
        <v>327</v>
      </c>
      <c r="L175" s="20"/>
      <c r="M175" s="9"/>
      <c r="N175" s="448"/>
    </row>
    <row r="176" spans="1:14" ht="17.5">
      <c r="A176" s="23"/>
      <c r="B176" s="15">
        <v>252</v>
      </c>
      <c r="C176" s="15">
        <v>44</v>
      </c>
      <c r="D176" s="12" t="e">
        <f>#REF!/#REF!</f>
        <v>#REF!</v>
      </c>
      <c r="E176" s="16">
        <v>100000</v>
      </c>
      <c r="F176" s="15"/>
      <c r="G176" s="15"/>
      <c r="H176" s="15"/>
      <c r="I176" s="15" t="s">
        <v>620</v>
      </c>
      <c r="J176" s="15"/>
      <c r="K176" s="15" t="s">
        <v>327</v>
      </c>
      <c r="L176" s="20"/>
      <c r="M176" s="9"/>
      <c r="N176" s="448"/>
    </row>
    <row r="177" spans="1:14" ht="17.5">
      <c r="A177" s="23"/>
      <c r="B177" s="15">
        <v>253</v>
      </c>
      <c r="C177" s="15">
        <v>137</v>
      </c>
      <c r="D177" s="12" t="e">
        <f>#REF!/#REF!</f>
        <v>#REF!</v>
      </c>
      <c r="E177" s="16">
        <v>180000</v>
      </c>
      <c r="F177" s="15"/>
      <c r="G177" s="15"/>
      <c r="H177" s="15"/>
      <c r="I177" s="15" t="s">
        <v>620</v>
      </c>
      <c r="J177" s="15"/>
      <c r="K177" s="15" t="s">
        <v>327</v>
      </c>
      <c r="L177" s="20"/>
      <c r="M177" s="9"/>
      <c r="N177" s="448"/>
    </row>
    <row r="178" spans="1:14" ht="17.5">
      <c r="A178" s="23"/>
      <c r="B178" s="15">
        <v>254</v>
      </c>
      <c r="C178" s="15">
        <v>92</v>
      </c>
      <c r="D178" s="12" t="e">
        <f>#REF!/#REF!</f>
        <v>#REF!</v>
      </c>
      <c r="E178" s="16">
        <v>140000</v>
      </c>
      <c r="F178" s="15"/>
      <c r="G178" s="15"/>
      <c r="H178" s="15"/>
      <c r="I178" s="15" t="s">
        <v>620</v>
      </c>
      <c r="J178" s="15"/>
      <c r="K178" s="15" t="s">
        <v>327</v>
      </c>
      <c r="L178" s="20"/>
      <c r="M178" s="9"/>
      <c r="N178" s="448"/>
    </row>
    <row r="179" spans="1:14" ht="17.5">
      <c r="A179" s="23"/>
      <c r="B179" s="15">
        <v>255</v>
      </c>
      <c r="C179" s="15">
        <v>118</v>
      </c>
      <c r="D179" s="12" t="e">
        <f>#REF!/#REF!</f>
        <v>#REF!</v>
      </c>
      <c r="E179" s="16">
        <v>185000</v>
      </c>
      <c r="F179" s="15"/>
      <c r="G179" s="15"/>
      <c r="H179" s="15"/>
      <c r="I179" s="15" t="s">
        <v>620</v>
      </c>
      <c r="J179" s="15"/>
      <c r="K179" s="15" t="s">
        <v>327</v>
      </c>
      <c r="L179" s="20"/>
      <c r="M179" s="9"/>
      <c r="N179" s="448"/>
    </row>
    <row r="180" spans="1:14" ht="17.5">
      <c r="A180" s="23"/>
      <c r="B180" s="15">
        <v>256</v>
      </c>
      <c r="C180" s="15">
        <v>92</v>
      </c>
      <c r="D180" s="12" t="e">
        <f>#REF!/#REF!</f>
        <v>#REF!</v>
      </c>
      <c r="E180" s="16">
        <v>150000</v>
      </c>
      <c r="F180" s="15"/>
      <c r="G180" s="15"/>
      <c r="H180" s="15"/>
      <c r="I180" s="15" t="s">
        <v>620</v>
      </c>
      <c r="J180" s="15"/>
      <c r="K180" s="15" t="s">
        <v>327</v>
      </c>
      <c r="L180" s="20"/>
      <c r="M180" s="9"/>
      <c r="N180" s="448"/>
    </row>
    <row r="181" spans="1:14" ht="17.5">
      <c r="A181" s="23"/>
      <c r="B181" s="15">
        <v>257</v>
      </c>
      <c r="C181" s="15">
        <v>92</v>
      </c>
      <c r="D181" s="12" t="e">
        <f>#REF!/#REF!</f>
        <v>#REF!</v>
      </c>
      <c r="E181" s="16">
        <v>140000</v>
      </c>
      <c r="F181" s="15"/>
      <c r="G181" s="15"/>
      <c r="H181" s="15"/>
      <c r="I181" s="15" t="s">
        <v>620</v>
      </c>
      <c r="J181" s="15"/>
      <c r="K181" s="15" t="s">
        <v>327</v>
      </c>
      <c r="L181" s="20"/>
      <c r="M181" s="9"/>
      <c r="N181" s="448"/>
    </row>
    <row r="182" spans="1:14" ht="17.5">
      <c r="A182" s="23"/>
      <c r="B182" s="15">
        <v>258</v>
      </c>
      <c r="C182" s="15">
        <v>117</v>
      </c>
      <c r="D182" s="12" t="e">
        <f>#REF!/#REF!</f>
        <v>#REF!</v>
      </c>
      <c r="E182" s="16">
        <v>170000</v>
      </c>
      <c r="F182" s="15"/>
      <c r="G182" s="15"/>
      <c r="H182" s="15"/>
      <c r="I182" s="15" t="s">
        <v>620</v>
      </c>
      <c r="J182" s="15"/>
      <c r="K182" s="15" t="s">
        <v>327</v>
      </c>
      <c r="L182" s="20"/>
      <c r="M182" s="9"/>
      <c r="N182" s="448"/>
    </row>
    <row r="183" spans="1:14" ht="17.5">
      <c r="A183" s="23"/>
      <c r="B183" s="15">
        <v>187</v>
      </c>
      <c r="C183" s="15">
        <v>1</v>
      </c>
      <c r="D183" s="12" t="e">
        <f>#REF!/#REF!</f>
        <v>#REF!</v>
      </c>
      <c r="E183" s="16">
        <v>3000</v>
      </c>
      <c r="F183" s="15"/>
      <c r="G183" s="15"/>
      <c r="H183" s="15"/>
      <c r="I183" s="15" t="s">
        <v>588</v>
      </c>
      <c r="J183" s="15" t="s">
        <v>587</v>
      </c>
      <c r="K183" s="15" t="s">
        <v>327</v>
      </c>
      <c r="L183" s="20"/>
      <c r="M183" s="9"/>
      <c r="N183" s="448"/>
    </row>
    <row r="184" spans="1:14" ht="17.5">
      <c r="A184" s="23"/>
      <c r="B184" s="15">
        <v>188</v>
      </c>
      <c r="C184" s="15">
        <v>1</v>
      </c>
      <c r="D184" s="12" t="e">
        <f>#REF!/#REF!</f>
        <v>#REF!</v>
      </c>
      <c r="E184" s="16">
        <v>3300</v>
      </c>
      <c r="F184" s="15"/>
      <c r="G184" s="15"/>
      <c r="H184" s="15"/>
      <c r="I184" s="15" t="s">
        <v>588</v>
      </c>
      <c r="J184" s="15" t="s">
        <v>587</v>
      </c>
      <c r="K184" s="15" t="s">
        <v>327</v>
      </c>
      <c r="L184" s="20"/>
      <c r="M184" s="9"/>
      <c r="N184" s="448"/>
    </row>
    <row r="185" spans="1:14" ht="17.5">
      <c r="A185" s="23"/>
      <c r="B185" s="15">
        <v>189</v>
      </c>
      <c r="C185" s="15">
        <v>1</v>
      </c>
      <c r="D185" s="12" t="e">
        <f>#REF!/#REF!</f>
        <v>#REF!</v>
      </c>
      <c r="E185" s="16">
        <v>3600</v>
      </c>
      <c r="F185" s="15"/>
      <c r="G185" s="15"/>
      <c r="H185" s="15"/>
      <c r="I185" s="15" t="s">
        <v>588</v>
      </c>
      <c r="J185" s="15" t="s">
        <v>587</v>
      </c>
      <c r="K185" s="15" t="s">
        <v>327</v>
      </c>
      <c r="L185" s="20"/>
      <c r="M185" s="9"/>
      <c r="N185" s="448"/>
    </row>
    <row r="186" spans="1:14" ht="17.5">
      <c r="A186" s="23"/>
      <c r="B186" s="15">
        <v>190</v>
      </c>
      <c r="C186" s="15">
        <v>1</v>
      </c>
      <c r="D186" s="12" t="e">
        <f>#REF!/#REF!</f>
        <v>#REF!</v>
      </c>
      <c r="E186" s="16">
        <v>3200</v>
      </c>
      <c r="F186" s="15"/>
      <c r="G186" s="15"/>
      <c r="H186" s="15"/>
      <c r="I186" s="15" t="s">
        <v>588</v>
      </c>
      <c r="J186" s="15" t="s">
        <v>587</v>
      </c>
      <c r="K186" s="15" t="s">
        <v>327</v>
      </c>
      <c r="L186" s="20"/>
      <c r="M186" s="9"/>
      <c r="N186" s="448"/>
    </row>
    <row r="187" spans="1:14" ht="17.5">
      <c r="A187" s="23"/>
      <c r="B187" s="15">
        <v>191</v>
      </c>
      <c r="C187" s="15">
        <v>4</v>
      </c>
      <c r="D187" s="12" t="e">
        <f>#REF!/#REF!</f>
        <v>#REF!</v>
      </c>
      <c r="E187" s="16">
        <v>30000</v>
      </c>
      <c r="F187" s="15"/>
      <c r="G187" s="15"/>
      <c r="H187" s="15"/>
      <c r="I187" s="15" t="s">
        <v>586</v>
      </c>
      <c r="J187" s="15"/>
      <c r="K187" s="15"/>
      <c r="L187" s="20"/>
      <c r="M187" s="9"/>
      <c r="N187" s="448"/>
    </row>
    <row r="188" spans="1:14" ht="17.5">
      <c r="A188" s="23"/>
      <c r="B188" s="15">
        <v>192</v>
      </c>
      <c r="C188" s="15">
        <v>3</v>
      </c>
      <c r="D188" s="12" t="e">
        <f>#REF!/#REF!</f>
        <v>#REF!</v>
      </c>
      <c r="E188" s="16">
        <v>36000</v>
      </c>
      <c r="F188" s="15"/>
      <c r="G188" s="15"/>
      <c r="H188" s="15"/>
      <c r="I188" s="15" t="s">
        <v>586</v>
      </c>
      <c r="J188" s="15"/>
      <c r="K188" s="15"/>
      <c r="L188" s="20"/>
      <c r="M188" s="9"/>
      <c r="N188" s="448"/>
    </row>
    <row r="189" spans="1:14" ht="17.5">
      <c r="A189" s="23"/>
      <c r="B189" s="15">
        <v>301</v>
      </c>
      <c r="C189" s="15">
        <v>2</v>
      </c>
      <c r="D189" s="12" t="e">
        <f>#REF!/#REF!</f>
        <v>#REF!</v>
      </c>
      <c r="E189" s="16">
        <v>36000</v>
      </c>
      <c r="F189" s="15"/>
      <c r="G189" s="15"/>
      <c r="H189" s="15"/>
      <c r="I189" s="15" t="s">
        <v>769</v>
      </c>
      <c r="J189" s="15"/>
      <c r="K189" s="15" t="s">
        <v>327</v>
      </c>
      <c r="L189" s="20"/>
      <c r="M189" s="9"/>
      <c r="N189" s="448"/>
    </row>
    <row r="190" spans="1:14" ht="17.5">
      <c r="A190" s="23"/>
      <c r="B190" s="15">
        <v>304</v>
      </c>
      <c r="C190" s="15">
        <v>2</v>
      </c>
      <c r="D190" s="12" t="e">
        <f>#REF!/#REF!</f>
        <v>#REF!</v>
      </c>
      <c r="E190" s="16">
        <v>40000</v>
      </c>
      <c r="F190" s="15"/>
      <c r="G190" s="15"/>
      <c r="H190" s="15"/>
      <c r="I190" s="15" t="s">
        <v>769</v>
      </c>
      <c r="J190" s="15"/>
      <c r="K190" s="15" t="s">
        <v>327</v>
      </c>
      <c r="L190" s="20"/>
      <c r="M190" s="9"/>
      <c r="N190" s="448"/>
    </row>
    <row r="191" spans="1:14" ht="17.5">
      <c r="A191" s="23"/>
      <c r="B191" s="15">
        <v>103</v>
      </c>
      <c r="C191" s="15">
        <v>3</v>
      </c>
      <c r="D191" s="12" t="e">
        <f>#REF!/#REF!</f>
        <v>#REF!</v>
      </c>
      <c r="E191" s="16">
        <v>26200</v>
      </c>
      <c r="F191" s="15"/>
      <c r="G191" s="15"/>
      <c r="H191" s="15" t="s">
        <v>381</v>
      </c>
      <c r="I191" s="15" t="s">
        <v>380</v>
      </c>
      <c r="J191" s="15" t="s">
        <v>283</v>
      </c>
      <c r="K191" s="15" t="s">
        <v>327</v>
      </c>
      <c r="L191" s="20"/>
      <c r="M191" s="9"/>
      <c r="N191" s="448"/>
    </row>
    <row r="192" spans="1:14" ht="17.5">
      <c r="A192" s="23"/>
      <c r="B192" s="15">
        <v>104</v>
      </c>
      <c r="C192" s="15">
        <v>3</v>
      </c>
      <c r="D192" s="12" t="e">
        <f>#REF!/#REF!</f>
        <v>#REF!</v>
      </c>
      <c r="E192" s="16">
        <v>28000</v>
      </c>
      <c r="F192" s="15"/>
      <c r="G192" s="15"/>
      <c r="H192" s="15" t="s">
        <v>381</v>
      </c>
      <c r="I192" s="15" t="s">
        <v>380</v>
      </c>
      <c r="J192" s="15" t="s">
        <v>283</v>
      </c>
      <c r="K192" s="15" t="s">
        <v>327</v>
      </c>
      <c r="L192" s="20"/>
      <c r="M192" s="9"/>
      <c r="N192" s="448"/>
    </row>
    <row r="193" spans="1:14" ht="17.5">
      <c r="A193" s="23"/>
      <c r="B193" s="15">
        <v>105</v>
      </c>
      <c r="C193" s="15">
        <v>3</v>
      </c>
      <c r="D193" s="12" t="e">
        <f>#REF!/#REF!</f>
        <v>#REF!</v>
      </c>
      <c r="E193" s="16">
        <v>30000</v>
      </c>
      <c r="F193" s="15"/>
      <c r="G193" s="15"/>
      <c r="H193" s="15" t="s">
        <v>381</v>
      </c>
      <c r="I193" s="15" t="s">
        <v>380</v>
      </c>
      <c r="J193" s="15" t="s">
        <v>283</v>
      </c>
      <c r="K193" s="15" t="s">
        <v>327</v>
      </c>
      <c r="L193" s="20"/>
      <c r="M193" s="9"/>
      <c r="N193" s="448"/>
    </row>
    <row r="194" spans="1:14" ht="17.5">
      <c r="A194" s="23"/>
      <c r="B194" s="15">
        <v>106</v>
      </c>
      <c r="C194" s="15">
        <v>3</v>
      </c>
      <c r="D194" s="12" t="e">
        <f>#REF!/#REF!</f>
        <v>#REF!</v>
      </c>
      <c r="E194" s="16">
        <v>30000</v>
      </c>
      <c r="F194" s="15"/>
      <c r="G194" s="15"/>
      <c r="H194" s="15" t="s">
        <v>381</v>
      </c>
      <c r="I194" s="15" t="s">
        <v>380</v>
      </c>
      <c r="J194" s="15" t="s">
        <v>283</v>
      </c>
      <c r="K194" s="15" t="s">
        <v>327</v>
      </c>
      <c r="L194" s="20"/>
      <c r="M194" s="9"/>
      <c r="N194" s="448"/>
    </row>
    <row r="195" spans="1:14" ht="17.5">
      <c r="A195" s="23"/>
      <c r="B195" s="15">
        <v>173</v>
      </c>
      <c r="C195" s="15">
        <v>160</v>
      </c>
      <c r="D195" s="12" t="e">
        <f>#REF!/#REF!</f>
        <v>#REF!</v>
      </c>
      <c r="E195" s="16">
        <v>65000</v>
      </c>
      <c r="F195" s="15"/>
      <c r="G195" s="15"/>
      <c r="H195" s="15"/>
      <c r="I195" s="15" t="s">
        <v>533</v>
      </c>
      <c r="J195" s="15" t="s">
        <v>534</v>
      </c>
      <c r="K195" s="15" t="s">
        <v>327</v>
      </c>
      <c r="L195" s="20"/>
      <c r="M195" s="9"/>
      <c r="N195" s="448"/>
    </row>
    <row r="196" spans="1:14" ht="17.5">
      <c r="A196" s="23"/>
      <c r="B196" s="15">
        <v>174</v>
      </c>
      <c r="C196" s="15">
        <v>160</v>
      </c>
      <c r="D196" s="12" t="e">
        <f>#REF!/#REF!</f>
        <v>#REF!</v>
      </c>
      <c r="E196" s="16">
        <v>65000</v>
      </c>
      <c r="F196" s="15"/>
      <c r="G196" s="15"/>
      <c r="H196" s="15"/>
      <c r="I196" s="15" t="s">
        <v>533</v>
      </c>
      <c r="J196" s="15" t="s">
        <v>534</v>
      </c>
      <c r="K196" s="15" t="s">
        <v>327</v>
      </c>
      <c r="L196" s="20"/>
      <c r="M196" s="9"/>
      <c r="N196" s="448"/>
    </row>
    <row r="197" spans="1:14" ht="17.5">
      <c r="A197" s="23"/>
      <c r="B197" s="15">
        <v>175</v>
      </c>
      <c r="C197" s="15">
        <v>145</v>
      </c>
      <c r="D197" s="12" t="e">
        <f>#REF!/#REF!</f>
        <v>#REF!</v>
      </c>
      <c r="E197" s="16">
        <v>65000</v>
      </c>
      <c r="F197" s="15"/>
      <c r="G197" s="15"/>
      <c r="H197" s="15"/>
      <c r="I197" s="15" t="s">
        <v>533</v>
      </c>
      <c r="J197" s="15" t="s">
        <v>534</v>
      </c>
      <c r="K197" s="15" t="s">
        <v>327</v>
      </c>
      <c r="L197" s="20"/>
      <c r="M197" s="9"/>
      <c r="N197" s="448"/>
    </row>
    <row r="198" spans="1:14" ht="17.5">
      <c r="A198" s="23"/>
      <c r="B198" s="15">
        <v>176</v>
      </c>
      <c r="C198" s="15">
        <v>127</v>
      </c>
      <c r="D198" s="12" t="e">
        <f>#REF!/#REF!</f>
        <v>#REF!</v>
      </c>
      <c r="E198" s="16">
        <v>45000</v>
      </c>
      <c r="F198" s="15"/>
      <c r="G198" s="15"/>
      <c r="H198" s="15"/>
      <c r="I198" s="15" t="s">
        <v>533</v>
      </c>
      <c r="J198" s="15" t="s">
        <v>534</v>
      </c>
      <c r="K198" s="15" t="s">
        <v>327</v>
      </c>
      <c r="L198" s="20"/>
      <c r="M198" s="9"/>
      <c r="N198" s="448"/>
    </row>
    <row r="199" spans="1:14" ht="17.5">
      <c r="A199" s="23"/>
      <c r="B199" s="15">
        <v>166</v>
      </c>
      <c r="C199" s="15">
        <v>1</v>
      </c>
      <c r="D199" s="12" t="e">
        <f>#REF!/#REF!</f>
        <v>#REF!</v>
      </c>
      <c r="E199" s="16">
        <v>1</v>
      </c>
      <c r="F199" s="15"/>
      <c r="G199" s="15"/>
      <c r="H199" s="15"/>
      <c r="I199" s="15" t="s">
        <v>497</v>
      </c>
      <c r="J199" s="15" t="s">
        <v>498</v>
      </c>
      <c r="K199" s="15" t="s">
        <v>327</v>
      </c>
      <c r="L199" s="20"/>
      <c r="M199" s="9"/>
      <c r="N199" s="448"/>
    </row>
    <row r="200" spans="1:14" ht="17.5">
      <c r="A200" s="23"/>
      <c r="B200" s="15">
        <v>99</v>
      </c>
      <c r="C200" s="15">
        <v>131.6</v>
      </c>
      <c r="D200" s="12" t="e">
        <f>#REF!/#REF!</f>
        <v>#REF!</v>
      </c>
      <c r="E200" s="16">
        <v>504000</v>
      </c>
      <c r="F200" s="15">
        <v>2516</v>
      </c>
      <c r="G200" s="15" t="s">
        <v>379</v>
      </c>
      <c r="H200" s="15"/>
      <c r="I200" s="15" t="s">
        <v>378</v>
      </c>
      <c r="J200" s="15" t="s">
        <v>283</v>
      </c>
      <c r="K200" s="15" t="s">
        <v>319</v>
      </c>
      <c r="L200" s="20">
        <v>45939</v>
      </c>
      <c r="M200" s="9"/>
      <c r="N200" s="448"/>
    </row>
    <row r="201" spans="1:14" ht="17.5">
      <c r="A201" s="23"/>
      <c r="B201" s="15">
        <v>100</v>
      </c>
      <c r="C201" s="15">
        <v>161.1</v>
      </c>
      <c r="D201" s="12" t="e">
        <f>#REF!/#REF!</f>
        <v>#REF!</v>
      </c>
      <c r="E201" s="16">
        <v>515000</v>
      </c>
      <c r="F201" s="15">
        <v>2516</v>
      </c>
      <c r="G201" s="15">
        <v>27</v>
      </c>
      <c r="H201" s="15"/>
      <c r="I201" s="15" t="s">
        <v>378</v>
      </c>
      <c r="J201" s="15" t="s">
        <v>283</v>
      </c>
      <c r="K201" s="15" t="s">
        <v>319</v>
      </c>
      <c r="L201" s="20">
        <v>45928</v>
      </c>
      <c r="M201" s="9"/>
      <c r="N201" s="448"/>
    </row>
    <row r="202" spans="1:14" ht="17.5">
      <c r="A202" s="23"/>
      <c r="B202" s="15">
        <v>101</v>
      </c>
      <c r="C202" s="15">
        <v>204.1</v>
      </c>
      <c r="D202" s="12" t="e">
        <f>#REF!/#REF!</f>
        <v>#REF!</v>
      </c>
      <c r="E202" s="16">
        <v>980000</v>
      </c>
      <c r="F202" s="15">
        <v>2516</v>
      </c>
      <c r="G202" s="15">
        <v>1</v>
      </c>
      <c r="H202" s="15"/>
      <c r="I202" s="15" t="s">
        <v>378</v>
      </c>
      <c r="J202" s="15" t="s">
        <v>283</v>
      </c>
      <c r="K202" s="15" t="s">
        <v>319</v>
      </c>
      <c r="L202" s="20">
        <v>45925</v>
      </c>
      <c r="M202" s="9"/>
      <c r="N202" s="448"/>
    </row>
    <row r="203" spans="1:14" ht="17.5">
      <c r="A203" s="23"/>
      <c r="B203" s="15">
        <v>102</v>
      </c>
      <c r="C203" s="15">
        <v>76.5</v>
      </c>
      <c r="D203" s="12" t="e">
        <f>#REF!/#REF!</f>
        <v>#REF!</v>
      </c>
      <c r="E203" s="16">
        <v>359287</v>
      </c>
      <c r="F203" s="15">
        <v>2516</v>
      </c>
      <c r="G203" s="15">
        <v>2766</v>
      </c>
      <c r="H203" s="15"/>
      <c r="I203" s="15" t="s">
        <v>378</v>
      </c>
      <c r="J203" s="15" t="s">
        <v>283</v>
      </c>
      <c r="K203" s="15" t="s">
        <v>319</v>
      </c>
      <c r="L203" s="20">
        <v>45910</v>
      </c>
      <c r="M203" s="9"/>
      <c r="N203" s="448"/>
    </row>
    <row r="204" spans="1:14" ht="17.5">
      <c r="A204" s="23"/>
      <c r="B204" s="15">
        <v>11</v>
      </c>
      <c r="C204" s="15">
        <v>700</v>
      </c>
      <c r="D204" s="12" t="e">
        <f>#REF!/#REF!</f>
        <v>#REF!</v>
      </c>
      <c r="E204" s="16">
        <v>35000</v>
      </c>
      <c r="F204" s="17" t="s">
        <v>97</v>
      </c>
      <c r="G204" s="15">
        <v>68</v>
      </c>
      <c r="H204" s="15"/>
      <c r="I204" s="17" t="s">
        <v>98</v>
      </c>
      <c r="J204" s="15"/>
      <c r="K204" s="17" t="s">
        <v>384</v>
      </c>
      <c r="L204" s="20">
        <v>45933</v>
      </c>
      <c r="M204" s="9"/>
      <c r="N204" s="448"/>
    </row>
    <row r="205" spans="1:14" ht="17.5">
      <c r="A205" s="23"/>
      <c r="B205" s="15">
        <v>12</v>
      </c>
      <c r="C205" s="15">
        <v>690</v>
      </c>
      <c r="D205" s="12" t="e">
        <f>#REF!/#REF!</f>
        <v>#REF!</v>
      </c>
      <c r="E205" s="16">
        <v>35000</v>
      </c>
      <c r="F205" s="17" t="s">
        <v>97</v>
      </c>
      <c r="G205" s="15">
        <v>89</v>
      </c>
      <c r="H205" s="15"/>
      <c r="I205" s="17" t="s">
        <v>98</v>
      </c>
      <c r="J205" s="15"/>
      <c r="K205" s="17" t="s">
        <v>384</v>
      </c>
      <c r="L205" s="20">
        <v>45837</v>
      </c>
      <c r="M205" s="9"/>
      <c r="N205" s="448"/>
    </row>
    <row r="206" spans="1:14" ht="17.5">
      <c r="A206" s="23"/>
      <c r="B206" s="15">
        <v>13</v>
      </c>
      <c r="C206" s="15">
        <v>700</v>
      </c>
      <c r="D206" s="12" t="e">
        <f>#REF!/#REF!</f>
        <v>#REF!</v>
      </c>
      <c r="E206" s="16">
        <v>31000</v>
      </c>
      <c r="F206" s="15">
        <v>369</v>
      </c>
      <c r="G206" s="15">
        <v>77</v>
      </c>
      <c r="H206" s="15"/>
      <c r="I206" s="17" t="s">
        <v>98</v>
      </c>
      <c r="J206" s="15"/>
      <c r="K206" s="17" t="s">
        <v>384</v>
      </c>
      <c r="L206" s="20">
        <v>45751</v>
      </c>
      <c r="M206" s="9"/>
      <c r="N206" s="448"/>
    </row>
    <row r="207" spans="1:14" ht="17.5">
      <c r="A207" s="23"/>
      <c r="B207" s="15">
        <v>14</v>
      </c>
      <c r="C207" s="15">
        <v>700</v>
      </c>
      <c r="D207" s="12" t="e">
        <f>#REF!/#REF!</f>
        <v>#REF!</v>
      </c>
      <c r="E207" s="16">
        <v>40000</v>
      </c>
      <c r="F207" s="15">
        <v>369</v>
      </c>
      <c r="G207" s="15">
        <v>78</v>
      </c>
      <c r="H207" s="15"/>
      <c r="I207" s="17" t="s">
        <v>98</v>
      </c>
      <c r="J207" s="15"/>
      <c r="K207" s="17" t="s">
        <v>384</v>
      </c>
      <c r="L207" s="20">
        <v>45709</v>
      </c>
      <c r="M207" s="9"/>
      <c r="N207" s="448"/>
    </row>
    <row r="208" spans="1:14" ht="17.5">
      <c r="A208" s="23"/>
      <c r="B208" s="15">
        <v>15</v>
      </c>
      <c r="C208" s="15">
        <v>1800</v>
      </c>
      <c r="D208" s="12" t="e">
        <f>#REF!/#REF!</f>
        <v>#REF!</v>
      </c>
      <c r="E208" s="16">
        <v>100000</v>
      </c>
      <c r="F208" s="17" t="s">
        <v>99</v>
      </c>
      <c r="G208" s="15" t="s">
        <v>100</v>
      </c>
      <c r="H208" s="15"/>
      <c r="I208" s="17" t="s">
        <v>98</v>
      </c>
      <c r="J208" s="15"/>
      <c r="K208" s="17" t="s">
        <v>384</v>
      </c>
      <c r="L208" s="20">
        <v>45704</v>
      </c>
      <c r="M208" s="9"/>
      <c r="N208" s="448"/>
    </row>
    <row r="209" spans="1:14" ht="17.5">
      <c r="A209" s="23"/>
      <c r="B209" s="15">
        <v>16</v>
      </c>
      <c r="C209" s="15">
        <v>625</v>
      </c>
      <c r="D209" s="12" t="e">
        <f>#REF!/#REF!</f>
        <v>#REF!</v>
      </c>
      <c r="E209" s="16">
        <v>30000</v>
      </c>
      <c r="F209" s="15" t="s">
        <v>101</v>
      </c>
      <c r="G209" s="15">
        <v>306</v>
      </c>
      <c r="H209" s="15"/>
      <c r="I209" s="17" t="s">
        <v>102</v>
      </c>
      <c r="J209" s="15"/>
      <c r="K209" s="17" t="s">
        <v>384</v>
      </c>
      <c r="L209" s="20">
        <v>45890</v>
      </c>
      <c r="M209" s="9"/>
      <c r="N209" s="448"/>
    </row>
    <row r="210" spans="1:14" ht="17.5">
      <c r="A210" s="23"/>
      <c r="B210" s="15">
        <v>17</v>
      </c>
      <c r="C210" s="15">
        <v>625</v>
      </c>
      <c r="D210" s="12" t="e">
        <f>#REF!/#REF!</f>
        <v>#REF!</v>
      </c>
      <c r="E210" s="16">
        <v>28000</v>
      </c>
      <c r="F210" s="15" t="s">
        <v>101</v>
      </c>
      <c r="G210" s="15">
        <v>174</v>
      </c>
      <c r="H210" s="15"/>
      <c r="I210" s="17" t="s">
        <v>102</v>
      </c>
      <c r="J210" s="15"/>
      <c r="K210" s="17" t="s">
        <v>384</v>
      </c>
      <c r="L210" s="20">
        <v>45882</v>
      </c>
      <c r="M210" s="9"/>
      <c r="N210" s="448"/>
    </row>
    <row r="211" spans="1:14" ht="17.5">
      <c r="A211" s="23"/>
      <c r="B211" s="15">
        <v>18</v>
      </c>
      <c r="C211" s="15">
        <v>625</v>
      </c>
      <c r="D211" s="12" t="e">
        <f>#REF!/#REF!</f>
        <v>#REF!</v>
      </c>
      <c r="E211" s="16">
        <v>35000</v>
      </c>
      <c r="F211" s="15" t="s">
        <v>101</v>
      </c>
      <c r="G211" s="15">
        <v>191</v>
      </c>
      <c r="H211" s="15"/>
      <c r="I211" s="17" t="s">
        <v>102</v>
      </c>
      <c r="J211" s="15"/>
      <c r="K211" s="17" t="s">
        <v>384</v>
      </c>
      <c r="L211" s="20">
        <v>45861</v>
      </c>
      <c r="M211" s="9"/>
      <c r="N211" s="448"/>
    </row>
    <row r="212" spans="1:14" ht="17.5">
      <c r="A212" s="23"/>
      <c r="B212" s="15">
        <v>19</v>
      </c>
      <c r="C212" s="15">
        <v>625</v>
      </c>
      <c r="D212" s="12" t="e">
        <f>#REF!/#REF!</f>
        <v>#REF!</v>
      </c>
      <c r="E212" s="16">
        <v>43000</v>
      </c>
      <c r="F212" s="15" t="s">
        <v>101</v>
      </c>
      <c r="G212" s="15">
        <v>237</v>
      </c>
      <c r="H212" s="15"/>
      <c r="I212" s="17" t="s">
        <v>102</v>
      </c>
      <c r="J212" s="15"/>
      <c r="K212" s="17" t="s">
        <v>384</v>
      </c>
      <c r="L212" s="20">
        <v>45713</v>
      </c>
      <c r="M212" s="9"/>
      <c r="N212" s="448"/>
    </row>
    <row r="213" spans="1:14" ht="17.5">
      <c r="A213" s="23"/>
      <c r="B213" s="15">
        <v>20</v>
      </c>
      <c r="C213" s="15">
        <v>625</v>
      </c>
      <c r="D213" s="12" t="e">
        <f>#REF!/#REF!</f>
        <v>#REF!</v>
      </c>
      <c r="E213" s="16">
        <v>43000</v>
      </c>
      <c r="F213" s="15" t="s">
        <v>101</v>
      </c>
      <c r="G213" s="15">
        <v>417</v>
      </c>
      <c r="H213" s="15"/>
      <c r="I213" s="17" t="s">
        <v>102</v>
      </c>
      <c r="J213" s="15"/>
      <c r="K213" s="17" t="s">
        <v>384</v>
      </c>
      <c r="L213" s="20">
        <v>45665</v>
      </c>
      <c r="M213" s="9"/>
      <c r="N213" s="448"/>
    </row>
    <row r="214" spans="1:14" ht="17.5">
      <c r="A214" s="23"/>
      <c r="B214" s="15">
        <v>1</v>
      </c>
      <c r="C214" s="15">
        <v>585</v>
      </c>
      <c r="D214" s="12" t="e">
        <f>#REF!/#REF!</f>
        <v>#REF!</v>
      </c>
      <c r="E214" s="16">
        <v>30000</v>
      </c>
      <c r="F214" s="15" t="s">
        <v>89</v>
      </c>
      <c r="G214" s="15">
        <v>8</v>
      </c>
      <c r="H214" s="15"/>
      <c r="I214" s="17" t="s">
        <v>90</v>
      </c>
      <c r="J214" s="15"/>
      <c r="K214" s="17" t="s">
        <v>384</v>
      </c>
      <c r="L214" s="20">
        <v>45930</v>
      </c>
      <c r="M214" s="9"/>
      <c r="N214" s="448"/>
    </row>
    <row r="215" spans="1:14" ht="17.5">
      <c r="A215" s="23"/>
      <c r="B215" s="15">
        <v>2</v>
      </c>
      <c r="C215" s="15">
        <v>585</v>
      </c>
      <c r="D215" s="12" t="e">
        <f>#REF!/#REF!</f>
        <v>#REF!</v>
      </c>
      <c r="E215" s="13">
        <v>30000</v>
      </c>
      <c r="F215" s="15" t="s">
        <v>89</v>
      </c>
      <c r="G215" s="17" t="s">
        <v>91</v>
      </c>
      <c r="H215" s="17"/>
      <c r="I215" s="17" t="s">
        <v>90</v>
      </c>
      <c r="J215" s="15"/>
      <c r="K215" s="17" t="s">
        <v>384</v>
      </c>
      <c r="L215" s="20">
        <v>45913</v>
      </c>
      <c r="M215" s="9"/>
      <c r="N215" s="448"/>
    </row>
    <row r="216" spans="1:14" ht="17.5">
      <c r="A216" s="23"/>
      <c r="B216" s="15">
        <v>3</v>
      </c>
      <c r="C216" s="15">
        <v>217</v>
      </c>
      <c r="D216" s="12" t="e">
        <f>#REF!/#REF!</f>
        <v>#REF!</v>
      </c>
      <c r="E216" s="13">
        <v>23500</v>
      </c>
      <c r="F216" s="15" t="s">
        <v>92</v>
      </c>
      <c r="G216" s="15" t="s">
        <v>93</v>
      </c>
      <c r="H216" s="15"/>
      <c r="I216" s="17" t="s">
        <v>90</v>
      </c>
      <c r="J216" s="15"/>
      <c r="K216" s="17" t="s">
        <v>384</v>
      </c>
      <c r="L216" s="20">
        <v>45910</v>
      </c>
      <c r="M216" s="9"/>
      <c r="N216" s="448"/>
    </row>
    <row r="217" spans="1:14" ht="17.5">
      <c r="A217" s="23"/>
      <c r="B217" s="15">
        <v>4</v>
      </c>
      <c r="C217" s="15">
        <v>585</v>
      </c>
      <c r="D217" s="12" t="e">
        <f>#REF!/#REF!</f>
        <v>#REF!</v>
      </c>
      <c r="E217" s="13">
        <v>30000</v>
      </c>
      <c r="F217" s="15" t="s">
        <v>89</v>
      </c>
      <c r="G217" s="17" t="s">
        <v>91</v>
      </c>
      <c r="H217" s="17"/>
      <c r="I217" s="17" t="s">
        <v>90</v>
      </c>
      <c r="J217" s="15"/>
      <c r="K217" s="17" t="s">
        <v>384</v>
      </c>
      <c r="L217" s="20">
        <v>45907</v>
      </c>
      <c r="M217" s="9"/>
      <c r="N217" s="448"/>
    </row>
    <row r="218" spans="1:14" ht="17.5">
      <c r="A218" s="23"/>
      <c r="B218" s="15">
        <v>5</v>
      </c>
      <c r="C218" s="15">
        <v>552</v>
      </c>
      <c r="D218" s="12" t="e">
        <f>#REF!/#REF!</f>
        <v>#REF!</v>
      </c>
      <c r="E218" s="13">
        <v>55000</v>
      </c>
      <c r="F218" s="15" t="s">
        <v>92</v>
      </c>
      <c r="G218" s="15">
        <v>32</v>
      </c>
      <c r="H218" s="15"/>
      <c r="I218" s="17" t="s">
        <v>90</v>
      </c>
      <c r="J218" s="15"/>
      <c r="K218" s="17" t="s">
        <v>384</v>
      </c>
      <c r="L218" s="20">
        <v>45901</v>
      </c>
      <c r="M218" s="9"/>
      <c r="N218" s="448"/>
    </row>
    <row r="219" spans="1:14" ht="17.5">
      <c r="A219" s="23"/>
      <c r="B219" s="15">
        <v>6</v>
      </c>
      <c r="C219" s="15">
        <v>217</v>
      </c>
      <c r="D219" s="12" t="e">
        <f>#REF!/#REF!</f>
        <v>#REF!</v>
      </c>
      <c r="E219" s="13">
        <v>18000</v>
      </c>
      <c r="F219" s="15" t="s">
        <v>92</v>
      </c>
      <c r="G219" s="15" t="s">
        <v>93</v>
      </c>
      <c r="H219" s="15"/>
      <c r="I219" s="17" t="s">
        <v>90</v>
      </c>
      <c r="J219" s="15"/>
      <c r="K219" s="17" t="s">
        <v>384</v>
      </c>
      <c r="L219" s="20">
        <v>45899</v>
      </c>
      <c r="M219" s="9"/>
      <c r="N219" s="448"/>
    </row>
    <row r="220" spans="1:14" ht="17.5">
      <c r="A220" s="23"/>
      <c r="B220" s="15">
        <v>7</v>
      </c>
      <c r="C220" s="15">
        <v>568</v>
      </c>
      <c r="D220" s="12" t="e">
        <f>#REF!/#REF!</f>
        <v>#REF!</v>
      </c>
      <c r="E220" s="13">
        <v>58000</v>
      </c>
      <c r="F220" s="15">
        <v>101</v>
      </c>
      <c r="G220" s="15">
        <v>47</v>
      </c>
      <c r="H220" s="15"/>
      <c r="I220" s="17" t="s">
        <v>90</v>
      </c>
      <c r="J220" s="15"/>
      <c r="K220" s="17" t="s">
        <v>384</v>
      </c>
      <c r="L220" s="20">
        <v>45895</v>
      </c>
      <c r="M220" s="9"/>
      <c r="N220" s="448"/>
    </row>
    <row r="221" spans="1:14" ht="17.5">
      <c r="A221" s="23"/>
      <c r="B221" s="15">
        <v>8</v>
      </c>
      <c r="C221" s="15">
        <v>387</v>
      </c>
      <c r="D221" s="12" t="e">
        <f>#REF!/#REF!</f>
        <v>#REF!</v>
      </c>
      <c r="E221" s="16">
        <v>43000</v>
      </c>
      <c r="F221" s="15" t="s">
        <v>94</v>
      </c>
      <c r="G221" s="15">
        <v>116</v>
      </c>
      <c r="H221" s="15"/>
      <c r="I221" s="17" t="s">
        <v>90</v>
      </c>
      <c r="J221" s="15"/>
      <c r="K221" s="17" t="s">
        <v>384</v>
      </c>
      <c r="L221" s="20">
        <v>45889</v>
      </c>
      <c r="M221" s="9"/>
      <c r="N221" s="448"/>
    </row>
    <row r="222" spans="1:14" ht="17.5">
      <c r="A222" s="23"/>
      <c r="B222" s="15">
        <v>9</v>
      </c>
      <c r="C222" s="15">
        <v>210</v>
      </c>
      <c r="D222" s="12" t="e">
        <f>#REF!/#REF!</f>
        <v>#REF!</v>
      </c>
      <c r="E222" s="16">
        <v>19000</v>
      </c>
      <c r="F222" s="15" t="s">
        <v>92</v>
      </c>
      <c r="G222" s="15" t="s">
        <v>95</v>
      </c>
      <c r="H222" s="15"/>
      <c r="I222" s="17" t="s">
        <v>90</v>
      </c>
      <c r="J222" s="15"/>
      <c r="K222" s="17" t="s">
        <v>384</v>
      </c>
      <c r="L222" s="20">
        <v>45888</v>
      </c>
      <c r="M222" s="9"/>
      <c r="N222" s="448"/>
    </row>
    <row r="223" spans="1:14" ht="17.5">
      <c r="A223" s="23"/>
      <c r="B223" s="15">
        <v>10</v>
      </c>
      <c r="C223" s="15">
        <v>210</v>
      </c>
      <c r="D223" s="12" t="e">
        <f>#REF!/#REF!</f>
        <v>#REF!</v>
      </c>
      <c r="E223" s="16">
        <v>18000</v>
      </c>
      <c r="F223" s="15" t="s">
        <v>92</v>
      </c>
      <c r="G223" s="15" t="s">
        <v>96</v>
      </c>
      <c r="H223" s="15"/>
      <c r="I223" s="17" t="s">
        <v>90</v>
      </c>
      <c r="J223" s="15"/>
      <c r="K223" s="17" t="s">
        <v>384</v>
      </c>
      <c r="L223" s="20">
        <v>45887</v>
      </c>
      <c r="M223" s="9"/>
      <c r="N223" s="448"/>
    </row>
    <row r="224" spans="1:14" ht="17.5">
      <c r="A224" s="23"/>
      <c r="B224" s="15">
        <v>21</v>
      </c>
      <c r="C224" s="15">
        <v>625</v>
      </c>
      <c r="D224" s="12" t="e">
        <f>#REF!/#REF!</f>
        <v>#REF!</v>
      </c>
      <c r="E224" s="16">
        <v>45000</v>
      </c>
      <c r="F224" s="15" t="s">
        <v>103</v>
      </c>
      <c r="G224" s="15">
        <v>624</v>
      </c>
      <c r="H224" s="15"/>
      <c r="I224" s="17" t="s">
        <v>104</v>
      </c>
      <c r="J224" s="15"/>
      <c r="K224" s="17" t="s">
        <v>384</v>
      </c>
      <c r="L224" s="20">
        <v>45918</v>
      </c>
      <c r="M224" s="9"/>
      <c r="N224" s="448"/>
    </row>
    <row r="225" spans="1:14" ht="17.5">
      <c r="A225" s="23"/>
      <c r="B225" s="15">
        <v>22</v>
      </c>
      <c r="C225" s="15">
        <v>550</v>
      </c>
      <c r="D225" s="12" t="e">
        <f>#REF!/#REF!</f>
        <v>#REF!</v>
      </c>
      <c r="E225" s="16">
        <v>45000</v>
      </c>
      <c r="F225" s="15" t="s">
        <v>103</v>
      </c>
      <c r="G225" s="15">
        <v>433</v>
      </c>
      <c r="H225" s="15"/>
      <c r="I225" s="17" t="s">
        <v>104</v>
      </c>
      <c r="J225" s="15"/>
      <c r="K225" s="17" t="s">
        <v>384</v>
      </c>
      <c r="L225" s="20">
        <v>45462</v>
      </c>
      <c r="M225" s="9"/>
      <c r="N225" s="448"/>
    </row>
    <row r="226" spans="1:14" ht="17.5">
      <c r="A226" s="23"/>
      <c r="B226" s="15">
        <v>23</v>
      </c>
      <c r="C226" s="15">
        <v>875</v>
      </c>
      <c r="D226" s="12" t="e">
        <f>#REF!/#REF!</f>
        <v>#REF!</v>
      </c>
      <c r="E226" s="16">
        <v>35000</v>
      </c>
      <c r="F226" s="15" t="s">
        <v>103</v>
      </c>
      <c r="G226" s="15">
        <v>585</v>
      </c>
      <c r="H226" s="15"/>
      <c r="I226" s="17" t="s">
        <v>104</v>
      </c>
      <c r="J226" s="15"/>
      <c r="K226" s="17" t="s">
        <v>384</v>
      </c>
      <c r="L226" s="20">
        <v>44994</v>
      </c>
      <c r="M226" s="9"/>
      <c r="N226" s="448"/>
    </row>
    <row r="227" spans="1:14" ht="17.5">
      <c r="A227" s="23"/>
      <c r="B227" s="15">
        <v>24</v>
      </c>
      <c r="C227" s="15">
        <v>625</v>
      </c>
      <c r="D227" s="12" t="e">
        <f>#REF!/#REF!</f>
        <v>#REF!</v>
      </c>
      <c r="E227" s="16">
        <v>5000</v>
      </c>
      <c r="F227" s="15" t="s">
        <v>103</v>
      </c>
      <c r="G227" s="15">
        <v>624</v>
      </c>
      <c r="H227" s="15"/>
      <c r="I227" s="17" t="s">
        <v>104</v>
      </c>
      <c r="J227" s="15"/>
      <c r="K227" s="17" t="s">
        <v>384</v>
      </c>
      <c r="L227" s="20">
        <v>45726</v>
      </c>
      <c r="M227" s="9"/>
      <c r="N227" s="448"/>
    </row>
    <row r="228" spans="1:14" ht="17.5">
      <c r="A228" s="23"/>
      <c r="B228" s="15">
        <v>338</v>
      </c>
      <c r="C228" s="15">
        <v>1</v>
      </c>
      <c r="D228" s="12" t="e">
        <f>#REF!/#REF!</f>
        <v>#REF!</v>
      </c>
      <c r="E228" s="16">
        <v>42000</v>
      </c>
      <c r="F228" s="15"/>
      <c r="G228" s="15"/>
      <c r="H228" s="15"/>
      <c r="I228" s="15" t="s">
        <v>850</v>
      </c>
      <c r="J228" s="15" t="s">
        <v>127</v>
      </c>
      <c r="K228" s="15" t="s">
        <v>327</v>
      </c>
      <c r="L228" s="20"/>
      <c r="M228" s="9"/>
      <c r="N228" s="448"/>
    </row>
    <row r="229" spans="1:14" ht="17.5">
      <c r="A229" s="23"/>
      <c r="B229" s="15">
        <v>339</v>
      </c>
      <c r="C229" s="15">
        <v>1</v>
      </c>
      <c r="D229" s="12" t="e">
        <f>#REF!/#REF!</f>
        <v>#REF!</v>
      </c>
      <c r="E229" s="16">
        <v>42000</v>
      </c>
      <c r="F229" s="15"/>
      <c r="G229" s="15"/>
      <c r="H229" s="15"/>
      <c r="I229" s="15" t="s">
        <v>850</v>
      </c>
      <c r="J229" s="15" t="s">
        <v>127</v>
      </c>
      <c r="K229" s="15" t="s">
        <v>327</v>
      </c>
      <c r="L229" s="20"/>
      <c r="M229" s="9"/>
      <c r="N229" s="448"/>
    </row>
    <row r="230" spans="1:14" ht="17.5">
      <c r="A230" s="23"/>
      <c r="B230" s="15">
        <v>340</v>
      </c>
      <c r="C230" s="15">
        <v>1</v>
      </c>
      <c r="D230" s="12" t="e">
        <f>#REF!/#REF!</f>
        <v>#REF!</v>
      </c>
      <c r="E230" s="16">
        <v>39600</v>
      </c>
      <c r="F230" s="15"/>
      <c r="G230" s="15"/>
      <c r="H230" s="15"/>
      <c r="I230" s="15" t="s">
        <v>850</v>
      </c>
      <c r="J230" s="15" t="s">
        <v>127</v>
      </c>
      <c r="K230" s="15" t="s">
        <v>327</v>
      </c>
      <c r="L230" s="20"/>
      <c r="M230" s="9"/>
      <c r="N230" s="448"/>
    </row>
    <row r="231" spans="1:14" ht="17.5">
      <c r="A231" s="23"/>
      <c r="B231" s="15">
        <v>341</v>
      </c>
      <c r="C231" s="15">
        <v>1</v>
      </c>
      <c r="D231" s="12" t="e">
        <f>#REF!/#REF!</f>
        <v>#REF!</v>
      </c>
      <c r="E231" s="16">
        <v>29400</v>
      </c>
      <c r="F231" s="15"/>
      <c r="G231" s="15"/>
      <c r="H231" s="15"/>
      <c r="I231" s="15" t="s">
        <v>850</v>
      </c>
      <c r="J231" s="15" t="s">
        <v>127</v>
      </c>
      <c r="K231" s="15" t="s">
        <v>327</v>
      </c>
      <c r="L231" s="20"/>
      <c r="M231" s="9"/>
      <c r="N231" s="448"/>
    </row>
    <row r="232" spans="1:14" ht="17.5">
      <c r="A232" s="23"/>
      <c r="B232" s="15">
        <v>201</v>
      </c>
      <c r="C232" s="15">
        <v>1</v>
      </c>
      <c r="D232" s="12" t="e">
        <f>#REF!/#REF!</f>
        <v>#REF!</v>
      </c>
      <c r="E232" s="446">
        <v>37000</v>
      </c>
      <c r="F232" s="15"/>
      <c r="G232" s="15"/>
      <c r="H232" s="15">
        <v>1</v>
      </c>
      <c r="I232" s="15" t="s">
        <v>598</v>
      </c>
      <c r="J232" s="15" t="s">
        <v>597</v>
      </c>
      <c r="K232" s="15" t="s">
        <v>327</v>
      </c>
      <c r="L232" s="20"/>
      <c r="M232" s="9"/>
      <c r="N232" s="448"/>
    </row>
    <row r="233" spans="1:14" ht="17.5">
      <c r="A233" s="23"/>
      <c r="B233" s="15">
        <v>202</v>
      </c>
      <c r="C233" s="15">
        <v>1</v>
      </c>
      <c r="D233" s="12" t="e">
        <f>#REF!/#REF!</f>
        <v>#REF!</v>
      </c>
      <c r="E233" s="446">
        <v>40000</v>
      </c>
      <c r="F233" s="15"/>
      <c r="G233" s="15"/>
      <c r="H233" s="15">
        <v>1</v>
      </c>
      <c r="I233" s="15" t="s">
        <v>598</v>
      </c>
      <c r="J233" s="15" t="s">
        <v>597</v>
      </c>
      <c r="K233" s="15" t="s">
        <v>327</v>
      </c>
      <c r="L233" s="20"/>
      <c r="M233" s="9"/>
      <c r="N233" s="448"/>
    </row>
    <row r="234" spans="1:14" ht="17.5">
      <c r="A234" s="23"/>
      <c r="B234" s="15">
        <v>203</v>
      </c>
      <c r="C234" s="15">
        <v>1</v>
      </c>
      <c r="D234" s="12" t="e">
        <f>#REF!/#REF!</f>
        <v>#REF!</v>
      </c>
      <c r="E234" s="446">
        <v>48000</v>
      </c>
      <c r="F234" s="15"/>
      <c r="G234" s="15"/>
      <c r="H234" s="15">
        <v>1</v>
      </c>
      <c r="I234" s="15" t="s">
        <v>598</v>
      </c>
      <c r="J234" s="15" t="s">
        <v>597</v>
      </c>
      <c r="K234" s="15" t="s">
        <v>327</v>
      </c>
      <c r="L234" s="20"/>
      <c r="M234" s="9"/>
      <c r="N234" s="448"/>
    </row>
    <row r="235" spans="1:14" ht="17.5">
      <c r="A235" s="23"/>
      <c r="B235" s="15">
        <v>204</v>
      </c>
      <c r="C235" s="15">
        <v>1</v>
      </c>
      <c r="D235" s="12" t="e">
        <f>#REF!/#REF!</f>
        <v>#REF!</v>
      </c>
      <c r="E235" s="446">
        <v>48000</v>
      </c>
      <c r="F235" s="15"/>
      <c r="G235" s="15"/>
      <c r="H235" s="15">
        <v>1</v>
      </c>
      <c r="I235" s="15" t="s">
        <v>598</v>
      </c>
      <c r="J235" s="15" t="s">
        <v>597</v>
      </c>
      <c r="K235" s="15" t="s">
        <v>327</v>
      </c>
      <c r="L235" s="20"/>
      <c r="M235" s="9"/>
      <c r="N235" s="448"/>
    </row>
    <row r="236" spans="1:14" ht="17.5">
      <c r="A236" s="23"/>
      <c r="B236" s="15">
        <v>205</v>
      </c>
      <c r="C236" s="15">
        <v>1</v>
      </c>
      <c r="D236" s="12" t="e">
        <f>#REF!/#REF!</f>
        <v>#REF!</v>
      </c>
      <c r="E236" s="446">
        <f>12*4500</f>
        <v>54000</v>
      </c>
      <c r="F236" s="15"/>
      <c r="G236" s="15"/>
      <c r="H236" s="15">
        <v>1</v>
      </c>
      <c r="I236" s="15" t="s">
        <v>598</v>
      </c>
      <c r="J236" s="15" t="s">
        <v>597</v>
      </c>
      <c r="K236" s="15" t="s">
        <v>327</v>
      </c>
      <c r="L236" s="20"/>
      <c r="M236" s="9"/>
      <c r="N236" s="448"/>
    </row>
    <row r="237" spans="1:14" ht="17.5">
      <c r="A237" s="23"/>
      <c r="B237" s="15">
        <v>206</v>
      </c>
      <c r="C237" s="15">
        <v>1</v>
      </c>
      <c r="D237" s="12" t="e">
        <f>#REF!/#REF!</f>
        <v>#REF!</v>
      </c>
      <c r="E237" s="446">
        <f>4200*12</f>
        <v>50400</v>
      </c>
      <c r="F237" s="15"/>
      <c r="G237" s="15"/>
      <c r="H237" s="15">
        <v>1</v>
      </c>
      <c r="I237" s="15" t="s">
        <v>598</v>
      </c>
      <c r="J237" s="15" t="s">
        <v>597</v>
      </c>
      <c r="K237" s="15" t="s">
        <v>327</v>
      </c>
      <c r="L237" s="20"/>
      <c r="M237" s="9"/>
      <c r="N237" s="448"/>
    </row>
    <row r="238" spans="1:14" ht="17.5">
      <c r="A238" s="23"/>
      <c r="B238" s="15">
        <v>328</v>
      </c>
      <c r="C238" s="15">
        <v>1</v>
      </c>
      <c r="D238" s="12" t="e">
        <f>#REF!/#REF!</f>
        <v>#REF!</v>
      </c>
      <c r="E238" s="16">
        <v>33000</v>
      </c>
      <c r="F238" s="15"/>
      <c r="G238" s="15"/>
      <c r="H238" s="15"/>
      <c r="I238" s="15" t="s">
        <v>847</v>
      </c>
      <c r="J238" s="15" t="s">
        <v>848</v>
      </c>
      <c r="K238" s="15" t="s">
        <v>327</v>
      </c>
      <c r="L238" s="20"/>
      <c r="M238" s="9"/>
      <c r="N238" s="448"/>
    </row>
    <row r="239" spans="1:14" ht="17.5">
      <c r="A239" s="23"/>
      <c r="B239" s="15">
        <v>329</v>
      </c>
      <c r="C239" s="15">
        <v>1</v>
      </c>
      <c r="D239" s="12" t="e">
        <f>#REF!/#REF!</f>
        <v>#REF!</v>
      </c>
      <c r="E239" s="16">
        <v>36000</v>
      </c>
      <c r="F239" s="15"/>
      <c r="G239" s="15"/>
      <c r="H239" s="15"/>
      <c r="I239" s="15" t="s">
        <v>847</v>
      </c>
      <c r="J239" s="15" t="s">
        <v>848</v>
      </c>
      <c r="K239" s="15" t="s">
        <v>327</v>
      </c>
      <c r="L239" s="20"/>
      <c r="M239" s="9"/>
      <c r="N239" s="448"/>
    </row>
    <row r="240" spans="1:14" ht="17.5">
      <c r="A240" s="23"/>
      <c r="B240" s="15">
        <v>330</v>
      </c>
      <c r="C240" s="15">
        <v>1</v>
      </c>
      <c r="D240" s="12" t="e">
        <f>#REF!/#REF!</f>
        <v>#REF!</v>
      </c>
      <c r="E240" s="16">
        <f>2750*12</f>
        <v>33000</v>
      </c>
      <c r="F240" s="15"/>
      <c r="G240" s="15"/>
      <c r="H240" s="15"/>
      <c r="I240" s="15" t="s">
        <v>847</v>
      </c>
      <c r="J240" s="15" t="s">
        <v>848</v>
      </c>
      <c r="K240" s="15" t="s">
        <v>327</v>
      </c>
      <c r="L240" s="20"/>
      <c r="M240" s="9"/>
      <c r="N240" s="448"/>
    </row>
    <row r="241" spans="1:14" ht="17.5">
      <c r="A241" s="23"/>
      <c r="B241" s="15">
        <v>331</v>
      </c>
      <c r="C241" s="15">
        <v>1</v>
      </c>
      <c r="D241" s="12" t="e">
        <f>#REF!/#REF!</f>
        <v>#REF!</v>
      </c>
      <c r="E241" s="16">
        <f>2800*12</f>
        <v>33600</v>
      </c>
      <c r="F241" s="15"/>
      <c r="G241" s="15"/>
      <c r="H241" s="15"/>
      <c r="I241" s="15" t="s">
        <v>847</v>
      </c>
      <c r="J241" s="15" t="s">
        <v>848</v>
      </c>
      <c r="K241" s="15" t="s">
        <v>327</v>
      </c>
      <c r="L241" s="20"/>
      <c r="M241" s="9"/>
      <c r="N241" s="448"/>
    </row>
    <row r="242" spans="1:14" ht="17.5">
      <c r="A242" s="23"/>
      <c r="B242" s="15">
        <v>332</v>
      </c>
      <c r="C242" s="15">
        <v>1</v>
      </c>
      <c r="D242" s="12" t="e">
        <f>#REF!/#REF!</f>
        <v>#REF!</v>
      </c>
      <c r="E242" s="16">
        <f>3500*12</f>
        <v>42000</v>
      </c>
      <c r="F242" s="15"/>
      <c r="G242" s="15"/>
      <c r="H242" s="15"/>
      <c r="I242" s="15" t="s">
        <v>847</v>
      </c>
      <c r="J242" s="15" t="s">
        <v>848</v>
      </c>
      <c r="K242" s="15" t="s">
        <v>327</v>
      </c>
      <c r="L242" s="20"/>
      <c r="M242" s="9"/>
      <c r="N242" s="448"/>
    </row>
    <row r="243" spans="1:14" ht="17.5">
      <c r="A243" s="23"/>
      <c r="B243" s="15">
        <v>333</v>
      </c>
      <c r="C243" s="15">
        <v>1</v>
      </c>
      <c r="D243" s="12" t="e">
        <f>#REF!/#REF!</f>
        <v>#REF!</v>
      </c>
      <c r="E243" s="16">
        <f>2850*12</f>
        <v>34200</v>
      </c>
      <c r="F243" s="15"/>
      <c r="G243" s="15"/>
      <c r="H243" s="15"/>
      <c r="I243" s="15" t="s">
        <v>847</v>
      </c>
      <c r="J243" s="15" t="s">
        <v>848</v>
      </c>
      <c r="K243" s="15" t="s">
        <v>327</v>
      </c>
      <c r="L243" s="20"/>
      <c r="M243" s="9"/>
      <c r="N243" s="448"/>
    </row>
    <row r="244" spans="1:14" ht="17.5">
      <c r="A244" s="23"/>
      <c r="B244" s="15">
        <v>342</v>
      </c>
      <c r="C244" s="15">
        <v>1</v>
      </c>
      <c r="D244" s="12" t="e">
        <f>#REF!/#REF!</f>
        <v>#REF!</v>
      </c>
      <c r="E244" s="16">
        <v>42000</v>
      </c>
      <c r="F244" s="15"/>
      <c r="G244" s="15"/>
      <c r="H244" s="15"/>
      <c r="I244" s="15" t="s">
        <v>847</v>
      </c>
      <c r="J244" s="15" t="s">
        <v>848</v>
      </c>
      <c r="K244" s="15" t="s">
        <v>327</v>
      </c>
      <c r="L244" s="20"/>
      <c r="M244" s="9"/>
      <c r="N244" s="448"/>
    </row>
    <row r="245" spans="1:14" ht="17.5">
      <c r="A245" s="23"/>
      <c r="B245" s="15">
        <v>343</v>
      </c>
      <c r="C245" s="15">
        <v>1</v>
      </c>
      <c r="D245" s="12" t="e">
        <f>#REF!/#REF!</f>
        <v>#REF!</v>
      </c>
      <c r="E245" s="16">
        <v>42000</v>
      </c>
      <c r="F245" s="15"/>
      <c r="G245" s="15"/>
      <c r="H245" s="15"/>
      <c r="I245" s="15" t="s">
        <v>847</v>
      </c>
      <c r="J245" s="15" t="s">
        <v>848</v>
      </c>
      <c r="K245" s="15" t="s">
        <v>327</v>
      </c>
      <c r="L245" s="20"/>
      <c r="M245" s="9"/>
      <c r="N245" s="448"/>
    </row>
    <row r="246" spans="1:14" ht="17.5">
      <c r="A246" s="23"/>
      <c r="B246" s="15">
        <v>344</v>
      </c>
      <c r="C246" s="15">
        <v>1</v>
      </c>
      <c r="D246" s="12" t="e">
        <f>#REF!/#REF!</f>
        <v>#REF!</v>
      </c>
      <c r="E246" s="16">
        <f>3250*12</f>
        <v>39000</v>
      </c>
      <c r="F246" s="15"/>
      <c r="G246" s="15"/>
      <c r="H246" s="15"/>
      <c r="I246" s="15" t="s">
        <v>847</v>
      </c>
      <c r="J246" s="15" t="s">
        <v>848</v>
      </c>
      <c r="K246" s="15" t="s">
        <v>327</v>
      </c>
      <c r="L246" s="20"/>
      <c r="M246" s="9"/>
      <c r="N246" s="448"/>
    </row>
    <row r="247" spans="1:14" ht="17.5">
      <c r="A247" s="23"/>
      <c r="B247" s="15">
        <v>350</v>
      </c>
      <c r="C247" s="15">
        <v>1</v>
      </c>
      <c r="D247" s="12" t="e">
        <f>#REF!/#REF!</f>
        <v>#REF!</v>
      </c>
      <c r="E247" s="16">
        <f>252*365</f>
        <v>91980</v>
      </c>
      <c r="F247" s="15"/>
      <c r="G247" s="15"/>
      <c r="H247" s="15"/>
      <c r="I247" s="15" t="s">
        <v>852</v>
      </c>
      <c r="J247" s="15" t="s">
        <v>127</v>
      </c>
      <c r="K247" s="15" t="s">
        <v>327</v>
      </c>
      <c r="L247" s="20"/>
      <c r="M247" s="9"/>
      <c r="N247" s="448"/>
    </row>
    <row r="248" spans="1:14" ht="17.5">
      <c r="A248" s="23"/>
      <c r="B248" s="15">
        <v>351</v>
      </c>
      <c r="C248" s="15">
        <v>1</v>
      </c>
      <c r="D248" s="12" t="e">
        <f>#REF!/#REF!</f>
        <v>#REF!</v>
      </c>
      <c r="E248" s="16">
        <f>259.2*365</f>
        <v>94608</v>
      </c>
      <c r="F248" s="15"/>
      <c r="G248" s="15"/>
      <c r="H248" s="15"/>
      <c r="I248" s="15" t="s">
        <v>852</v>
      </c>
      <c r="J248" s="15" t="s">
        <v>127</v>
      </c>
      <c r="K248" s="15" t="s">
        <v>327</v>
      </c>
      <c r="L248" s="20"/>
      <c r="M248" s="9"/>
      <c r="N248" s="448"/>
    </row>
    <row r="249" spans="1:14" ht="17.5">
      <c r="A249" s="23"/>
      <c r="B249" s="15">
        <v>352</v>
      </c>
      <c r="C249" s="15">
        <v>1</v>
      </c>
      <c r="D249" s="12" t="e">
        <f>#REF!/#REF!</f>
        <v>#REF!</v>
      </c>
      <c r="E249" s="16">
        <f>267*365</f>
        <v>97455</v>
      </c>
      <c r="F249" s="15"/>
      <c r="G249" s="15"/>
      <c r="H249" s="15"/>
      <c r="I249" s="15" t="s">
        <v>852</v>
      </c>
      <c r="J249" s="15" t="s">
        <v>127</v>
      </c>
      <c r="K249" s="15" t="s">
        <v>327</v>
      </c>
      <c r="L249" s="20"/>
      <c r="M249" s="9"/>
      <c r="N249" s="448"/>
    </row>
    <row r="250" spans="1:14" ht="17.5">
      <c r="A250" s="23"/>
      <c r="B250" s="15">
        <v>353</v>
      </c>
      <c r="C250" s="15">
        <v>1</v>
      </c>
      <c r="D250" s="12" t="e">
        <f>#REF!/#REF!</f>
        <v>#REF!</v>
      </c>
      <c r="E250" s="16">
        <f>250*365</f>
        <v>91250</v>
      </c>
      <c r="F250" s="15"/>
      <c r="G250" s="15"/>
      <c r="H250" s="15"/>
      <c r="I250" s="15" t="s">
        <v>852</v>
      </c>
      <c r="J250" s="15" t="s">
        <v>127</v>
      </c>
      <c r="K250" s="15" t="s">
        <v>327</v>
      </c>
      <c r="L250" s="20"/>
      <c r="M250" s="9"/>
      <c r="N250" s="448"/>
    </row>
    <row r="251" spans="1:14" ht="17.5">
      <c r="A251" s="23"/>
      <c r="B251" s="15">
        <v>354</v>
      </c>
      <c r="C251" s="15">
        <v>1</v>
      </c>
      <c r="D251" s="12" t="e">
        <f>#REF!/#REF!</f>
        <v>#REF!</v>
      </c>
      <c r="E251" s="16">
        <f>249.05*365</f>
        <v>90903.25</v>
      </c>
      <c r="F251" s="15"/>
      <c r="G251" s="15"/>
      <c r="H251" s="15"/>
      <c r="I251" s="15" t="s">
        <v>852</v>
      </c>
      <c r="J251" s="15" t="s">
        <v>127</v>
      </c>
      <c r="K251" s="15" t="s">
        <v>327</v>
      </c>
      <c r="L251" s="20"/>
      <c r="M251" s="9"/>
      <c r="N251" s="448"/>
    </row>
    <row r="252" spans="1:14" ht="17.5">
      <c r="A252" s="23"/>
      <c r="B252" s="15">
        <v>345</v>
      </c>
      <c r="C252" s="15">
        <v>1</v>
      </c>
      <c r="D252" s="12" t="e">
        <f>#REF!/#REF!</f>
        <v>#REF!</v>
      </c>
      <c r="E252" s="16">
        <f>182.75*365</f>
        <v>66703.75</v>
      </c>
      <c r="F252" s="15"/>
      <c r="G252" s="15"/>
      <c r="H252" s="15"/>
      <c r="I252" s="15" t="s">
        <v>851</v>
      </c>
      <c r="J252" s="15" t="s">
        <v>848</v>
      </c>
      <c r="K252" s="15" t="s">
        <v>327</v>
      </c>
      <c r="L252" s="20"/>
      <c r="M252" s="9"/>
      <c r="N252" s="448"/>
    </row>
    <row r="253" spans="1:14" ht="17.5">
      <c r="A253" s="23"/>
      <c r="B253" s="15">
        <v>346</v>
      </c>
      <c r="C253" s="15">
        <v>1</v>
      </c>
      <c r="D253" s="12" t="e">
        <f>#REF!/#REF!</f>
        <v>#REF!</v>
      </c>
      <c r="E253" s="16">
        <f>220*365</f>
        <v>80300</v>
      </c>
      <c r="F253" s="15"/>
      <c r="G253" s="15"/>
      <c r="H253" s="15"/>
      <c r="I253" s="15" t="s">
        <v>851</v>
      </c>
      <c r="J253" s="15" t="s">
        <v>848</v>
      </c>
      <c r="K253" s="15" t="s">
        <v>327</v>
      </c>
      <c r="L253" s="20"/>
      <c r="M253" s="9"/>
      <c r="N253" s="448"/>
    </row>
    <row r="254" spans="1:14" ht="17.5">
      <c r="A254" s="23"/>
      <c r="B254" s="15">
        <v>347</v>
      </c>
      <c r="C254" s="15">
        <v>1</v>
      </c>
      <c r="D254" s="12" t="e">
        <f>#REF!/#REF!</f>
        <v>#REF!</v>
      </c>
      <c r="E254" s="16">
        <f>365*258.75</f>
        <v>94443.75</v>
      </c>
      <c r="F254" s="15"/>
      <c r="G254" s="15"/>
      <c r="H254" s="15"/>
      <c r="I254" s="15" t="s">
        <v>851</v>
      </c>
      <c r="J254" s="15" t="s">
        <v>848</v>
      </c>
      <c r="K254" s="15" t="s">
        <v>327</v>
      </c>
      <c r="L254" s="20"/>
      <c r="M254" s="9"/>
      <c r="N254" s="448"/>
    </row>
    <row r="255" spans="1:14" ht="17.5">
      <c r="A255" s="23"/>
      <c r="B255" s="15">
        <v>348</v>
      </c>
      <c r="C255" s="15">
        <v>1</v>
      </c>
      <c r="D255" s="12" t="e">
        <f>#REF!/#REF!</f>
        <v>#REF!</v>
      </c>
      <c r="E255" s="16">
        <f>281.6*365</f>
        <v>102784.00000000001</v>
      </c>
      <c r="F255" s="15"/>
      <c r="G255" s="15"/>
      <c r="H255" s="15"/>
      <c r="I255" s="15" t="s">
        <v>851</v>
      </c>
      <c r="J255" s="15" t="s">
        <v>848</v>
      </c>
      <c r="K255" s="15" t="s">
        <v>327</v>
      </c>
      <c r="L255" s="20"/>
      <c r="M255" s="9"/>
      <c r="N255" s="448"/>
    </row>
    <row r="256" spans="1:14" ht="17.5">
      <c r="A256" s="23"/>
      <c r="B256" s="15">
        <v>349</v>
      </c>
      <c r="C256" s="15">
        <v>1</v>
      </c>
      <c r="D256" s="12" t="e">
        <f>#REF!/#REF!</f>
        <v>#REF!</v>
      </c>
      <c r="E256" s="16">
        <f>323*365</f>
        <v>117895</v>
      </c>
      <c r="F256" s="15"/>
      <c r="G256" s="15"/>
      <c r="H256" s="15"/>
      <c r="I256" s="15" t="s">
        <v>851</v>
      </c>
      <c r="J256" s="15" t="s">
        <v>848</v>
      </c>
      <c r="K256" s="15" t="s">
        <v>327</v>
      </c>
      <c r="L256" s="20"/>
      <c r="M256" s="9"/>
      <c r="N256" s="448"/>
    </row>
    <row r="257" spans="1:14" ht="17.5">
      <c r="A257" s="23"/>
      <c r="B257" s="15">
        <v>305</v>
      </c>
      <c r="C257" s="15">
        <v>131</v>
      </c>
      <c r="D257" s="12" t="e">
        <f>#REF!/#REF!</f>
        <v>#REF!</v>
      </c>
      <c r="E257" s="16">
        <v>20000</v>
      </c>
      <c r="F257" s="15"/>
      <c r="G257" s="15"/>
      <c r="H257" s="15"/>
      <c r="I257" s="15" t="s">
        <v>772</v>
      </c>
      <c r="J257" s="15" t="s">
        <v>773</v>
      </c>
      <c r="K257" s="15" t="s">
        <v>384</v>
      </c>
      <c r="L257" s="20">
        <v>46091</v>
      </c>
      <c r="M257" s="9"/>
      <c r="N257" s="448"/>
    </row>
    <row r="258" spans="1:14" ht="17.5">
      <c r="A258" s="23"/>
      <c r="B258" s="15">
        <v>306</v>
      </c>
      <c r="C258" s="15">
        <v>83</v>
      </c>
      <c r="D258" s="12" t="e">
        <f>#REF!/#REF!</f>
        <v>#REF!</v>
      </c>
      <c r="E258" s="16">
        <v>50000</v>
      </c>
      <c r="F258" s="15"/>
      <c r="G258" s="15"/>
      <c r="H258" s="15"/>
      <c r="I258" s="15" t="s">
        <v>772</v>
      </c>
      <c r="J258" s="15" t="s">
        <v>774</v>
      </c>
      <c r="K258" s="15" t="s">
        <v>384</v>
      </c>
      <c r="L258" s="20">
        <v>46068</v>
      </c>
      <c r="M258" s="9"/>
      <c r="N258" s="448"/>
    </row>
    <row r="259" spans="1:14" ht="17.5">
      <c r="A259" s="23"/>
      <c r="B259" s="15">
        <v>307</v>
      </c>
      <c r="C259" s="15">
        <v>401</v>
      </c>
      <c r="D259" s="12" t="e">
        <f>#REF!/#REF!</f>
        <v>#REF!</v>
      </c>
      <c r="E259" s="16">
        <v>100000</v>
      </c>
      <c r="F259" s="15"/>
      <c r="G259" s="15"/>
      <c r="H259" s="15"/>
      <c r="I259" s="15" t="s">
        <v>772</v>
      </c>
      <c r="J259" s="15" t="s">
        <v>775</v>
      </c>
      <c r="K259" s="15" t="s">
        <v>384</v>
      </c>
      <c r="L259" s="20">
        <v>46082</v>
      </c>
      <c r="M259" s="9"/>
      <c r="N259" s="448"/>
    </row>
    <row r="260" spans="1:14" ht="17.5">
      <c r="A260" s="23"/>
      <c r="B260" s="15">
        <v>308</v>
      </c>
      <c r="C260" s="15">
        <v>595</v>
      </c>
      <c r="D260" s="12" t="e">
        <f>#REF!/#REF!</f>
        <v>#REF!</v>
      </c>
      <c r="E260" s="16">
        <v>300000</v>
      </c>
      <c r="F260" s="15"/>
      <c r="G260" s="15"/>
      <c r="H260" s="15"/>
      <c r="I260" s="15" t="s">
        <v>772</v>
      </c>
      <c r="J260" s="15" t="s">
        <v>293</v>
      </c>
      <c r="K260" s="15" t="s">
        <v>384</v>
      </c>
      <c r="L260" s="20">
        <v>46029</v>
      </c>
      <c r="M260" s="9"/>
      <c r="N260" s="448"/>
    </row>
    <row r="261" spans="1:14" ht="17.5">
      <c r="A261" s="23"/>
      <c r="B261" s="15">
        <v>309</v>
      </c>
      <c r="C261" s="15">
        <v>630</v>
      </c>
      <c r="D261" s="12" t="e">
        <f>#REF!/#REF!</f>
        <v>#REF!</v>
      </c>
      <c r="E261" s="16">
        <v>360000</v>
      </c>
      <c r="F261" s="15"/>
      <c r="G261" s="15"/>
      <c r="H261" s="15"/>
      <c r="I261" s="15" t="s">
        <v>772</v>
      </c>
      <c r="J261" s="15" t="s">
        <v>293</v>
      </c>
      <c r="K261" s="15" t="s">
        <v>384</v>
      </c>
      <c r="L261" s="20">
        <v>46085</v>
      </c>
      <c r="M261" s="9"/>
      <c r="N261" s="448"/>
    </row>
    <row r="262" spans="1:14" ht="17.5">
      <c r="A262" s="23"/>
      <c r="B262" s="15">
        <v>310</v>
      </c>
      <c r="C262" s="15">
        <v>400</v>
      </c>
      <c r="D262" s="12" t="e">
        <f>#REF!/#REF!</f>
        <v>#REF!</v>
      </c>
      <c r="E262" s="16">
        <v>410000</v>
      </c>
      <c r="F262" s="15"/>
      <c r="G262" s="15"/>
      <c r="H262" s="15"/>
      <c r="I262" s="15" t="s">
        <v>772</v>
      </c>
      <c r="J262" s="15" t="s">
        <v>775</v>
      </c>
      <c r="K262" s="15" t="s">
        <v>384</v>
      </c>
      <c r="L262" s="20">
        <v>46092</v>
      </c>
      <c r="M262" s="9"/>
      <c r="N262" s="448"/>
    </row>
    <row r="263" spans="1:14" ht="17.5">
      <c r="A263" s="23"/>
      <c r="B263" s="15">
        <v>311</v>
      </c>
      <c r="C263" s="15">
        <v>576</v>
      </c>
      <c r="D263" s="12" t="e">
        <f>#REF!/#REF!</f>
        <v>#REF!</v>
      </c>
      <c r="E263" s="16">
        <v>650000</v>
      </c>
      <c r="F263" s="15"/>
      <c r="G263" s="15"/>
      <c r="H263" s="15"/>
      <c r="I263" s="15" t="s">
        <v>772</v>
      </c>
      <c r="J263" s="15" t="s">
        <v>775</v>
      </c>
      <c r="K263" s="15" t="s">
        <v>384</v>
      </c>
      <c r="L263" s="20">
        <v>46063</v>
      </c>
      <c r="M263" s="9"/>
      <c r="N263" s="448"/>
    </row>
    <row r="264" spans="1:14" ht="17.5">
      <c r="A264" s="23"/>
      <c r="B264" s="15">
        <v>312</v>
      </c>
      <c r="C264" s="15">
        <v>740</v>
      </c>
      <c r="D264" s="12" t="e">
        <f>#REF!/#REF!</f>
        <v>#REF!</v>
      </c>
      <c r="E264" s="16">
        <v>900000</v>
      </c>
      <c r="F264" s="15"/>
      <c r="G264" s="15"/>
      <c r="H264" s="15"/>
      <c r="I264" s="15" t="s">
        <v>772</v>
      </c>
      <c r="J264" s="15" t="s">
        <v>776</v>
      </c>
      <c r="K264" s="15" t="s">
        <v>384</v>
      </c>
      <c r="L264" s="20">
        <v>46069</v>
      </c>
      <c r="M264" s="9"/>
      <c r="N264" s="448"/>
    </row>
    <row r="265" spans="1:14" ht="17.5">
      <c r="A265" s="23"/>
      <c r="B265" s="15">
        <v>313</v>
      </c>
      <c r="C265" s="15">
        <v>641</v>
      </c>
      <c r="D265" s="12" t="e">
        <f>#REF!/#REF!</f>
        <v>#REF!</v>
      </c>
      <c r="E265" s="16">
        <v>960000</v>
      </c>
      <c r="F265" s="15"/>
      <c r="G265" s="15"/>
      <c r="H265" s="15"/>
      <c r="I265" s="15" t="s">
        <v>772</v>
      </c>
      <c r="J265" s="15" t="s">
        <v>775</v>
      </c>
      <c r="K265" s="15" t="s">
        <v>384</v>
      </c>
      <c r="L265" s="20">
        <v>46027</v>
      </c>
      <c r="M265" s="9"/>
      <c r="N265" s="448"/>
    </row>
    <row r="266" spans="1:14" ht="17.5">
      <c r="A266" s="23"/>
      <c r="B266" s="15">
        <v>385</v>
      </c>
      <c r="C266" s="15">
        <v>530</v>
      </c>
      <c r="D266" s="12" t="e">
        <f>#REF!/#REF!</f>
        <v>#REF!</v>
      </c>
      <c r="E266" s="16">
        <v>100000</v>
      </c>
      <c r="F266" s="15">
        <v>311</v>
      </c>
      <c r="G266" s="15" t="s">
        <v>867</v>
      </c>
      <c r="H266" s="15"/>
      <c r="I266" s="15" t="s">
        <v>868</v>
      </c>
      <c r="J266" s="15" t="s">
        <v>866</v>
      </c>
      <c r="K266" s="15" t="s">
        <v>384</v>
      </c>
      <c r="L266" s="20">
        <v>46152</v>
      </c>
      <c r="M266" s="9"/>
      <c r="N266" s="448"/>
    </row>
    <row r="267" spans="1:14" ht="17.5">
      <c r="A267" s="23"/>
      <c r="B267" s="15">
        <v>386</v>
      </c>
      <c r="C267" s="15">
        <v>440</v>
      </c>
      <c r="D267" s="12" t="e">
        <f>#REF!/#REF!</f>
        <v>#REF!</v>
      </c>
      <c r="E267" s="16">
        <v>65000</v>
      </c>
      <c r="F267" s="15">
        <v>244</v>
      </c>
      <c r="G267" s="15" t="s">
        <v>867</v>
      </c>
      <c r="H267" s="15"/>
      <c r="I267" s="15" t="s">
        <v>868</v>
      </c>
      <c r="J267" s="15" t="s">
        <v>866</v>
      </c>
      <c r="K267" s="15" t="s">
        <v>384</v>
      </c>
      <c r="L267" s="20">
        <v>46165</v>
      </c>
      <c r="M267" s="9"/>
      <c r="N267" s="448"/>
    </row>
    <row r="268" spans="1:14" ht="17.5">
      <c r="A268" s="23"/>
      <c r="B268" s="15">
        <v>387</v>
      </c>
      <c r="C268" s="15">
        <v>441</v>
      </c>
      <c r="D268" s="12" t="e">
        <f>#REF!/#REF!</f>
        <v>#REF!</v>
      </c>
      <c r="E268" s="16">
        <v>60000</v>
      </c>
      <c r="F268" s="15">
        <v>317</v>
      </c>
      <c r="G268" s="15" t="s">
        <v>867</v>
      </c>
      <c r="H268" s="15"/>
      <c r="I268" s="15" t="s">
        <v>868</v>
      </c>
      <c r="J268" s="15" t="s">
        <v>866</v>
      </c>
      <c r="K268" s="15" t="s">
        <v>384</v>
      </c>
      <c r="L268" s="20">
        <v>46084</v>
      </c>
      <c r="M268" s="9"/>
      <c r="N268" s="448"/>
    </row>
    <row r="269" spans="1:14" ht="17.5">
      <c r="A269" s="23"/>
      <c r="B269" s="15">
        <v>388</v>
      </c>
      <c r="C269" s="15">
        <v>590</v>
      </c>
      <c r="D269" s="12" t="e">
        <f>#REF!/#REF!</f>
        <v>#REF!</v>
      </c>
      <c r="E269" s="16">
        <v>65000</v>
      </c>
      <c r="F269" s="15">
        <v>505</v>
      </c>
      <c r="G269" s="15" t="s">
        <v>867</v>
      </c>
      <c r="H269" s="15"/>
      <c r="I269" s="15" t="s">
        <v>868</v>
      </c>
      <c r="J269" s="15" t="s">
        <v>866</v>
      </c>
      <c r="K269" s="15" t="s">
        <v>384</v>
      </c>
      <c r="L269" s="20">
        <v>46082</v>
      </c>
      <c r="M269" s="9"/>
      <c r="N269" s="448"/>
    </row>
    <row r="270" spans="1:14" ht="17.5">
      <c r="A270" s="23"/>
      <c r="B270" s="15">
        <v>389</v>
      </c>
      <c r="C270" s="15">
        <v>560</v>
      </c>
      <c r="D270" s="12" t="e">
        <f>#REF!/#REF!</f>
        <v>#REF!</v>
      </c>
      <c r="E270" s="16">
        <v>65000</v>
      </c>
      <c r="F270" s="15">
        <v>507</v>
      </c>
      <c r="G270" s="15" t="s">
        <v>867</v>
      </c>
      <c r="H270" s="15"/>
      <c r="I270" s="15" t="s">
        <v>868</v>
      </c>
      <c r="J270" s="15" t="s">
        <v>866</v>
      </c>
      <c r="K270" s="15" t="s">
        <v>384</v>
      </c>
      <c r="L270" s="20">
        <v>46079</v>
      </c>
      <c r="M270" s="9"/>
      <c r="N270" s="448"/>
    </row>
    <row r="271" spans="1:14" ht="17.5">
      <c r="A271" s="23"/>
      <c r="B271" s="15">
        <v>390</v>
      </c>
      <c r="C271" s="15">
        <v>440</v>
      </c>
      <c r="D271" s="12" t="e">
        <f>#REF!/#REF!</f>
        <v>#REF!</v>
      </c>
      <c r="E271" s="16">
        <v>260000</v>
      </c>
      <c r="F271" s="15">
        <v>240</v>
      </c>
      <c r="G271" s="15" t="s">
        <v>867</v>
      </c>
      <c r="H271" s="15"/>
      <c r="I271" s="15"/>
      <c r="J271" s="15" t="s">
        <v>866</v>
      </c>
      <c r="K271" s="15" t="s">
        <v>384</v>
      </c>
      <c r="L271" s="20">
        <v>46057</v>
      </c>
      <c r="M271" s="9"/>
      <c r="N271" s="448"/>
    </row>
    <row r="272" spans="1:14" ht="17.5">
      <c r="A272" s="23"/>
      <c r="B272" s="15">
        <v>391</v>
      </c>
      <c r="C272" s="15">
        <v>520</v>
      </c>
      <c r="D272" s="12" t="e">
        <f>#REF!/#REF!</f>
        <v>#REF!</v>
      </c>
      <c r="E272" s="16">
        <v>80000</v>
      </c>
      <c r="F272" s="15">
        <v>309</v>
      </c>
      <c r="G272" s="15" t="s">
        <v>867</v>
      </c>
      <c r="H272" s="15"/>
      <c r="I272" s="15" t="s">
        <v>868</v>
      </c>
      <c r="J272" s="15" t="s">
        <v>866</v>
      </c>
      <c r="K272" s="15" t="s">
        <v>384</v>
      </c>
      <c r="L272" s="20">
        <v>45951</v>
      </c>
      <c r="M272" s="9"/>
      <c r="N272" s="448"/>
    </row>
    <row r="273" spans="1:14" ht="17.5">
      <c r="A273" s="23"/>
      <c r="B273" s="15">
        <v>392</v>
      </c>
      <c r="C273" s="15">
        <v>540</v>
      </c>
      <c r="D273" s="12" t="e">
        <f>#REF!/#REF!</f>
        <v>#REF!</v>
      </c>
      <c r="E273" s="16">
        <v>80000</v>
      </c>
      <c r="F273" s="15">
        <v>512</v>
      </c>
      <c r="G273" s="15" t="s">
        <v>867</v>
      </c>
      <c r="H273" s="15"/>
      <c r="I273" s="15" t="s">
        <v>868</v>
      </c>
      <c r="J273" s="15" t="s">
        <v>866</v>
      </c>
      <c r="K273" s="15" t="s">
        <v>384</v>
      </c>
      <c r="L273" s="20">
        <v>45935</v>
      </c>
      <c r="M273" s="9"/>
      <c r="N273" s="448"/>
    </row>
    <row r="274" spans="1:14" ht="17.5">
      <c r="A274" s="23"/>
      <c r="B274" s="15">
        <v>394</v>
      </c>
      <c r="C274" s="15">
        <v>540</v>
      </c>
      <c r="D274" s="12" t="e">
        <f>#REF!/#REF!</f>
        <v>#REF!</v>
      </c>
      <c r="E274" s="16">
        <v>80000</v>
      </c>
      <c r="F274" s="15">
        <v>513</v>
      </c>
      <c r="G274" s="15" t="s">
        <v>867</v>
      </c>
      <c r="H274" s="15"/>
      <c r="I274" s="15" t="s">
        <v>868</v>
      </c>
      <c r="J274" s="15" t="s">
        <v>866</v>
      </c>
      <c r="K274" s="15" t="s">
        <v>384</v>
      </c>
      <c r="L274" s="20">
        <v>45900</v>
      </c>
      <c r="M274" s="9"/>
      <c r="N274" s="448"/>
    </row>
    <row r="275" spans="1:14" ht="17.5">
      <c r="A275" s="23"/>
      <c r="B275" s="15">
        <v>126</v>
      </c>
      <c r="C275" s="15">
        <v>442</v>
      </c>
      <c r="D275" s="12" t="e">
        <f>#REF!/#REF!</f>
        <v>#REF!</v>
      </c>
      <c r="E275" s="16">
        <v>100000</v>
      </c>
      <c r="F275" s="15">
        <v>458</v>
      </c>
      <c r="G275" s="15" t="s">
        <v>477</v>
      </c>
      <c r="H275" s="15"/>
      <c r="I275" s="15" t="s">
        <v>475</v>
      </c>
      <c r="J275" s="15"/>
      <c r="K275" s="15" t="s">
        <v>384</v>
      </c>
      <c r="L275" s="20">
        <v>45964</v>
      </c>
      <c r="M275" s="9"/>
      <c r="N275" s="449"/>
    </row>
    <row r="276" spans="1:14" ht="17.5">
      <c r="A276" s="23"/>
      <c r="B276" s="15">
        <v>127</v>
      </c>
      <c r="C276" s="15">
        <v>466.93</v>
      </c>
      <c r="D276" s="12" t="e">
        <f>#REF!/#REF!</f>
        <v>#REF!</v>
      </c>
      <c r="E276" s="16">
        <v>180000</v>
      </c>
      <c r="F276" s="15">
        <v>264</v>
      </c>
      <c r="G276" s="15">
        <v>11</v>
      </c>
      <c r="H276" s="15"/>
      <c r="I276" s="15" t="s">
        <v>475</v>
      </c>
      <c r="J276" s="15"/>
      <c r="K276" s="15" t="s">
        <v>384</v>
      </c>
      <c r="L276" s="20">
        <v>45952</v>
      </c>
      <c r="M276" s="9"/>
      <c r="N276" s="449"/>
    </row>
    <row r="277" spans="1:14" ht="17.5">
      <c r="A277" s="23"/>
      <c r="B277" s="15">
        <v>128</v>
      </c>
      <c r="C277" s="15">
        <v>399</v>
      </c>
      <c r="D277" s="12" t="e">
        <f>#REF!/#REF!</f>
        <v>#REF!</v>
      </c>
      <c r="E277" s="16">
        <v>90000</v>
      </c>
      <c r="F277" s="15">
        <v>323</v>
      </c>
      <c r="G277" s="15">
        <v>279</v>
      </c>
      <c r="H277" s="15"/>
      <c r="I277" s="15" t="s">
        <v>475</v>
      </c>
      <c r="J277" s="15"/>
      <c r="K277" s="15" t="s">
        <v>384</v>
      </c>
      <c r="L277" s="20">
        <v>45943</v>
      </c>
      <c r="M277" s="9"/>
      <c r="N277" s="449"/>
    </row>
    <row r="278" spans="1:14" ht="17.5">
      <c r="A278" s="23"/>
      <c r="B278" s="15">
        <v>129</v>
      </c>
      <c r="C278" s="15">
        <v>369</v>
      </c>
      <c r="D278" s="12" t="e">
        <f>#REF!/#REF!</f>
        <v>#REF!</v>
      </c>
      <c r="E278" s="16">
        <v>47500</v>
      </c>
      <c r="F278" s="15" t="s">
        <v>478</v>
      </c>
      <c r="G278" s="15">
        <v>369</v>
      </c>
      <c r="H278" s="15"/>
      <c r="I278" s="15" t="s">
        <v>475</v>
      </c>
      <c r="J278" s="15"/>
      <c r="K278" s="15" t="s">
        <v>384</v>
      </c>
      <c r="L278" s="20">
        <v>45935</v>
      </c>
      <c r="M278" s="9"/>
      <c r="N278" s="449"/>
    </row>
    <row r="279" spans="1:14" ht="17.5">
      <c r="A279" s="23"/>
      <c r="B279" s="15">
        <v>130</v>
      </c>
      <c r="C279" s="15">
        <v>200</v>
      </c>
      <c r="D279" s="12" t="e">
        <f>#REF!/#REF!</f>
        <v>#REF!</v>
      </c>
      <c r="E279" s="16">
        <v>50000</v>
      </c>
      <c r="F279" s="15">
        <v>352</v>
      </c>
      <c r="G279" s="15" t="s">
        <v>476</v>
      </c>
      <c r="H279" s="15"/>
      <c r="I279" s="15" t="s">
        <v>475</v>
      </c>
      <c r="J279" s="15"/>
      <c r="K279" s="15" t="s">
        <v>384</v>
      </c>
      <c r="L279" s="20">
        <v>45922</v>
      </c>
      <c r="M279" s="9"/>
      <c r="N279" s="449"/>
    </row>
    <row r="280" spans="1:14" ht="17.5">
      <c r="A280" s="23"/>
      <c r="B280" s="15">
        <v>131</v>
      </c>
      <c r="C280" s="15">
        <v>400</v>
      </c>
      <c r="D280" s="12" t="e">
        <f>#REF!/#REF!</f>
        <v>#REF!</v>
      </c>
      <c r="E280" s="16">
        <v>100000</v>
      </c>
      <c r="F280" s="15">
        <v>352</v>
      </c>
      <c r="G280" s="15">
        <v>233</v>
      </c>
      <c r="H280" s="15"/>
      <c r="I280" s="15" t="s">
        <v>475</v>
      </c>
      <c r="J280" s="15"/>
      <c r="K280" s="15" t="s">
        <v>384</v>
      </c>
      <c r="L280" s="20">
        <v>45922</v>
      </c>
      <c r="M280" s="9"/>
      <c r="N280" s="449"/>
    </row>
    <row r="281" spans="1:14" ht="17.5">
      <c r="A281" s="23"/>
      <c r="B281" s="15">
        <v>133</v>
      </c>
      <c r="C281" s="15">
        <v>450</v>
      </c>
      <c r="D281" s="12" t="e">
        <f>#REF!/#REF!</f>
        <v>#REF!</v>
      </c>
      <c r="E281" s="16">
        <v>114750</v>
      </c>
      <c r="F281" s="15"/>
      <c r="G281" s="15"/>
      <c r="H281" s="15"/>
      <c r="I281" s="15" t="s">
        <v>475</v>
      </c>
      <c r="J281" s="15"/>
      <c r="K281" s="15" t="s">
        <v>327</v>
      </c>
      <c r="L281" s="20"/>
      <c r="M281" s="9"/>
      <c r="N281" s="449"/>
    </row>
    <row r="282" spans="1:14" ht="17.5">
      <c r="A282" s="23"/>
      <c r="B282" s="15">
        <v>134</v>
      </c>
      <c r="C282" s="15">
        <v>468</v>
      </c>
      <c r="D282" s="12" t="e">
        <f>#REF!/#REF!</f>
        <v>#REF!</v>
      </c>
      <c r="E282" s="16">
        <v>140400</v>
      </c>
      <c r="F282" s="15"/>
      <c r="G282" s="15"/>
      <c r="H282" s="15"/>
      <c r="I282" s="15" t="s">
        <v>475</v>
      </c>
      <c r="J282" s="15"/>
      <c r="K282" s="15" t="s">
        <v>327</v>
      </c>
      <c r="L282" s="20"/>
      <c r="M282" s="9"/>
      <c r="N282" s="449"/>
    </row>
    <row r="283" spans="1:14" ht="17.5">
      <c r="A283" s="23"/>
      <c r="B283" s="15">
        <v>135</v>
      </c>
      <c r="C283" s="15">
        <v>936</v>
      </c>
      <c r="D283" s="12" t="e">
        <f>#REF!/#REF!</f>
        <v>#REF!</v>
      </c>
      <c r="E283" s="16">
        <v>250000</v>
      </c>
      <c r="F283" s="15"/>
      <c r="G283" s="15"/>
      <c r="H283" s="15"/>
      <c r="I283" s="15" t="s">
        <v>475</v>
      </c>
      <c r="J283" s="15"/>
      <c r="K283" s="15" t="s">
        <v>327</v>
      </c>
      <c r="L283" s="20"/>
      <c r="M283" s="9"/>
      <c r="N283" s="449"/>
    </row>
    <row r="284" spans="1:14" ht="17.5">
      <c r="A284" s="23"/>
      <c r="B284" s="15">
        <v>136</v>
      </c>
      <c r="C284" s="15">
        <v>468</v>
      </c>
      <c r="D284" s="12" t="e">
        <f>#REF!/#REF!</f>
        <v>#REF!</v>
      </c>
      <c r="E284" s="16">
        <v>140026</v>
      </c>
      <c r="F284" s="15"/>
      <c r="G284" s="15"/>
      <c r="H284" s="15"/>
      <c r="I284" s="15" t="s">
        <v>475</v>
      </c>
      <c r="J284" s="15"/>
      <c r="K284" s="15" t="s">
        <v>327</v>
      </c>
      <c r="L284" s="20"/>
      <c r="M284" s="9"/>
      <c r="N284" s="449"/>
    </row>
    <row r="285" spans="1:14" ht="17.5">
      <c r="A285" s="23"/>
      <c r="B285" s="15">
        <v>137</v>
      </c>
      <c r="C285" s="15">
        <v>468</v>
      </c>
      <c r="D285" s="12" t="e">
        <f>#REF!/#REF!</f>
        <v>#REF!</v>
      </c>
      <c r="E285" s="16">
        <v>140400</v>
      </c>
      <c r="F285" s="15"/>
      <c r="G285" s="15"/>
      <c r="H285" s="15"/>
      <c r="I285" s="15" t="s">
        <v>475</v>
      </c>
      <c r="J285" s="15"/>
      <c r="K285" s="15" t="s">
        <v>327</v>
      </c>
      <c r="L285" s="20"/>
      <c r="M285" s="9"/>
      <c r="N285" s="449"/>
    </row>
    <row r="286" spans="1:14" ht="17.5">
      <c r="A286" s="23"/>
      <c r="B286" s="15">
        <v>229</v>
      </c>
      <c r="C286" s="15">
        <v>450</v>
      </c>
      <c r="D286" s="12" t="e">
        <f>#REF!/#REF!</f>
        <v>#REF!</v>
      </c>
      <c r="E286" s="16">
        <v>1600000</v>
      </c>
      <c r="F286" s="15" t="s">
        <v>324</v>
      </c>
      <c r="G286" s="15" t="s">
        <v>616</v>
      </c>
      <c r="H286" s="15"/>
      <c r="I286" s="15" t="s">
        <v>615</v>
      </c>
      <c r="J286" s="15"/>
      <c r="K286" s="15" t="s">
        <v>384</v>
      </c>
      <c r="L286" s="20">
        <v>45896</v>
      </c>
      <c r="M286" s="9"/>
      <c r="N286" s="448"/>
    </row>
    <row r="287" spans="1:14" ht="17.5">
      <c r="A287" s="23"/>
      <c r="B287" s="15">
        <v>230</v>
      </c>
      <c r="C287" s="15">
        <v>400</v>
      </c>
      <c r="D287" s="12" t="e">
        <f>#REF!/#REF!</f>
        <v>#REF!</v>
      </c>
      <c r="E287" s="16">
        <v>1605000</v>
      </c>
      <c r="F287" s="15" t="s">
        <v>617</v>
      </c>
      <c r="G287" s="15">
        <v>7978</v>
      </c>
      <c r="H287" s="15"/>
      <c r="I287" s="15" t="s">
        <v>615</v>
      </c>
      <c r="J287" s="15"/>
      <c r="K287" s="15" t="s">
        <v>384</v>
      </c>
      <c r="L287" s="20">
        <v>45901</v>
      </c>
      <c r="M287" s="9"/>
      <c r="N287" s="448"/>
    </row>
    <row r="288" spans="1:14" ht="17.5">
      <c r="A288" s="23"/>
      <c r="B288" s="15">
        <v>231</v>
      </c>
      <c r="C288" s="15">
        <v>298.5</v>
      </c>
      <c r="D288" s="12" t="e">
        <f>#REF!/#REF!</f>
        <v>#REF!</v>
      </c>
      <c r="E288" s="16">
        <v>1253700</v>
      </c>
      <c r="F288" s="15">
        <v>4010</v>
      </c>
      <c r="G288" s="15">
        <v>186</v>
      </c>
      <c r="H288" s="15"/>
      <c r="I288" s="15" t="s">
        <v>615</v>
      </c>
      <c r="J288" s="15"/>
      <c r="K288" s="15" t="s">
        <v>384</v>
      </c>
      <c r="L288" s="20">
        <v>45913</v>
      </c>
      <c r="M288" s="9"/>
      <c r="N288" s="448"/>
    </row>
    <row r="289" spans="1:14" ht="17.5">
      <c r="A289" s="23"/>
      <c r="B289" s="15">
        <v>232</v>
      </c>
      <c r="C289" s="15">
        <v>304.7</v>
      </c>
      <c r="D289" s="12" t="e">
        <f>#REF!/#REF!</f>
        <v>#REF!</v>
      </c>
      <c r="E289" s="16">
        <v>1325662</v>
      </c>
      <c r="F289" s="15">
        <v>4010</v>
      </c>
      <c r="G289" s="15">
        <v>166</v>
      </c>
      <c r="H289" s="15"/>
      <c r="I289" s="15" t="s">
        <v>615</v>
      </c>
      <c r="J289" s="15"/>
      <c r="K289" s="15" t="s">
        <v>384</v>
      </c>
      <c r="L289" s="20">
        <v>45913</v>
      </c>
      <c r="M289" s="9"/>
      <c r="N289" s="448"/>
    </row>
    <row r="290" spans="1:14" ht="17.5">
      <c r="A290" s="23"/>
      <c r="B290" s="15">
        <v>233</v>
      </c>
      <c r="C290" s="15">
        <v>900</v>
      </c>
      <c r="D290" s="12" t="e">
        <f>#REF!/#REF!</f>
        <v>#REF!</v>
      </c>
      <c r="E290" s="16">
        <v>4050000</v>
      </c>
      <c r="F290" s="15"/>
      <c r="G290" s="15"/>
      <c r="H290" s="15"/>
      <c r="I290" s="15" t="s">
        <v>615</v>
      </c>
      <c r="J290" s="15"/>
      <c r="K290" s="15" t="s">
        <v>327</v>
      </c>
      <c r="L290" s="20"/>
      <c r="M290" s="9"/>
      <c r="N290" s="448"/>
    </row>
    <row r="291" spans="1:14" ht="17.5">
      <c r="A291" s="23"/>
      <c r="B291" s="15">
        <v>234</v>
      </c>
      <c r="C291" s="15">
        <v>450</v>
      </c>
      <c r="D291" s="12" t="e">
        <f>#REF!/#REF!</f>
        <v>#REF!</v>
      </c>
      <c r="E291" s="16">
        <v>1845000</v>
      </c>
      <c r="F291" s="15"/>
      <c r="G291" s="15"/>
      <c r="H291" s="15"/>
      <c r="I291" s="15" t="s">
        <v>615</v>
      </c>
      <c r="J291" s="15"/>
      <c r="K291" s="15" t="s">
        <v>327</v>
      </c>
      <c r="L291" s="20"/>
      <c r="M291" s="9"/>
      <c r="N291" s="448"/>
    </row>
    <row r="292" spans="1:14" ht="17.5">
      <c r="A292" s="23"/>
      <c r="B292" s="15">
        <v>235</v>
      </c>
      <c r="C292" s="15">
        <v>450</v>
      </c>
      <c r="D292" s="12" t="e">
        <f>#REF!/#REF!</f>
        <v>#REF!</v>
      </c>
      <c r="E292" s="16">
        <v>2025000</v>
      </c>
      <c r="F292" s="15"/>
      <c r="G292" s="15"/>
      <c r="H292" s="15"/>
      <c r="I292" s="15" t="s">
        <v>615</v>
      </c>
      <c r="J292" s="15"/>
      <c r="K292" s="15" t="s">
        <v>327</v>
      </c>
      <c r="L292" s="20"/>
      <c r="M292" s="9"/>
      <c r="N292" s="448"/>
    </row>
    <row r="293" spans="1:14" ht="17.5">
      <c r="A293" s="23"/>
      <c r="B293" s="15">
        <v>236</v>
      </c>
      <c r="C293" s="15">
        <v>499</v>
      </c>
      <c r="D293" s="12" t="e">
        <f>#REF!/#REF!</f>
        <v>#REF!</v>
      </c>
      <c r="E293" s="16">
        <v>1949220</v>
      </c>
      <c r="F293" s="15"/>
      <c r="G293" s="15"/>
      <c r="H293" s="15"/>
      <c r="I293" s="15" t="s">
        <v>615</v>
      </c>
      <c r="J293" s="15"/>
      <c r="K293" s="15" t="s">
        <v>327</v>
      </c>
      <c r="L293" s="20"/>
      <c r="M293" s="9"/>
      <c r="N293" s="448"/>
    </row>
    <row r="294" spans="1:14" ht="17.5">
      <c r="A294" s="23"/>
      <c r="B294" s="15">
        <v>213</v>
      </c>
      <c r="C294" s="15">
        <v>200</v>
      </c>
      <c r="D294" s="12" t="e">
        <f>#REF!/#REF!</f>
        <v>#REF!</v>
      </c>
      <c r="E294" s="16">
        <v>800000</v>
      </c>
      <c r="F294" s="15" t="s">
        <v>320</v>
      </c>
      <c r="G294" s="15" t="s">
        <v>603</v>
      </c>
      <c r="H294" s="15"/>
      <c r="I294" s="15" t="s">
        <v>614</v>
      </c>
      <c r="J294" s="15" t="s">
        <v>294</v>
      </c>
      <c r="K294" s="15" t="s">
        <v>384</v>
      </c>
      <c r="L294" s="20">
        <v>45764</v>
      </c>
      <c r="M294" s="9"/>
      <c r="N294" s="448"/>
    </row>
    <row r="295" spans="1:14" ht="17.5">
      <c r="A295" s="23"/>
      <c r="B295" s="15">
        <v>214</v>
      </c>
      <c r="C295" s="15">
        <v>460.2</v>
      </c>
      <c r="D295" s="12" t="e">
        <f>#REF!/#REF!</f>
        <v>#REF!</v>
      </c>
      <c r="E295" s="16">
        <v>1693958</v>
      </c>
      <c r="F295" s="15" t="s">
        <v>320</v>
      </c>
      <c r="G295" s="15" t="s">
        <v>604</v>
      </c>
      <c r="H295" s="15"/>
      <c r="I295" s="15" t="s">
        <v>614</v>
      </c>
      <c r="J295" s="15" t="s">
        <v>294</v>
      </c>
      <c r="K295" s="15" t="s">
        <v>384</v>
      </c>
      <c r="L295" s="20">
        <v>45797</v>
      </c>
      <c r="M295" s="9"/>
      <c r="N295" s="448"/>
    </row>
    <row r="296" spans="1:14" ht="17.5">
      <c r="A296" s="23"/>
      <c r="B296" s="15">
        <v>215</v>
      </c>
      <c r="C296" s="15">
        <v>200</v>
      </c>
      <c r="D296" s="12" t="e">
        <f>#REF!/#REF!</f>
        <v>#REF!</v>
      </c>
      <c r="E296" s="16">
        <v>898233</v>
      </c>
      <c r="F296" s="15" t="s">
        <v>320</v>
      </c>
      <c r="G296" s="15" t="s">
        <v>605</v>
      </c>
      <c r="H296" s="15"/>
      <c r="I296" s="15" t="s">
        <v>614</v>
      </c>
      <c r="J296" s="15" t="s">
        <v>294</v>
      </c>
      <c r="K296" s="15" t="s">
        <v>384</v>
      </c>
      <c r="L296" s="20">
        <v>45847</v>
      </c>
      <c r="M296" s="9"/>
      <c r="N296" s="448"/>
    </row>
    <row r="297" spans="1:14" ht="17.5">
      <c r="A297" s="23"/>
      <c r="B297" s="15">
        <v>216</v>
      </c>
      <c r="C297" s="15">
        <v>360</v>
      </c>
      <c r="D297" s="12" t="e">
        <f>#REF!/#REF!</f>
        <v>#REF!</v>
      </c>
      <c r="E297" s="16">
        <v>850000</v>
      </c>
      <c r="F297" s="15" t="s">
        <v>320</v>
      </c>
      <c r="G297" s="15" t="s">
        <v>606</v>
      </c>
      <c r="H297" s="15"/>
      <c r="I297" s="15" t="s">
        <v>614</v>
      </c>
      <c r="J297" s="15" t="s">
        <v>294</v>
      </c>
      <c r="K297" s="15" t="s">
        <v>384</v>
      </c>
      <c r="L297" s="20">
        <v>45761</v>
      </c>
      <c r="M297" s="9"/>
      <c r="N297" s="448"/>
    </row>
    <row r="298" spans="1:14" ht="17.5">
      <c r="A298" s="23"/>
      <c r="B298" s="15">
        <v>217</v>
      </c>
      <c r="C298" s="15">
        <v>400</v>
      </c>
      <c r="D298" s="12" t="e">
        <f>#REF!/#REF!</f>
        <v>#REF!</v>
      </c>
      <c r="E298" s="16">
        <v>2000000</v>
      </c>
      <c r="F298" s="15"/>
      <c r="G298" s="15"/>
      <c r="H298" s="15"/>
      <c r="I298" s="15" t="s">
        <v>614</v>
      </c>
      <c r="J298" s="15" t="s">
        <v>294</v>
      </c>
      <c r="K298" s="15" t="s">
        <v>327</v>
      </c>
      <c r="L298" s="20"/>
      <c r="M298" s="9"/>
      <c r="N298" s="448"/>
    </row>
    <row r="299" spans="1:14" ht="17.5">
      <c r="A299" s="23"/>
      <c r="B299" s="15">
        <v>218</v>
      </c>
      <c r="C299" s="15">
        <v>900</v>
      </c>
      <c r="D299" s="12" t="e">
        <f>#REF!/#REF!</f>
        <v>#REF!</v>
      </c>
      <c r="E299" s="16">
        <v>2700000</v>
      </c>
      <c r="F299" s="15"/>
      <c r="G299" s="15"/>
      <c r="H299" s="15"/>
      <c r="I299" s="15" t="s">
        <v>614</v>
      </c>
      <c r="J299" s="15" t="s">
        <v>294</v>
      </c>
      <c r="K299" s="15" t="s">
        <v>327</v>
      </c>
      <c r="L299" s="20"/>
      <c r="M299" s="9"/>
      <c r="N299" s="448"/>
    </row>
    <row r="300" spans="1:14" ht="17.5">
      <c r="A300" s="23"/>
      <c r="B300" s="15">
        <v>219</v>
      </c>
      <c r="C300" s="15">
        <v>625</v>
      </c>
      <c r="D300" s="12" t="e">
        <f>#REF!/#REF!</f>
        <v>#REF!</v>
      </c>
      <c r="E300" s="16">
        <v>1562500</v>
      </c>
      <c r="F300" s="15"/>
      <c r="G300" s="15"/>
      <c r="H300" s="15"/>
      <c r="I300" s="15" t="s">
        <v>614</v>
      </c>
      <c r="J300" s="15" t="s">
        <v>294</v>
      </c>
      <c r="K300" s="15" t="s">
        <v>327</v>
      </c>
      <c r="L300" s="20"/>
      <c r="M300" s="9"/>
      <c r="N300" s="448"/>
    </row>
    <row r="301" spans="1:14" ht="17.5">
      <c r="A301" s="23"/>
      <c r="B301" s="15">
        <v>220</v>
      </c>
      <c r="C301" s="15">
        <v>450</v>
      </c>
      <c r="D301" s="12" t="e">
        <f>#REF!/#REF!</f>
        <v>#REF!</v>
      </c>
      <c r="E301" s="16">
        <v>1250000</v>
      </c>
      <c r="F301" s="15"/>
      <c r="G301" s="15"/>
      <c r="H301" s="15"/>
      <c r="I301" s="15" t="s">
        <v>614</v>
      </c>
      <c r="J301" s="15" t="s">
        <v>294</v>
      </c>
      <c r="K301" s="15" t="s">
        <v>327</v>
      </c>
      <c r="L301" s="20"/>
      <c r="M301" s="9"/>
      <c r="N301" s="448"/>
    </row>
    <row r="302" spans="1:14" ht="17.5">
      <c r="A302" s="23"/>
      <c r="B302" s="15">
        <v>193</v>
      </c>
      <c r="C302" s="15">
        <v>731.7</v>
      </c>
      <c r="D302" s="12" t="e">
        <f>#REF!/#REF!</f>
        <v>#REF!</v>
      </c>
      <c r="E302" s="16">
        <v>1170736</v>
      </c>
      <c r="F302" s="15">
        <v>3463</v>
      </c>
      <c r="G302" s="15">
        <v>243</v>
      </c>
      <c r="H302" s="15"/>
      <c r="I302" s="15" t="s">
        <v>590</v>
      </c>
      <c r="J302" s="15" t="s">
        <v>591</v>
      </c>
      <c r="K302" s="15" t="s">
        <v>384</v>
      </c>
      <c r="L302" s="20">
        <v>46013</v>
      </c>
      <c r="M302" s="9"/>
      <c r="N302" s="448"/>
    </row>
    <row r="303" spans="1:14" ht="17.5">
      <c r="A303" s="23"/>
      <c r="B303" s="15">
        <v>194</v>
      </c>
      <c r="C303" s="15">
        <v>750</v>
      </c>
      <c r="D303" s="12" t="e">
        <f>#REF!/#REF!</f>
        <v>#REF!</v>
      </c>
      <c r="E303" s="16">
        <v>975000</v>
      </c>
      <c r="F303" s="15">
        <v>2750</v>
      </c>
      <c r="G303" s="15">
        <v>317</v>
      </c>
      <c r="H303" s="15"/>
      <c r="I303" s="15" t="s">
        <v>590</v>
      </c>
      <c r="J303" s="15" t="s">
        <v>591</v>
      </c>
      <c r="K303" s="15" t="s">
        <v>384</v>
      </c>
      <c r="L303" s="20">
        <v>45998</v>
      </c>
      <c r="M303" s="9"/>
      <c r="N303" s="448"/>
    </row>
    <row r="304" spans="1:14" ht="17.5">
      <c r="A304" s="23"/>
      <c r="B304" s="15">
        <v>195</v>
      </c>
      <c r="C304" s="15">
        <v>750</v>
      </c>
      <c r="D304" s="12" t="e">
        <f>#REF!/#REF!</f>
        <v>#REF!</v>
      </c>
      <c r="E304" s="16">
        <v>975000</v>
      </c>
      <c r="F304" s="15">
        <v>2750</v>
      </c>
      <c r="G304" s="15">
        <v>319</v>
      </c>
      <c r="H304" s="15"/>
      <c r="I304" s="15" t="s">
        <v>590</v>
      </c>
      <c r="J304" s="15" t="s">
        <v>591</v>
      </c>
      <c r="K304" s="15" t="s">
        <v>384</v>
      </c>
      <c r="L304" s="20">
        <v>45998</v>
      </c>
      <c r="M304" s="9"/>
      <c r="N304" s="448"/>
    </row>
    <row r="305" spans="1:14" ht="17.5">
      <c r="A305" s="23"/>
      <c r="B305" s="15">
        <v>196</v>
      </c>
      <c r="C305" s="15">
        <v>750</v>
      </c>
      <c r="D305" s="12" t="e">
        <f>#REF!/#REF!</f>
        <v>#REF!</v>
      </c>
      <c r="E305" s="16">
        <v>975000</v>
      </c>
      <c r="F305" s="15">
        <v>2750</v>
      </c>
      <c r="G305" s="15">
        <v>315</v>
      </c>
      <c r="H305" s="15"/>
      <c r="I305" s="15" t="s">
        <v>590</v>
      </c>
      <c r="J305" s="15" t="s">
        <v>591</v>
      </c>
      <c r="K305" s="15" t="s">
        <v>384</v>
      </c>
      <c r="L305" s="20">
        <v>45998</v>
      </c>
      <c r="M305" s="9"/>
      <c r="N305" s="448"/>
    </row>
    <row r="306" spans="1:14" ht="17.5">
      <c r="A306" s="23"/>
      <c r="B306" s="15">
        <v>197</v>
      </c>
      <c r="C306" s="15">
        <v>600</v>
      </c>
      <c r="D306" s="12" t="e">
        <f>#REF!/#REF!</f>
        <v>#REF!</v>
      </c>
      <c r="E306" s="16">
        <v>1080000</v>
      </c>
      <c r="F306" s="15"/>
      <c r="G306" s="15"/>
      <c r="H306" s="15"/>
      <c r="I306" s="15" t="s">
        <v>590</v>
      </c>
      <c r="J306" s="15" t="s">
        <v>591</v>
      </c>
      <c r="K306" s="15" t="s">
        <v>327</v>
      </c>
      <c r="L306" s="20"/>
      <c r="M306" s="9"/>
      <c r="N306" s="448"/>
    </row>
    <row r="307" spans="1:14" ht="17.5">
      <c r="A307" s="23"/>
      <c r="B307" s="15">
        <v>198</v>
      </c>
      <c r="C307" s="15">
        <v>5040</v>
      </c>
      <c r="D307" s="12" t="e">
        <f>#REF!/#REF!</f>
        <v>#REF!</v>
      </c>
      <c r="E307" s="16">
        <v>10080000</v>
      </c>
      <c r="F307" s="15"/>
      <c r="G307" s="15"/>
      <c r="H307" s="15"/>
      <c r="I307" s="15" t="s">
        <v>590</v>
      </c>
      <c r="J307" s="15" t="s">
        <v>591</v>
      </c>
      <c r="K307" s="15" t="s">
        <v>327</v>
      </c>
      <c r="L307" s="20"/>
      <c r="M307" s="9"/>
      <c r="N307" s="448"/>
    </row>
    <row r="308" spans="1:14" ht="17.5">
      <c r="A308" s="23"/>
      <c r="B308" s="15">
        <v>199</v>
      </c>
      <c r="C308" s="15">
        <v>2603</v>
      </c>
      <c r="D308" s="12" t="e">
        <f>#REF!/#REF!</f>
        <v>#REF!</v>
      </c>
      <c r="E308" s="16">
        <v>4685650</v>
      </c>
      <c r="F308" s="15"/>
      <c r="G308" s="15"/>
      <c r="H308" s="15"/>
      <c r="I308" s="15" t="s">
        <v>590</v>
      </c>
      <c r="J308" s="15" t="s">
        <v>591</v>
      </c>
      <c r="K308" s="15" t="s">
        <v>327</v>
      </c>
      <c r="L308" s="20"/>
      <c r="M308" s="9"/>
      <c r="N308" s="448"/>
    </row>
    <row r="309" spans="1:14" ht="17.5">
      <c r="A309" s="23"/>
      <c r="B309" s="15">
        <v>200</v>
      </c>
      <c r="C309" s="15">
        <v>2196</v>
      </c>
      <c r="D309" s="12" t="e">
        <f>#REF!/#REF!</f>
        <v>#REF!</v>
      </c>
      <c r="E309" s="16">
        <v>3953680</v>
      </c>
      <c r="F309" s="15"/>
      <c r="G309" s="15"/>
      <c r="H309" s="15"/>
      <c r="I309" s="15" t="s">
        <v>590</v>
      </c>
      <c r="J309" s="15" t="s">
        <v>591</v>
      </c>
      <c r="K309" s="15" t="s">
        <v>327</v>
      </c>
      <c r="L309" s="20"/>
      <c r="M309" s="9"/>
      <c r="N309" s="448"/>
    </row>
    <row r="310" spans="1:14" ht="17.5">
      <c r="A310" s="23"/>
      <c r="B310" s="15">
        <v>293</v>
      </c>
      <c r="C310" s="15">
        <v>900</v>
      </c>
      <c r="D310" s="12" t="e">
        <f>#REF!/#REF!</f>
        <v>#REF!</v>
      </c>
      <c r="E310" s="16">
        <v>2241000</v>
      </c>
      <c r="F310" s="15" t="s">
        <v>661</v>
      </c>
      <c r="G310" s="15"/>
      <c r="H310" s="15"/>
      <c r="I310" s="7" t="s">
        <v>660</v>
      </c>
      <c r="J310" s="15"/>
      <c r="K310" s="15" t="s">
        <v>327</v>
      </c>
      <c r="L310" s="20"/>
      <c r="M310" s="9"/>
      <c r="N310" s="448"/>
    </row>
    <row r="311" spans="1:14" ht="17.5">
      <c r="A311" s="23"/>
      <c r="B311" s="15">
        <v>294</v>
      </c>
      <c r="C311" s="15">
        <v>300</v>
      </c>
      <c r="D311" s="12" t="e">
        <f>#REF!/#REF!</f>
        <v>#REF!</v>
      </c>
      <c r="E311" s="16">
        <v>1050000</v>
      </c>
      <c r="F311" s="15" t="s">
        <v>661</v>
      </c>
      <c r="G311" s="15"/>
      <c r="H311" s="15"/>
      <c r="I311" s="15" t="s">
        <v>660</v>
      </c>
      <c r="J311" s="15"/>
      <c r="K311" s="15" t="s">
        <v>327</v>
      </c>
      <c r="L311" s="20"/>
      <c r="M311" s="9"/>
      <c r="N311" s="448"/>
    </row>
    <row r="312" spans="1:14" ht="17.5">
      <c r="A312" s="23"/>
      <c r="B312" s="15">
        <v>295</v>
      </c>
      <c r="C312" s="15">
        <v>695</v>
      </c>
      <c r="D312" s="12" t="e">
        <f>#REF!/#REF!</f>
        <v>#REF!</v>
      </c>
      <c r="E312" s="16">
        <v>3000000</v>
      </c>
      <c r="F312" s="15" t="s">
        <v>661</v>
      </c>
      <c r="G312" s="15"/>
      <c r="H312" s="15"/>
      <c r="I312" s="15" t="s">
        <v>660</v>
      </c>
      <c r="J312" s="15"/>
      <c r="K312" s="15" t="s">
        <v>327</v>
      </c>
      <c r="L312" s="20"/>
      <c r="M312" s="9"/>
      <c r="N312" s="448"/>
    </row>
    <row r="313" spans="1:14" ht="17.5">
      <c r="A313" s="23"/>
      <c r="B313" s="15">
        <v>296</v>
      </c>
      <c r="C313" s="15">
        <v>1554</v>
      </c>
      <c r="D313" s="12" t="e">
        <f>#REF!/#REF!</f>
        <v>#REF!</v>
      </c>
      <c r="E313" s="16">
        <v>5501160</v>
      </c>
      <c r="F313" s="15" t="s">
        <v>661</v>
      </c>
      <c r="G313" s="15"/>
      <c r="H313" s="15"/>
      <c r="I313" s="15" t="s">
        <v>660</v>
      </c>
      <c r="J313" s="15"/>
      <c r="K313" s="15" t="s">
        <v>327</v>
      </c>
      <c r="L313" s="20"/>
      <c r="M313" s="9"/>
      <c r="N313" s="448"/>
    </row>
    <row r="314" spans="1:14" ht="17.5">
      <c r="A314" s="23"/>
      <c r="B314" s="15">
        <v>377</v>
      </c>
      <c r="C314" s="15">
        <v>313</v>
      </c>
      <c r="D314" s="12" t="e">
        <f>#REF!/#REF!</f>
        <v>#REF!</v>
      </c>
      <c r="E314" s="16">
        <v>526940</v>
      </c>
      <c r="F314" s="15">
        <v>204</v>
      </c>
      <c r="G314" s="15" t="s">
        <v>857</v>
      </c>
      <c r="H314" s="15"/>
      <c r="I314" s="15" t="s">
        <v>858</v>
      </c>
      <c r="J314" s="15" t="s">
        <v>856</v>
      </c>
      <c r="K314" s="15" t="s">
        <v>384</v>
      </c>
      <c r="L314" s="20">
        <v>46132</v>
      </c>
      <c r="M314" s="9"/>
      <c r="N314" s="448"/>
    </row>
    <row r="315" spans="1:14" ht="17.5">
      <c r="A315" s="23"/>
      <c r="B315" s="15">
        <v>378</v>
      </c>
      <c r="C315" s="15">
        <v>430</v>
      </c>
      <c r="D315" s="12" t="e">
        <f>#REF!/#REF!</f>
        <v>#REF!</v>
      </c>
      <c r="E315" s="16">
        <v>1050000</v>
      </c>
      <c r="F315" s="15">
        <v>112</v>
      </c>
      <c r="G315" s="15">
        <v>297</v>
      </c>
      <c r="H315" s="15"/>
      <c r="I315" s="15" t="s">
        <v>858</v>
      </c>
      <c r="J315" s="15" t="s">
        <v>856</v>
      </c>
      <c r="K315" s="15" t="s">
        <v>384</v>
      </c>
      <c r="L315" s="20">
        <v>46123</v>
      </c>
      <c r="M315" s="9"/>
      <c r="N315" s="448"/>
    </row>
    <row r="316" spans="1:14" ht="17.5">
      <c r="A316" s="23"/>
      <c r="B316" s="15">
        <v>381</v>
      </c>
      <c r="C316" s="15">
        <v>575</v>
      </c>
      <c r="D316" s="12" t="e">
        <f>#REF!/#REF!</f>
        <v>#REF!</v>
      </c>
      <c r="E316" s="16">
        <v>1115626</v>
      </c>
      <c r="F316" s="15">
        <v>204</v>
      </c>
      <c r="G316" s="15">
        <v>157</v>
      </c>
      <c r="H316" s="15"/>
      <c r="I316" s="15" t="s">
        <v>858</v>
      </c>
      <c r="J316" s="15" t="s">
        <v>856</v>
      </c>
      <c r="K316" s="15" t="s">
        <v>384</v>
      </c>
      <c r="L316" s="20">
        <v>46113</v>
      </c>
      <c r="M316" s="9"/>
      <c r="N316" s="448"/>
    </row>
    <row r="317" spans="1:14" ht="17.5">
      <c r="A317" s="23"/>
      <c r="B317" s="15">
        <v>375</v>
      </c>
      <c r="C317" s="15">
        <v>600</v>
      </c>
      <c r="D317" s="12" t="e">
        <f>#REF!/#REF!</f>
        <v>#REF!</v>
      </c>
      <c r="E317" s="16">
        <v>195000</v>
      </c>
      <c r="F317" s="15">
        <v>370</v>
      </c>
      <c r="G317" s="15">
        <v>131</v>
      </c>
      <c r="H317" s="15"/>
      <c r="I317" s="15" t="s">
        <v>855</v>
      </c>
      <c r="J317" s="15" t="s">
        <v>856</v>
      </c>
      <c r="K317" s="15" t="s">
        <v>384</v>
      </c>
      <c r="L317" s="20">
        <v>46134</v>
      </c>
      <c r="M317" s="9"/>
      <c r="N317" s="448"/>
    </row>
    <row r="318" spans="1:14" ht="17.5">
      <c r="A318" s="23"/>
      <c r="B318" s="15">
        <v>376</v>
      </c>
      <c r="C318" s="15">
        <v>600</v>
      </c>
      <c r="D318" s="12" t="e">
        <f>#REF!/#REF!</f>
        <v>#REF!</v>
      </c>
      <c r="E318" s="16">
        <v>195000</v>
      </c>
      <c r="F318" s="15">
        <v>370</v>
      </c>
      <c r="G318" s="15">
        <v>129</v>
      </c>
      <c r="H318" s="15"/>
      <c r="I318" s="15" t="s">
        <v>855</v>
      </c>
      <c r="J318" s="15" t="s">
        <v>856</v>
      </c>
      <c r="K318" s="15" t="s">
        <v>384</v>
      </c>
      <c r="L318" s="20">
        <v>46133</v>
      </c>
      <c r="M318" s="9"/>
      <c r="N318" s="448"/>
    </row>
    <row r="319" spans="1:14" ht="17.5">
      <c r="A319" s="23"/>
      <c r="B319" s="15">
        <v>379</v>
      </c>
      <c r="C319" s="15">
        <v>625</v>
      </c>
      <c r="D319" s="12" t="e">
        <f>#REF!/#REF!</f>
        <v>#REF!</v>
      </c>
      <c r="E319" s="16">
        <v>140000</v>
      </c>
      <c r="F319" s="15">
        <v>209</v>
      </c>
      <c r="G319" s="15">
        <v>336</v>
      </c>
      <c r="H319" s="15"/>
      <c r="I319" s="15" t="s">
        <v>855</v>
      </c>
      <c r="J319" s="15" t="s">
        <v>856</v>
      </c>
      <c r="K319" s="15" t="s">
        <v>384</v>
      </c>
      <c r="L319" s="20">
        <v>46121</v>
      </c>
      <c r="M319" s="9"/>
      <c r="N319" s="448"/>
    </row>
    <row r="320" spans="1:14" ht="17.5">
      <c r="A320" s="23"/>
      <c r="B320" s="15">
        <v>380</v>
      </c>
      <c r="C320" s="15">
        <v>625</v>
      </c>
      <c r="D320" s="12" t="e">
        <f>#REF!/#REF!</f>
        <v>#REF!</v>
      </c>
      <c r="E320" s="16">
        <v>100000</v>
      </c>
      <c r="F320" s="15">
        <v>209</v>
      </c>
      <c r="G320" s="15">
        <v>12</v>
      </c>
      <c r="H320" s="15"/>
      <c r="I320" s="15" t="s">
        <v>855</v>
      </c>
      <c r="J320" s="15" t="s">
        <v>856</v>
      </c>
      <c r="K320" s="15" t="s">
        <v>384</v>
      </c>
      <c r="L320" s="20">
        <v>46117</v>
      </c>
      <c r="M320" s="9"/>
      <c r="N320" s="448"/>
    </row>
    <row r="321" spans="1:14" ht="17.5">
      <c r="A321" s="23"/>
      <c r="B321" s="15">
        <v>382</v>
      </c>
      <c r="C321" s="15">
        <v>625</v>
      </c>
      <c r="D321" s="12" t="e">
        <f>#REF!/#REF!</f>
        <v>#REF!</v>
      </c>
      <c r="E321" s="16">
        <v>500000</v>
      </c>
      <c r="F321" s="15">
        <v>204</v>
      </c>
      <c r="G321" s="15">
        <v>312</v>
      </c>
      <c r="H321" s="15"/>
      <c r="I321" s="15" t="s">
        <v>855</v>
      </c>
      <c r="J321" s="15" t="s">
        <v>856</v>
      </c>
      <c r="K321" s="15" t="s">
        <v>384</v>
      </c>
      <c r="L321" s="20">
        <v>46091</v>
      </c>
      <c r="M321" s="9"/>
      <c r="N321" s="448"/>
    </row>
    <row r="322" spans="1:14" ht="17.5">
      <c r="A322" s="23"/>
      <c r="B322" s="15">
        <v>383</v>
      </c>
      <c r="C322" s="15">
        <v>625</v>
      </c>
      <c r="D322" s="12" t="e">
        <f>#REF!/#REF!</f>
        <v>#REF!</v>
      </c>
      <c r="E322" s="16">
        <v>190000</v>
      </c>
      <c r="F322" s="15">
        <v>205</v>
      </c>
      <c r="G322" s="15">
        <v>475</v>
      </c>
      <c r="H322" s="15"/>
      <c r="I322" s="15" t="s">
        <v>855</v>
      </c>
      <c r="J322" s="15" t="s">
        <v>856</v>
      </c>
      <c r="K322" s="15" t="s">
        <v>384</v>
      </c>
      <c r="L322" s="20">
        <v>46078</v>
      </c>
      <c r="M322" s="9"/>
      <c r="N322" s="448"/>
    </row>
    <row r="323" spans="1:14" ht="17.5">
      <c r="A323" s="23"/>
      <c r="B323" s="15">
        <v>384</v>
      </c>
      <c r="C323" s="15">
        <v>600</v>
      </c>
      <c r="D323" s="12" t="e">
        <f>#REF!/#REF!</f>
        <v>#REF!</v>
      </c>
      <c r="E323" s="16">
        <v>380000</v>
      </c>
      <c r="F323" s="15">
        <v>384</v>
      </c>
      <c r="G323" s="15">
        <v>385</v>
      </c>
      <c r="H323" s="15"/>
      <c r="I323" s="15" t="s">
        <v>855</v>
      </c>
      <c r="J323" s="15" t="s">
        <v>856</v>
      </c>
      <c r="K323" s="15" t="s">
        <v>384</v>
      </c>
      <c r="L323" s="20">
        <v>46078</v>
      </c>
      <c r="M323" s="9"/>
      <c r="N323" s="448"/>
    </row>
    <row r="324" spans="1:14" ht="17.5">
      <c r="A324" s="23"/>
      <c r="B324" s="15">
        <v>111</v>
      </c>
      <c r="C324" s="15">
        <v>266.8</v>
      </c>
      <c r="D324" s="12" t="e">
        <f>#REF!/#REF!</f>
        <v>#REF!</v>
      </c>
      <c r="E324" s="16">
        <v>1559225</v>
      </c>
      <c r="F324" s="15">
        <v>2311</v>
      </c>
      <c r="G324" s="174" t="s">
        <v>388</v>
      </c>
      <c r="H324" s="15"/>
      <c r="I324" s="15" t="s">
        <v>387</v>
      </c>
      <c r="J324" s="15" t="s">
        <v>291</v>
      </c>
      <c r="K324" s="15" t="s">
        <v>384</v>
      </c>
      <c r="L324" s="20">
        <v>45936</v>
      </c>
      <c r="M324" s="9"/>
      <c r="N324" s="448"/>
    </row>
    <row r="325" spans="1:14" ht="17.5">
      <c r="A325" s="23"/>
      <c r="B325" s="15">
        <v>112</v>
      </c>
      <c r="C325" s="15">
        <v>266.8</v>
      </c>
      <c r="D325" s="12" t="e">
        <f>#REF!/#REF!</f>
        <v>#REF!</v>
      </c>
      <c r="E325" s="16">
        <v>1559225</v>
      </c>
      <c r="F325" s="15">
        <v>2311</v>
      </c>
      <c r="G325" s="174" t="s">
        <v>389</v>
      </c>
      <c r="H325" s="15"/>
      <c r="I325" s="15" t="s">
        <v>387</v>
      </c>
      <c r="J325" s="15" t="s">
        <v>291</v>
      </c>
      <c r="K325" s="15" t="s">
        <v>384</v>
      </c>
      <c r="L325" s="20">
        <v>45936</v>
      </c>
      <c r="M325" s="9"/>
      <c r="N325" s="448"/>
    </row>
    <row r="326" spans="1:14" ht="17.5">
      <c r="A326" s="23"/>
      <c r="B326" s="15">
        <v>113</v>
      </c>
      <c r="C326" s="15">
        <v>266.8</v>
      </c>
      <c r="D326" s="12" t="e">
        <f>#REF!/#REF!</f>
        <v>#REF!</v>
      </c>
      <c r="E326" s="16">
        <v>1559225</v>
      </c>
      <c r="F326" s="15">
        <v>2311</v>
      </c>
      <c r="G326" s="174" t="s">
        <v>390</v>
      </c>
      <c r="H326" s="15"/>
      <c r="I326" s="15" t="s">
        <v>387</v>
      </c>
      <c r="J326" s="15" t="s">
        <v>291</v>
      </c>
      <c r="K326" s="15" t="s">
        <v>384</v>
      </c>
      <c r="L326" s="20">
        <v>45936</v>
      </c>
      <c r="M326" s="9"/>
      <c r="N326" s="448"/>
    </row>
    <row r="327" spans="1:14" ht="17.5">
      <c r="A327" s="23"/>
      <c r="B327" s="15">
        <v>114</v>
      </c>
      <c r="C327" s="15">
        <v>400</v>
      </c>
      <c r="D327" s="12" t="e">
        <f>#REF!/#REF!</f>
        <v>#REF!</v>
      </c>
      <c r="E327" s="16">
        <v>2020000</v>
      </c>
      <c r="F327" s="15" t="s">
        <v>391</v>
      </c>
      <c r="G327" s="15">
        <v>948</v>
      </c>
      <c r="H327" s="15"/>
      <c r="I327" s="15" t="s">
        <v>387</v>
      </c>
      <c r="J327" s="15" t="s">
        <v>291</v>
      </c>
      <c r="K327" s="15" t="s">
        <v>384</v>
      </c>
      <c r="L327" s="20">
        <v>45924</v>
      </c>
      <c r="M327" s="9"/>
      <c r="N327" s="448"/>
    </row>
    <row r="328" spans="1:14" ht="17.5">
      <c r="A328" s="23"/>
      <c r="B328" s="15">
        <v>115</v>
      </c>
      <c r="C328" s="15">
        <v>317.10000000000002</v>
      </c>
      <c r="D328" s="12" t="e">
        <f>#REF!/#REF!</f>
        <v>#REF!</v>
      </c>
      <c r="E328" s="16">
        <v>1588150</v>
      </c>
      <c r="F328" s="15" t="s">
        <v>393</v>
      </c>
      <c r="G328" s="15" t="s">
        <v>392</v>
      </c>
      <c r="H328" s="15"/>
      <c r="I328" s="15" t="s">
        <v>387</v>
      </c>
      <c r="J328" s="15" t="s">
        <v>291</v>
      </c>
      <c r="K328" s="15" t="s">
        <v>384</v>
      </c>
      <c r="L328" s="20">
        <v>45902</v>
      </c>
      <c r="M328" s="9"/>
      <c r="N328" s="448"/>
    </row>
    <row r="329" spans="1:14" ht="17.5">
      <c r="A329" s="23"/>
      <c r="B329" s="15">
        <v>314</v>
      </c>
      <c r="C329" s="15">
        <v>720</v>
      </c>
      <c r="D329" s="12" t="e">
        <f>#REF!/#REF!</f>
        <v>#REF!</v>
      </c>
      <c r="E329" s="16">
        <v>3400000</v>
      </c>
      <c r="F329" s="15">
        <v>2954</v>
      </c>
      <c r="G329" s="15">
        <v>145</v>
      </c>
      <c r="H329" s="15"/>
      <c r="I329" s="15" t="s">
        <v>843</v>
      </c>
      <c r="J329" s="15" t="s">
        <v>844</v>
      </c>
      <c r="K329" s="15" t="s">
        <v>384</v>
      </c>
      <c r="L329" s="20">
        <v>45932</v>
      </c>
      <c r="M329" s="9"/>
      <c r="N329" s="448"/>
    </row>
    <row r="330" spans="1:14" ht="17.5">
      <c r="A330" s="23"/>
      <c r="B330" s="15">
        <v>315</v>
      </c>
      <c r="C330" s="15">
        <v>885</v>
      </c>
      <c r="D330" s="12" t="e">
        <f>#REF!/#REF!</f>
        <v>#REF!</v>
      </c>
      <c r="E330" s="16">
        <v>4000000</v>
      </c>
      <c r="F330" s="15">
        <v>720</v>
      </c>
      <c r="G330" s="15">
        <v>1385</v>
      </c>
      <c r="H330" s="15"/>
      <c r="I330" s="15" t="s">
        <v>843</v>
      </c>
      <c r="J330" s="15" t="s">
        <v>844</v>
      </c>
      <c r="K330" s="15" t="s">
        <v>384</v>
      </c>
      <c r="L330" s="20">
        <v>45883</v>
      </c>
      <c r="M330" s="9"/>
      <c r="N330" s="448"/>
    </row>
    <row r="331" spans="1:14" ht="17.5">
      <c r="A331" s="23"/>
      <c r="B331" s="15">
        <v>317</v>
      </c>
      <c r="C331" s="15">
        <v>875</v>
      </c>
      <c r="D331" s="12" t="e">
        <f>#REF!/#REF!</f>
        <v>#REF!</v>
      </c>
      <c r="E331" s="16">
        <v>3800000</v>
      </c>
      <c r="F331" s="15">
        <v>720</v>
      </c>
      <c r="G331" s="15">
        <v>1417</v>
      </c>
      <c r="H331" s="15"/>
      <c r="I331" s="15" t="s">
        <v>843</v>
      </c>
      <c r="J331" s="15" t="s">
        <v>844</v>
      </c>
      <c r="K331" s="15" t="s">
        <v>384</v>
      </c>
      <c r="L331" s="20">
        <v>45858</v>
      </c>
      <c r="M331" s="9"/>
      <c r="N331" s="448"/>
    </row>
    <row r="332" spans="1:14" ht="17.5">
      <c r="A332" s="23"/>
      <c r="B332" s="15">
        <v>318</v>
      </c>
      <c r="C332" s="15">
        <v>400</v>
      </c>
      <c r="D332" s="12" t="e">
        <f>#REF!/#REF!</f>
        <v>#REF!</v>
      </c>
      <c r="E332" s="16">
        <v>1210000</v>
      </c>
      <c r="F332" s="15">
        <v>2185</v>
      </c>
      <c r="G332" s="15">
        <v>535</v>
      </c>
      <c r="H332" s="15"/>
      <c r="I332" s="15" t="s">
        <v>843</v>
      </c>
      <c r="J332" s="15" t="s">
        <v>844</v>
      </c>
      <c r="K332" s="15" t="s">
        <v>384</v>
      </c>
      <c r="L332" s="20">
        <v>45855</v>
      </c>
      <c r="M332" s="9"/>
      <c r="N332" s="448"/>
    </row>
    <row r="333" spans="1:14" ht="17.5">
      <c r="A333" s="23"/>
      <c r="B333" s="15">
        <v>319</v>
      </c>
      <c r="C333" s="15">
        <v>299</v>
      </c>
      <c r="D333" s="12" t="e">
        <f>#REF!/#REF!</f>
        <v>#REF!</v>
      </c>
      <c r="E333" s="16">
        <v>1000000</v>
      </c>
      <c r="F333" s="15">
        <v>720</v>
      </c>
      <c r="G333" s="15" t="s">
        <v>845</v>
      </c>
      <c r="H333" s="15"/>
      <c r="I333" s="15" t="s">
        <v>843</v>
      </c>
      <c r="J333" s="15" t="s">
        <v>844</v>
      </c>
      <c r="K333" s="15" t="s">
        <v>384</v>
      </c>
      <c r="L333" s="20">
        <v>45845</v>
      </c>
      <c r="M333" s="9"/>
      <c r="N333" s="448"/>
    </row>
    <row r="334" spans="1:14" ht="17.5">
      <c r="A334" s="23"/>
      <c r="B334" s="15">
        <v>320</v>
      </c>
      <c r="C334" s="15">
        <v>540</v>
      </c>
      <c r="D334" s="12" t="e">
        <f>#REF!/#REF!</f>
        <v>#REF!</v>
      </c>
      <c r="E334" s="16">
        <v>2000000</v>
      </c>
      <c r="F334" s="15">
        <v>720</v>
      </c>
      <c r="G334" s="15" t="s">
        <v>846</v>
      </c>
      <c r="H334" s="15"/>
      <c r="I334" s="15" t="s">
        <v>843</v>
      </c>
      <c r="J334" s="15" t="s">
        <v>844</v>
      </c>
      <c r="K334" s="15" t="s">
        <v>384</v>
      </c>
      <c r="L334" s="20">
        <v>45774</v>
      </c>
      <c r="M334" s="9"/>
      <c r="N334" s="448"/>
    </row>
    <row r="335" spans="1:14" ht="17.5">
      <c r="A335" s="23"/>
      <c r="B335" s="15">
        <v>322</v>
      </c>
      <c r="C335" s="15">
        <v>750</v>
      </c>
      <c r="D335" s="12" t="e">
        <f>#REF!/#REF!</f>
        <v>#REF!</v>
      </c>
      <c r="E335" s="16">
        <v>3150000</v>
      </c>
      <c r="F335" s="15"/>
      <c r="G335" s="15"/>
      <c r="H335" s="15"/>
      <c r="I335" s="15" t="s">
        <v>843</v>
      </c>
      <c r="J335" s="15" t="s">
        <v>844</v>
      </c>
      <c r="K335" s="15" t="s">
        <v>327</v>
      </c>
      <c r="L335" s="20"/>
      <c r="M335" s="9"/>
      <c r="N335" s="448"/>
    </row>
    <row r="336" spans="1:14" ht="17.5">
      <c r="A336" s="23"/>
      <c r="B336" s="15">
        <v>323</v>
      </c>
      <c r="C336" s="15">
        <v>801</v>
      </c>
      <c r="D336" s="12" t="e">
        <f>#REF!/#REF!</f>
        <v>#REF!</v>
      </c>
      <c r="E336" s="16">
        <v>4048250</v>
      </c>
      <c r="F336" s="15"/>
      <c r="G336" s="15"/>
      <c r="H336" s="15"/>
      <c r="I336" s="15" t="s">
        <v>843</v>
      </c>
      <c r="J336" s="15" t="s">
        <v>844</v>
      </c>
      <c r="K336" s="15" t="s">
        <v>327</v>
      </c>
      <c r="L336" s="20"/>
      <c r="M336" s="9"/>
      <c r="N336" s="448"/>
    </row>
    <row r="337" spans="1:14" ht="17.5">
      <c r="A337" s="23"/>
      <c r="B337" s="15">
        <v>324</v>
      </c>
      <c r="C337" s="15">
        <v>600</v>
      </c>
      <c r="D337" s="12" t="e">
        <f>#REF!/#REF!</f>
        <v>#REF!</v>
      </c>
      <c r="E337" s="16">
        <v>2700000</v>
      </c>
      <c r="F337" s="15"/>
      <c r="G337" s="15"/>
      <c r="H337" s="15"/>
      <c r="I337" s="15" t="s">
        <v>843</v>
      </c>
      <c r="J337" s="15" t="s">
        <v>844</v>
      </c>
      <c r="K337" s="15" t="s">
        <v>327</v>
      </c>
      <c r="L337" s="20"/>
      <c r="M337" s="9"/>
      <c r="N337" s="448"/>
    </row>
    <row r="338" spans="1:14" ht="17.5">
      <c r="A338" s="23"/>
      <c r="B338" s="15">
        <v>325</v>
      </c>
      <c r="C338" s="15">
        <v>560</v>
      </c>
      <c r="D338" s="12" t="e">
        <f>#REF!/#REF!</f>
        <v>#REF!</v>
      </c>
      <c r="E338" s="16">
        <v>3528000</v>
      </c>
      <c r="F338" s="15"/>
      <c r="G338" s="15"/>
      <c r="H338" s="15"/>
      <c r="I338" s="15" t="s">
        <v>843</v>
      </c>
      <c r="J338" s="15" t="s">
        <v>844</v>
      </c>
      <c r="K338" s="15" t="s">
        <v>327</v>
      </c>
      <c r="L338" s="20"/>
      <c r="M338" s="9"/>
      <c r="N338" s="448"/>
    </row>
    <row r="339" spans="1:14" ht="17.5">
      <c r="A339" s="23"/>
      <c r="B339" s="15">
        <v>326</v>
      </c>
      <c r="C339" s="15">
        <v>500</v>
      </c>
      <c r="D339" s="12" t="e">
        <f>#REF!/#REF!</f>
        <v>#REF!</v>
      </c>
      <c r="E339" s="16">
        <v>2500000</v>
      </c>
      <c r="F339" s="15"/>
      <c r="G339" s="15"/>
      <c r="H339" s="15"/>
      <c r="I339" s="15" t="s">
        <v>843</v>
      </c>
      <c r="J339" s="15" t="s">
        <v>844</v>
      </c>
      <c r="K339" s="15" t="s">
        <v>327</v>
      </c>
      <c r="L339" s="20"/>
      <c r="M339" s="9"/>
      <c r="N339" s="448"/>
    </row>
    <row r="340" spans="1:14" ht="17.5">
      <c r="A340" s="23"/>
      <c r="B340" s="15">
        <v>327</v>
      </c>
      <c r="C340" s="15">
        <v>608</v>
      </c>
      <c r="D340" s="12" t="e">
        <f>#REF!/#REF!</f>
        <v>#REF!</v>
      </c>
      <c r="E340" s="16">
        <v>2404918</v>
      </c>
      <c r="F340" s="15"/>
      <c r="G340" s="15"/>
      <c r="H340" s="15"/>
      <c r="I340" s="15" t="s">
        <v>843</v>
      </c>
      <c r="J340" s="15" t="s">
        <v>844</v>
      </c>
      <c r="K340" s="15" t="s">
        <v>327</v>
      </c>
      <c r="L340" s="20"/>
      <c r="M340" s="9"/>
      <c r="N340" s="448"/>
    </row>
    <row r="341" spans="1:14" ht="17.5">
      <c r="A341" s="23"/>
      <c r="B341" s="15">
        <v>207</v>
      </c>
      <c r="C341" s="15">
        <v>625</v>
      </c>
      <c r="D341" s="12" t="e">
        <f>#REF!/#REF!</f>
        <v>#REF!</v>
      </c>
      <c r="E341" s="16">
        <v>500000</v>
      </c>
      <c r="F341" s="15"/>
      <c r="G341" s="15"/>
      <c r="H341" s="15"/>
      <c r="I341" s="15" t="s">
        <v>599</v>
      </c>
      <c r="J341" s="15" t="s">
        <v>285</v>
      </c>
      <c r="K341" s="15" t="s">
        <v>327</v>
      </c>
      <c r="L341" s="20"/>
      <c r="M341" s="9"/>
      <c r="N341" s="448"/>
    </row>
    <row r="342" spans="1:14" ht="17.5">
      <c r="A342" s="23"/>
      <c r="B342" s="15">
        <v>208</v>
      </c>
      <c r="C342" s="15">
        <v>625</v>
      </c>
      <c r="D342" s="12" t="e">
        <f>#REF!/#REF!</f>
        <v>#REF!</v>
      </c>
      <c r="E342" s="16">
        <v>546875</v>
      </c>
      <c r="F342" s="15"/>
      <c r="G342" s="15"/>
      <c r="H342" s="15"/>
      <c r="I342" s="15" t="s">
        <v>599</v>
      </c>
      <c r="J342" s="15" t="s">
        <v>285</v>
      </c>
      <c r="K342" s="15" t="s">
        <v>327</v>
      </c>
      <c r="L342" s="20"/>
      <c r="M342" s="9"/>
      <c r="N342" s="448"/>
    </row>
    <row r="343" spans="1:14" ht="17.5">
      <c r="A343" s="23"/>
      <c r="B343" s="15">
        <v>209</v>
      </c>
      <c r="C343" s="15">
        <v>1017</v>
      </c>
      <c r="D343" s="12" t="e">
        <f>#REF!/#REF!</f>
        <v>#REF!</v>
      </c>
      <c r="E343" s="16">
        <v>1017040</v>
      </c>
      <c r="F343" s="15"/>
      <c r="G343" s="15"/>
      <c r="H343" s="15"/>
      <c r="I343" s="15" t="s">
        <v>599</v>
      </c>
      <c r="J343" s="15" t="s">
        <v>285</v>
      </c>
      <c r="K343" s="15" t="s">
        <v>327</v>
      </c>
      <c r="L343" s="20"/>
      <c r="M343" s="9"/>
      <c r="N343" s="448"/>
    </row>
    <row r="344" spans="1:14" ht="17.5">
      <c r="A344" s="23"/>
      <c r="B344" s="15">
        <v>210</v>
      </c>
      <c r="C344" s="15">
        <v>416</v>
      </c>
      <c r="D344" s="12" t="e">
        <f>#REF!/#REF!</f>
        <v>#REF!</v>
      </c>
      <c r="E344" s="16">
        <v>333400</v>
      </c>
      <c r="F344" s="15"/>
      <c r="G344" s="15"/>
      <c r="H344" s="15"/>
      <c r="I344" s="15" t="s">
        <v>599</v>
      </c>
      <c r="J344" s="15" t="s">
        <v>285</v>
      </c>
      <c r="K344" s="15" t="s">
        <v>327</v>
      </c>
      <c r="L344" s="20"/>
      <c r="M344" s="9"/>
      <c r="N344" s="448"/>
    </row>
    <row r="345" spans="1:14" ht="17.5">
      <c r="A345" s="23"/>
      <c r="B345" s="15">
        <v>211</v>
      </c>
      <c r="C345" s="15">
        <v>224</v>
      </c>
      <c r="D345" s="12" t="e">
        <f>#REF!/#REF!</f>
        <v>#REF!</v>
      </c>
      <c r="E345" s="16">
        <v>250000</v>
      </c>
      <c r="F345" s="15"/>
      <c r="G345" s="15"/>
      <c r="H345" s="15"/>
      <c r="I345" s="15" t="s">
        <v>599</v>
      </c>
      <c r="J345" s="15" t="s">
        <v>285</v>
      </c>
      <c r="K345" s="15" t="s">
        <v>384</v>
      </c>
      <c r="L345" s="20"/>
      <c r="M345" s="9"/>
      <c r="N345" s="448"/>
    </row>
    <row r="346" spans="1:14" ht="17.5">
      <c r="A346" s="23"/>
      <c r="B346" s="15">
        <v>212</v>
      </c>
      <c r="C346" s="15">
        <v>312</v>
      </c>
      <c r="D346" s="12" t="e">
        <f>#REF!/#REF!</f>
        <v>#REF!</v>
      </c>
      <c r="E346" s="16">
        <v>250000</v>
      </c>
      <c r="F346" s="15">
        <v>704</v>
      </c>
      <c r="G346" s="15" t="s">
        <v>600</v>
      </c>
      <c r="H346" s="15"/>
      <c r="I346" s="15" t="s">
        <v>599</v>
      </c>
      <c r="J346" s="15" t="s">
        <v>285</v>
      </c>
      <c r="K346" s="15" t="s">
        <v>384</v>
      </c>
      <c r="L346" s="20"/>
      <c r="M346" s="9"/>
      <c r="N346" s="448"/>
    </row>
    <row r="347" spans="1:14" ht="17.5">
      <c r="A347" s="23"/>
      <c r="B347" s="15">
        <v>64</v>
      </c>
      <c r="C347" s="15">
        <v>900</v>
      </c>
      <c r="D347" s="12" t="e">
        <f>#REF!/#REF!</f>
        <v>#REF!</v>
      </c>
      <c r="E347" s="16">
        <v>935000</v>
      </c>
      <c r="F347" s="15" t="s">
        <v>173</v>
      </c>
      <c r="G347" s="15">
        <v>874</v>
      </c>
      <c r="H347" s="15"/>
      <c r="I347" s="15" t="s">
        <v>174</v>
      </c>
      <c r="J347" s="15" t="s">
        <v>121</v>
      </c>
      <c r="K347" s="15" t="s">
        <v>384</v>
      </c>
      <c r="L347" s="20">
        <v>45931</v>
      </c>
      <c r="M347" s="9"/>
      <c r="N347" s="448"/>
    </row>
    <row r="348" spans="1:14" ht="17.5">
      <c r="A348" s="23"/>
      <c r="B348" s="15">
        <v>65</v>
      </c>
      <c r="C348" s="15">
        <v>450</v>
      </c>
      <c r="D348" s="12" t="e">
        <f>#REF!/#REF!</f>
        <v>#REF!</v>
      </c>
      <c r="E348" s="16">
        <v>565000</v>
      </c>
      <c r="F348" s="15" t="s">
        <v>173</v>
      </c>
      <c r="G348" s="15" t="s">
        <v>175</v>
      </c>
      <c r="H348" s="15"/>
      <c r="I348" s="15" t="s">
        <v>174</v>
      </c>
      <c r="J348" s="15" t="s">
        <v>121</v>
      </c>
      <c r="K348" s="15" t="s">
        <v>384</v>
      </c>
      <c r="L348" s="20">
        <v>45915</v>
      </c>
      <c r="M348" s="9"/>
      <c r="N348" s="448"/>
    </row>
    <row r="349" spans="1:14" ht="17.5">
      <c r="A349" s="23"/>
      <c r="B349" s="15">
        <v>66</v>
      </c>
      <c r="C349" s="15">
        <v>947</v>
      </c>
      <c r="D349" s="12" t="e">
        <f>#REF!/#REF!</f>
        <v>#REF!</v>
      </c>
      <c r="E349" s="16">
        <v>1450000</v>
      </c>
      <c r="F349" s="15" t="s">
        <v>173</v>
      </c>
      <c r="G349" s="15">
        <v>1074</v>
      </c>
      <c r="H349" s="15"/>
      <c r="I349" s="15" t="s">
        <v>174</v>
      </c>
      <c r="J349" s="15" t="s">
        <v>121</v>
      </c>
      <c r="K349" s="15" t="s">
        <v>384</v>
      </c>
      <c r="L349" s="20">
        <v>45894</v>
      </c>
      <c r="M349" s="9"/>
      <c r="N349" s="448"/>
    </row>
    <row r="350" spans="1:14" ht="17.5">
      <c r="A350" s="23"/>
      <c r="B350" s="15">
        <v>67</v>
      </c>
      <c r="C350" s="15">
        <v>878.4</v>
      </c>
      <c r="D350" s="12" t="e">
        <f>#REF!/#REF!</f>
        <v>#REF!</v>
      </c>
      <c r="E350" s="16">
        <v>1250000</v>
      </c>
      <c r="F350" s="15" t="s">
        <v>173</v>
      </c>
      <c r="G350" s="15">
        <v>2187</v>
      </c>
      <c r="H350" s="15"/>
      <c r="I350" s="15" t="s">
        <v>174</v>
      </c>
      <c r="J350" s="15" t="s">
        <v>121</v>
      </c>
      <c r="K350" s="15" t="s">
        <v>384</v>
      </c>
      <c r="L350" s="20">
        <v>45886</v>
      </c>
      <c r="M350" s="9"/>
      <c r="N350" s="448"/>
    </row>
    <row r="351" spans="1:14" ht="17.5">
      <c r="A351" s="23"/>
      <c r="B351" s="15">
        <v>68</v>
      </c>
      <c r="C351" s="15">
        <v>450</v>
      </c>
      <c r="D351" s="12" t="e">
        <f>#REF!/#REF!</f>
        <v>#REF!</v>
      </c>
      <c r="E351" s="16">
        <v>700000</v>
      </c>
      <c r="F351" s="15" t="s">
        <v>173</v>
      </c>
      <c r="G351" s="15" t="s">
        <v>176</v>
      </c>
      <c r="H351" s="15"/>
      <c r="I351" s="15" t="s">
        <v>174</v>
      </c>
      <c r="J351" s="15" t="s">
        <v>121</v>
      </c>
      <c r="K351" s="15" t="s">
        <v>384</v>
      </c>
      <c r="L351" s="20">
        <v>45882</v>
      </c>
      <c r="M351" s="9"/>
      <c r="N351" s="448"/>
    </row>
    <row r="352" spans="1:14" ht="17.5">
      <c r="A352" s="23"/>
      <c r="B352" s="15">
        <v>69</v>
      </c>
      <c r="C352" s="15">
        <v>864</v>
      </c>
      <c r="D352" s="12" t="e">
        <f>#REF!/#REF!</f>
        <v>#REF!</v>
      </c>
      <c r="E352" s="16">
        <v>1300000</v>
      </c>
      <c r="F352" s="15" t="s">
        <v>173</v>
      </c>
      <c r="G352" s="15">
        <v>1970</v>
      </c>
      <c r="H352" s="15"/>
      <c r="I352" s="15" t="s">
        <v>174</v>
      </c>
      <c r="J352" s="15" t="s">
        <v>121</v>
      </c>
      <c r="K352" s="15" t="s">
        <v>384</v>
      </c>
      <c r="L352" s="20">
        <v>45881</v>
      </c>
      <c r="M352" s="9"/>
      <c r="N352" s="448"/>
    </row>
    <row r="353" spans="1:14" ht="17.5">
      <c r="A353" s="23"/>
      <c r="B353" s="15">
        <v>70</v>
      </c>
      <c r="C353" s="15">
        <v>468</v>
      </c>
      <c r="D353" s="12" t="e">
        <f>#REF!/#REF!</f>
        <v>#REF!</v>
      </c>
      <c r="E353" s="16">
        <v>700000</v>
      </c>
      <c r="F353" s="15" t="s">
        <v>173</v>
      </c>
      <c r="G353" s="15" t="s">
        <v>177</v>
      </c>
      <c r="H353" s="15"/>
      <c r="I353" s="15" t="s">
        <v>174</v>
      </c>
      <c r="J353" s="15" t="s">
        <v>121</v>
      </c>
      <c r="K353" s="15" t="s">
        <v>384</v>
      </c>
      <c r="L353" s="20">
        <v>45862</v>
      </c>
      <c r="M353" s="9"/>
      <c r="N353" s="448"/>
    </row>
    <row r="354" spans="1:14" ht="17.5">
      <c r="A354" s="23"/>
      <c r="B354" s="15">
        <v>46</v>
      </c>
      <c r="C354" s="15">
        <v>750</v>
      </c>
      <c r="D354" s="12" t="e">
        <f>#REF!/#REF!</f>
        <v>#REF!</v>
      </c>
      <c r="E354" s="16">
        <v>1000000</v>
      </c>
      <c r="F354" s="15">
        <v>3020</v>
      </c>
      <c r="G354" s="15">
        <v>4227</v>
      </c>
      <c r="H354" s="15"/>
      <c r="I354" s="15" t="s">
        <v>120</v>
      </c>
      <c r="J354" s="15" t="s">
        <v>121</v>
      </c>
      <c r="K354" s="15" t="s">
        <v>384</v>
      </c>
      <c r="L354" s="20">
        <v>45931</v>
      </c>
      <c r="M354" s="9"/>
      <c r="N354" s="448"/>
    </row>
    <row r="355" spans="1:14" ht="17.5">
      <c r="A355" s="23"/>
      <c r="B355" s="15">
        <v>47</v>
      </c>
      <c r="C355" s="15">
        <v>742.5</v>
      </c>
      <c r="D355" s="12" t="e">
        <f>#REF!/#REF!</f>
        <v>#REF!</v>
      </c>
      <c r="E355" s="16">
        <v>550000</v>
      </c>
      <c r="F355" s="15">
        <v>3020</v>
      </c>
      <c r="G355" s="15" t="s">
        <v>122</v>
      </c>
      <c r="H355" s="15"/>
      <c r="I355" s="15" t="s">
        <v>120</v>
      </c>
      <c r="J355" s="15" t="s">
        <v>121</v>
      </c>
      <c r="K355" s="15" t="s">
        <v>384</v>
      </c>
      <c r="L355" s="20">
        <v>45931</v>
      </c>
      <c r="M355" s="9"/>
      <c r="N355" s="448"/>
    </row>
    <row r="356" spans="1:14" ht="17.5">
      <c r="A356" s="23"/>
      <c r="B356" s="15">
        <v>48</v>
      </c>
      <c r="C356" s="15">
        <v>600</v>
      </c>
      <c r="D356" s="12" t="e">
        <f>#REF!/#REF!</f>
        <v>#REF!</v>
      </c>
      <c r="E356" s="16">
        <v>700000</v>
      </c>
      <c r="F356" s="15">
        <v>3020</v>
      </c>
      <c r="G356" s="15">
        <v>10629</v>
      </c>
      <c r="H356" s="15"/>
      <c r="I356" s="15" t="s">
        <v>120</v>
      </c>
      <c r="J356" s="15" t="s">
        <v>121</v>
      </c>
      <c r="K356" s="15" t="s">
        <v>384</v>
      </c>
      <c r="L356" s="20">
        <v>45928</v>
      </c>
      <c r="M356" s="9"/>
      <c r="N356" s="448"/>
    </row>
    <row r="357" spans="1:14" ht="17.5">
      <c r="A357" s="23"/>
      <c r="B357" s="15">
        <v>49</v>
      </c>
      <c r="C357" s="15">
        <v>750</v>
      </c>
      <c r="D357" s="12" t="e">
        <f>#REF!/#REF!</f>
        <v>#REF!</v>
      </c>
      <c r="E357" s="16">
        <v>1100000</v>
      </c>
      <c r="F357" s="15">
        <v>3020</v>
      </c>
      <c r="G357" s="15">
        <v>9226</v>
      </c>
      <c r="H357" s="15"/>
      <c r="I357" s="15" t="s">
        <v>120</v>
      </c>
      <c r="J357" s="15" t="s">
        <v>121</v>
      </c>
      <c r="K357" s="15" t="s">
        <v>384</v>
      </c>
      <c r="L357" s="20">
        <v>45927</v>
      </c>
      <c r="M357" s="9"/>
      <c r="N357" s="448"/>
    </row>
    <row r="358" spans="1:14" ht="17.5">
      <c r="A358" s="23"/>
      <c r="B358" s="15">
        <v>50</v>
      </c>
      <c r="C358" s="15">
        <v>370.5</v>
      </c>
      <c r="D358" s="12" t="e">
        <f>#REF!/#REF!</f>
        <v>#REF!</v>
      </c>
      <c r="E358" s="16">
        <v>695000</v>
      </c>
      <c r="F358" s="15">
        <v>3020</v>
      </c>
      <c r="G358" s="15" t="s">
        <v>123</v>
      </c>
      <c r="H358" s="15"/>
      <c r="I358" s="15" t="s">
        <v>120</v>
      </c>
      <c r="J358" s="15" t="s">
        <v>121</v>
      </c>
      <c r="K358" s="15" t="s">
        <v>384</v>
      </c>
      <c r="L358" s="20">
        <v>45925</v>
      </c>
      <c r="M358" s="9"/>
      <c r="N358" s="448"/>
    </row>
    <row r="359" spans="1:14" ht="17.5">
      <c r="A359" s="23"/>
      <c r="B359" s="15">
        <v>51</v>
      </c>
      <c r="C359" s="15">
        <v>375</v>
      </c>
      <c r="D359" s="12" t="e">
        <f>#REF!/#REF!</f>
        <v>#REF!</v>
      </c>
      <c r="E359" s="16">
        <v>505000</v>
      </c>
      <c r="F359" s="15">
        <v>3020</v>
      </c>
      <c r="G359" s="15" t="s">
        <v>124</v>
      </c>
      <c r="H359" s="15"/>
      <c r="I359" s="15" t="s">
        <v>120</v>
      </c>
      <c r="J359" s="15" t="s">
        <v>121</v>
      </c>
      <c r="K359" s="15" t="s">
        <v>384</v>
      </c>
      <c r="L359" s="20">
        <v>45921</v>
      </c>
      <c r="M359" s="9"/>
      <c r="N359" s="448"/>
    </row>
    <row r="360" spans="1:14" ht="17.5">
      <c r="A360" s="23"/>
      <c r="B360" s="15">
        <v>52</v>
      </c>
      <c r="C360" s="15">
        <v>900</v>
      </c>
      <c r="D360" s="12" t="e">
        <f>#REF!/#REF!</f>
        <v>#REF!</v>
      </c>
      <c r="E360" s="16">
        <v>800000</v>
      </c>
      <c r="F360" s="15">
        <v>3020</v>
      </c>
      <c r="G360" s="15">
        <v>6711</v>
      </c>
      <c r="H360" s="15"/>
      <c r="I360" s="15" t="s">
        <v>120</v>
      </c>
      <c r="J360" s="15" t="s">
        <v>121</v>
      </c>
      <c r="K360" s="15" t="s">
        <v>384</v>
      </c>
      <c r="L360" s="20">
        <v>45921</v>
      </c>
      <c r="M360" s="9"/>
      <c r="N360" s="448"/>
    </row>
    <row r="361" spans="1:14" ht="17.5">
      <c r="A361" s="23"/>
      <c r="B361" s="15">
        <v>53</v>
      </c>
      <c r="C361" s="15">
        <v>375</v>
      </c>
      <c r="D361" s="12" t="e">
        <f>#REF!/#REF!</f>
        <v>#REF!</v>
      </c>
      <c r="E361" s="16">
        <v>600000</v>
      </c>
      <c r="F361" s="15">
        <v>3020</v>
      </c>
      <c r="G361" s="15" t="s">
        <v>125</v>
      </c>
      <c r="H361" s="15"/>
      <c r="I361" s="15" t="s">
        <v>120</v>
      </c>
      <c r="J361" s="15" t="s">
        <v>121</v>
      </c>
      <c r="K361" s="15" t="s">
        <v>384</v>
      </c>
      <c r="L361" s="20">
        <v>45918</v>
      </c>
      <c r="M361" s="9"/>
      <c r="N361" s="448"/>
    </row>
    <row r="362" spans="1:14" ht="17.5">
      <c r="A362" s="23"/>
      <c r="B362" s="15">
        <v>54</v>
      </c>
      <c r="C362" s="15">
        <v>750</v>
      </c>
      <c r="D362" s="12" t="e">
        <f>#REF!/#REF!</f>
        <v>#REF!</v>
      </c>
      <c r="E362" s="16">
        <v>1000000</v>
      </c>
      <c r="F362" s="15">
        <v>3020</v>
      </c>
      <c r="G362" s="15">
        <v>8832</v>
      </c>
      <c r="H362" s="15"/>
      <c r="I362" s="15" t="s">
        <v>120</v>
      </c>
      <c r="J362" s="15" t="s">
        <v>121</v>
      </c>
      <c r="K362" s="15" t="s">
        <v>384</v>
      </c>
      <c r="L362" s="20">
        <v>45914</v>
      </c>
      <c r="M362" s="9"/>
      <c r="N362" s="448"/>
    </row>
    <row r="363" spans="1:14" ht="17.5">
      <c r="A363" s="23"/>
      <c r="B363" s="15">
        <v>55</v>
      </c>
      <c r="C363" s="15">
        <v>375</v>
      </c>
      <c r="D363" s="12" t="e">
        <f>#REF!/#REF!</f>
        <v>#REF!</v>
      </c>
      <c r="E363" s="16">
        <v>525000</v>
      </c>
      <c r="F363" s="15">
        <v>3020</v>
      </c>
      <c r="G363" s="15" t="s">
        <v>125</v>
      </c>
      <c r="H363" s="15"/>
      <c r="I363" s="15" t="s">
        <v>120</v>
      </c>
      <c r="J363" s="15" t="s">
        <v>121</v>
      </c>
      <c r="K363" s="15" t="s">
        <v>384</v>
      </c>
      <c r="L363" s="20">
        <v>45914</v>
      </c>
      <c r="M363" s="9"/>
      <c r="N363" s="448"/>
    </row>
    <row r="364" spans="1:14" ht="17.5">
      <c r="A364" s="23"/>
      <c r="B364" s="15">
        <v>71</v>
      </c>
      <c r="C364" s="15">
        <v>313</v>
      </c>
      <c r="D364" s="12" t="e">
        <f>#REF!/#REF!</f>
        <v>#REF!</v>
      </c>
      <c r="E364" s="16">
        <v>648000</v>
      </c>
      <c r="F364" s="15">
        <v>560</v>
      </c>
      <c r="G364" s="15" t="s">
        <v>307</v>
      </c>
      <c r="H364" s="15"/>
      <c r="I364" s="15" t="s">
        <v>305</v>
      </c>
      <c r="J364" s="15" t="s">
        <v>267</v>
      </c>
      <c r="K364" s="15" t="s">
        <v>384</v>
      </c>
      <c r="L364" s="20">
        <v>45950</v>
      </c>
      <c r="M364" s="9"/>
      <c r="N364" s="448"/>
    </row>
    <row r="365" spans="1:14" ht="17.5">
      <c r="A365" s="23"/>
      <c r="B365" s="15">
        <v>72</v>
      </c>
      <c r="C365" s="15">
        <v>700</v>
      </c>
      <c r="D365" s="12" t="e">
        <f>#REF!/#REF!</f>
        <v>#REF!</v>
      </c>
      <c r="E365" s="16">
        <v>210000</v>
      </c>
      <c r="F365" s="15" t="s">
        <v>306</v>
      </c>
      <c r="G365" s="15">
        <v>297</v>
      </c>
      <c r="H365" s="15"/>
      <c r="I365" s="15" t="s">
        <v>305</v>
      </c>
      <c r="J365" s="15" t="s">
        <v>267</v>
      </c>
      <c r="K365" s="15" t="s">
        <v>384</v>
      </c>
      <c r="L365" s="20">
        <v>45949</v>
      </c>
      <c r="M365" s="9"/>
      <c r="N365" s="448"/>
    </row>
    <row r="366" spans="1:14" ht="17.5">
      <c r="A366" s="23"/>
      <c r="B366" s="15">
        <v>73</v>
      </c>
      <c r="C366" s="15">
        <v>420</v>
      </c>
      <c r="D366" s="12" t="e">
        <f>#REF!/#REF!</f>
        <v>#REF!</v>
      </c>
      <c r="E366" s="16">
        <v>247000</v>
      </c>
      <c r="F366" s="15">
        <v>525</v>
      </c>
      <c r="G366" s="15">
        <v>138</v>
      </c>
      <c r="H366" s="15"/>
      <c r="I366" s="15" t="s">
        <v>305</v>
      </c>
      <c r="J366" s="15" t="s">
        <v>267</v>
      </c>
      <c r="K366" s="15" t="s">
        <v>384</v>
      </c>
      <c r="L366" s="20">
        <v>45949</v>
      </c>
      <c r="M366" s="9"/>
      <c r="N366" s="448"/>
    </row>
    <row r="367" spans="1:14" ht="17.5">
      <c r="A367" s="23"/>
      <c r="B367" s="15">
        <v>74</v>
      </c>
      <c r="C367" s="15">
        <v>575</v>
      </c>
      <c r="D367" s="12" t="e">
        <f>#REF!/#REF!</f>
        <v>#REF!</v>
      </c>
      <c r="E367" s="16">
        <v>200000</v>
      </c>
      <c r="F367" s="15">
        <v>552</v>
      </c>
      <c r="G367" s="15">
        <v>908</v>
      </c>
      <c r="H367" s="15"/>
      <c r="I367" s="15" t="s">
        <v>305</v>
      </c>
      <c r="J367" s="15" t="s">
        <v>267</v>
      </c>
      <c r="K367" s="15" t="s">
        <v>384</v>
      </c>
      <c r="L367" s="20">
        <v>45947</v>
      </c>
      <c r="M367" s="9"/>
      <c r="N367" s="448"/>
    </row>
    <row r="368" spans="1:14" ht="17.5">
      <c r="A368" s="23"/>
      <c r="B368" s="15">
        <v>75</v>
      </c>
      <c r="C368" s="15">
        <v>600</v>
      </c>
      <c r="D368" s="12" t="e">
        <f>#REF!/#REF!</f>
        <v>#REF!</v>
      </c>
      <c r="E368" s="16">
        <v>300000</v>
      </c>
      <c r="F368" s="15" t="s">
        <v>308</v>
      </c>
      <c r="G368" s="15">
        <v>187</v>
      </c>
      <c r="H368" s="15"/>
      <c r="I368" s="15" t="s">
        <v>305</v>
      </c>
      <c r="J368" s="15" t="s">
        <v>267</v>
      </c>
      <c r="K368" s="15" t="s">
        <v>384</v>
      </c>
      <c r="L368" s="20">
        <v>45945</v>
      </c>
      <c r="M368" s="9"/>
      <c r="N368" s="448"/>
    </row>
    <row r="369" spans="1:14" ht="17.5">
      <c r="A369" s="23"/>
      <c r="B369" s="15">
        <v>76</v>
      </c>
      <c r="C369" s="15">
        <v>625</v>
      </c>
      <c r="D369" s="12" t="e">
        <f>#REF!/#REF!</f>
        <v>#REF!</v>
      </c>
      <c r="E369" s="16">
        <v>600000</v>
      </c>
      <c r="F369" s="15">
        <v>552</v>
      </c>
      <c r="G369" s="15">
        <v>834</v>
      </c>
      <c r="H369" s="15"/>
      <c r="I369" s="15" t="s">
        <v>305</v>
      </c>
      <c r="J369" s="15" t="s">
        <v>267</v>
      </c>
      <c r="K369" s="15" t="s">
        <v>384</v>
      </c>
      <c r="L369" s="20">
        <v>45945</v>
      </c>
      <c r="M369" s="9"/>
      <c r="N369" s="448"/>
    </row>
    <row r="370" spans="1:14" ht="17.5">
      <c r="A370" s="23"/>
      <c r="B370" s="15">
        <v>77</v>
      </c>
      <c r="C370" s="15">
        <v>740</v>
      </c>
      <c r="D370" s="12" t="e">
        <f>#REF!/#REF!</f>
        <v>#REF!</v>
      </c>
      <c r="E370" s="16">
        <v>350000</v>
      </c>
      <c r="F370" s="15" t="s">
        <v>308</v>
      </c>
      <c r="G370" s="15">
        <v>725</v>
      </c>
      <c r="H370" s="15"/>
      <c r="I370" s="15" t="s">
        <v>305</v>
      </c>
      <c r="J370" s="15" t="s">
        <v>267</v>
      </c>
      <c r="K370" s="15" t="s">
        <v>384</v>
      </c>
      <c r="L370" s="20">
        <v>45944</v>
      </c>
      <c r="M370" s="9"/>
      <c r="N370" s="448"/>
    </row>
    <row r="371" spans="1:14" ht="17.5">
      <c r="A371" s="23"/>
      <c r="B371" s="15">
        <v>29</v>
      </c>
      <c r="C371" s="15">
        <v>353.6</v>
      </c>
      <c r="D371" s="12" t="e">
        <f>#REF!/#REF!</f>
        <v>#REF!</v>
      </c>
      <c r="E371" s="16">
        <v>1800000</v>
      </c>
      <c r="F371" s="15">
        <v>2413</v>
      </c>
      <c r="G371" s="15" t="s">
        <v>106</v>
      </c>
      <c r="H371" s="15"/>
      <c r="I371" s="17" t="s">
        <v>107</v>
      </c>
      <c r="J371" s="17" t="s">
        <v>108</v>
      </c>
      <c r="K371" s="17" t="s">
        <v>384</v>
      </c>
      <c r="L371" s="20">
        <v>45890</v>
      </c>
      <c r="M371" s="9"/>
      <c r="N371" s="448"/>
    </row>
    <row r="372" spans="1:14" ht="17.5">
      <c r="A372" s="23"/>
      <c r="B372" s="15">
        <v>30</v>
      </c>
      <c r="C372" s="15">
        <v>273</v>
      </c>
      <c r="D372" s="12" t="e">
        <f>#REF!/#REF!</f>
        <v>#REF!</v>
      </c>
      <c r="E372" s="16">
        <v>1500000</v>
      </c>
      <c r="F372" s="15" t="s">
        <v>109</v>
      </c>
      <c r="G372" s="15" t="s">
        <v>110</v>
      </c>
      <c r="H372" s="15"/>
      <c r="I372" s="17" t="s">
        <v>107</v>
      </c>
      <c r="J372" s="17" t="s">
        <v>108</v>
      </c>
      <c r="K372" s="17" t="s">
        <v>384</v>
      </c>
      <c r="L372" s="20">
        <v>45900</v>
      </c>
      <c r="M372" s="9"/>
      <c r="N372" s="448"/>
    </row>
    <row r="373" spans="1:14" ht="17.5">
      <c r="A373" s="23"/>
      <c r="B373" s="15">
        <v>31</v>
      </c>
      <c r="C373" s="15">
        <v>388.4</v>
      </c>
      <c r="D373" s="12" t="e">
        <f>#REF!/#REF!</f>
        <v>#REF!</v>
      </c>
      <c r="E373" s="16">
        <v>1189592</v>
      </c>
      <c r="F373" s="15" t="s">
        <v>109</v>
      </c>
      <c r="G373" s="15" t="s">
        <v>111</v>
      </c>
      <c r="H373" s="15"/>
      <c r="I373" s="17" t="s">
        <v>107</v>
      </c>
      <c r="J373" s="17" t="s">
        <v>108</v>
      </c>
      <c r="K373" s="17" t="s">
        <v>384</v>
      </c>
      <c r="L373" s="20">
        <v>45908</v>
      </c>
      <c r="M373" s="9"/>
      <c r="N373" s="448"/>
    </row>
    <row r="374" spans="1:14" ht="17.5">
      <c r="A374" s="23"/>
      <c r="B374" s="15">
        <v>32</v>
      </c>
      <c r="C374" s="15">
        <v>375</v>
      </c>
      <c r="D374" s="12" t="e">
        <f>#REF!/#REF!</f>
        <v>#REF!</v>
      </c>
      <c r="E374" s="16">
        <v>2038368</v>
      </c>
      <c r="F374" s="15">
        <v>2413</v>
      </c>
      <c r="G374" s="15" t="s">
        <v>112</v>
      </c>
      <c r="H374" s="15"/>
      <c r="I374" s="17" t="s">
        <v>107</v>
      </c>
      <c r="J374" s="17" t="s">
        <v>108</v>
      </c>
      <c r="K374" s="17" t="s">
        <v>384</v>
      </c>
      <c r="L374" s="20">
        <v>45827</v>
      </c>
      <c r="M374" s="9"/>
      <c r="N374" s="448"/>
    </row>
    <row r="375" spans="1:14" ht="17.5">
      <c r="A375" s="23"/>
      <c r="B375" s="15">
        <v>33</v>
      </c>
      <c r="C375" s="15">
        <v>353.6</v>
      </c>
      <c r="D375" s="12" t="e">
        <f>#REF!/#REF!</f>
        <v>#REF!</v>
      </c>
      <c r="E375" s="16">
        <v>1800000</v>
      </c>
      <c r="F375" s="15">
        <v>2413</v>
      </c>
      <c r="G375" s="15" t="s">
        <v>106</v>
      </c>
      <c r="H375" s="15"/>
      <c r="I375" s="17" t="s">
        <v>107</v>
      </c>
      <c r="J375" s="17" t="s">
        <v>108</v>
      </c>
      <c r="K375" s="17" t="s">
        <v>384</v>
      </c>
      <c r="L375" s="20">
        <v>45890</v>
      </c>
      <c r="M375" s="9"/>
      <c r="N375" s="448"/>
    </row>
    <row r="376" spans="1:14" ht="17.5">
      <c r="A376" s="23"/>
      <c r="B376" s="15">
        <v>34</v>
      </c>
      <c r="C376" s="15">
        <v>404.1</v>
      </c>
      <c r="D376" s="12" t="e">
        <f>#REF!/#REF!</f>
        <v>#REF!</v>
      </c>
      <c r="E376" s="16">
        <v>2331000</v>
      </c>
      <c r="F376" s="15" t="s">
        <v>109</v>
      </c>
      <c r="G376" s="15" t="s">
        <v>113</v>
      </c>
      <c r="H376" s="15"/>
      <c r="I376" s="17" t="s">
        <v>107</v>
      </c>
      <c r="J376" s="17" t="s">
        <v>108</v>
      </c>
      <c r="K376" s="17" t="s">
        <v>384</v>
      </c>
      <c r="L376" s="20">
        <v>45915</v>
      </c>
      <c r="M376" s="9"/>
      <c r="N376" s="448"/>
    </row>
    <row r="377" spans="1:14" ht="17.5">
      <c r="A377" s="23"/>
      <c r="B377" s="15">
        <v>35</v>
      </c>
      <c r="C377" s="15">
        <v>435</v>
      </c>
      <c r="D377" s="12" t="e">
        <f>#REF!/#REF!</f>
        <v>#REF!</v>
      </c>
      <c r="E377" s="16">
        <v>2174702</v>
      </c>
      <c r="F377" s="15" t="s">
        <v>109</v>
      </c>
      <c r="G377" s="15" t="s">
        <v>114</v>
      </c>
      <c r="H377" s="15"/>
      <c r="I377" s="17" t="s">
        <v>107</v>
      </c>
      <c r="J377" s="17" t="s">
        <v>108</v>
      </c>
      <c r="K377" s="17" t="s">
        <v>384</v>
      </c>
      <c r="L377" s="20">
        <v>45937</v>
      </c>
      <c r="M377" s="9"/>
      <c r="N377" s="448"/>
    </row>
    <row r="378" spans="1:14" ht="17.5">
      <c r="A378" s="23"/>
      <c r="B378" s="15">
        <v>36</v>
      </c>
      <c r="C378" s="15">
        <v>273</v>
      </c>
      <c r="D378" s="12" t="e">
        <f>#REF!/#REF!</f>
        <v>#REF!</v>
      </c>
      <c r="E378" s="16">
        <v>1291246</v>
      </c>
      <c r="F378" s="15" t="s">
        <v>109</v>
      </c>
      <c r="G378" s="15" t="s">
        <v>115</v>
      </c>
      <c r="H378" s="15"/>
      <c r="I378" s="17" t="s">
        <v>107</v>
      </c>
      <c r="J378" s="17" t="s">
        <v>108</v>
      </c>
      <c r="K378" s="17" t="s">
        <v>384</v>
      </c>
      <c r="L378" s="20">
        <v>45937</v>
      </c>
      <c r="M378" s="9"/>
      <c r="N378" s="448"/>
    </row>
    <row r="379" spans="1:14" ht="17.5">
      <c r="A379" s="23"/>
      <c r="B379" s="15">
        <v>78</v>
      </c>
      <c r="C379" s="15">
        <v>360</v>
      </c>
      <c r="D379" s="12" t="e">
        <f>#REF!/#REF!</f>
        <v>#REF!</v>
      </c>
      <c r="E379" s="16">
        <v>1620000</v>
      </c>
      <c r="F379" s="15">
        <v>3007</v>
      </c>
      <c r="G379" s="15" t="s">
        <v>309</v>
      </c>
      <c r="H379" s="15"/>
      <c r="I379" s="15" t="s">
        <v>310</v>
      </c>
      <c r="J379" s="15" t="s">
        <v>311</v>
      </c>
      <c r="K379" s="15" t="s">
        <v>384</v>
      </c>
      <c r="L379" s="20">
        <v>45893</v>
      </c>
      <c r="M379" s="9"/>
      <c r="N379" s="448"/>
    </row>
    <row r="380" spans="1:14" ht="17.5">
      <c r="A380" s="23"/>
      <c r="B380" s="15">
        <v>79</v>
      </c>
      <c r="C380" s="15">
        <v>375</v>
      </c>
      <c r="D380" s="12" t="e">
        <f>#REF!/#REF!</f>
        <v>#REF!</v>
      </c>
      <c r="E380" s="16">
        <v>890000</v>
      </c>
      <c r="F380" s="15">
        <v>3007</v>
      </c>
      <c r="G380" s="15" t="s">
        <v>312</v>
      </c>
      <c r="H380" s="15"/>
      <c r="I380" s="15" t="s">
        <v>310</v>
      </c>
      <c r="J380" s="15" t="s">
        <v>311</v>
      </c>
      <c r="K380" s="15" t="s">
        <v>384</v>
      </c>
      <c r="L380" s="20">
        <v>45830</v>
      </c>
      <c r="M380" s="9"/>
      <c r="N380" s="448"/>
    </row>
    <row r="381" spans="1:14" ht="17.5">
      <c r="A381" s="23"/>
      <c r="B381" s="15">
        <v>80</v>
      </c>
      <c r="C381" s="15">
        <v>405</v>
      </c>
      <c r="D381" s="12" t="e">
        <f>#REF!/#REF!</f>
        <v>#REF!</v>
      </c>
      <c r="E381" s="16">
        <v>1130000</v>
      </c>
      <c r="F381" s="15">
        <v>3007</v>
      </c>
      <c r="G381" s="15" t="s">
        <v>313</v>
      </c>
      <c r="H381" s="15"/>
      <c r="I381" s="15" t="s">
        <v>310</v>
      </c>
      <c r="J381" s="15" t="s">
        <v>311</v>
      </c>
      <c r="K381" s="15" t="s">
        <v>384</v>
      </c>
      <c r="L381" s="20">
        <v>45825</v>
      </c>
      <c r="M381" s="9"/>
      <c r="N381" s="448"/>
    </row>
    <row r="382" spans="1:14" ht="17.5">
      <c r="A382" s="23"/>
      <c r="B382" s="15">
        <v>81</v>
      </c>
      <c r="C382" s="15">
        <v>729</v>
      </c>
      <c r="D382" s="12" t="e">
        <f>#REF!/#REF!</f>
        <v>#REF!</v>
      </c>
      <c r="E382" s="16">
        <v>3125000</v>
      </c>
      <c r="F382" s="15">
        <v>3007</v>
      </c>
      <c r="G382" s="15">
        <v>241</v>
      </c>
      <c r="H382" s="15"/>
      <c r="I382" s="15" t="s">
        <v>310</v>
      </c>
      <c r="J382" s="15" t="s">
        <v>311</v>
      </c>
      <c r="K382" s="15" t="s">
        <v>384</v>
      </c>
      <c r="L382" s="20">
        <v>45784</v>
      </c>
      <c r="M382" s="9"/>
      <c r="N382" s="448"/>
    </row>
    <row r="383" spans="1:14" ht="17.5">
      <c r="A383" s="23"/>
      <c r="B383" s="15">
        <v>82</v>
      </c>
      <c r="C383" s="15">
        <v>480</v>
      </c>
      <c r="D383" s="12" t="e">
        <f>#REF!/#REF!</f>
        <v>#REF!</v>
      </c>
      <c r="E383" s="16">
        <v>2600000</v>
      </c>
      <c r="F383" s="15"/>
      <c r="G383" s="15"/>
      <c r="H383" s="15"/>
      <c r="I383" s="15" t="s">
        <v>310</v>
      </c>
      <c r="J383" s="15" t="s">
        <v>311</v>
      </c>
      <c r="K383" s="15" t="s">
        <v>327</v>
      </c>
      <c r="L383" s="20"/>
      <c r="M383" s="9"/>
      <c r="N383" s="448"/>
    </row>
    <row r="384" spans="1:14" ht="17.5">
      <c r="A384" s="23"/>
      <c r="B384" s="15">
        <v>83</v>
      </c>
      <c r="C384" s="15">
        <v>750</v>
      </c>
      <c r="D384" s="12" t="e">
        <f>#REF!/#REF!</f>
        <v>#REF!</v>
      </c>
      <c r="E384" s="16">
        <v>3502500</v>
      </c>
      <c r="F384" s="15"/>
      <c r="G384" s="15"/>
      <c r="H384" s="15"/>
      <c r="I384" s="15" t="s">
        <v>310</v>
      </c>
      <c r="J384" s="15" t="s">
        <v>311</v>
      </c>
      <c r="K384" s="15" t="s">
        <v>327</v>
      </c>
      <c r="L384" s="20"/>
      <c r="M384" s="9"/>
      <c r="N384" s="448"/>
    </row>
    <row r="385" spans="1:14" ht="17.5">
      <c r="A385" s="23"/>
      <c r="B385" s="15">
        <v>84</v>
      </c>
      <c r="C385" s="15">
        <v>414</v>
      </c>
      <c r="D385" s="12" t="e">
        <f>#REF!/#REF!</f>
        <v>#REF!</v>
      </c>
      <c r="E385" s="16">
        <v>1864690</v>
      </c>
      <c r="F385" s="15"/>
      <c r="G385" s="15"/>
      <c r="H385" s="15"/>
      <c r="I385" s="15" t="s">
        <v>310</v>
      </c>
      <c r="J385" s="15" t="s">
        <v>311</v>
      </c>
      <c r="K385" s="15" t="s">
        <v>327</v>
      </c>
      <c r="L385" s="20"/>
      <c r="M385" s="9"/>
      <c r="N385" s="448"/>
    </row>
    <row r="386" spans="1:14" ht="17.5">
      <c r="A386" s="23"/>
      <c r="B386" s="15">
        <v>85</v>
      </c>
      <c r="C386" s="15">
        <v>750</v>
      </c>
      <c r="D386" s="12" t="e">
        <f>#REF!/#REF!</f>
        <v>#REF!</v>
      </c>
      <c r="E386" s="16">
        <v>3700000</v>
      </c>
      <c r="F386" s="15"/>
      <c r="G386" s="15"/>
      <c r="H386" s="15"/>
      <c r="I386" s="15" t="s">
        <v>310</v>
      </c>
      <c r="J386" s="15" t="s">
        <v>311</v>
      </c>
      <c r="K386" s="15" t="s">
        <v>327</v>
      </c>
      <c r="L386" s="20"/>
      <c r="M386" s="9"/>
      <c r="N386" s="448"/>
    </row>
    <row r="387" spans="1:14" ht="17.5">
      <c r="A387" s="23"/>
      <c r="B387" s="15">
        <v>56</v>
      </c>
      <c r="C387" s="15">
        <v>855</v>
      </c>
      <c r="D387" s="12" t="e">
        <f>#REF!/#REF!</f>
        <v>#REF!</v>
      </c>
      <c r="E387" s="16">
        <v>11600000</v>
      </c>
      <c r="F387" s="15">
        <v>2737</v>
      </c>
      <c r="G387" s="15" t="s">
        <v>128</v>
      </c>
      <c r="H387" s="15"/>
      <c r="I387" s="15" t="s">
        <v>126</v>
      </c>
      <c r="J387" s="15" t="s">
        <v>127</v>
      </c>
      <c r="K387" s="15" t="s">
        <v>384</v>
      </c>
      <c r="L387" s="20">
        <v>45877</v>
      </c>
      <c r="M387" s="9"/>
      <c r="N387" s="448"/>
    </row>
    <row r="388" spans="1:14" ht="17.5">
      <c r="A388" s="23"/>
      <c r="B388" s="15">
        <v>57</v>
      </c>
      <c r="C388" s="15">
        <v>900</v>
      </c>
      <c r="D388" s="12" t="e">
        <f>#REF!/#REF!</f>
        <v>#REF!</v>
      </c>
      <c r="E388" s="16">
        <v>8100000</v>
      </c>
      <c r="F388" s="15">
        <v>2737</v>
      </c>
      <c r="G388" s="15">
        <v>4052</v>
      </c>
      <c r="H388" s="15"/>
      <c r="I388" s="15" t="s">
        <v>126</v>
      </c>
      <c r="J388" s="15" t="s">
        <v>127</v>
      </c>
      <c r="K388" s="15" t="s">
        <v>384</v>
      </c>
      <c r="L388" s="20">
        <v>45871</v>
      </c>
      <c r="M388" s="9"/>
      <c r="N388" s="448"/>
    </row>
    <row r="389" spans="1:14" ht="17.5">
      <c r="A389" s="23"/>
      <c r="B389" s="15">
        <v>58</v>
      </c>
      <c r="C389" s="15">
        <v>1050</v>
      </c>
      <c r="D389" s="12" t="e">
        <f>#REF!/#REF!</f>
        <v>#REF!</v>
      </c>
      <c r="E389" s="16">
        <v>10000000</v>
      </c>
      <c r="F389" s="15">
        <v>2737</v>
      </c>
      <c r="G389" s="15">
        <v>5741</v>
      </c>
      <c r="H389" s="15"/>
      <c r="I389" s="15" t="s">
        <v>126</v>
      </c>
      <c r="J389" s="15" t="s">
        <v>127</v>
      </c>
      <c r="K389" s="15" t="s">
        <v>384</v>
      </c>
      <c r="L389" s="20">
        <v>45852</v>
      </c>
      <c r="M389" s="9"/>
      <c r="N389" s="448"/>
    </row>
    <row r="390" spans="1:14" ht="17.5">
      <c r="A390" s="23"/>
      <c r="B390" s="15">
        <v>59</v>
      </c>
      <c r="C390" s="15">
        <v>900</v>
      </c>
      <c r="D390" s="12" t="e">
        <f>#REF!/#REF!</f>
        <v>#REF!</v>
      </c>
      <c r="E390" s="16">
        <v>8460000</v>
      </c>
      <c r="F390" s="15">
        <v>2737</v>
      </c>
      <c r="G390" s="15">
        <v>4524</v>
      </c>
      <c r="H390" s="15"/>
      <c r="I390" s="15" t="s">
        <v>126</v>
      </c>
      <c r="J390" s="15" t="s">
        <v>127</v>
      </c>
      <c r="K390" s="15" t="s">
        <v>384</v>
      </c>
      <c r="L390" s="20">
        <v>45851</v>
      </c>
      <c r="M390" s="9"/>
      <c r="N390" s="448"/>
    </row>
    <row r="391" spans="1:14" ht="17.5">
      <c r="A391" s="23"/>
      <c r="B391" s="15">
        <v>60</v>
      </c>
      <c r="C391" s="15">
        <v>750</v>
      </c>
      <c r="D391" s="12" t="e">
        <f>#REF!/#REF!</f>
        <v>#REF!</v>
      </c>
      <c r="E391" s="16">
        <v>7187455</v>
      </c>
      <c r="F391" s="15">
        <v>2737</v>
      </c>
      <c r="G391" s="15">
        <v>4526</v>
      </c>
      <c r="H391" s="15"/>
      <c r="I391" s="15" t="s">
        <v>126</v>
      </c>
      <c r="J391" s="15" t="s">
        <v>127</v>
      </c>
      <c r="K391" s="15" t="s">
        <v>384</v>
      </c>
      <c r="L391" s="20">
        <v>45844</v>
      </c>
      <c r="M391" s="9"/>
      <c r="N391" s="448"/>
    </row>
    <row r="392" spans="1:14" ht="17.5">
      <c r="A392" s="23"/>
      <c r="B392" s="15">
        <v>61</v>
      </c>
      <c r="C392" s="15">
        <v>750</v>
      </c>
      <c r="D392" s="12" t="e">
        <f>#REF!/#REF!</f>
        <v>#REF!</v>
      </c>
      <c r="E392" s="16">
        <v>7187499</v>
      </c>
      <c r="F392" s="15">
        <v>2737</v>
      </c>
      <c r="G392" s="15">
        <v>4528</v>
      </c>
      <c r="H392" s="15"/>
      <c r="I392" s="15" t="s">
        <v>126</v>
      </c>
      <c r="J392" s="15" t="s">
        <v>127</v>
      </c>
      <c r="K392" s="15" t="s">
        <v>384</v>
      </c>
      <c r="L392" s="20">
        <v>45844</v>
      </c>
      <c r="M392" s="9"/>
      <c r="N392" s="448"/>
    </row>
    <row r="393" spans="1:14" ht="17.5">
      <c r="A393" s="23"/>
      <c r="B393" s="15">
        <v>62</v>
      </c>
      <c r="C393" s="15">
        <v>900</v>
      </c>
      <c r="D393" s="12" t="e">
        <f>#REF!/#REF!</f>
        <v>#REF!</v>
      </c>
      <c r="E393" s="16">
        <v>8550000</v>
      </c>
      <c r="F393" s="15">
        <v>2737</v>
      </c>
      <c r="G393" s="15">
        <v>4716</v>
      </c>
      <c r="H393" s="15"/>
      <c r="I393" s="15" t="s">
        <v>126</v>
      </c>
      <c r="J393" s="15" t="s">
        <v>127</v>
      </c>
      <c r="K393" s="15" t="s">
        <v>384</v>
      </c>
      <c r="L393" s="20">
        <v>45826</v>
      </c>
      <c r="M393" s="9"/>
      <c r="N393" s="448"/>
    </row>
    <row r="394" spans="1:14" ht="17.5">
      <c r="A394" s="23"/>
      <c r="B394" s="15">
        <v>63</v>
      </c>
      <c r="C394" s="15">
        <v>1050</v>
      </c>
      <c r="D394" s="12" t="e">
        <f>#REF!/#REF!</f>
        <v>#REF!</v>
      </c>
      <c r="E394" s="16">
        <v>10500000</v>
      </c>
      <c r="F394" s="15">
        <v>2737</v>
      </c>
      <c r="G394" s="15">
        <v>5302</v>
      </c>
      <c r="H394" s="15"/>
      <c r="I394" s="15" t="s">
        <v>126</v>
      </c>
      <c r="J394" s="15" t="s">
        <v>127</v>
      </c>
      <c r="K394" s="15" t="s">
        <v>384</v>
      </c>
      <c r="L394" s="20">
        <v>45777</v>
      </c>
      <c r="M394" s="9"/>
      <c r="N394" s="448"/>
    </row>
    <row r="395" spans="1:14" ht="17.5">
      <c r="A395" s="23"/>
      <c r="B395" s="15">
        <v>42</v>
      </c>
      <c r="C395" s="15">
        <v>50000</v>
      </c>
      <c r="D395" s="12" t="e">
        <f>#REF!/#REF!</f>
        <v>#REF!</v>
      </c>
      <c r="E395" s="16">
        <v>750000</v>
      </c>
      <c r="F395" s="15"/>
      <c r="G395" s="15"/>
      <c r="H395" s="15"/>
      <c r="I395" s="15" t="s">
        <v>119</v>
      </c>
      <c r="J395" s="15"/>
      <c r="K395" s="17" t="s">
        <v>327</v>
      </c>
      <c r="L395" s="20"/>
      <c r="M395" s="9"/>
      <c r="N395" s="448"/>
    </row>
    <row r="396" spans="1:14" ht="17.5">
      <c r="A396" s="23"/>
      <c r="B396" s="15">
        <v>43</v>
      </c>
      <c r="C396" s="15">
        <v>473665</v>
      </c>
      <c r="D396" s="12" t="e">
        <f>#REF!/#REF!</f>
        <v>#REF!</v>
      </c>
      <c r="E396" s="16">
        <v>3315660</v>
      </c>
      <c r="F396" s="15"/>
      <c r="G396" s="15"/>
      <c r="H396" s="15"/>
      <c r="I396" s="15" t="s">
        <v>119</v>
      </c>
      <c r="J396" s="15"/>
      <c r="K396" s="17" t="s">
        <v>327</v>
      </c>
      <c r="L396" s="20"/>
      <c r="M396" s="9"/>
      <c r="N396" s="448"/>
    </row>
    <row r="397" spans="1:14" ht="17.5">
      <c r="A397" s="23"/>
      <c r="B397" s="15">
        <v>44</v>
      </c>
      <c r="C397" s="15">
        <v>490000</v>
      </c>
      <c r="D397" s="12" t="e">
        <f>#REF!/#REF!</f>
        <v>#REF!</v>
      </c>
      <c r="E397" s="16">
        <v>5000000</v>
      </c>
      <c r="F397" s="15"/>
      <c r="G397" s="15"/>
      <c r="H397" s="15"/>
      <c r="I397" s="15" t="s">
        <v>119</v>
      </c>
      <c r="J397" s="15"/>
      <c r="K397" s="17" t="s">
        <v>327</v>
      </c>
      <c r="L397" s="20"/>
      <c r="M397" s="9"/>
      <c r="N397" s="448"/>
    </row>
    <row r="398" spans="1:14" ht="17.5">
      <c r="A398" s="23"/>
      <c r="B398" s="15">
        <v>45</v>
      </c>
      <c r="C398" s="15">
        <v>50000</v>
      </c>
      <c r="D398" s="12" t="e">
        <f>#REF!/#REF!</f>
        <v>#REF!</v>
      </c>
      <c r="E398" s="16">
        <v>750000</v>
      </c>
      <c r="F398" s="15"/>
      <c r="G398" s="15"/>
      <c r="H398" s="15"/>
      <c r="I398" s="15" t="s">
        <v>119</v>
      </c>
      <c r="J398" s="15"/>
      <c r="K398" s="17" t="s">
        <v>327</v>
      </c>
      <c r="L398" s="20"/>
      <c r="M398" s="9"/>
      <c r="N398" s="448"/>
    </row>
    <row r="399" spans="1:14" ht="17.5">
      <c r="A399" s="23"/>
      <c r="B399" s="15">
        <v>297</v>
      </c>
      <c r="C399" s="15">
        <v>5250</v>
      </c>
      <c r="D399" s="12" t="e">
        <f>#REF!/#REF!</f>
        <v>#REF!</v>
      </c>
      <c r="E399" s="16">
        <v>1890000</v>
      </c>
      <c r="F399" s="15"/>
      <c r="G399" s="15"/>
      <c r="H399" s="15"/>
      <c r="I399" s="15" t="s">
        <v>869</v>
      </c>
      <c r="J399" s="15" t="s">
        <v>534</v>
      </c>
      <c r="K399" s="15" t="s">
        <v>327</v>
      </c>
      <c r="L399" s="20"/>
      <c r="M399" s="9"/>
      <c r="N399" s="448"/>
    </row>
    <row r="400" spans="1:14" ht="17.5">
      <c r="A400" s="23"/>
      <c r="B400" s="15">
        <v>298</v>
      </c>
      <c r="C400" s="15">
        <v>21000</v>
      </c>
      <c r="D400" s="12" t="e">
        <f>#REF!/#REF!</f>
        <v>#REF!</v>
      </c>
      <c r="E400" s="16">
        <v>1218000</v>
      </c>
      <c r="F400" s="15"/>
      <c r="G400" s="15"/>
      <c r="H400" s="15"/>
      <c r="I400" s="15" t="s">
        <v>869</v>
      </c>
      <c r="J400" s="15" t="s">
        <v>534</v>
      </c>
      <c r="K400" s="15" t="s">
        <v>327</v>
      </c>
      <c r="L400" s="20"/>
      <c r="M400" s="9"/>
      <c r="N400" s="448"/>
    </row>
    <row r="401" spans="1:14" ht="17.5">
      <c r="A401" s="23"/>
      <c r="B401" s="15">
        <v>299</v>
      </c>
      <c r="C401" s="15">
        <v>975</v>
      </c>
      <c r="D401" s="12" t="e">
        <f>#REF!/#REF!</f>
        <v>#REF!</v>
      </c>
      <c r="E401" s="16">
        <v>487500</v>
      </c>
      <c r="F401" s="15"/>
      <c r="G401" s="15"/>
      <c r="H401" s="15"/>
      <c r="I401" s="15" t="s">
        <v>869</v>
      </c>
      <c r="J401" s="15" t="s">
        <v>534</v>
      </c>
      <c r="K401" s="15" t="s">
        <v>327</v>
      </c>
      <c r="L401" s="20"/>
      <c r="M401" s="9"/>
      <c r="N401" s="448"/>
    </row>
    <row r="402" spans="1:14" ht="17.5">
      <c r="A402" s="23"/>
      <c r="B402" s="15">
        <v>300</v>
      </c>
      <c r="C402" s="15">
        <v>1050</v>
      </c>
      <c r="D402" s="12" t="e">
        <f>#REF!/#REF!</f>
        <v>#REF!</v>
      </c>
      <c r="E402" s="16">
        <v>525000</v>
      </c>
      <c r="F402" s="15"/>
      <c r="G402" s="15"/>
      <c r="H402" s="15"/>
      <c r="I402" s="15" t="s">
        <v>869</v>
      </c>
      <c r="J402" s="15" t="s">
        <v>534</v>
      </c>
      <c r="K402" s="15" t="s">
        <v>327</v>
      </c>
      <c r="L402" s="20"/>
      <c r="M402" s="9"/>
      <c r="N402" s="448"/>
    </row>
    <row r="403" spans="1:14" ht="17.5">
      <c r="A403" s="23"/>
      <c r="B403" s="15">
        <v>302</v>
      </c>
      <c r="C403" s="15">
        <v>900</v>
      </c>
      <c r="D403" s="12" t="e">
        <f>#REF!/#REF!</f>
        <v>#REF!</v>
      </c>
      <c r="E403" s="16">
        <v>500004</v>
      </c>
      <c r="F403" s="15"/>
      <c r="G403" s="15"/>
      <c r="H403" s="15"/>
      <c r="I403" s="15" t="s">
        <v>869</v>
      </c>
      <c r="J403" s="15" t="s">
        <v>534</v>
      </c>
      <c r="K403" s="15" t="s">
        <v>327</v>
      </c>
      <c r="L403" s="20"/>
      <c r="M403" s="9"/>
      <c r="N403" s="448"/>
    </row>
    <row r="404" spans="1:14" ht="17.5">
      <c r="A404" s="23"/>
      <c r="B404" s="15">
        <v>303</v>
      </c>
      <c r="C404" s="15">
        <v>1050</v>
      </c>
      <c r="D404" s="12" t="e">
        <f>#REF!/#REF!</f>
        <v>#REF!</v>
      </c>
      <c r="E404" s="16">
        <v>451500</v>
      </c>
      <c r="F404" s="15"/>
      <c r="G404" s="15"/>
      <c r="H404" s="15"/>
      <c r="I404" s="15" t="s">
        <v>869</v>
      </c>
      <c r="J404" s="15" t="s">
        <v>534</v>
      </c>
      <c r="K404" s="15" t="s">
        <v>327</v>
      </c>
      <c r="L404" s="20"/>
      <c r="M404" s="9"/>
      <c r="N404" s="448"/>
    </row>
    <row r="405" spans="1:14" ht="17.5">
      <c r="A405" s="23"/>
      <c r="B405" s="15">
        <v>316</v>
      </c>
      <c r="C405" s="15">
        <v>936</v>
      </c>
      <c r="D405" s="12" t="e">
        <f>#REF!/#REF!</f>
        <v>#REF!</v>
      </c>
      <c r="E405" s="16">
        <v>200000</v>
      </c>
      <c r="F405" s="15">
        <v>1002</v>
      </c>
      <c r="G405" s="15">
        <v>146</v>
      </c>
      <c r="H405" s="15"/>
      <c r="I405" s="15" t="s">
        <v>870</v>
      </c>
      <c r="J405" s="15" t="s">
        <v>874</v>
      </c>
      <c r="K405" s="15" t="s">
        <v>384</v>
      </c>
      <c r="L405" s="20">
        <v>46027</v>
      </c>
      <c r="M405" s="9" t="s">
        <v>878</v>
      </c>
      <c r="N405" s="449">
        <v>46222</v>
      </c>
    </row>
    <row r="406" spans="1:14" ht="17.5">
      <c r="A406" s="23"/>
      <c r="B406" s="15">
        <v>321</v>
      </c>
      <c r="C406" s="15">
        <v>468</v>
      </c>
      <c r="D406" s="12" t="e">
        <f>#REF!/#REF!</f>
        <v>#REF!</v>
      </c>
      <c r="E406" s="16">
        <v>114000</v>
      </c>
      <c r="F406" s="15">
        <v>1002</v>
      </c>
      <c r="G406" s="15" t="s">
        <v>871</v>
      </c>
      <c r="H406" s="15"/>
      <c r="I406" s="15" t="s">
        <v>870</v>
      </c>
      <c r="J406" s="15" t="s">
        <v>874</v>
      </c>
      <c r="K406" s="15" t="s">
        <v>384</v>
      </c>
      <c r="L406" s="20">
        <v>46007</v>
      </c>
      <c r="M406" s="9" t="s">
        <v>878</v>
      </c>
      <c r="N406" s="449">
        <v>46222</v>
      </c>
    </row>
    <row r="407" spans="1:14" ht="17.5">
      <c r="A407" s="23"/>
      <c r="B407" s="15">
        <v>365</v>
      </c>
      <c r="C407" s="15">
        <v>450</v>
      </c>
      <c r="D407" s="12" t="e">
        <f>#REF!/#REF!</f>
        <v>#REF!</v>
      </c>
      <c r="E407" s="16">
        <v>110000</v>
      </c>
      <c r="F407" s="15">
        <v>1002</v>
      </c>
      <c r="G407" s="15" t="s">
        <v>872</v>
      </c>
      <c r="H407" s="15"/>
      <c r="I407" s="15" t="s">
        <v>870</v>
      </c>
      <c r="J407" s="15" t="s">
        <v>874</v>
      </c>
      <c r="K407" s="15" t="s">
        <v>384</v>
      </c>
      <c r="L407" s="20">
        <v>46004</v>
      </c>
      <c r="M407" s="9" t="s">
        <v>878</v>
      </c>
      <c r="N407" s="449">
        <v>46222</v>
      </c>
    </row>
    <row r="408" spans="1:14" ht="17.5">
      <c r="A408" s="23"/>
      <c r="B408" s="15">
        <v>395</v>
      </c>
      <c r="C408" s="15">
        <v>450</v>
      </c>
      <c r="D408" s="12" t="e">
        <f>#REF!/#REF!</f>
        <v>#REF!</v>
      </c>
      <c r="E408" s="16">
        <v>111000</v>
      </c>
      <c r="F408" s="15">
        <v>1002</v>
      </c>
      <c r="G408" s="15" t="s">
        <v>95</v>
      </c>
      <c r="H408" s="15"/>
      <c r="I408" s="15" t="s">
        <v>870</v>
      </c>
      <c r="J408" s="15" t="s">
        <v>874</v>
      </c>
      <c r="K408" s="15" t="s">
        <v>384</v>
      </c>
      <c r="L408" s="20">
        <v>46001</v>
      </c>
      <c r="M408" s="9" t="s">
        <v>878</v>
      </c>
      <c r="N408" s="449">
        <v>46222</v>
      </c>
    </row>
    <row r="409" spans="1:14" ht="17.5">
      <c r="A409" s="23"/>
      <c r="B409" s="15">
        <v>396</v>
      </c>
      <c r="C409" s="15">
        <v>450</v>
      </c>
      <c r="D409" s="12" t="e">
        <f>#REF!/#REF!</f>
        <v>#REF!</v>
      </c>
      <c r="E409" s="16">
        <v>110000</v>
      </c>
      <c r="F409" s="15">
        <v>1002</v>
      </c>
      <c r="G409" s="15" t="s">
        <v>873</v>
      </c>
      <c r="H409" s="15"/>
      <c r="I409" s="15" t="s">
        <v>870</v>
      </c>
      <c r="J409" s="15" t="s">
        <v>874</v>
      </c>
      <c r="K409" s="15" t="s">
        <v>384</v>
      </c>
      <c r="L409" s="20">
        <v>45999</v>
      </c>
      <c r="M409" s="9" t="s">
        <v>878</v>
      </c>
      <c r="N409" s="449">
        <v>46222</v>
      </c>
    </row>
    <row r="410" spans="1:14" ht="17.5">
      <c r="A410" s="23"/>
      <c r="B410" s="15">
        <v>397</v>
      </c>
      <c r="C410" s="15">
        <v>450</v>
      </c>
      <c r="D410" s="12" t="e">
        <f>#REF!/#REF!</f>
        <v>#REF!</v>
      </c>
      <c r="E410" s="16">
        <v>128000</v>
      </c>
      <c r="F410" s="15">
        <v>1002</v>
      </c>
      <c r="G410" s="15" t="s">
        <v>875</v>
      </c>
      <c r="H410" s="15"/>
      <c r="I410" s="15" t="s">
        <v>870</v>
      </c>
      <c r="J410" s="15" t="s">
        <v>874</v>
      </c>
      <c r="K410" s="15" t="s">
        <v>384</v>
      </c>
      <c r="L410" s="20">
        <v>46071</v>
      </c>
      <c r="M410" s="9" t="s">
        <v>878</v>
      </c>
      <c r="N410" s="449">
        <v>46222</v>
      </c>
    </row>
    <row r="411" spans="1:14" ht="17.5">
      <c r="A411" s="23"/>
      <c r="B411" s="15">
        <v>398</v>
      </c>
      <c r="C411" s="15">
        <v>875</v>
      </c>
      <c r="D411" s="12" t="e">
        <f>#REF!/#REF!</f>
        <v>#REF!</v>
      </c>
      <c r="E411" s="16">
        <v>8750000</v>
      </c>
      <c r="F411" s="15">
        <v>208</v>
      </c>
      <c r="G411" s="15" t="s">
        <v>882</v>
      </c>
      <c r="H411" s="15"/>
      <c r="I411" s="15" t="s">
        <v>881</v>
      </c>
      <c r="J411" s="15" t="s">
        <v>880</v>
      </c>
      <c r="K411" s="15" t="s">
        <v>384</v>
      </c>
      <c r="L411" s="20">
        <v>45978</v>
      </c>
      <c r="M411" s="9"/>
      <c r="N411" s="448"/>
    </row>
    <row r="412" spans="1:14" ht="17.5">
      <c r="A412" s="23"/>
      <c r="B412" s="15">
        <v>399</v>
      </c>
      <c r="C412" s="15">
        <v>875</v>
      </c>
      <c r="D412" s="12" t="e">
        <f>#REF!/#REF!</f>
        <v>#REF!</v>
      </c>
      <c r="E412" s="16">
        <v>43000000</v>
      </c>
      <c r="F412" s="15"/>
      <c r="G412" s="15"/>
      <c r="H412" s="15"/>
      <c r="I412" s="15"/>
      <c r="J412" s="15"/>
      <c r="K412" s="15"/>
      <c r="L412" s="20"/>
      <c r="M412" s="9"/>
      <c r="N412" s="448"/>
    </row>
    <row r="413" spans="1:14" ht="17.5">
      <c r="A413" s="23"/>
      <c r="B413" s="15">
        <v>400</v>
      </c>
      <c r="C413" s="15">
        <v>300</v>
      </c>
      <c r="D413" s="12" t="e">
        <f>#REF!/#REF!</f>
        <v>#REF!</v>
      </c>
      <c r="E413" s="16">
        <v>1232870</v>
      </c>
      <c r="F413" s="15"/>
      <c r="G413" s="15"/>
      <c r="H413" s="15"/>
      <c r="I413" s="15" t="s">
        <v>888</v>
      </c>
      <c r="J413" s="15" t="s">
        <v>889</v>
      </c>
      <c r="K413" s="15"/>
      <c r="L413" s="20">
        <v>46156</v>
      </c>
      <c r="M413" s="9"/>
      <c r="N413" s="471">
        <v>46246</v>
      </c>
    </row>
    <row r="414" spans="1:14" ht="17.5">
      <c r="A414" s="23"/>
      <c r="B414" s="15">
        <v>401</v>
      </c>
      <c r="C414" s="15">
        <v>360</v>
      </c>
      <c r="D414" s="12" t="e">
        <f>#REF!/#REF!</f>
        <v>#REF!</v>
      </c>
      <c r="E414" s="16">
        <v>2933372</v>
      </c>
      <c r="F414" s="15"/>
      <c r="G414" s="15"/>
      <c r="H414" s="15"/>
      <c r="I414" s="15" t="s">
        <v>888</v>
      </c>
      <c r="J414" s="15" t="s">
        <v>889</v>
      </c>
      <c r="K414" s="15"/>
      <c r="L414" s="20">
        <v>46156</v>
      </c>
      <c r="M414" s="9"/>
      <c r="N414" s="471">
        <v>46246</v>
      </c>
    </row>
    <row r="415" spans="1:14" ht="17.5">
      <c r="A415" s="23"/>
      <c r="B415" s="15">
        <v>402</v>
      </c>
      <c r="C415" s="15">
        <v>754</v>
      </c>
      <c r="D415" s="12" t="e">
        <f>#REF!/#REF!</f>
        <v>#REF!</v>
      </c>
      <c r="E415" s="16">
        <v>4750200</v>
      </c>
      <c r="F415" s="15"/>
      <c r="G415" s="15"/>
      <c r="H415" s="15"/>
      <c r="I415" s="15" t="s">
        <v>888</v>
      </c>
      <c r="J415" s="15" t="s">
        <v>889</v>
      </c>
      <c r="K415" s="15"/>
      <c r="L415" s="20">
        <v>46153</v>
      </c>
      <c r="M415" s="9"/>
      <c r="N415" s="471">
        <v>46246</v>
      </c>
    </row>
    <row r="416" spans="1:14" ht="17.5">
      <c r="A416" s="23"/>
      <c r="B416" s="15">
        <v>403</v>
      </c>
      <c r="C416" s="15">
        <v>625</v>
      </c>
      <c r="D416" s="12" t="e">
        <f>#REF!/#REF!</f>
        <v>#REF!</v>
      </c>
      <c r="E416" s="16">
        <v>4250000</v>
      </c>
      <c r="F416" s="15"/>
      <c r="G416" s="15"/>
      <c r="H416" s="15"/>
      <c r="I416" s="15" t="s">
        <v>888</v>
      </c>
      <c r="J416" s="15" t="s">
        <v>889</v>
      </c>
      <c r="K416" s="15"/>
      <c r="L416" s="20">
        <v>46127</v>
      </c>
      <c r="M416" s="9"/>
      <c r="N416" s="471">
        <v>46246</v>
      </c>
    </row>
    <row r="417" spans="1:14" ht="17.5">
      <c r="A417" s="23"/>
      <c r="B417" s="15">
        <v>404</v>
      </c>
      <c r="C417" s="15">
        <v>200.5</v>
      </c>
      <c r="D417" s="12" t="e">
        <f>#REF!/#REF!</f>
        <v>#REF!</v>
      </c>
      <c r="E417" s="16">
        <v>1940000</v>
      </c>
      <c r="F417" s="15"/>
      <c r="G417" s="15"/>
      <c r="H417" s="15"/>
      <c r="I417" s="15" t="s">
        <v>888</v>
      </c>
      <c r="J417" s="15" t="s">
        <v>889</v>
      </c>
      <c r="K417" s="15"/>
      <c r="L417" s="20">
        <v>46111</v>
      </c>
      <c r="M417" s="9"/>
      <c r="N417" s="471">
        <v>46246</v>
      </c>
    </row>
    <row r="418" spans="1:14" ht="17.5">
      <c r="A418" s="23"/>
      <c r="B418" s="15">
        <v>405</v>
      </c>
      <c r="C418" s="15">
        <v>132.4</v>
      </c>
      <c r="D418" s="12" t="e">
        <f>#REF!/#REF!</f>
        <v>#REF!</v>
      </c>
      <c r="E418" s="16">
        <v>550000</v>
      </c>
      <c r="F418" s="15"/>
      <c r="G418" s="15"/>
      <c r="H418" s="15"/>
      <c r="I418" s="15" t="s">
        <v>890</v>
      </c>
      <c r="J418" s="15" t="s">
        <v>891</v>
      </c>
      <c r="K418" s="15" t="s">
        <v>384</v>
      </c>
      <c r="L418" s="20">
        <v>46157</v>
      </c>
      <c r="M418" s="9"/>
      <c r="N418" s="471">
        <v>46246</v>
      </c>
    </row>
    <row r="419" spans="1:14" ht="17.5">
      <c r="A419" s="23"/>
      <c r="B419" s="15">
        <v>406</v>
      </c>
      <c r="C419" s="15">
        <v>193.1</v>
      </c>
      <c r="D419" s="12" t="e">
        <f>#REF!/#REF!</f>
        <v>#REF!</v>
      </c>
      <c r="E419" s="16">
        <v>870000</v>
      </c>
      <c r="F419" s="15"/>
      <c r="G419" s="15"/>
      <c r="H419" s="15"/>
      <c r="I419" s="15" t="s">
        <v>890</v>
      </c>
      <c r="J419" s="15" t="s">
        <v>891</v>
      </c>
      <c r="K419" s="15" t="s">
        <v>384</v>
      </c>
      <c r="L419" s="20">
        <v>46135</v>
      </c>
      <c r="M419" s="9"/>
      <c r="N419" s="471">
        <v>46246</v>
      </c>
    </row>
    <row r="420" spans="1:14" ht="17.5">
      <c r="A420" s="23"/>
      <c r="B420" s="15">
        <v>407</v>
      </c>
      <c r="C420" s="15">
        <v>159.30000000000001</v>
      </c>
      <c r="D420" s="12" t="e">
        <f>#REF!/#REF!</f>
        <v>#REF!</v>
      </c>
      <c r="E420" s="16">
        <v>710000</v>
      </c>
      <c r="F420" s="15"/>
      <c r="G420" s="15"/>
      <c r="H420" s="15"/>
      <c r="I420" s="15" t="s">
        <v>890</v>
      </c>
      <c r="J420" s="15" t="s">
        <v>891</v>
      </c>
      <c r="K420" s="15" t="s">
        <v>384</v>
      </c>
      <c r="L420" s="20">
        <v>46049</v>
      </c>
      <c r="M420" s="9"/>
      <c r="N420" s="471">
        <v>46246</v>
      </c>
    </row>
    <row r="421" spans="1:14" ht="17.5">
      <c r="A421" s="23"/>
      <c r="B421" s="15">
        <v>408</v>
      </c>
      <c r="C421" s="15">
        <v>146</v>
      </c>
      <c r="D421" s="12" t="e">
        <f>#REF!/#REF!</f>
        <v>#REF!</v>
      </c>
      <c r="E421" s="16">
        <v>780000</v>
      </c>
      <c r="F421" s="15"/>
      <c r="G421" s="15"/>
      <c r="H421" s="15"/>
      <c r="I421" s="15" t="s">
        <v>890</v>
      </c>
      <c r="J421" s="15" t="s">
        <v>891</v>
      </c>
      <c r="K421" s="15" t="s">
        <v>384</v>
      </c>
      <c r="L421" s="20">
        <v>46044</v>
      </c>
      <c r="M421" s="9"/>
      <c r="N421" s="471">
        <v>46246</v>
      </c>
    </row>
    <row r="422" spans="1:14" ht="17.5">
      <c r="A422" s="23"/>
      <c r="B422" s="15">
        <v>409</v>
      </c>
      <c r="C422" s="15">
        <v>193.1</v>
      </c>
      <c r="D422" s="12" t="e">
        <f>#REF!/#REF!</f>
        <v>#REF!</v>
      </c>
      <c r="E422" s="16">
        <v>890000</v>
      </c>
      <c r="F422" s="15"/>
      <c r="G422" s="15"/>
      <c r="H422" s="15"/>
      <c r="I422" s="15" t="s">
        <v>890</v>
      </c>
      <c r="J422" s="15" t="s">
        <v>891</v>
      </c>
      <c r="K422" s="15" t="s">
        <v>384</v>
      </c>
      <c r="L422" s="20">
        <v>46043</v>
      </c>
      <c r="M422" s="9"/>
      <c r="N422" s="471">
        <v>46246</v>
      </c>
    </row>
    <row r="423" spans="1:14" ht="17.5">
      <c r="A423" s="23"/>
      <c r="B423" s="15">
        <v>410</v>
      </c>
      <c r="C423" s="15">
        <v>241</v>
      </c>
      <c r="D423" s="12" t="e">
        <f>#REF!/#REF!</f>
        <v>#REF!</v>
      </c>
      <c r="E423" s="16">
        <v>1035000</v>
      </c>
      <c r="F423" s="15"/>
      <c r="G423" s="15"/>
      <c r="H423" s="15"/>
      <c r="I423" s="15" t="s">
        <v>890</v>
      </c>
      <c r="J423" s="15" t="s">
        <v>891</v>
      </c>
      <c r="K423" s="15" t="s">
        <v>384</v>
      </c>
      <c r="L423" s="20">
        <v>46029</v>
      </c>
      <c r="M423" s="9"/>
      <c r="N423" s="471">
        <v>46246</v>
      </c>
    </row>
    <row r="424" spans="1:14" ht="17.5">
      <c r="A424" s="23"/>
      <c r="B424" s="15">
        <v>411</v>
      </c>
      <c r="C424" s="15">
        <v>1</v>
      </c>
      <c r="D424" s="12" t="e">
        <f>#REF!/#REF!</f>
        <v>#REF!</v>
      </c>
      <c r="E424" s="16">
        <v>1</v>
      </c>
      <c r="F424" s="15"/>
      <c r="G424" s="15"/>
      <c r="H424" s="15"/>
      <c r="I424" s="15"/>
      <c r="J424" s="15"/>
      <c r="K424" s="15"/>
      <c r="L424" s="20"/>
      <c r="M424" s="9"/>
      <c r="N424" s="448"/>
    </row>
    <row r="425" spans="1:14" ht="17.5">
      <c r="A425" s="23"/>
      <c r="B425" s="15">
        <v>412</v>
      </c>
      <c r="C425" s="15">
        <v>1</v>
      </c>
      <c r="D425" s="12" t="e">
        <f>#REF!/#REF!</f>
        <v>#REF!</v>
      </c>
      <c r="E425" s="16">
        <v>1</v>
      </c>
      <c r="F425" s="15"/>
      <c r="G425" s="15"/>
      <c r="H425" s="15"/>
      <c r="I425" s="15"/>
      <c r="J425" s="15"/>
      <c r="K425" s="15"/>
      <c r="L425" s="20"/>
      <c r="M425" s="9"/>
      <c r="N425" s="448"/>
    </row>
    <row r="426" spans="1:14" ht="17.5">
      <c r="A426" s="23"/>
      <c r="B426" s="15">
        <v>413</v>
      </c>
      <c r="C426" s="15">
        <v>1</v>
      </c>
      <c r="D426" s="12" t="e">
        <f>#REF!/#REF!</f>
        <v>#REF!</v>
      </c>
      <c r="E426" s="16">
        <v>1</v>
      </c>
      <c r="F426" s="15"/>
      <c r="G426" s="15"/>
      <c r="H426" s="15"/>
      <c r="I426" s="15"/>
      <c r="J426" s="15"/>
      <c r="K426" s="15"/>
      <c r="L426" s="20"/>
      <c r="M426" s="9"/>
      <c r="N426" s="448"/>
    </row>
    <row r="427" spans="1:14" ht="17.5">
      <c r="A427" s="23"/>
      <c r="B427" s="15">
        <v>414</v>
      </c>
      <c r="C427" s="15">
        <v>1</v>
      </c>
      <c r="D427" s="12" t="e">
        <f>#REF!/#REF!</f>
        <v>#REF!</v>
      </c>
      <c r="E427" s="16">
        <v>1</v>
      </c>
      <c r="F427" s="15"/>
      <c r="G427" s="15"/>
      <c r="H427" s="15"/>
      <c r="I427" s="15"/>
      <c r="J427" s="15"/>
      <c r="K427" s="15"/>
      <c r="L427" s="20"/>
      <c r="M427" s="9"/>
      <c r="N427" s="448"/>
    </row>
    <row r="428" spans="1:14" ht="17.5">
      <c r="A428" s="23"/>
      <c r="B428" s="15">
        <v>415</v>
      </c>
      <c r="C428" s="15">
        <v>1</v>
      </c>
      <c r="D428" s="12" t="e">
        <f>#REF!/#REF!</f>
        <v>#REF!</v>
      </c>
      <c r="E428" s="16">
        <v>1</v>
      </c>
      <c r="F428" s="15"/>
      <c r="G428" s="15"/>
      <c r="H428" s="15"/>
      <c r="I428" s="15"/>
      <c r="J428" s="15"/>
      <c r="K428" s="15"/>
      <c r="L428" s="20"/>
      <c r="M428" s="9"/>
      <c r="N428" s="448"/>
    </row>
    <row r="429" spans="1:14" ht="17.5">
      <c r="A429" s="23"/>
      <c r="B429" s="15">
        <v>416</v>
      </c>
      <c r="C429" s="15">
        <v>1</v>
      </c>
      <c r="D429" s="12" t="e">
        <f>#REF!/#REF!</f>
        <v>#REF!</v>
      </c>
      <c r="E429" s="16">
        <v>1</v>
      </c>
      <c r="F429" s="15"/>
      <c r="G429" s="15"/>
      <c r="H429" s="15"/>
      <c r="I429" s="15"/>
      <c r="J429" s="15"/>
      <c r="K429" s="15"/>
      <c r="L429" s="20"/>
      <c r="M429" s="9"/>
      <c r="N429" s="448"/>
    </row>
    <row r="430" spans="1:14" ht="17.5">
      <c r="A430" s="23"/>
      <c r="B430" s="15">
        <v>417</v>
      </c>
      <c r="C430" s="15">
        <v>1</v>
      </c>
      <c r="D430" s="12" t="e">
        <f>#REF!/#REF!</f>
        <v>#REF!</v>
      </c>
      <c r="E430" s="16">
        <v>1</v>
      </c>
      <c r="F430" s="15"/>
      <c r="G430" s="15"/>
      <c r="H430" s="15"/>
      <c r="I430" s="15"/>
      <c r="J430" s="15"/>
      <c r="K430" s="15"/>
      <c r="L430" s="20"/>
      <c r="M430" s="9"/>
      <c r="N430" s="448"/>
    </row>
    <row r="431" spans="1:14" ht="17.5">
      <c r="A431" s="23"/>
      <c r="B431" s="15">
        <v>418</v>
      </c>
      <c r="C431" s="15">
        <v>1</v>
      </c>
      <c r="D431" s="12" t="e">
        <f>#REF!/#REF!</f>
        <v>#REF!</v>
      </c>
      <c r="E431" s="16">
        <v>1</v>
      </c>
      <c r="F431" s="15"/>
      <c r="G431" s="15"/>
      <c r="H431" s="15"/>
      <c r="I431" s="15"/>
      <c r="J431" s="15"/>
      <c r="K431" s="15"/>
      <c r="L431" s="20"/>
      <c r="M431" s="9"/>
      <c r="N431" s="448"/>
    </row>
    <row r="432" spans="1:14" ht="17.5">
      <c r="A432" s="23"/>
      <c r="B432" s="15">
        <v>419</v>
      </c>
      <c r="C432" s="15">
        <v>1</v>
      </c>
      <c r="D432" s="12" t="e">
        <f>#REF!/#REF!</f>
        <v>#REF!</v>
      </c>
      <c r="E432" s="16">
        <v>1</v>
      </c>
      <c r="F432" s="15"/>
      <c r="G432" s="15"/>
      <c r="H432" s="15"/>
      <c r="I432" s="15"/>
      <c r="J432" s="15"/>
      <c r="K432" s="15"/>
      <c r="L432" s="20"/>
      <c r="M432" s="9"/>
      <c r="N432" s="448"/>
    </row>
    <row r="433" spans="1:14" ht="17.5">
      <c r="A433" s="23"/>
      <c r="B433" s="15">
        <v>420</v>
      </c>
      <c r="C433" s="15">
        <v>1</v>
      </c>
      <c r="D433" s="12" t="e">
        <f>#REF!/#REF!</f>
        <v>#REF!</v>
      </c>
      <c r="E433" s="16">
        <v>1</v>
      </c>
      <c r="F433" s="15"/>
      <c r="G433" s="15"/>
      <c r="H433" s="15"/>
      <c r="I433" s="15"/>
      <c r="J433" s="15"/>
      <c r="K433" s="15"/>
      <c r="L433" s="20"/>
      <c r="M433" s="9"/>
      <c r="N433" s="448"/>
    </row>
    <row r="434" spans="1:14" ht="17.5">
      <c r="A434" s="23"/>
      <c r="B434" s="15">
        <v>421</v>
      </c>
      <c r="C434" s="15">
        <v>1</v>
      </c>
      <c r="D434" s="12" t="e">
        <f>#REF!/#REF!</f>
        <v>#REF!</v>
      </c>
      <c r="E434" s="16">
        <v>1</v>
      </c>
      <c r="F434" s="15"/>
      <c r="G434" s="15"/>
      <c r="H434" s="15"/>
      <c r="I434" s="15"/>
      <c r="J434" s="15"/>
      <c r="K434" s="15"/>
      <c r="L434" s="20"/>
      <c r="M434" s="9"/>
      <c r="N434" s="448"/>
    </row>
    <row r="435" spans="1:14" ht="17.5">
      <c r="A435" s="23"/>
      <c r="B435" s="15">
        <v>422</v>
      </c>
      <c r="C435" s="15">
        <v>1</v>
      </c>
      <c r="D435" s="12" t="e">
        <f>#REF!/#REF!</f>
        <v>#REF!</v>
      </c>
      <c r="E435" s="16">
        <v>1</v>
      </c>
      <c r="F435" s="15"/>
      <c r="G435" s="15"/>
      <c r="H435" s="15"/>
      <c r="I435" s="15"/>
      <c r="J435" s="15"/>
      <c r="K435" s="15"/>
      <c r="L435" s="20"/>
      <c r="M435" s="9"/>
      <c r="N435" s="448"/>
    </row>
    <row r="436" spans="1:14" ht="17.5">
      <c r="A436" s="23"/>
      <c r="B436" s="15">
        <v>423</v>
      </c>
      <c r="C436" s="15">
        <v>1</v>
      </c>
      <c r="D436" s="12" t="e">
        <f>#REF!/#REF!</f>
        <v>#REF!</v>
      </c>
      <c r="E436" s="16">
        <v>1</v>
      </c>
      <c r="F436" s="15"/>
      <c r="G436" s="15"/>
      <c r="H436" s="15"/>
      <c r="I436" s="15"/>
      <c r="J436" s="15"/>
      <c r="K436" s="15"/>
      <c r="L436" s="20"/>
      <c r="M436" s="9"/>
      <c r="N436" s="448"/>
    </row>
    <row r="437" spans="1:14" ht="17.5">
      <c r="A437" s="23"/>
      <c r="B437" s="15">
        <v>424</v>
      </c>
      <c r="C437" s="15">
        <v>1</v>
      </c>
      <c r="D437" s="12" t="e">
        <f>#REF!/#REF!</f>
        <v>#REF!</v>
      </c>
      <c r="E437" s="16">
        <v>1</v>
      </c>
      <c r="F437" s="15"/>
      <c r="G437" s="15"/>
      <c r="H437" s="15"/>
      <c r="I437" s="15"/>
      <c r="J437" s="15"/>
      <c r="K437" s="15"/>
      <c r="L437" s="20"/>
      <c r="M437" s="9"/>
      <c r="N437" s="448"/>
    </row>
    <row r="438" spans="1:14" ht="17.5">
      <c r="A438" s="23"/>
      <c r="B438" s="15">
        <v>425</v>
      </c>
      <c r="C438" s="15">
        <v>1</v>
      </c>
      <c r="D438" s="12" t="e">
        <f>#REF!/#REF!</f>
        <v>#REF!</v>
      </c>
      <c r="E438" s="16">
        <v>1</v>
      </c>
      <c r="F438" s="15"/>
      <c r="G438" s="15"/>
      <c r="H438" s="15"/>
      <c r="I438" s="15"/>
      <c r="J438" s="15"/>
      <c r="K438" s="15"/>
      <c r="L438" s="20"/>
      <c r="M438" s="9"/>
      <c r="N438" s="448"/>
    </row>
    <row r="439" spans="1:14" ht="17.5">
      <c r="A439" s="23"/>
      <c r="B439" s="15">
        <v>426</v>
      </c>
      <c r="C439" s="15">
        <v>1</v>
      </c>
      <c r="D439" s="12" t="e">
        <f>#REF!/#REF!</f>
        <v>#REF!</v>
      </c>
      <c r="E439" s="16">
        <v>1</v>
      </c>
      <c r="F439" s="15"/>
      <c r="G439" s="15"/>
      <c r="H439" s="15"/>
      <c r="I439" s="15"/>
      <c r="J439" s="15"/>
      <c r="K439" s="15"/>
      <c r="L439" s="20"/>
      <c r="M439" s="9"/>
      <c r="N439" s="448"/>
    </row>
    <row r="440" spans="1:14" ht="17.5">
      <c r="A440" s="23"/>
      <c r="B440" s="15">
        <v>427</v>
      </c>
      <c r="C440" s="15">
        <v>1</v>
      </c>
      <c r="D440" s="12" t="e">
        <f>#REF!/#REF!</f>
        <v>#REF!</v>
      </c>
      <c r="E440" s="16">
        <v>1</v>
      </c>
      <c r="F440" s="15"/>
      <c r="G440" s="15"/>
      <c r="H440" s="15"/>
      <c r="I440" s="15"/>
      <c r="J440" s="15"/>
      <c r="K440" s="15"/>
      <c r="L440" s="20"/>
      <c r="M440" s="9"/>
      <c r="N440" s="448"/>
    </row>
    <row r="441" spans="1:14" ht="17.5">
      <c r="A441" s="23"/>
      <c r="B441" s="15">
        <v>428</v>
      </c>
      <c r="C441" s="15">
        <v>1</v>
      </c>
      <c r="D441" s="12" t="e">
        <f>#REF!/#REF!</f>
        <v>#REF!</v>
      </c>
      <c r="E441" s="16">
        <v>1</v>
      </c>
      <c r="F441" s="15"/>
      <c r="G441" s="15"/>
      <c r="H441" s="15"/>
      <c r="I441" s="15"/>
      <c r="J441" s="15"/>
      <c r="K441" s="15"/>
      <c r="L441" s="20"/>
      <c r="M441" s="9"/>
      <c r="N441" s="448"/>
    </row>
    <row r="442" spans="1:14" ht="17.5">
      <c r="A442" s="23"/>
      <c r="B442" s="15">
        <v>429</v>
      </c>
      <c r="C442" s="15">
        <v>1</v>
      </c>
      <c r="D442" s="12" t="e">
        <f>#REF!/#REF!</f>
        <v>#REF!</v>
      </c>
      <c r="E442" s="16">
        <v>1</v>
      </c>
      <c r="F442" s="15"/>
      <c r="G442" s="15"/>
      <c r="H442" s="15"/>
      <c r="I442" s="15"/>
      <c r="J442" s="15"/>
      <c r="K442" s="15"/>
      <c r="L442" s="20"/>
      <c r="M442" s="9"/>
      <c r="N442" s="448"/>
    </row>
    <row r="443" spans="1:14" ht="17.5">
      <c r="A443" s="23"/>
      <c r="B443" s="15">
        <v>430</v>
      </c>
      <c r="C443" s="15">
        <v>1</v>
      </c>
      <c r="D443" s="12" t="e">
        <f>#REF!/#REF!</f>
        <v>#REF!</v>
      </c>
      <c r="E443" s="16">
        <v>1</v>
      </c>
      <c r="F443" s="15"/>
      <c r="G443" s="15"/>
      <c r="H443" s="15"/>
      <c r="I443" s="15"/>
      <c r="J443" s="15"/>
      <c r="K443" s="15"/>
      <c r="L443" s="20"/>
      <c r="M443" s="9"/>
      <c r="N443" s="448"/>
    </row>
    <row r="444" spans="1:14" ht="17.5">
      <c r="A444" s="23"/>
      <c r="B444" s="15">
        <v>431</v>
      </c>
      <c r="C444" s="15">
        <v>1</v>
      </c>
      <c r="D444" s="12" t="e">
        <f>#REF!/#REF!</f>
        <v>#REF!</v>
      </c>
      <c r="E444" s="16">
        <v>1</v>
      </c>
      <c r="F444" s="15"/>
      <c r="G444" s="15"/>
      <c r="H444" s="15"/>
      <c r="I444" s="15"/>
      <c r="J444" s="15"/>
      <c r="K444" s="15"/>
      <c r="L444" s="20"/>
      <c r="M444" s="9"/>
      <c r="N444" s="448"/>
    </row>
    <row r="445" spans="1:14" ht="17.5">
      <c r="A445" s="23"/>
      <c r="B445" s="15">
        <v>432</v>
      </c>
      <c r="C445" s="15">
        <v>1</v>
      </c>
      <c r="D445" s="12" t="e">
        <f>#REF!/#REF!</f>
        <v>#REF!</v>
      </c>
      <c r="E445" s="16">
        <v>1</v>
      </c>
      <c r="F445" s="15"/>
      <c r="G445" s="15"/>
      <c r="H445" s="15"/>
      <c r="I445" s="15"/>
      <c r="J445" s="15"/>
      <c r="K445" s="15"/>
      <c r="L445" s="20"/>
      <c r="M445" s="9"/>
      <c r="N445" s="448"/>
    </row>
    <row r="446" spans="1:14" ht="17.5">
      <c r="A446" s="23"/>
      <c r="B446" s="15">
        <v>433</v>
      </c>
      <c r="C446" s="15">
        <v>1</v>
      </c>
      <c r="D446" s="12" t="e">
        <f>#REF!/#REF!</f>
        <v>#REF!</v>
      </c>
      <c r="E446" s="16">
        <v>1</v>
      </c>
      <c r="F446" s="15"/>
      <c r="G446" s="15"/>
      <c r="H446" s="15"/>
      <c r="I446" s="15"/>
      <c r="J446" s="15"/>
      <c r="K446" s="15"/>
      <c r="L446" s="20"/>
      <c r="M446" s="9"/>
      <c r="N446" s="448"/>
    </row>
    <row r="447" spans="1:14" ht="17.5">
      <c r="A447" s="23"/>
      <c r="B447" s="15">
        <v>434</v>
      </c>
      <c r="C447" s="15">
        <v>1</v>
      </c>
      <c r="D447" s="12" t="e">
        <f>#REF!/#REF!</f>
        <v>#REF!</v>
      </c>
      <c r="E447" s="16">
        <v>1</v>
      </c>
      <c r="F447" s="15"/>
      <c r="G447" s="15"/>
      <c r="H447" s="15"/>
      <c r="I447" s="15"/>
      <c r="J447" s="15"/>
      <c r="K447" s="15"/>
      <c r="L447" s="20"/>
      <c r="M447" s="9"/>
      <c r="N447" s="448"/>
    </row>
    <row r="448" spans="1:14" ht="17.5">
      <c r="A448" s="23"/>
      <c r="B448" s="15">
        <v>435</v>
      </c>
      <c r="C448" s="15">
        <v>1</v>
      </c>
      <c r="D448" s="12" t="e">
        <f>#REF!/#REF!</f>
        <v>#REF!</v>
      </c>
      <c r="E448" s="16">
        <v>1</v>
      </c>
      <c r="F448" s="15"/>
      <c r="G448" s="15"/>
      <c r="H448" s="15"/>
      <c r="I448" s="15"/>
      <c r="J448" s="15"/>
      <c r="K448" s="15"/>
      <c r="L448" s="20"/>
      <c r="M448" s="9"/>
      <c r="N448" s="448"/>
    </row>
    <row r="449" spans="1:14" ht="17.5">
      <c r="A449" s="23"/>
      <c r="B449" s="15">
        <v>436</v>
      </c>
      <c r="C449" s="15">
        <v>1</v>
      </c>
      <c r="D449" s="12" t="e">
        <f>#REF!/#REF!</f>
        <v>#REF!</v>
      </c>
      <c r="E449" s="16">
        <v>1</v>
      </c>
      <c r="F449" s="15"/>
      <c r="G449" s="15"/>
      <c r="H449" s="15"/>
      <c r="I449" s="15"/>
      <c r="J449" s="15"/>
      <c r="K449" s="15"/>
      <c r="L449" s="20"/>
      <c r="M449" s="9"/>
      <c r="N449" s="448"/>
    </row>
    <row r="450" spans="1:14" ht="17.5">
      <c r="A450" s="23"/>
      <c r="B450" s="15">
        <v>437</v>
      </c>
      <c r="C450" s="15">
        <v>1</v>
      </c>
      <c r="D450" s="12" t="e">
        <f>#REF!/#REF!</f>
        <v>#REF!</v>
      </c>
      <c r="E450" s="16">
        <v>1</v>
      </c>
      <c r="F450" s="15"/>
      <c r="G450" s="15"/>
      <c r="H450" s="15"/>
      <c r="I450" s="15"/>
      <c r="J450" s="15"/>
      <c r="K450" s="15"/>
      <c r="L450" s="20"/>
      <c r="M450" s="9"/>
      <c r="N450" s="448"/>
    </row>
    <row r="451" spans="1:14" ht="17.5">
      <c r="A451" s="23"/>
      <c r="B451" s="15">
        <v>438</v>
      </c>
      <c r="C451" s="15">
        <v>1</v>
      </c>
      <c r="D451" s="12" t="e">
        <f>#REF!/#REF!</f>
        <v>#REF!</v>
      </c>
      <c r="E451" s="16">
        <v>1</v>
      </c>
      <c r="F451" s="15"/>
      <c r="G451" s="15"/>
      <c r="H451" s="15"/>
      <c r="I451" s="15"/>
      <c r="J451" s="15"/>
      <c r="K451" s="15"/>
      <c r="L451" s="20"/>
      <c r="M451" s="9"/>
      <c r="N451" s="448"/>
    </row>
    <row r="452" spans="1:14" ht="17.5">
      <c r="A452" s="23"/>
      <c r="B452" s="15">
        <v>439</v>
      </c>
      <c r="C452" s="15">
        <v>1</v>
      </c>
      <c r="D452" s="12" t="e">
        <f>#REF!/#REF!</f>
        <v>#REF!</v>
      </c>
      <c r="E452" s="16">
        <v>1</v>
      </c>
      <c r="F452" s="15"/>
      <c r="G452" s="15"/>
      <c r="H452" s="15"/>
      <c r="I452" s="15"/>
      <c r="J452" s="15"/>
      <c r="K452" s="15"/>
      <c r="L452" s="20"/>
      <c r="M452" s="9"/>
      <c r="N452" s="448"/>
    </row>
    <row r="453" spans="1:14" ht="17.5">
      <c r="A453" s="23"/>
      <c r="B453" s="15">
        <v>440</v>
      </c>
      <c r="C453" s="15">
        <v>1</v>
      </c>
      <c r="D453" s="12" t="e">
        <f>#REF!/#REF!</f>
        <v>#REF!</v>
      </c>
      <c r="E453" s="16">
        <v>1</v>
      </c>
      <c r="F453" s="15"/>
      <c r="G453" s="15"/>
      <c r="H453" s="15"/>
      <c r="I453" s="15"/>
      <c r="J453" s="15"/>
      <c r="K453" s="15"/>
      <c r="L453" s="20"/>
      <c r="M453" s="9"/>
      <c r="N453" s="448"/>
    </row>
    <row r="454" spans="1:14" ht="17.5">
      <c r="A454" s="23"/>
      <c r="B454" s="15">
        <v>441</v>
      </c>
      <c r="C454" s="15">
        <v>1</v>
      </c>
      <c r="D454" s="12" t="e">
        <f>#REF!/#REF!</f>
        <v>#REF!</v>
      </c>
      <c r="E454" s="16">
        <v>1</v>
      </c>
      <c r="F454" s="15"/>
      <c r="G454" s="15"/>
      <c r="H454" s="15"/>
      <c r="I454" s="15"/>
      <c r="J454" s="15"/>
      <c r="K454" s="15"/>
      <c r="L454" s="20"/>
      <c r="M454" s="9"/>
      <c r="N454" s="448"/>
    </row>
    <row r="455" spans="1:14" ht="17.5">
      <c r="A455" s="23"/>
      <c r="B455" s="15">
        <v>442</v>
      </c>
      <c r="C455" s="15">
        <v>1</v>
      </c>
      <c r="D455" s="12" t="e">
        <f>#REF!/#REF!</f>
        <v>#REF!</v>
      </c>
      <c r="E455" s="16">
        <v>1</v>
      </c>
      <c r="F455" s="15"/>
      <c r="G455" s="15"/>
      <c r="H455" s="15"/>
      <c r="I455" s="15"/>
      <c r="J455" s="15"/>
      <c r="K455" s="15"/>
      <c r="L455" s="20"/>
      <c r="M455" s="9"/>
      <c r="N455" s="448"/>
    </row>
    <row r="456" spans="1:14" ht="17.5">
      <c r="A456" s="23"/>
      <c r="B456" s="15">
        <v>443</v>
      </c>
      <c r="C456" s="15">
        <v>1</v>
      </c>
      <c r="D456" s="12" t="e">
        <f>#REF!/#REF!</f>
        <v>#REF!</v>
      </c>
      <c r="E456" s="16">
        <v>1</v>
      </c>
      <c r="F456" s="15"/>
      <c r="G456" s="15"/>
      <c r="H456" s="15"/>
      <c r="I456" s="15"/>
      <c r="J456" s="15"/>
      <c r="K456" s="15"/>
      <c r="L456" s="20"/>
      <c r="M456" s="9"/>
      <c r="N456" s="448"/>
    </row>
    <row r="457" spans="1:14" ht="17.5">
      <c r="A457" s="23"/>
      <c r="B457" s="15">
        <v>444</v>
      </c>
      <c r="C457" s="15">
        <v>1</v>
      </c>
      <c r="D457" s="12" t="e">
        <f>#REF!/#REF!</f>
        <v>#REF!</v>
      </c>
      <c r="E457" s="16">
        <v>1</v>
      </c>
      <c r="F457" s="15"/>
      <c r="G457" s="15"/>
      <c r="H457" s="15"/>
      <c r="I457" s="15"/>
      <c r="J457" s="15"/>
      <c r="K457" s="15"/>
      <c r="L457" s="20"/>
      <c r="M457" s="9"/>
      <c r="N457" s="448"/>
    </row>
    <row r="458" spans="1:14" ht="17.5">
      <c r="A458" s="23"/>
      <c r="B458" s="15">
        <v>445</v>
      </c>
      <c r="C458" s="15">
        <v>1</v>
      </c>
      <c r="D458" s="12" t="e">
        <f>#REF!/#REF!</f>
        <v>#REF!</v>
      </c>
      <c r="E458" s="16">
        <v>1</v>
      </c>
      <c r="F458" s="15"/>
      <c r="G458" s="15"/>
      <c r="H458" s="15"/>
      <c r="I458" s="15"/>
      <c r="J458" s="15"/>
      <c r="K458" s="15"/>
      <c r="L458" s="20"/>
      <c r="M458" s="9"/>
      <c r="N458" s="448"/>
    </row>
    <row r="459" spans="1:14" ht="17.5">
      <c r="A459" s="23"/>
      <c r="B459" s="15">
        <v>446</v>
      </c>
      <c r="C459" s="15">
        <v>1</v>
      </c>
      <c r="D459" s="12" t="e">
        <f>#REF!/#REF!</f>
        <v>#REF!</v>
      </c>
      <c r="E459" s="16">
        <v>1</v>
      </c>
      <c r="F459" s="15"/>
      <c r="G459" s="15"/>
      <c r="H459" s="15"/>
      <c r="I459" s="15"/>
      <c r="J459" s="15"/>
      <c r="K459" s="15"/>
      <c r="L459" s="20"/>
      <c r="M459" s="9"/>
      <c r="N459" s="448"/>
    </row>
    <row r="460" spans="1:14" ht="17.5">
      <c r="A460" s="23"/>
      <c r="B460" s="15">
        <v>447</v>
      </c>
      <c r="C460" s="15">
        <v>1</v>
      </c>
      <c r="D460" s="12" t="e">
        <f>#REF!/#REF!</f>
        <v>#REF!</v>
      </c>
      <c r="E460" s="16">
        <v>1</v>
      </c>
      <c r="F460" s="15"/>
      <c r="G460" s="15"/>
      <c r="H460" s="15"/>
      <c r="I460" s="15"/>
      <c r="J460" s="15"/>
      <c r="K460" s="15"/>
      <c r="L460" s="20"/>
      <c r="M460" s="9"/>
      <c r="N460" s="448"/>
    </row>
    <row r="461" spans="1:14" ht="17.5">
      <c r="A461" s="23"/>
      <c r="B461" s="15">
        <v>448</v>
      </c>
      <c r="C461" s="15">
        <v>1</v>
      </c>
      <c r="D461" s="12" t="e">
        <f>#REF!/#REF!</f>
        <v>#REF!</v>
      </c>
      <c r="E461" s="16">
        <v>1</v>
      </c>
      <c r="F461" s="15"/>
      <c r="G461" s="15"/>
      <c r="H461" s="15"/>
      <c r="I461" s="15"/>
      <c r="J461" s="15"/>
      <c r="K461" s="15"/>
      <c r="L461" s="20"/>
      <c r="M461" s="9"/>
      <c r="N461" s="448"/>
    </row>
    <row r="462" spans="1:14" ht="17.5">
      <c r="A462" s="23"/>
      <c r="B462" s="15">
        <v>449</v>
      </c>
      <c r="C462" s="15">
        <v>1</v>
      </c>
      <c r="D462" s="12" t="e">
        <f>#REF!/#REF!</f>
        <v>#REF!</v>
      </c>
      <c r="E462" s="16">
        <v>1</v>
      </c>
      <c r="F462" s="15"/>
      <c r="G462" s="15"/>
      <c r="H462" s="15"/>
      <c r="I462" s="15"/>
      <c r="J462" s="15"/>
      <c r="K462" s="15"/>
      <c r="L462" s="20"/>
      <c r="M462" s="9"/>
      <c r="N462" s="448"/>
    </row>
    <row r="463" spans="1:14" ht="17.5">
      <c r="A463" s="23"/>
      <c r="B463" s="15">
        <v>450</v>
      </c>
      <c r="C463" s="15">
        <v>1</v>
      </c>
      <c r="D463" s="12" t="e">
        <f>#REF!/#REF!</f>
        <v>#REF!</v>
      </c>
      <c r="E463" s="16">
        <v>1</v>
      </c>
      <c r="F463" s="15"/>
      <c r="G463" s="15"/>
      <c r="H463" s="15"/>
      <c r="I463" s="15"/>
      <c r="J463" s="15"/>
      <c r="K463" s="15"/>
      <c r="L463" s="20"/>
      <c r="M463" s="9"/>
      <c r="N463" s="448"/>
    </row>
    <row r="464" spans="1:14" ht="17.5">
      <c r="A464" s="23"/>
      <c r="B464" s="15">
        <v>451</v>
      </c>
      <c r="C464" s="15">
        <v>1</v>
      </c>
      <c r="D464" s="12" t="e">
        <f>#REF!/#REF!</f>
        <v>#REF!</v>
      </c>
      <c r="E464" s="16">
        <v>1</v>
      </c>
      <c r="F464" s="15"/>
      <c r="G464" s="15"/>
      <c r="H464" s="15"/>
      <c r="I464" s="15"/>
      <c r="J464" s="15"/>
      <c r="K464" s="15"/>
      <c r="L464" s="20"/>
      <c r="M464" s="9"/>
      <c r="N464" s="448"/>
    </row>
    <row r="465" spans="1:14" ht="17.5">
      <c r="A465" s="23"/>
      <c r="B465" s="15">
        <v>452</v>
      </c>
      <c r="C465" s="15">
        <v>1</v>
      </c>
      <c r="D465" s="12" t="e">
        <f>#REF!/#REF!</f>
        <v>#REF!</v>
      </c>
      <c r="E465" s="16">
        <v>1</v>
      </c>
      <c r="F465" s="15"/>
      <c r="G465" s="15"/>
      <c r="H465" s="15"/>
      <c r="I465" s="15"/>
      <c r="J465" s="15"/>
      <c r="K465" s="15"/>
      <c r="L465" s="20"/>
      <c r="M465" s="9"/>
      <c r="N465" s="448"/>
    </row>
    <row r="466" spans="1:14" ht="17.5">
      <c r="A466" s="23"/>
      <c r="B466" s="15">
        <v>453</v>
      </c>
      <c r="C466" s="15">
        <v>1</v>
      </c>
      <c r="D466" s="12" t="e">
        <f>#REF!/#REF!</f>
        <v>#REF!</v>
      </c>
      <c r="E466" s="16">
        <v>1</v>
      </c>
      <c r="F466" s="15"/>
      <c r="G466" s="15"/>
      <c r="H466" s="15"/>
      <c r="I466" s="15"/>
      <c r="J466" s="15"/>
      <c r="K466" s="15"/>
      <c r="L466" s="20"/>
      <c r="M466" s="9"/>
      <c r="N466" s="448"/>
    </row>
    <row r="467" spans="1:14" ht="17.5">
      <c r="A467" s="23"/>
      <c r="B467" s="15">
        <v>454</v>
      </c>
      <c r="C467" s="15">
        <v>1</v>
      </c>
      <c r="D467" s="12" t="e">
        <f>#REF!/#REF!</f>
        <v>#REF!</v>
      </c>
      <c r="E467" s="16">
        <v>1</v>
      </c>
      <c r="F467" s="15"/>
      <c r="G467" s="15"/>
      <c r="H467" s="15"/>
      <c r="I467" s="15"/>
      <c r="J467" s="15"/>
      <c r="K467" s="15"/>
      <c r="L467" s="20"/>
      <c r="M467" s="9"/>
      <c r="N467" s="448"/>
    </row>
    <row r="468" spans="1:14" ht="17.5">
      <c r="A468" s="23"/>
      <c r="B468" s="15">
        <v>455</v>
      </c>
      <c r="C468" s="15">
        <v>1</v>
      </c>
      <c r="D468" s="12" t="e">
        <f>#REF!/#REF!</f>
        <v>#REF!</v>
      </c>
      <c r="E468" s="16">
        <v>1</v>
      </c>
      <c r="F468" s="15"/>
      <c r="G468" s="15"/>
      <c r="H468" s="15"/>
      <c r="I468" s="15"/>
      <c r="J468" s="15"/>
      <c r="K468" s="15"/>
      <c r="L468" s="20"/>
      <c r="M468" s="9"/>
      <c r="N468" s="448"/>
    </row>
    <row r="469" spans="1:14" ht="17.5">
      <c r="A469" s="23"/>
      <c r="B469" s="15">
        <v>456</v>
      </c>
      <c r="C469" s="15">
        <v>1</v>
      </c>
      <c r="D469" s="12" t="e">
        <f>#REF!/#REF!</f>
        <v>#REF!</v>
      </c>
      <c r="E469" s="16">
        <v>1</v>
      </c>
      <c r="F469" s="15"/>
      <c r="G469" s="15"/>
      <c r="H469" s="15"/>
      <c r="I469" s="15"/>
      <c r="J469" s="15"/>
      <c r="K469" s="15"/>
      <c r="L469" s="20"/>
      <c r="M469" s="9"/>
      <c r="N469" s="448"/>
    </row>
    <row r="470" spans="1:14" ht="17.5">
      <c r="A470" s="23"/>
      <c r="B470" s="15">
        <v>457</v>
      </c>
      <c r="C470" s="15">
        <v>1</v>
      </c>
      <c r="D470" s="12" t="e">
        <f>#REF!/#REF!</f>
        <v>#REF!</v>
      </c>
      <c r="E470" s="16">
        <v>1</v>
      </c>
      <c r="F470" s="15"/>
      <c r="G470" s="15"/>
      <c r="H470" s="15"/>
      <c r="I470" s="15"/>
      <c r="J470" s="15"/>
      <c r="K470" s="15"/>
      <c r="L470" s="20"/>
      <c r="M470" s="9"/>
      <c r="N470" s="448"/>
    </row>
    <row r="471" spans="1:14" ht="17.5">
      <c r="A471" s="23"/>
      <c r="B471" s="15">
        <v>458</v>
      </c>
      <c r="C471" s="15">
        <v>1</v>
      </c>
      <c r="D471" s="12" t="e">
        <f>#REF!/#REF!</f>
        <v>#REF!</v>
      </c>
      <c r="E471" s="16">
        <v>1</v>
      </c>
      <c r="F471" s="15"/>
      <c r="G471" s="15"/>
      <c r="H471" s="15"/>
      <c r="I471" s="15"/>
      <c r="J471" s="15"/>
      <c r="K471" s="15"/>
      <c r="L471" s="20"/>
      <c r="M471" s="9"/>
      <c r="N471" s="448"/>
    </row>
    <row r="472" spans="1:14" ht="17.5">
      <c r="A472" s="23"/>
      <c r="B472" s="15">
        <v>459</v>
      </c>
      <c r="C472" s="15">
        <v>1</v>
      </c>
      <c r="D472" s="12" t="e">
        <f>#REF!/#REF!</f>
        <v>#REF!</v>
      </c>
      <c r="E472" s="16">
        <v>1</v>
      </c>
      <c r="F472" s="15"/>
      <c r="G472" s="15"/>
      <c r="H472" s="15"/>
      <c r="I472" s="15"/>
      <c r="J472" s="15"/>
      <c r="K472" s="15"/>
      <c r="L472" s="20"/>
      <c r="M472" s="9"/>
      <c r="N472" s="448"/>
    </row>
    <row r="473" spans="1:14" ht="17.5">
      <c r="A473" s="23"/>
      <c r="B473" s="15">
        <v>460</v>
      </c>
      <c r="C473" s="15">
        <v>1</v>
      </c>
      <c r="D473" s="12" t="e">
        <f>#REF!/#REF!</f>
        <v>#REF!</v>
      </c>
      <c r="E473" s="16">
        <v>1</v>
      </c>
      <c r="F473" s="15"/>
      <c r="G473" s="15"/>
      <c r="H473" s="15"/>
      <c r="I473" s="15"/>
      <c r="J473" s="15"/>
      <c r="K473" s="15"/>
      <c r="L473" s="20"/>
      <c r="M473" s="9"/>
      <c r="N473" s="448"/>
    </row>
    <row r="474" spans="1:14" ht="17.5">
      <c r="A474" s="23"/>
      <c r="B474" s="15">
        <v>461</v>
      </c>
      <c r="C474" s="15">
        <v>1</v>
      </c>
      <c r="D474" s="12" t="e">
        <f>#REF!/#REF!</f>
        <v>#REF!</v>
      </c>
      <c r="E474" s="16">
        <v>1</v>
      </c>
      <c r="F474" s="15"/>
      <c r="G474" s="15"/>
      <c r="H474" s="15"/>
      <c r="I474" s="15"/>
      <c r="J474" s="15"/>
      <c r="K474" s="15"/>
      <c r="L474" s="20"/>
      <c r="M474" s="9"/>
      <c r="N474" s="448"/>
    </row>
    <row r="475" spans="1:14" ht="17.5">
      <c r="A475" s="23"/>
      <c r="B475" s="15">
        <v>462</v>
      </c>
      <c r="C475" s="15">
        <v>1</v>
      </c>
      <c r="D475" s="12" t="e">
        <f>#REF!/#REF!</f>
        <v>#REF!</v>
      </c>
      <c r="E475" s="16">
        <v>1</v>
      </c>
      <c r="F475" s="15"/>
      <c r="G475" s="15"/>
      <c r="H475" s="15"/>
      <c r="I475" s="15"/>
      <c r="J475" s="15"/>
      <c r="K475" s="15"/>
      <c r="L475" s="20"/>
      <c r="M475" s="9"/>
      <c r="N475" s="448"/>
    </row>
    <row r="476" spans="1:14" ht="17.5">
      <c r="A476" s="23"/>
      <c r="B476" s="15">
        <v>463</v>
      </c>
      <c r="C476" s="15">
        <v>1</v>
      </c>
      <c r="D476" s="12" t="e">
        <f>#REF!/#REF!</f>
        <v>#REF!</v>
      </c>
      <c r="E476" s="16">
        <v>1</v>
      </c>
      <c r="F476" s="15"/>
      <c r="G476" s="15"/>
      <c r="H476" s="15"/>
      <c r="I476" s="15"/>
      <c r="J476" s="15"/>
      <c r="K476" s="15"/>
      <c r="L476" s="20"/>
      <c r="M476" s="9"/>
      <c r="N476" s="448"/>
    </row>
    <row r="477" spans="1:14" ht="17.5">
      <c r="A477" s="23"/>
      <c r="B477" s="15">
        <v>464</v>
      </c>
      <c r="C477" s="15">
        <v>1</v>
      </c>
      <c r="D477" s="12" t="e">
        <f>#REF!/#REF!</f>
        <v>#REF!</v>
      </c>
      <c r="E477" s="16">
        <v>1</v>
      </c>
      <c r="F477" s="15"/>
      <c r="G477" s="15"/>
      <c r="H477" s="15"/>
      <c r="I477" s="15"/>
      <c r="J477" s="15"/>
      <c r="K477" s="15"/>
      <c r="L477" s="20"/>
      <c r="M477" s="9"/>
      <c r="N477" s="448"/>
    </row>
    <row r="478" spans="1:14" ht="17.5">
      <c r="A478" s="23"/>
      <c r="B478" s="15">
        <v>465</v>
      </c>
      <c r="C478" s="15">
        <v>1</v>
      </c>
      <c r="D478" s="12" t="e">
        <f>#REF!/#REF!</f>
        <v>#REF!</v>
      </c>
      <c r="E478" s="16">
        <v>1</v>
      </c>
      <c r="F478" s="15"/>
      <c r="G478" s="15"/>
      <c r="H478" s="15"/>
      <c r="I478" s="15"/>
      <c r="J478" s="15"/>
      <c r="K478" s="15"/>
      <c r="L478" s="20"/>
      <c r="M478" s="9"/>
      <c r="N478" s="448"/>
    </row>
    <row r="479" spans="1:14" ht="17.5">
      <c r="A479" s="23"/>
      <c r="B479" s="15">
        <v>466</v>
      </c>
      <c r="C479" s="15">
        <v>1</v>
      </c>
      <c r="D479" s="12" t="e">
        <f>#REF!/#REF!</f>
        <v>#REF!</v>
      </c>
      <c r="E479" s="16">
        <v>1</v>
      </c>
      <c r="F479" s="15"/>
      <c r="G479" s="15"/>
      <c r="H479" s="15"/>
      <c r="I479" s="15"/>
      <c r="J479" s="15"/>
      <c r="K479" s="15"/>
      <c r="L479" s="20"/>
      <c r="M479" s="9"/>
      <c r="N479" s="448"/>
    </row>
    <row r="480" spans="1:14" ht="17.5">
      <c r="A480" s="23"/>
      <c r="B480" s="15">
        <v>467</v>
      </c>
      <c r="C480" s="15">
        <v>1</v>
      </c>
      <c r="D480" s="12" t="e">
        <f>#REF!/#REF!</f>
        <v>#REF!</v>
      </c>
      <c r="E480" s="16">
        <v>1</v>
      </c>
      <c r="F480" s="15"/>
      <c r="G480" s="15"/>
      <c r="H480" s="15"/>
      <c r="I480" s="15"/>
      <c r="J480" s="15"/>
      <c r="K480" s="15"/>
      <c r="L480" s="20"/>
      <c r="M480" s="9"/>
      <c r="N480" s="448"/>
    </row>
    <row r="481" spans="1:14" ht="17.5">
      <c r="A481" s="23"/>
      <c r="B481" s="15">
        <v>468</v>
      </c>
      <c r="C481" s="15">
        <v>1</v>
      </c>
      <c r="D481" s="12" t="e">
        <f>#REF!/#REF!</f>
        <v>#REF!</v>
      </c>
      <c r="E481" s="16">
        <v>1</v>
      </c>
      <c r="F481" s="15"/>
      <c r="G481" s="15"/>
      <c r="H481" s="15"/>
      <c r="I481" s="15"/>
      <c r="J481" s="15"/>
      <c r="K481" s="15"/>
      <c r="L481" s="20"/>
      <c r="M481" s="9"/>
      <c r="N481" s="448"/>
    </row>
    <row r="482" spans="1:14" ht="17.5">
      <c r="A482" s="23"/>
      <c r="B482" s="15">
        <v>469</v>
      </c>
      <c r="C482" s="15">
        <v>1</v>
      </c>
      <c r="D482" s="12" t="e">
        <f>#REF!/#REF!</f>
        <v>#REF!</v>
      </c>
      <c r="E482" s="16">
        <v>1</v>
      </c>
      <c r="F482" s="15"/>
      <c r="G482" s="15"/>
      <c r="H482" s="15"/>
      <c r="I482" s="15"/>
      <c r="J482" s="15"/>
      <c r="K482" s="15"/>
      <c r="L482" s="20"/>
      <c r="M482" s="9"/>
      <c r="N482" s="448"/>
    </row>
    <row r="483" spans="1:14" ht="17.5">
      <c r="A483" s="23"/>
      <c r="B483" s="15">
        <v>470</v>
      </c>
      <c r="C483" s="15">
        <v>1</v>
      </c>
      <c r="D483" s="12" t="e">
        <f>#REF!/#REF!</f>
        <v>#REF!</v>
      </c>
      <c r="E483" s="16">
        <v>1</v>
      </c>
      <c r="F483" s="15"/>
      <c r="G483" s="15"/>
      <c r="H483" s="15"/>
      <c r="I483" s="15"/>
      <c r="J483" s="15"/>
      <c r="K483" s="15"/>
      <c r="L483" s="20"/>
      <c r="M483" s="9"/>
      <c r="N483" s="448"/>
    </row>
    <row r="484" spans="1:14" ht="17.5">
      <c r="A484" s="23"/>
      <c r="B484" s="15">
        <v>471</v>
      </c>
      <c r="C484" s="15">
        <v>1</v>
      </c>
      <c r="D484" s="12" t="e">
        <f>#REF!/#REF!</f>
        <v>#REF!</v>
      </c>
      <c r="E484" s="16">
        <v>1</v>
      </c>
      <c r="F484" s="15"/>
      <c r="G484" s="15"/>
      <c r="H484" s="15"/>
      <c r="I484" s="15"/>
      <c r="J484" s="15"/>
      <c r="K484" s="15"/>
      <c r="L484" s="20"/>
      <c r="M484" s="9"/>
      <c r="N484" s="448"/>
    </row>
    <row r="485" spans="1:14" ht="17.5">
      <c r="A485" s="23"/>
      <c r="B485" s="15">
        <v>472</v>
      </c>
      <c r="C485" s="15">
        <v>1</v>
      </c>
      <c r="D485" s="12" t="e">
        <f>#REF!/#REF!</f>
        <v>#REF!</v>
      </c>
      <c r="E485" s="16">
        <v>1</v>
      </c>
      <c r="F485" s="15"/>
      <c r="G485" s="15"/>
      <c r="H485" s="15"/>
      <c r="I485" s="15"/>
      <c r="J485" s="15"/>
      <c r="K485" s="15"/>
      <c r="L485" s="20"/>
      <c r="M485" s="9"/>
      <c r="N485" s="448"/>
    </row>
    <row r="486" spans="1:14" ht="17.5">
      <c r="A486" s="23"/>
      <c r="B486" s="15">
        <v>473</v>
      </c>
      <c r="C486" s="15">
        <v>1</v>
      </c>
      <c r="D486" s="12" t="e">
        <f>#REF!/#REF!</f>
        <v>#REF!</v>
      </c>
      <c r="E486" s="16">
        <v>1</v>
      </c>
      <c r="F486" s="15"/>
      <c r="G486" s="15"/>
      <c r="H486" s="15"/>
      <c r="I486" s="15"/>
      <c r="J486" s="15"/>
      <c r="K486" s="15"/>
      <c r="L486" s="20"/>
      <c r="M486" s="9"/>
      <c r="N486" s="448"/>
    </row>
    <row r="487" spans="1:14" ht="17.5">
      <c r="A487" s="23"/>
      <c r="B487" s="15">
        <v>474</v>
      </c>
      <c r="C487" s="15">
        <v>1</v>
      </c>
      <c r="D487" s="12" t="e">
        <f>#REF!/#REF!</f>
        <v>#REF!</v>
      </c>
      <c r="E487" s="16">
        <v>1</v>
      </c>
      <c r="F487" s="15"/>
      <c r="G487" s="15"/>
      <c r="H487" s="15"/>
      <c r="I487" s="15"/>
      <c r="J487" s="15"/>
      <c r="K487" s="15"/>
      <c r="L487" s="20"/>
      <c r="M487" s="9"/>
      <c r="N487" s="448"/>
    </row>
    <row r="488" spans="1:14" ht="17.5">
      <c r="A488" s="23"/>
      <c r="B488" s="15">
        <v>475</v>
      </c>
      <c r="C488" s="15">
        <v>1</v>
      </c>
      <c r="D488" s="12" t="e">
        <f>#REF!/#REF!</f>
        <v>#REF!</v>
      </c>
      <c r="E488" s="16">
        <v>1</v>
      </c>
      <c r="F488" s="15"/>
      <c r="G488" s="15"/>
      <c r="H488" s="15"/>
      <c r="I488" s="15"/>
      <c r="J488" s="15"/>
      <c r="K488" s="15"/>
      <c r="L488" s="20"/>
      <c r="M488" s="9"/>
      <c r="N488" s="448"/>
    </row>
    <row r="489" spans="1:14" ht="17.5">
      <c r="A489" s="23"/>
      <c r="B489" s="15">
        <v>476</v>
      </c>
      <c r="C489" s="15">
        <v>1</v>
      </c>
      <c r="D489" s="12" t="e">
        <f>#REF!/#REF!</f>
        <v>#REF!</v>
      </c>
      <c r="E489" s="16">
        <v>1</v>
      </c>
      <c r="F489" s="15"/>
      <c r="G489" s="15"/>
      <c r="H489" s="15"/>
      <c r="I489" s="15"/>
      <c r="J489" s="15"/>
      <c r="K489" s="15"/>
      <c r="L489" s="20"/>
      <c r="M489" s="9"/>
      <c r="N489" s="448"/>
    </row>
    <row r="490" spans="1:14" ht="17.5">
      <c r="A490" s="23"/>
      <c r="B490" s="15">
        <v>477</v>
      </c>
      <c r="C490" s="15">
        <v>1</v>
      </c>
      <c r="D490" s="12" t="e">
        <f>#REF!/#REF!</f>
        <v>#REF!</v>
      </c>
      <c r="E490" s="16">
        <v>1</v>
      </c>
      <c r="F490" s="15"/>
      <c r="G490" s="15"/>
      <c r="H490" s="15"/>
      <c r="I490" s="15"/>
      <c r="J490" s="15"/>
      <c r="K490" s="15"/>
      <c r="L490" s="20"/>
      <c r="M490" s="9"/>
      <c r="N490" s="448"/>
    </row>
    <row r="491" spans="1:14" ht="17.5">
      <c r="A491" s="23"/>
      <c r="B491" s="15">
        <v>478</v>
      </c>
      <c r="C491" s="15">
        <v>1</v>
      </c>
      <c r="D491" s="12" t="e">
        <f>#REF!/#REF!</f>
        <v>#REF!</v>
      </c>
      <c r="E491" s="16">
        <v>1</v>
      </c>
      <c r="F491" s="15"/>
      <c r="G491" s="15"/>
      <c r="H491" s="15"/>
      <c r="I491" s="15"/>
      <c r="J491" s="15"/>
      <c r="K491" s="15"/>
      <c r="L491" s="20"/>
      <c r="M491" s="9"/>
      <c r="N491" s="448"/>
    </row>
    <row r="492" spans="1:14" ht="17.5">
      <c r="A492" s="23"/>
      <c r="B492" s="15">
        <v>479</v>
      </c>
      <c r="C492" s="15">
        <v>1</v>
      </c>
      <c r="D492" s="12" t="e">
        <f>#REF!/#REF!</f>
        <v>#REF!</v>
      </c>
      <c r="E492" s="16">
        <v>1</v>
      </c>
      <c r="F492" s="15"/>
      <c r="G492" s="15"/>
      <c r="H492" s="15"/>
      <c r="I492" s="15"/>
      <c r="J492" s="15"/>
      <c r="K492" s="15"/>
      <c r="L492" s="20"/>
      <c r="M492" s="9"/>
      <c r="N492" s="448"/>
    </row>
    <row r="493" spans="1:14" ht="17.5">
      <c r="A493" s="23"/>
      <c r="B493" s="15">
        <v>480</v>
      </c>
      <c r="C493" s="15">
        <v>1</v>
      </c>
      <c r="D493" s="12" t="e">
        <f>#REF!/#REF!</f>
        <v>#REF!</v>
      </c>
      <c r="E493" s="16">
        <v>1</v>
      </c>
      <c r="F493" s="15"/>
      <c r="G493" s="15"/>
      <c r="H493" s="15"/>
      <c r="I493" s="15"/>
      <c r="J493" s="15"/>
      <c r="K493" s="15"/>
      <c r="L493" s="20"/>
      <c r="M493" s="9"/>
      <c r="N493" s="448"/>
    </row>
    <row r="494" spans="1:14" ht="17.5">
      <c r="A494" s="23"/>
      <c r="B494" s="15">
        <v>481</v>
      </c>
      <c r="C494" s="15">
        <v>1</v>
      </c>
      <c r="D494" s="12" t="e">
        <f>#REF!/#REF!</f>
        <v>#REF!</v>
      </c>
      <c r="E494" s="16">
        <v>1</v>
      </c>
      <c r="F494" s="15"/>
      <c r="G494" s="15"/>
      <c r="H494" s="15"/>
      <c r="I494" s="15"/>
      <c r="J494" s="15"/>
      <c r="K494" s="15"/>
      <c r="L494" s="20"/>
      <c r="M494" s="9"/>
      <c r="N494" s="448"/>
    </row>
    <row r="495" spans="1:14" ht="17.5">
      <c r="A495" s="23"/>
      <c r="B495" s="15">
        <v>482</v>
      </c>
      <c r="C495" s="15">
        <v>1</v>
      </c>
      <c r="D495" s="12" t="e">
        <f>#REF!/#REF!</f>
        <v>#REF!</v>
      </c>
      <c r="E495" s="16">
        <v>1</v>
      </c>
      <c r="F495" s="15"/>
      <c r="G495" s="15"/>
      <c r="H495" s="15"/>
      <c r="I495" s="15"/>
      <c r="J495" s="15"/>
      <c r="K495" s="15"/>
      <c r="L495" s="20"/>
      <c r="M495" s="9"/>
      <c r="N495" s="448"/>
    </row>
    <row r="496" spans="1:14" ht="17.5">
      <c r="A496" s="23"/>
      <c r="B496" s="15">
        <v>483</v>
      </c>
      <c r="C496" s="15">
        <v>1</v>
      </c>
      <c r="D496" s="12" t="e">
        <f>#REF!/#REF!</f>
        <v>#REF!</v>
      </c>
      <c r="E496" s="16">
        <v>1</v>
      </c>
      <c r="F496" s="15"/>
      <c r="G496" s="15"/>
      <c r="H496" s="15"/>
      <c r="I496" s="15"/>
      <c r="J496" s="15"/>
      <c r="K496" s="15"/>
      <c r="L496" s="20"/>
      <c r="M496" s="9"/>
      <c r="N496" s="448"/>
    </row>
    <row r="497" spans="1:14" ht="17.5">
      <c r="A497" s="23"/>
      <c r="B497" s="15">
        <v>484</v>
      </c>
      <c r="C497" s="15">
        <v>1</v>
      </c>
      <c r="D497" s="12" t="e">
        <f>#REF!/#REF!</f>
        <v>#REF!</v>
      </c>
      <c r="E497" s="16">
        <v>1</v>
      </c>
      <c r="F497" s="15"/>
      <c r="G497" s="15"/>
      <c r="H497" s="15"/>
      <c r="I497" s="15"/>
      <c r="J497" s="15"/>
      <c r="K497" s="15"/>
      <c r="L497" s="20"/>
      <c r="M497" s="9"/>
      <c r="N497" s="448"/>
    </row>
    <row r="498" spans="1:14" ht="17.5">
      <c r="A498" s="23"/>
      <c r="B498" s="15">
        <v>485</v>
      </c>
      <c r="C498" s="15">
        <v>1</v>
      </c>
      <c r="D498" s="12" t="e">
        <f>#REF!/#REF!</f>
        <v>#REF!</v>
      </c>
      <c r="E498" s="16">
        <v>1</v>
      </c>
      <c r="F498" s="15"/>
      <c r="G498" s="15"/>
      <c r="H498" s="15"/>
      <c r="I498" s="15"/>
      <c r="J498" s="15"/>
      <c r="K498" s="15"/>
      <c r="L498" s="20"/>
      <c r="M498" s="9"/>
      <c r="N498" s="448"/>
    </row>
    <row r="499" spans="1:14" ht="17.5">
      <c r="A499" s="23"/>
      <c r="B499" s="15">
        <v>486</v>
      </c>
      <c r="C499" s="15">
        <v>1</v>
      </c>
      <c r="D499" s="12" t="e">
        <f>#REF!/#REF!</f>
        <v>#REF!</v>
      </c>
      <c r="E499" s="16">
        <v>1</v>
      </c>
      <c r="F499" s="15"/>
      <c r="G499" s="15"/>
      <c r="H499" s="15"/>
      <c r="I499" s="15"/>
      <c r="J499" s="15"/>
      <c r="K499" s="15"/>
      <c r="L499" s="20"/>
      <c r="M499" s="9"/>
      <c r="N499" s="448"/>
    </row>
    <row r="500" spans="1:14" ht="17.5">
      <c r="A500" s="23"/>
      <c r="B500" s="15">
        <v>487</v>
      </c>
      <c r="C500" s="15">
        <v>1</v>
      </c>
      <c r="D500" s="12" t="e">
        <f>#REF!/#REF!</f>
        <v>#REF!</v>
      </c>
      <c r="E500" s="16">
        <v>1</v>
      </c>
      <c r="F500" s="15"/>
      <c r="G500" s="15"/>
      <c r="H500" s="15"/>
      <c r="I500" s="15"/>
      <c r="J500" s="15"/>
      <c r="K500" s="15"/>
      <c r="L500" s="20"/>
      <c r="M500" s="9"/>
      <c r="N500" s="448"/>
    </row>
    <row r="501" spans="1:14" ht="17.5">
      <c r="A501" s="23"/>
      <c r="B501" s="15">
        <v>488</v>
      </c>
      <c r="C501" s="15">
        <v>1</v>
      </c>
      <c r="D501" s="12" t="e">
        <f>#REF!/#REF!</f>
        <v>#REF!</v>
      </c>
      <c r="E501" s="16">
        <v>1</v>
      </c>
      <c r="F501" s="15"/>
      <c r="G501" s="15"/>
      <c r="H501" s="15"/>
      <c r="I501" s="15"/>
      <c r="J501" s="15"/>
      <c r="K501" s="15"/>
      <c r="L501" s="20"/>
      <c r="M501" s="9"/>
      <c r="N501" s="448"/>
    </row>
    <row r="502" spans="1:14" ht="17.5">
      <c r="A502" s="23"/>
      <c r="B502" s="15">
        <v>489</v>
      </c>
      <c r="C502" s="15">
        <v>1</v>
      </c>
      <c r="D502" s="12" t="e">
        <f>#REF!/#REF!</f>
        <v>#REF!</v>
      </c>
      <c r="E502" s="16">
        <v>1</v>
      </c>
      <c r="F502" s="15"/>
      <c r="G502" s="15"/>
      <c r="H502" s="15"/>
      <c r="I502" s="15"/>
      <c r="J502" s="15"/>
      <c r="K502" s="15"/>
      <c r="L502" s="20"/>
      <c r="M502" s="9"/>
      <c r="N502" s="448"/>
    </row>
    <row r="503" spans="1:14" ht="17.5">
      <c r="A503" s="23"/>
      <c r="B503" s="15">
        <v>490</v>
      </c>
      <c r="C503" s="15">
        <v>1</v>
      </c>
      <c r="D503" s="12" t="e">
        <f>#REF!/#REF!</f>
        <v>#REF!</v>
      </c>
      <c r="E503" s="16">
        <v>1</v>
      </c>
      <c r="F503" s="15"/>
      <c r="G503" s="15"/>
      <c r="H503" s="15"/>
      <c r="I503" s="15"/>
      <c r="J503" s="15"/>
      <c r="K503" s="15"/>
      <c r="L503" s="20"/>
      <c r="M503" s="9"/>
      <c r="N503" s="448"/>
    </row>
    <row r="504" spans="1:14" ht="17.5">
      <c r="A504" s="23"/>
      <c r="B504" s="15">
        <v>491</v>
      </c>
      <c r="C504" s="15">
        <v>1</v>
      </c>
      <c r="D504" s="12" t="e">
        <f>#REF!/#REF!</f>
        <v>#REF!</v>
      </c>
      <c r="E504" s="16">
        <v>1</v>
      </c>
      <c r="F504" s="15"/>
      <c r="G504" s="15"/>
      <c r="H504" s="15"/>
      <c r="I504" s="15"/>
      <c r="J504" s="15"/>
      <c r="K504" s="15"/>
      <c r="L504" s="20"/>
      <c r="M504" s="9"/>
      <c r="N504" s="448"/>
    </row>
    <row r="505" spans="1:14" ht="17.5">
      <c r="A505" s="23"/>
      <c r="B505" s="15">
        <v>492</v>
      </c>
      <c r="C505" s="15">
        <v>1</v>
      </c>
      <c r="D505" s="12" t="e">
        <f>#REF!/#REF!</f>
        <v>#REF!</v>
      </c>
      <c r="E505" s="16">
        <v>1</v>
      </c>
      <c r="F505" s="15"/>
      <c r="G505" s="15"/>
      <c r="H505" s="15"/>
      <c r="I505" s="15"/>
      <c r="J505" s="15"/>
      <c r="K505" s="15"/>
      <c r="L505" s="20"/>
      <c r="M505" s="9"/>
      <c r="N505" s="448"/>
    </row>
    <row r="506" spans="1:14" ht="17.5">
      <c r="A506" s="23"/>
      <c r="B506" s="15">
        <v>493</v>
      </c>
      <c r="C506" s="15">
        <v>1</v>
      </c>
      <c r="D506" s="12" t="e">
        <f>#REF!/#REF!</f>
        <v>#REF!</v>
      </c>
      <c r="E506" s="16">
        <v>1</v>
      </c>
      <c r="F506" s="15"/>
      <c r="G506" s="15"/>
      <c r="H506" s="15"/>
      <c r="I506" s="15"/>
      <c r="J506" s="15"/>
      <c r="K506" s="15"/>
      <c r="L506" s="20"/>
      <c r="M506" s="9"/>
      <c r="N506" s="448"/>
    </row>
    <row r="507" spans="1:14" ht="17.5">
      <c r="A507" s="23"/>
      <c r="B507" s="15">
        <v>494</v>
      </c>
      <c r="C507" s="15">
        <v>1</v>
      </c>
      <c r="D507" s="12" t="e">
        <f>#REF!/#REF!</f>
        <v>#REF!</v>
      </c>
      <c r="E507" s="16">
        <v>1</v>
      </c>
      <c r="F507" s="15"/>
      <c r="G507" s="15"/>
      <c r="H507" s="15"/>
      <c r="I507" s="15"/>
      <c r="J507" s="15"/>
      <c r="K507" s="15"/>
      <c r="L507" s="20"/>
      <c r="M507" s="9"/>
      <c r="N507" s="448"/>
    </row>
    <row r="508" spans="1:14" ht="17.5">
      <c r="A508" s="23"/>
      <c r="B508" s="15">
        <v>495</v>
      </c>
      <c r="C508" s="15">
        <v>1</v>
      </c>
      <c r="D508" s="12" t="e">
        <f>#REF!/#REF!</f>
        <v>#REF!</v>
      </c>
      <c r="E508" s="16">
        <v>1</v>
      </c>
      <c r="F508" s="15"/>
      <c r="G508" s="15"/>
      <c r="H508" s="15"/>
      <c r="I508" s="15"/>
      <c r="J508" s="15"/>
      <c r="K508" s="15"/>
      <c r="L508" s="20"/>
      <c r="M508" s="9"/>
      <c r="N508" s="448"/>
    </row>
    <row r="509" spans="1:14" ht="17.5">
      <c r="A509" s="23"/>
      <c r="B509" s="15">
        <v>496</v>
      </c>
      <c r="C509" s="15">
        <v>1</v>
      </c>
      <c r="D509" s="12" t="e">
        <f>#REF!/#REF!</f>
        <v>#REF!</v>
      </c>
      <c r="E509" s="16">
        <v>1</v>
      </c>
      <c r="F509" s="15"/>
      <c r="G509" s="15"/>
      <c r="H509" s="15"/>
      <c r="I509" s="15"/>
      <c r="J509" s="15"/>
      <c r="K509" s="15"/>
      <c r="L509" s="20"/>
      <c r="M509" s="9"/>
      <c r="N509" s="448"/>
    </row>
    <row r="510" spans="1:14" ht="17.5">
      <c r="A510" s="23"/>
      <c r="B510" s="15">
        <v>497</v>
      </c>
      <c r="C510" s="15">
        <v>1</v>
      </c>
      <c r="D510" s="12" t="e">
        <f>#REF!/#REF!</f>
        <v>#REF!</v>
      </c>
      <c r="E510" s="16">
        <v>1</v>
      </c>
      <c r="F510" s="15"/>
      <c r="G510" s="15"/>
      <c r="H510" s="15"/>
      <c r="I510" s="15"/>
      <c r="J510" s="15"/>
      <c r="K510" s="15"/>
      <c r="L510" s="20"/>
      <c r="M510" s="9"/>
      <c r="N510" s="448"/>
    </row>
    <row r="511" spans="1:14" ht="17.5">
      <c r="A511" s="23"/>
      <c r="B511" s="15">
        <v>498</v>
      </c>
      <c r="C511" s="15">
        <v>1</v>
      </c>
      <c r="D511" s="12" t="e">
        <f>#REF!/#REF!</f>
        <v>#REF!</v>
      </c>
      <c r="E511" s="16">
        <v>1</v>
      </c>
      <c r="F511" s="15"/>
      <c r="G511" s="15"/>
      <c r="H511" s="15"/>
      <c r="I511" s="15"/>
      <c r="J511" s="15"/>
      <c r="K511" s="15"/>
      <c r="L511" s="20"/>
      <c r="M511" s="9"/>
      <c r="N511" s="448"/>
    </row>
    <row r="512" spans="1:14" ht="17.5">
      <c r="A512" s="23"/>
      <c r="B512" s="15">
        <v>499</v>
      </c>
      <c r="C512" s="15">
        <v>1</v>
      </c>
      <c r="D512" s="12" t="e">
        <f>#REF!/#REF!</f>
        <v>#REF!</v>
      </c>
      <c r="E512" s="16">
        <v>1</v>
      </c>
      <c r="F512" s="15"/>
      <c r="G512" s="15"/>
      <c r="H512" s="15"/>
      <c r="I512" s="15"/>
      <c r="J512" s="15"/>
      <c r="K512" s="15"/>
      <c r="L512" s="20"/>
      <c r="M512" s="9"/>
      <c r="N512" s="448"/>
    </row>
    <row r="513" spans="1:14" ht="17.5">
      <c r="A513" s="23"/>
      <c r="B513" s="15">
        <v>500</v>
      </c>
      <c r="C513" s="15">
        <v>1</v>
      </c>
      <c r="D513" s="12" t="e">
        <f>#REF!/#REF!</f>
        <v>#REF!</v>
      </c>
      <c r="E513" s="16">
        <v>1</v>
      </c>
      <c r="F513" s="15"/>
      <c r="G513" s="15"/>
      <c r="H513" s="15"/>
      <c r="I513" s="15"/>
      <c r="J513" s="15"/>
      <c r="K513" s="15"/>
      <c r="L513" s="20"/>
      <c r="M513" s="9"/>
      <c r="N513" s="448"/>
    </row>
    <row r="514" spans="1:14" ht="17.5">
      <c r="A514" s="23"/>
      <c r="B514" s="15">
        <v>501</v>
      </c>
      <c r="C514" s="15">
        <v>1</v>
      </c>
      <c r="D514" s="12" t="e">
        <f>#REF!/#REF!</f>
        <v>#REF!</v>
      </c>
      <c r="E514" s="16">
        <v>1</v>
      </c>
      <c r="F514" s="15"/>
      <c r="G514" s="15"/>
      <c r="H514" s="15"/>
      <c r="I514" s="15"/>
      <c r="J514" s="15"/>
      <c r="K514" s="15"/>
      <c r="L514" s="20"/>
      <c r="M514" s="9"/>
      <c r="N514" s="448"/>
    </row>
    <row r="515" spans="1:14" ht="17.5">
      <c r="A515" s="23"/>
      <c r="B515" s="15">
        <v>502</v>
      </c>
      <c r="C515" s="15">
        <v>1</v>
      </c>
      <c r="D515" s="12" t="e">
        <f>#REF!/#REF!</f>
        <v>#REF!</v>
      </c>
      <c r="E515" s="16">
        <v>1</v>
      </c>
      <c r="F515" s="15"/>
      <c r="G515" s="15"/>
      <c r="H515" s="15"/>
      <c r="I515" s="15"/>
      <c r="J515" s="15"/>
      <c r="K515" s="15"/>
      <c r="L515" s="20"/>
      <c r="M515" s="9"/>
      <c r="N515" s="448"/>
    </row>
    <row r="516" spans="1:14" ht="17.5">
      <c r="A516" s="23"/>
      <c r="B516" s="15">
        <v>503</v>
      </c>
      <c r="C516" s="15">
        <v>1</v>
      </c>
      <c r="D516" s="12" t="e">
        <f>#REF!/#REF!</f>
        <v>#REF!</v>
      </c>
      <c r="E516" s="16">
        <v>1</v>
      </c>
      <c r="F516" s="15"/>
      <c r="G516" s="15"/>
      <c r="H516" s="15"/>
      <c r="I516" s="15"/>
      <c r="J516" s="15"/>
      <c r="K516" s="15"/>
      <c r="L516" s="20"/>
      <c r="M516" s="9"/>
      <c r="N516" s="448"/>
    </row>
    <row r="517" spans="1:14" ht="17.5">
      <c r="A517" s="23"/>
      <c r="B517" s="15">
        <v>504</v>
      </c>
      <c r="C517" s="15">
        <v>1</v>
      </c>
      <c r="D517" s="12" t="e">
        <f>#REF!/#REF!</f>
        <v>#REF!</v>
      </c>
      <c r="E517" s="16">
        <v>1</v>
      </c>
      <c r="F517" s="15"/>
      <c r="G517" s="15"/>
      <c r="H517" s="15"/>
      <c r="I517" s="15"/>
      <c r="J517" s="15"/>
      <c r="K517" s="15"/>
      <c r="L517" s="20"/>
      <c r="M517" s="9"/>
      <c r="N517" s="448"/>
    </row>
    <row r="518" spans="1:14" ht="17.5">
      <c r="A518" s="23"/>
      <c r="B518" s="15">
        <v>505</v>
      </c>
      <c r="C518" s="15">
        <v>1</v>
      </c>
      <c r="D518" s="12" t="e">
        <f>#REF!/#REF!</f>
        <v>#REF!</v>
      </c>
      <c r="E518" s="16">
        <v>1</v>
      </c>
      <c r="F518" s="15"/>
      <c r="G518" s="15"/>
      <c r="H518" s="15"/>
      <c r="I518" s="15"/>
      <c r="J518" s="15"/>
      <c r="K518" s="15"/>
      <c r="L518" s="20"/>
      <c r="M518" s="9"/>
      <c r="N518" s="448"/>
    </row>
    <row r="519" spans="1:14" ht="17.5">
      <c r="A519" s="23"/>
      <c r="B519" s="15">
        <v>506</v>
      </c>
      <c r="C519" s="15">
        <v>1</v>
      </c>
      <c r="D519" s="12" t="e">
        <f>#REF!/#REF!</f>
        <v>#REF!</v>
      </c>
      <c r="E519" s="16">
        <v>1</v>
      </c>
      <c r="F519" s="15"/>
      <c r="G519" s="15"/>
      <c r="H519" s="15"/>
      <c r="I519" s="15"/>
      <c r="J519" s="15"/>
      <c r="K519" s="15"/>
      <c r="L519" s="20"/>
      <c r="M519" s="9"/>
      <c r="N519" s="448"/>
    </row>
    <row r="520" spans="1:14" ht="17.5">
      <c r="A520" s="23"/>
      <c r="B520" s="15">
        <v>507</v>
      </c>
      <c r="C520" s="15">
        <v>1</v>
      </c>
      <c r="D520" s="12" t="e">
        <f>#REF!/#REF!</f>
        <v>#REF!</v>
      </c>
      <c r="E520" s="16">
        <v>1</v>
      </c>
      <c r="F520" s="15"/>
      <c r="G520" s="15"/>
      <c r="H520" s="15"/>
      <c r="I520" s="15"/>
      <c r="J520" s="15"/>
      <c r="K520" s="15"/>
      <c r="L520" s="20"/>
      <c r="M520" s="9"/>
      <c r="N520" s="448"/>
    </row>
    <row r="521" spans="1:14" ht="17.5">
      <c r="A521" s="23"/>
      <c r="B521" s="15">
        <v>508</v>
      </c>
      <c r="C521" s="15">
        <v>1</v>
      </c>
      <c r="D521" s="12" t="e">
        <f>#REF!/#REF!</f>
        <v>#REF!</v>
      </c>
      <c r="E521" s="16">
        <v>1</v>
      </c>
      <c r="F521" s="15"/>
      <c r="G521" s="15"/>
      <c r="H521" s="15"/>
      <c r="I521" s="15"/>
      <c r="J521" s="15"/>
      <c r="K521" s="15"/>
      <c r="L521" s="20"/>
      <c r="M521" s="9"/>
      <c r="N521" s="448"/>
    </row>
    <row r="522" spans="1:14" ht="17.5">
      <c r="A522" s="23"/>
      <c r="B522" s="15">
        <v>509</v>
      </c>
      <c r="C522" s="15">
        <v>1</v>
      </c>
      <c r="D522" s="12" t="e">
        <f>#REF!/#REF!</f>
        <v>#REF!</v>
      </c>
      <c r="E522" s="16">
        <v>1</v>
      </c>
      <c r="F522" s="15"/>
      <c r="G522" s="15"/>
      <c r="H522" s="15"/>
      <c r="I522" s="15"/>
      <c r="J522" s="15"/>
      <c r="K522" s="15"/>
      <c r="L522" s="20"/>
      <c r="M522" s="9"/>
      <c r="N522" s="448"/>
    </row>
    <row r="523" spans="1:14" ht="17.5">
      <c r="A523" s="23"/>
      <c r="B523" s="15">
        <v>510</v>
      </c>
      <c r="C523" s="15">
        <v>1</v>
      </c>
      <c r="D523" s="12" t="e">
        <f>#REF!/#REF!</f>
        <v>#REF!</v>
      </c>
      <c r="E523" s="16">
        <v>1</v>
      </c>
      <c r="F523" s="15"/>
      <c r="G523" s="15"/>
      <c r="H523" s="15"/>
      <c r="I523" s="15"/>
      <c r="J523" s="15"/>
      <c r="K523" s="15"/>
      <c r="L523" s="20"/>
      <c r="M523" s="9"/>
      <c r="N523" s="448"/>
    </row>
    <row r="524" spans="1:14" ht="17.5">
      <c r="A524" s="23"/>
      <c r="B524" s="15">
        <v>511</v>
      </c>
      <c r="C524" s="15">
        <v>1</v>
      </c>
      <c r="D524" s="12" t="e">
        <f>#REF!/#REF!</f>
        <v>#REF!</v>
      </c>
      <c r="E524" s="16">
        <v>1</v>
      </c>
      <c r="F524" s="15"/>
      <c r="G524" s="15"/>
      <c r="H524" s="15"/>
      <c r="I524" s="15"/>
      <c r="J524" s="15"/>
      <c r="K524" s="15"/>
      <c r="L524" s="20"/>
      <c r="M524" s="9"/>
      <c r="N524" s="448"/>
    </row>
    <row r="525" spans="1:14" ht="17.5">
      <c r="A525" s="23"/>
      <c r="B525" s="15">
        <v>512</v>
      </c>
      <c r="C525" s="15">
        <v>1</v>
      </c>
      <c r="D525" s="12" t="e">
        <f>#REF!/#REF!</f>
        <v>#REF!</v>
      </c>
      <c r="E525" s="16">
        <v>1</v>
      </c>
      <c r="F525" s="15"/>
      <c r="G525" s="15"/>
      <c r="H525" s="15"/>
      <c r="I525" s="15"/>
      <c r="J525" s="15"/>
      <c r="K525" s="15"/>
      <c r="L525" s="20"/>
      <c r="M525" s="9"/>
      <c r="N525" s="448"/>
    </row>
    <row r="526" spans="1:14" ht="17.5">
      <c r="A526" s="23"/>
      <c r="B526" s="15">
        <v>513</v>
      </c>
      <c r="C526" s="15">
        <v>1</v>
      </c>
      <c r="D526" s="12" t="e">
        <f>#REF!/#REF!</f>
        <v>#REF!</v>
      </c>
      <c r="E526" s="16">
        <v>1</v>
      </c>
      <c r="F526" s="15"/>
      <c r="G526" s="15"/>
      <c r="H526" s="15"/>
      <c r="I526" s="15"/>
      <c r="J526" s="15"/>
      <c r="K526" s="15"/>
      <c r="L526" s="20"/>
      <c r="M526" s="9"/>
      <c r="N526" s="448"/>
    </row>
    <row r="527" spans="1:14" ht="17.5">
      <c r="A527" s="23"/>
      <c r="B527" s="15">
        <v>514</v>
      </c>
      <c r="C527" s="15">
        <v>1</v>
      </c>
      <c r="D527" s="12" t="e">
        <f>#REF!/#REF!</f>
        <v>#REF!</v>
      </c>
      <c r="E527" s="16">
        <v>1</v>
      </c>
      <c r="F527" s="15"/>
      <c r="G527" s="15"/>
      <c r="H527" s="15"/>
      <c r="I527" s="15"/>
      <c r="J527" s="15"/>
      <c r="K527" s="15"/>
      <c r="L527" s="20"/>
      <c r="M527" s="9"/>
      <c r="N527" s="448"/>
    </row>
    <row r="528" spans="1:14" ht="17.5">
      <c r="A528" s="23"/>
      <c r="B528" s="15">
        <v>515</v>
      </c>
      <c r="C528" s="15">
        <v>1</v>
      </c>
      <c r="D528" s="12" t="e">
        <f>#REF!/#REF!</f>
        <v>#REF!</v>
      </c>
      <c r="E528" s="16">
        <v>1</v>
      </c>
      <c r="F528" s="15"/>
      <c r="G528" s="15"/>
      <c r="H528" s="15"/>
      <c r="I528" s="15"/>
      <c r="J528" s="15"/>
      <c r="K528" s="15"/>
      <c r="L528" s="20"/>
      <c r="M528" s="9"/>
      <c r="N528" s="448"/>
    </row>
    <row r="529" spans="1:14" ht="17.5">
      <c r="A529" s="23"/>
      <c r="B529" s="15">
        <v>516</v>
      </c>
      <c r="C529" s="15">
        <v>1</v>
      </c>
      <c r="D529" s="12" t="e">
        <f>#REF!/#REF!</f>
        <v>#REF!</v>
      </c>
      <c r="E529" s="16">
        <v>1</v>
      </c>
      <c r="F529" s="15"/>
      <c r="G529" s="15"/>
      <c r="H529" s="15"/>
      <c r="I529" s="15"/>
      <c r="J529" s="15"/>
      <c r="K529" s="15"/>
      <c r="L529" s="20"/>
      <c r="M529" s="9"/>
      <c r="N529" s="448"/>
    </row>
    <row r="530" spans="1:14" ht="17.5">
      <c r="A530" s="23"/>
      <c r="B530" s="15">
        <v>517</v>
      </c>
      <c r="C530" s="15">
        <v>1</v>
      </c>
      <c r="D530" s="12" t="e">
        <f>#REF!/#REF!</f>
        <v>#REF!</v>
      </c>
      <c r="E530" s="16">
        <v>1</v>
      </c>
      <c r="F530" s="15"/>
      <c r="G530" s="15"/>
      <c r="H530" s="15"/>
      <c r="I530" s="15"/>
      <c r="J530" s="15"/>
      <c r="K530" s="15"/>
      <c r="L530" s="20"/>
      <c r="M530" s="9"/>
      <c r="N530" s="448"/>
    </row>
    <row r="531" spans="1:14" ht="17.5">
      <c r="A531" s="23"/>
      <c r="B531" s="15">
        <v>518</v>
      </c>
      <c r="C531" s="15">
        <v>1</v>
      </c>
      <c r="D531" s="12" t="e">
        <f>#REF!/#REF!</f>
        <v>#REF!</v>
      </c>
      <c r="E531" s="16">
        <v>1</v>
      </c>
      <c r="F531" s="15"/>
      <c r="G531" s="15"/>
      <c r="H531" s="15"/>
      <c r="I531" s="15"/>
      <c r="J531" s="15"/>
      <c r="K531" s="15"/>
      <c r="L531" s="20"/>
      <c r="M531" s="9"/>
      <c r="N531" s="448"/>
    </row>
    <row r="532" spans="1:14" ht="17.5">
      <c r="A532" s="23"/>
      <c r="B532" s="15">
        <v>519</v>
      </c>
      <c r="C532" s="15">
        <v>1</v>
      </c>
      <c r="D532" s="12" t="e">
        <f>#REF!/#REF!</f>
        <v>#REF!</v>
      </c>
      <c r="E532" s="16">
        <v>1</v>
      </c>
      <c r="F532" s="15"/>
      <c r="G532" s="15"/>
      <c r="H532" s="15"/>
      <c r="I532" s="15"/>
      <c r="J532" s="15"/>
      <c r="K532" s="15"/>
      <c r="L532" s="20"/>
      <c r="M532" s="9"/>
      <c r="N532" s="448"/>
    </row>
    <row r="533" spans="1:14" ht="17.5">
      <c r="A533" s="23"/>
      <c r="B533" s="15">
        <v>520</v>
      </c>
      <c r="C533" s="15">
        <v>1</v>
      </c>
      <c r="D533" s="12" t="e">
        <f>#REF!/#REF!</f>
        <v>#REF!</v>
      </c>
      <c r="E533" s="16">
        <v>1</v>
      </c>
      <c r="F533" s="15"/>
      <c r="G533" s="15"/>
      <c r="H533" s="15"/>
      <c r="I533" s="15"/>
      <c r="J533" s="15"/>
      <c r="K533" s="15"/>
      <c r="L533" s="20"/>
      <c r="M533" s="9"/>
      <c r="N533" s="448"/>
    </row>
    <row r="534" spans="1:14" ht="17.5">
      <c r="A534" s="23"/>
      <c r="B534" s="15">
        <v>521</v>
      </c>
      <c r="C534" s="15">
        <v>1</v>
      </c>
      <c r="D534" s="12" t="e">
        <f>#REF!/#REF!</f>
        <v>#REF!</v>
      </c>
      <c r="E534" s="16">
        <v>1</v>
      </c>
      <c r="F534" s="15"/>
      <c r="G534" s="15"/>
      <c r="H534" s="15"/>
      <c r="I534" s="15"/>
      <c r="J534" s="15"/>
      <c r="K534" s="15"/>
      <c r="L534" s="20"/>
      <c r="M534" s="9"/>
      <c r="N534" s="448"/>
    </row>
    <row r="535" spans="1:14" ht="17.5">
      <c r="A535" s="23"/>
      <c r="B535" s="15">
        <v>522</v>
      </c>
      <c r="C535" s="15">
        <v>1</v>
      </c>
      <c r="D535" s="12" t="e">
        <f>#REF!/#REF!</f>
        <v>#REF!</v>
      </c>
      <c r="E535" s="16">
        <v>1</v>
      </c>
      <c r="F535" s="15"/>
      <c r="G535" s="15"/>
      <c r="H535" s="15"/>
      <c r="I535" s="15"/>
      <c r="J535" s="15"/>
      <c r="K535" s="15"/>
      <c r="L535" s="20"/>
      <c r="M535" s="9"/>
      <c r="N535" s="448"/>
    </row>
    <row r="536" spans="1:14" ht="17.5">
      <c r="A536" s="23"/>
      <c r="B536" s="15">
        <v>523</v>
      </c>
      <c r="C536" s="15">
        <v>1</v>
      </c>
      <c r="D536" s="12" t="e">
        <f>#REF!/#REF!</f>
        <v>#REF!</v>
      </c>
      <c r="E536" s="16">
        <v>1</v>
      </c>
      <c r="F536" s="15"/>
      <c r="G536" s="15"/>
      <c r="H536" s="15"/>
      <c r="I536" s="15"/>
      <c r="J536" s="15"/>
      <c r="K536" s="15"/>
      <c r="L536" s="20"/>
      <c r="M536" s="9"/>
      <c r="N536" s="448"/>
    </row>
    <row r="537" spans="1:14" ht="17.5">
      <c r="A537" s="23"/>
      <c r="B537" s="15">
        <v>524</v>
      </c>
      <c r="C537" s="15">
        <v>1</v>
      </c>
      <c r="D537" s="12" t="e">
        <f>#REF!/#REF!</f>
        <v>#REF!</v>
      </c>
      <c r="E537" s="16">
        <v>1</v>
      </c>
      <c r="F537" s="15"/>
      <c r="G537" s="15"/>
      <c r="H537" s="15"/>
      <c r="I537" s="15"/>
      <c r="J537" s="15"/>
      <c r="K537" s="15"/>
      <c r="L537" s="20"/>
      <c r="M537" s="9"/>
      <c r="N537" s="448"/>
    </row>
    <row r="538" spans="1:14" ht="17.5">
      <c r="A538" s="23"/>
      <c r="B538" s="15">
        <v>525</v>
      </c>
      <c r="C538" s="15">
        <v>1</v>
      </c>
      <c r="D538" s="12" t="e">
        <f>#REF!/#REF!</f>
        <v>#REF!</v>
      </c>
      <c r="E538" s="16">
        <v>1</v>
      </c>
      <c r="F538" s="15"/>
      <c r="G538" s="15"/>
      <c r="H538" s="15"/>
      <c r="I538" s="15"/>
      <c r="J538" s="15"/>
      <c r="K538" s="15"/>
      <c r="L538" s="20"/>
      <c r="M538" s="9"/>
      <c r="N538" s="448"/>
    </row>
    <row r="539" spans="1:14" ht="17.5">
      <c r="A539" s="23"/>
      <c r="B539" s="15">
        <v>526</v>
      </c>
      <c r="C539" s="15">
        <v>1</v>
      </c>
      <c r="D539" s="12" t="e">
        <f>#REF!/#REF!</f>
        <v>#REF!</v>
      </c>
      <c r="E539" s="16">
        <v>1</v>
      </c>
      <c r="F539" s="15"/>
      <c r="G539" s="15"/>
      <c r="H539" s="15"/>
      <c r="I539" s="15"/>
      <c r="J539" s="15"/>
      <c r="K539" s="15"/>
      <c r="L539" s="20"/>
      <c r="M539" s="9"/>
      <c r="N539" s="448"/>
    </row>
    <row r="540" spans="1:14" ht="17.5">
      <c r="A540" s="23"/>
      <c r="B540" s="15">
        <v>527</v>
      </c>
      <c r="C540" s="15">
        <v>1</v>
      </c>
      <c r="D540" s="12" t="e">
        <f>#REF!/#REF!</f>
        <v>#REF!</v>
      </c>
      <c r="E540" s="16">
        <v>1</v>
      </c>
      <c r="F540" s="15"/>
      <c r="G540" s="15"/>
      <c r="H540" s="15"/>
      <c r="I540" s="15"/>
      <c r="J540" s="15"/>
      <c r="K540" s="15"/>
      <c r="L540" s="20"/>
      <c r="M540" s="9"/>
      <c r="N540" s="448"/>
    </row>
    <row r="541" spans="1:14" ht="17.5">
      <c r="A541" s="23"/>
      <c r="B541" s="15">
        <v>528</v>
      </c>
      <c r="C541" s="15">
        <v>1</v>
      </c>
      <c r="D541" s="12" t="e">
        <f>#REF!/#REF!</f>
        <v>#REF!</v>
      </c>
      <c r="E541" s="16">
        <v>1</v>
      </c>
      <c r="F541" s="15"/>
      <c r="G541" s="15"/>
      <c r="H541" s="15"/>
      <c r="I541" s="15"/>
      <c r="J541" s="15"/>
      <c r="K541" s="15"/>
      <c r="L541" s="20"/>
      <c r="M541" s="9"/>
      <c r="N541" s="448"/>
    </row>
    <row r="542" spans="1:14" ht="17.5">
      <c r="A542" s="23"/>
      <c r="B542" s="15">
        <v>529</v>
      </c>
      <c r="C542" s="15">
        <v>1</v>
      </c>
      <c r="D542" s="12" t="e">
        <f>#REF!/#REF!</f>
        <v>#REF!</v>
      </c>
      <c r="E542" s="16">
        <v>1</v>
      </c>
      <c r="F542" s="15"/>
      <c r="G542" s="15"/>
      <c r="H542" s="15"/>
      <c r="I542" s="15"/>
      <c r="J542" s="15"/>
      <c r="K542" s="15"/>
      <c r="L542" s="20"/>
      <c r="M542" s="9"/>
      <c r="N542" s="448"/>
    </row>
    <row r="543" spans="1:14" ht="17.5">
      <c r="A543" s="23"/>
      <c r="B543" s="15">
        <v>530</v>
      </c>
      <c r="C543" s="15">
        <v>1</v>
      </c>
      <c r="D543" s="12" t="e">
        <f>#REF!/#REF!</f>
        <v>#REF!</v>
      </c>
      <c r="E543" s="16">
        <v>1</v>
      </c>
      <c r="F543" s="15"/>
      <c r="G543" s="15"/>
      <c r="H543" s="15"/>
      <c r="I543" s="15"/>
      <c r="J543" s="15"/>
      <c r="K543" s="15"/>
      <c r="L543" s="20"/>
      <c r="M543" s="9"/>
      <c r="N543" s="448"/>
    </row>
    <row r="544" spans="1:14" ht="17.5">
      <c r="A544" s="23"/>
      <c r="B544" s="15">
        <v>531</v>
      </c>
      <c r="C544" s="15">
        <v>1</v>
      </c>
      <c r="D544" s="12" t="e">
        <f>#REF!/#REF!</f>
        <v>#REF!</v>
      </c>
      <c r="E544" s="16">
        <v>1</v>
      </c>
      <c r="F544" s="15"/>
      <c r="G544" s="15"/>
      <c r="H544" s="15"/>
      <c r="I544" s="15"/>
      <c r="J544" s="15"/>
      <c r="K544" s="15"/>
      <c r="L544" s="20"/>
      <c r="M544" s="9"/>
      <c r="N544" s="448"/>
    </row>
    <row r="545" spans="1:14" ht="17.5">
      <c r="A545" s="23"/>
      <c r="B545" s="15">
        <v>532</v>
      </c>
      <c r="C545" s="15">
        <v>1</v>
      </c>
      <c r="D545" s="12" t="e">
        <f>#REF!/#REF!</f>
        <v>#REF!</v>
      </c>
      <c r="E545" s="16">
        <v>1</v>
      </c>
      <c r="F545" s="15"/>
      <c r="G545" s="15"/>
      <c r="H545" s="15"/>
      <c r="I545" s="15"/>
      <c r="J545" s="15"/>
      <c r="K545" s="15"/>
      <c r="L545" s="20"/>
      <c r="M545" s="9"/>
      <c r="N545" s="448"/>
    </row>
    <row r="546" spans="1:14" ht="17.5">
      <c r="A546" s="23"/>
      <c r="B546" s="15">
        <v>533</v>
      </c>
      <c r="C546" s="15">
        <v>1</v>
      </c>
      <c r="D546" s="12" t="e">
        <f>#REF!/#REF!</f>
        <v>#REF!</v>
      </c>
      <c r="E546" s="16">
        <v>1</v>
      </c>
      <c r="F546" s="15"/>
      <c r="G546" s="15"/>
      <c r="H546" s="15"/>
      <c r="I546" s="15"/>
      <c r="J546" s="15"/>
      <c r="K546" s="15"/>
      <c r="L546" s="20"/>
      <c r="M546" s="9"/>
      <c r="N546" s="448"/>
    </row>
    <row r="547" spans="1:14" ht="17.5">
      <c r="A547" s="23"/>
      <c r="B547" s="15">
        <v>534</v>
      </c>
      <c r="C547" s="15">
        <v>1</v>
      </c>
      <c r="D547" s="12" t="e">
        <f>#REF!/#REF!</f>
        <v>#REF!</v>
      </c>
      <c r="E547" s="16">
        <v>1</v>
      </c>
      <c r="F547" s="15"/>
      <c r="G547" s="15"/>
      <c r="H547" s="15"/>
      <c r="I547" s="15"/>
      <c r="J547" s="15"/>
      <c r="K547" s="15"/>
      <c r="L547" s="20"/>
      <c r="M547" s="9"/>
      <c r="N547" s="448"/>
    </row>
    <row r="548" spans="1:14" ht="17.5">
      <c r="A548" s="23"/>
      <c r="B548" s="15">
        <v>535</v>
      </c>
      <c r="C548" s="15">
        <v>1</v>
      </c>
      <c r="D548" s="12" t="e">
        <f>#REF!/#REF!</f>
        <v>#REF!</v>
      </c>
      <c r="E548" s="16">
        <v>1</v>
      </c>
      <c r="F548" s="15"/>
      <c r="G548" s="15"/>
      <c r="H548" s="15"/>
      <c r="I548" s="15"/>
      <c r="J548" s="15"/>
      <c r="K548" s="15"/>
      <c r="L548" s="20"/>
      <c r="M548" s="9"/>
      <c r="N548" s="448"/>
    </row>
    <row r="549" spans="1:14" ht="17.5">
      <c r="A549" s="23"/>
      <c r="B549" s="15">
        <v>536</v>
      </c>
      <c r="C549" s="15">
        <v>1</v>
      </c>
      <c r="D549" s="12" t="e">
        <f>#REF!/#REF!</f>
        <v>#REF!</v>
      </c>
      <c r="E549" s="16">
        <v>1</v>
      </c>
      <c r="F549" s="15"/>
      <c r="G549" s="15"/>
      <c r="H549" s="15"/>
      <c r="I549" s="15"/>
      <c r="J549" s="15"/>
      <c r="K549" s="15"/>
      <c r="L549" s="20"/>
      <c r="M549" s="9"/>
      <c r="N549" s="448"/>
    </row>
    <row r="550" spans="1:14" ht="17.5">
      <c r="A550" s="23"/>
      <c r="B550" s="15">
        <v>537</v>
      </c>
      <c r="C550" s="15">
        <v>1</v>
      </c>
      <c r="D550" s="12" t="e">
        <f>#REF!/#REF!</f>
        <v>#REF!</v>
      </c>
      <c r="E550" s="16">
        <v>1</v>
      </c>
      <c r="F550" s="15"/>
      <c r="G550" s="15"/>
      <c r="H550" s="15"/>
      <c r="I550" s="15"/>
      <c r="J550" s="15"/>
      <c r="K550" s="15"/>
      <c r="L550" s="20"/>
      <c r="M550" s="9"/>
      <c r="N550" s="448"/>
    </row>
    <row r="551" spans="1:14" ht="17.5">
      <c r="A551" s="23"/>
      <c r="B551" s="15">
        <v>538</v>
      </c>
      <c r="C551" s="15">
        <v>1</v>
      </c>
      <c r="D551" s="12" t="e">
        <f>#REF!/#REF!</f>
        <v>#REF!</v>
      </c>
      <c r="E551" s="16">
        <v>1</v>
      </c>
      <c r="F551" s="15"/>
      <c r="G551" s="15"/>
      <c r="H551" s="15"/>
      <c r="I551" s="15"/>
      <c r="J551" s="15"/>
      <c r="K551" s="15"/>
      <c r="L551" s="20"/>
      <c r="M551" s="9"/>
      <c r="N551" s="448"/>
    </row>
    <row r="552" spans="1:14" ht="17.5">
      <c r="A552" s="23"/>
      <c r="B552" s="15">
        <v>539</v>
      </c>
      <c r="C552" s="15">
        <v>1</v>
      </c>
      <c r="D552" s="12" t="e">
        <f>#REF!/#REF!</f>
        <v>#REF!</v>
      </c>
      <c r="E552" s="16">
        <v>1</v>
      </c>
      <c r="F552" s="15"/>
      <c r="G552" s="15"/>
      <c r="H552" s="15"/>
      <c r="I552" s="15"/>
      <c r="J552" s="15"/>
      <c r="K552" s="15"/>
      <c r="L552" s="20"/>
      <c r="M552" s="9"/>
      <c r="N552" s="448"/>
    </row>
    <row r="553" spans="1:14" ht="17.5">
      <c r="A553" s="23"/>
      <c r="B553" s="15">
        <v>540</v>
      </c>
      <c r="C553" s="15">
        <v>1</v>
      </c>
      <c r="D553" s="12" t="e">
        <f>#REF!/#REF!</f>
        <v>#REF!</v>
      </c>
      <c r="E553" s="16">
        <v>1</v>
      </c>
      <c r="F553" s="15"/>
      <c r="G553" s="15"/>
      <c r="H553" s="15"/>
      <c r="I553" s="15"/>
      <c r="J553" s="15"/>
      <c r="K553" s="15"/>
      <c r="L553" s="20"/>
      <c r="M553" s="9"/>
      <c r="N553" s="448"/>
    </row>
    <row r="554" spans="1:14" ht="17.5">
      <c r="A554" s="23"/>
      <c r="B554" s="15">
        <v>541</v>
      </c>
      <c r="C554" s="15">
        <v>1</v>
      </c>
      <c r="D554" s="12" t="e">
        <f>#REF!/#REF!</f>
        <v>#REF!</v>
      </c>
      <c r="E554" s="16">
        <v>1</v>
      </c>
      <c r="F554" s="15"/>
      <c r="G554" s="15"/>
      <c r="H554" s="15"/>
      <c r="I554" s="15"/>
      <c r="J554" s="15"/>
      <c r="K554" s="15"/>
      <c r="L554" s="20"/>
      <c r="M554" s="9"/>
      <c r="N554" s="448"/>
    </row>
    <row r="555" spans="1:14" ht="17.5">
      <c r="A555" s="23"/>
      <c r="B555" s="15">
        <v>542</v>
      </c>
      <c r="C555" s="15">
        <v>1</v>
      </c>
      <c r="D555" s="12" t="e">
        <f>#REF!/#REF!</f>
        <v>#REF!</v>
      </c>
      <c r="E555" s="16">
        <v>1</v>
      </c>
      <c r="F555" s="15"/>
      <c r="G555" s="15"/>
      <c r="H555" s="15"/>
      <c r="I555" s="15"/>
      <c r="J555" s="15"/>
      <c r="K555" s="15"/>
      <c r="L555" s="20"/>
      <c r="M555" s="9"/>
      <c r="N555" s="448"/>
    </row>
    <row r="556" spans="1:14" ht="17.5">
      <c r="A556" s="23"/>
      <c r="B556" s="15">
        <v>543</v>
      </c>
      <c r="C556" s="15">
        <v>1</v>
      </c>
      <c r="D556" s="12" t="e">
        <f>#REF!/#REF!</f>
        <v>#REF!</v>
      </c>
      <c r="E556" s="16">
        <v>1</v>
      </c>
      <c r="F556" s="15"/>
      <c r="G556" s="15"/>
      <c r="H556" s="15"/>
      <c r="I556" s="15"/>
      <c r="J556" s="15"/>
      <c r="K556" s="15"/>
      <c r="L556" s="20"/>
      <c r="M556" s="9"/>
      <c r="N556" s="448"/>
    </row>
    <row r="557" spans="1:14" ht="17.5">
      <c r="A557" s="23"/>
      <c r="B557" s="15">
        <v>544</v>
      </c>
      <c r="C557" s="15">
        <v>1</v>
      </c>
      <c r="D557" s="12" t="e">
        <f>#REF!/#REF!</f>
        <v>#REF!</v>
      </c>
      <c r="E557" s="16">
        <v>1</v>
      </c>
      <c r="F557" s="15"/>
      <c r="G557" s="15"/>
      <c r="H557" s="15"/>
      <c r="I557" s="15"/>
      <c r="J557" s="15"/>
      <c r="K557" s="15"/>
      <c r="L557" s="20"/>
      <c r="M557" s="9"/>
      <c r="N557" s="448"/>
    </row>
    <row r="558" spans="1:14" ht="17.5">
      <c r="A558" s="23"/>
      <c r="B558" s="15">
        <v>545</v>
      </c>
      <c r="C558" s="15">
        <v>1</v>
      </c>
      <c r="D558" s="12" t="e">
        <f>#REF!/#REF!</f>
        <v>#REF!</v>
      </c>
      <c r="E558" s="16">
        <v>1</v>
      </c>
      <c r="F558" s="15"/>
      <c r="G558" s="15"/>
      <c r="H558" s="15"/>
      <c r="I558" s="15"/>
      <c r="J558" s="15"/>
      <c r="K558" s="15"/>
      <c r="L558" s="20"/>
      <c r="M558" s="9"/>
      <c r="N558" s="448"/>
    </row>
    <row r="559" spans="1:14" ht="17.5">
      <c r="A559" s="23"/>
      <c r="B559" s="15">
        <v>546</v>
      </c>
      <c r="C559" s="15">
        <v>1</v>
      </c>
      <c r="D559" s="12" t="e">
        <f>#REF!/#REF!</f>
        <v>#REF!</v>
      </c>
      <c r="E559" s="16">
        <v>1</v>
      </c>
      <c r="F559" s="15"/>
      <c r="G559" s="15"/>
      <c r="H559" s="15"/>
      <c r="I559" s="15"/>
      <c r="J559" s="15"/>
      <c r="K559" s="15"/>
      <c r="L559" s="20"/>
      <c r="M559" s="9"/>
      <c r="N559" s="448"/>
    </row>
    <row r="560" spans="1:14" ht="17.5">
      <c r="A560" s="23"/>
      <c r="B560" s="15">
        <v>547</v>
      </c>
      <c r="C560" s="15">
        <v>1</v>
      </c>
      <c r="D560" s="12" t="e">
        <f>#REF!/#REF!</f>
        <v>#REF!</v>
      </c>
      <c r="E560" s="16">
        <v>1</v>
      </c>
      <c r="F560" s="15"/>
      <c r="G560" s="15"/>
      <c r="H560" s="15"/>
      <c r="I560" s="15"/>
      <c r="J560" s="15"/>
      <c r="K560" s="15"/>
      <c r="L560" s="20"/>
      <c r="M560" s="9"/>
      <c r="N560" s="448"/>
    </row>
    <row r="561" spans="1:14" ht="17.5">
      <c r="A561" s="23"/>
      <c r="B561" s="15">
        <v>548</v>
      </c>
      <c r="C561" s="15">
        <v>1</v>
      </c>
      <c r="D561" s="12" t="e">
        <f>#REF!/#REF!</f>
        <v>#REF!</v>
      </c>
      <c r="E561" s="16">
        <v>1</v>
      </c>
      <c r="F561" s="15"/>
      <c r="G561" s="15"/>
      <c r="H561" s="15"/>
      <c r="I561" s="15"/>
      <c r="J561" s="15"/>
      <c r="K561" s="15"/>
      <c r="L561" s="20"/>
      <c r="M561" s="9"/>
      <c r="N561" s="448"/>
    </row>
    <row r="562" spans="1:14" ht="17.5">
      <c r="A562" s="23"/>
      <c r="B562" s="15">
        <v>549</v>
      </c>
      <c r="C562" s="15">
        <v>1</v>
      </c>
      <c r="D562" s="12" t="e">
        <f>#REF!/#REF!</f>
        <v>#REF!</v>
      </c>
      <c r="E562" s="16">
        <v>1</v>
      </c>
      <c r="F562" s="15"/>
      <c r="G562" s="15"/>
      <c r="H562" s="15"/>
      <c r="I562" s="15"/>
      <c r="J562" s="15"/>
      <c r="K562" s="15"/>
      <c r="L562" s="20"/>
      <c r="M562" s="9"/>
      <c r="N562" s="448"/>
    </row>
    <row r="563" spans="1:14" ht="17.5">
      <c r="A563" s="23"/>
      <c r="B563" s="15">
        <v>550</v>
      </c>
      <c r="C563" s="15">
        <v>1</v>
      </c>
      <c r="D563" s="12" t="e">
        <f>#REF!/#REF!</f>
        <v>#REF!</v>
      </c>
      <c r="E563" s="16">
        <v>1</v>
      </c>
      <c r="F563" s="15"/>
      <c r="G563" s="15"/>
      <c r="H563" s="15"/>
      <c r="I563" s="15"/>
      <c r="J563" s="15"/>
      <c r="K563" s="15"/>
      <c r="L563" s="20"/>
      <c r="M563" s="9"/>
      <c r="N563" s="448"/>
    </row>
    <row r="564" spans="1:14" ht="17.5">
      <c r="A564" s="23"/>
      <c r="B564" s="15">
        <v>551</v>
      </c>
      <c r="C564" s="15">
        <v>1</v>
      </c>
      <c r="D564" s="12" t="e">
        <f>#REF!/#REF!</f>
        <v>#REF!</v>
      </c>
      <c r="E564" s="16">
        <v>1</v>
      </c>
      <c r="F564" s="15"/>
      <c r="G564" s="15"/>
      <c r="H564" s="15"/>
      <c r="I564" s="15"/>
      <c r="J564" s="15"/>
      <c r="K564" s="15"/>
      <c r="L564" s="20"/>
      <c r="M564" s="9"/>
      <c r="N564" s="448"/>
    </row>
    <row r="565" spans="1:14" ht="17.5">
      <c r="A565" s="23"/>
      <c r="B565" s="15">
        <v>552</v>
      </c>
      <c r="C565" s="15">
        <v>1</v>
      </c>
      <c r="D565" s="12" t="e">
        <f>#REF!/#REF!</f>
        <v>#REF!</v>
      </c>
      <c r="E565" s="16">
        <v>1</v>
      </c>
      <c r="F565" s="15"/>
      <c r="G565" s="15"/>
      <c r="H565" s="15"/>
      <c r="I565" s="15"/>
      <c r="J565" s="15"/>
      <c r="K565" s="15"/>
      <c r="L565" s="20"/>
      <c r="M565" s="9"/>
      <c r="N565" s="448"/>
    </row>
    <row r="566" spans="1:14" ht="17.5">
      <c r="A566" s="23"/>
      <c r="B566" s="15">
        <v>553</v>
      </c>
      <c r="C566" s="15">
        <v>1</v>
      </c>
      <c r="D566" s="12" t="e">
        <f>#REF!/#REF!</f>
        <v>#REF!</v>
      </c>
      <c r="E566" s="16">
        <v>1</v>
      </c>
      <c r="F566" s="15"/>
      <c r="G566" s="15"/>
      <c r="H566" s="15"/>
      <c r="I566" s="15"/>
      <c r="J566" s="15"/>
      <c r="K566" s="15"/>
      <c r="L566" s="20"/>
      <c r="M566" s="9"/>
      <c r="N566" s="448"/>
    </row>
    <row r="567" spans="1:14" ht="17.5">
      <c r="A567" s="23"/>
      <c r="B567" s="15">
        <v>554</v>
      </c>
      <c r="C567" s="15">
        <v>1</v>
      </c>
      <c r="D567" s="12" t="e">
        <f>#REF!/#REF!</f>
        <v>#REF!</v>
      </c>
      <c r="E567" s="16">
        <v>1</v>
      </c>
      <c r="F567" s="15"/>
      <c r="G567" s="15"/>
      <c r="H567" s="15"/>
      <c r="I567" s="15"/>
      <c r="J567" s="15"/>
      <c r="K567" s="15"/>
      <c r="L567" s="20"/>
      <c r="M567" s="9"/>
      <c r="N567" s="448"/>
    </row>
    <row r="568" spans="1:14" ht="17.5">
      <c r="A568" s="23"/>
      <c r="B568" s="15">
        <v>555</v>
      </c>
      <c r="C568" s="15">
        <v>1</v>
      </c>
      <c r="D568" s="12" t="e">
        <f>#REF!/#REF!</f>
        <v>#REF!</v>
      </c>
      <c r="E568" s="16">
        <v>1</v>
      </c>
      <c r="F568" s="15"/>
      <c r="G568" s="15"/>
      <c r="H568" s="15"/>
      <c r="I568" s="15"/>
      <c r="J568" s="15"/>
      <c r="K568" s="15"/>
      <c r="L568" s="20"/>
      <c r="M568" s="9"/>
      <c r="N568" s="448"/>
    </row>
    <row r="569" spans="1:14" ht="17.5">
      <c r="A569" s="23"/>
      <c r="B569" s="15">
        <v>556</v>
      </c>
      <c r="C569" s="15">
        <v>1</v>
      </c>
      <c r="D569" s="12" t="e">
        <f>#REF!/#REF!</f>
        <v>#REF!</v>
      </c>
      <c r="E569" s="16">
        <v>1</v>
      </c>
      <c r="F569" s="15"/>
      <c r="G569" s="15"/>
      <c r="H569" s="15"/>
      <c r="I569" s="15"/>
      <c r="J569" s="15"/>
      <c r="K569" s="15"/>
      <c r="L569" s="20"/>
      <c r="M569" s="9"/>
      <c r="N569" s="448"/>
    </row>
    <row r="570" spans="1:14" ht="17.5">
      <c r="A570" s="23"/>
      <c r="B570" s="15">
        <v>557</v>
      </c>
      <c r="C570" s="15">
        <v>1</v>
      </c>
      <c r="D570" s="12" t="e">
        <f>#REF!/#REF!</f>
        <v>#REF!</v>
      </c>
      <c r="E570" s="16">
        <v>1</v>
      </c>
      <c r="F570" s="15"/>
      <c r="G570" s="15"/>
      <c r="H570" s="15"/>
      <c r="I570" s="15"/>
      <c r="J570" s="15"/>
      <c r="K570" s="15"/>
      <c r="L570" s="20"/>
      <c r="M570" s="9"/>
      <c r="N570" s="448"/>
    </row>
    <row r="571" spans="1:14" ht="17.5">
      <c r="A571" s="23"/>
      <c r="B571" s="15">
        <v>558</v>
      </c>
      <c r="C571" s="15">
        <v>1</v>
      </c>
      <c r="D571" s="12" t="e">
        <f>#REF!/#REF!</f>
        <v>#REF!</v>
      </c>
      <c r="E571" s="16">
        <v>1</v>
      </c>
      <c r="F571" s="15"/>
      <c r="G571" s="15"/>
      <c r="H571" s="15"/>
      <c r="I571" s="15"/>
      <c r="J571" s="15"/>
      <c r="K571" s="15"/>
      <c r="L571" s="20"/>
      <c r="M571" s="9"/>
      <c r="N571" s="448"/>
    </row>
    <row r="572" spans="1:14" ht="17.5">
      <c r="A572" s="23"/>
      <c r="B572" s="15">
        <v>559</v>
      </c>
      <c r="C572" s="15">
        <v>1</v>
      </c>
      <c r="D572" s="12" t="e">
        <f>#REF!/#REF!</f>
        <v>#REF!</v>
      </c>
      <c r="E572" s="16">
        <v>1</v>
      </c>
      <c r="F572" s="15"/>
      <c r="G572" s="15"/>
      <c r="H572" s="15"/>
      <c r="I572" s="15"/>
      <c r="J572" s="15"/>
      <c r="K572" s="15"/>
      <c r="L572" s="20"/>
      <c r="M572" s="9"/>
      <c r="N572" s="448"/>
    </row>
    <row r="573" spans="1:14" ht="17.5">
      <c r="A573" s="23"/>
      <c r="B573" s="15">
        <v>560</v>
      </c>
      <c r="C573" s="15">
        <v>1</v>
      </c>
      <c r="D573" s="12" t="e">
        <f>#REF!/#REF!</f>
        <v>#REF!</v>
      </c>
      <c r="E573" s="16">
        <v>1</v>
      </c>
      <c r="F573" s="15"/>
      <c r="G573" s="15"/>
      <c r="H573" s="15"/>
      <c r="I573" s="15"/>
      <c r="J573" s="15"/>
      <c r="K573" s="15"/>
      <c r="L573" s="20"/>
      <c r="M573" s="9"/>
      <c r="N573" s="448"/>
    </row>
    <row r="574" spans="1:14" ht="17.5">
      <c r="A574" s="23"/>
      <c r="B574" s="15">
        <v>561</v>
      </c>
      <c r="C574" s="15">
        <v>1</v>
      </c>
      <c r="D574" s="12" t="e">
        <f>#REF!/#REF!</f>
        <v>#REF!</v>
      </c>
      <c r="E574" s="16">
        <v>1</v>
      </c>
      <c r="F574" s="15"/>
      <c r="G574" s="15"/>
      <c r="H574" s="15"/>
      <c r="I574" s="15"/>
      <c r="J574" s="15"/>
      <c r="K574" s="15"/>
      <c r="L574" s="20"/>
      <c r="M574" s="9"/>
      <c r="N574" s="448"/>
    </row>
    <row r="575" spans="1:14" ht="17.5">
      <c r="A575" s="23"/>
      <c r="B575" s="15">
        <v>562</v>
      </c>
      <c r="C575" s="15">
        <v>1</v>
      </c>
      <c r="D575" s="12" t="e">
        <f>#REF!/#REF!</f>
        <v>#REF!</v>
      </c>
      <c r="E575" s="16">
        <v>1</v>
      </c>
      <c r="F575" s="15"/>
      <c r="G575" s="15"/>
      <c r="H575" s="15"/>
      <c r="I575" s="15"/>
      <c r="J575" s="15"/>
      <c r="K575" s="15"/>
      <c r="L575" s="20"/>
      <c r="M575" s="9"/>
      <c r="N575" s="448"/>
    </row>
    <row r="576" spans="1:14" ht="17.5">
      <c r="A576" s="23"/>
      <c r="B576" s="15">
        <v>563</v>
      </c>
      <c r="C576" s="15">
        <v>1</v>
      </c>
      <c r="D576" s="12" t="e">
        <f>#REF!/#REF!</f>
        <v>#REF!</v>
      </c>
      <c r="E576" s="16">
        <v>1</v>
      </c>
      <c r="F576" s="15"/>
      <c r="G576" s="15"/>
      <c r="H576" s="15"/>
      <c r="I576" s="15"/>
      <c r="J576" s="15"/>
      <c r="K576" s="15"/>
      <c r="L576" s="20"/>
      <c r="M576" s="9"/>
      <c r="N576" s="448"/>
    </row>
    <row r="577" spans="1:14" ht="17.5">
      <c r="A577" s="23"/>
      <c r="B577" s="15">
        <v>564</v>
      </c>
      <c r="C577" s="15">
        <v>1</v>
      </c>
      <c r="D577" s="12" t="e">
        <f>#REF!/#REF!</f>
        <v>#REF!</v>
      </c>
      <c r="E577" s="16">
        <v>1</v>
      </c>
      <c r="F577" s="15"/>
      <c r="G577" s="15"/>
      <c r="H577" s="15"/>
      <c r="I577" s="15"/>
      <c r="J577" s="15"/>
      <c r="K577" s="15"/>
      <c r="L577" s="20"/>
      <c r="M577" s="9"/>
      <c r="N577" s="448"/>
    </row>
    <row r="578" spans="1:14" ht="17.5">
      <c r="A578" s="23"/>
      <c r="B578" s="15">
        <v>565</v>
      </c>
      <c r="C578" s="15">
        <v>1</v>
      </c>
      <c r="D578" s="12" t="e">
        <f>#REF!/#REF!</f>
        <v>#REF!</v>
      </c>
      <c r="E578" s="16">
        <v>1</v>
      </c>
      <c r="F578" s="15"/>
      <c r="G578" s="15"/>
      <c r="H578" s="15"/>
      <c r="I578" s="15"/>
      <c r="J578" s="15"/>
      <c r="K578" s="15"/>
      <c r="L578" s="20"/>
      <c r="M578" s="9"/>
      <c r="N578" s="448"/>
    </row>
    <row r="579" spans="1:14" ht="17.5">
      <c r="A579" s="23"/>
      <c r="B579" s="15">
        <v>566</v>
      </c>
      <c r="C579" s="15">
        <v>1</v>
      </c>
      <c r="D579" s="12" t="e">
        <f>#REF!/#REF!</f>
        <v>#REF!</v>
      </c>
      <c r="E579" s="16">
        <v>1</v>
      </c>
      <c r="F579" s="15"/>
      <c r="G579" s="15"/>
      <c r="H579" s="15"/>
      <c r="I579" s="15"/>
      <c r="J579" s="15"/>
      <c r="K579" s="15"/>
      <c r="L579" s="20"/>
      <c r="M579" s="9"/>
      <c r="N579" s="448"/>
    </row>
    <row r="580" spans="1:14" ht="17.5">
      <c r="A580" s="23"/>
      <c r="B580" s="15">
        <v>567</v>
      </c>
      <c r="C580" s="15">
        <v>1</v>
      </c>
      <c r="D580" s="12" t="e">
        <f>#REF!/#REF!</f>
        <v>#REF!</v>
      </c>
      <c r="E580" s="16">
        <v>1</v>
      </c>
      <c r="F580" s="15"/>
      <c r="G580" s="15"/>
      <c r="H580" s="15"/>
      <c r="I580" s="15"/>
      <c r="J580" s="15"/>
      <c r="K580" s="15"/>
      <c r="L580" s="20"/>
      <c r="M580" s="9"/>
      <c r="N580" s="448"/>
    </row>
    <row r="581" spans="1:14" ht="17.5">
      <c r="A581" s="23"/>
      <c r="B581" s="15">
        <v>568</v>
      </c>
      <c r="C581" s="15">
        <v>1</v>
      </c>
      <c r="D581" s="12" t="e">
        <f>#REF!/#REF!</f>
        <v>#REF!</v>
      </c>
      <c r="E581" s="16">
        <v>1</v>
      </c>
      <c r="F581" s="15"/>
      <c r="G581" s="15"/>
      <c r="H581" s="15"/>
      <c r="I581" s="15"/>
      <c r="J581" s="15"/>
      <c r="K581" s="15"/>
      <c r="L581" s="20"/>
      <c r="M581" s="9"/>
      <c r="N581" s="448"/>
    </row>
    <row r="582" spans="1:14" ht="17.5">
      <c r="A582" s="23"/>
      <c r="B582" s="15">
        <v>569</v>
      </c>
      <c r="C582" s="15">
        <v>1</v>
      </c>
      <c r="D582" s="12" t="e">
        <f>#REF!/#REF!</f>
        <v>#REF!</v>
      </c>
      <c r="E582" s="16">
        <v>1</v>
      </c>
      <c r="F582" s="15"/>
      <c r="G582" s="15"/>
      <c r="H582" s="15"/>
      <c r="I582" s="15"/>
      <c r="J582" s="15"/>
      <c r="K582" s="15"/>
      <c r="L582" s="20"/>
      <c r="M582" s="9"/>
      <c r="N582" s="448"/>
    </row>
    <row r="583" spans="1:14" ht="17.5">
      <c r="A583" s="23"/>
      <c r="B583" s="15">
        <v>570</v>
      </c>
      <c r="C583" s="15">
        <v>1</v>
      </c>
      <c r="D583" s="12" t="e">
        <f>#REF!/#REF!</f>
        <v>#REF!</v>
      </c>
      <c r="E583" s="16">
        <v>1</v>
      </c>
      <c r="F583" s="15"/>
      <c r="G583" s="15"/>
      <c r="H583" s="15"/>
      <c r="I583" s="15"/>
      <c r="J583" s="15"/>
      <c r="K583" s="15"/>
      <c r="L583" s="20"/>
      <c r="M583" s="9"/>
      <c r="N583" s="448"/>
    </row>
    <row r="584" spans="1:14" ht="17.5">
      <c r="A584" s="23"/>
      <c r="B584" s="15">
        <v>571</v>
      </c>
      <c r="C584" s="15">
        <v>1</v>
      </c>
      <c r="D584" s="12" t="e">
        <f>#REF!/#REF!</f>
        <v>#REF!</v>
      </c>
      <c r="E584" s="16">
        <v>1</v>
      </c>
      <c r="F584" s="15"/>
      <c r="G584" s="15"/>
      <c r="H584" s="15"/>
      <c r="I584" s="15"/>
      <c r="J584" s="15"/>
      <c r="K584" s="15"/>
      <c r="L584" s="20"/>
      <c r="M584" s="9"/>
      <c r="N584" s="448"/>
    </row>
    <row r="585" spans="1:14" ht="17.5">
      <c r="A585" s="23"/>
      <c r="B585" s="15">
        <v>572</v>
      </c>
      <c r="C585" s="15">
        <v>1</v>
      </c>
      <c r="D585" s="12" t="e">
        <f>#REF!/#REF!</f>
        <v>#REF!</v>
      </c>
      <c r="E585" s="16">
        <v>1</v>
      </c>
      <c r="F585" s="15"/>
      <c r="G585" s="15"/>
      <c r="H585" s="15"/>
      <c r="I585" s="15"/>
      <c r="J585" s="15"/>
      <c r="K585" s="15"/>
      <c r="L585" s="20"/>
      <c r="M585" s="9"/>
      <c r="N585" s="448"/>
    </row>
    <row r="586" spans="1:14" ht="17.5">
      <c r="A586" s="23"/>
      <c r="B586" s="15">
        <v>573</v>
      </c>
      <c r="C586" s="15">
        <v>1</v>
      </c>
      <c r="D586" s="12" t="e">
        <f>#REF!/#REF!</f>
        <v>#REF!</v>
      </c>
      <c r="E586" s="16">
        <v>1</v>
      </c>
      <c r="F586" s="15"/>
      <c r="G586" s="15"/>
      <c r="H586" s="15"/>
      <c r="I586" s="15"/>
      <c r="J586" s="15"/>
      <c r="K586" s="15"/>
      <c r="L586" s="20"/>
      <c r="M586" s="9"/>
      <c r="N586" s="448"/>
    </row>
    <row r="587" spans="1:14" ht="17.5">
      <c r="A587" s="23"/>
      <c r="B587" s="15">
        <v>574</v>
      </c>
      <c r="C587" s="15">
        <v>1</v>
      </c>
      <c r="D587" s="12" t="e">
        <f>#REF!/#REF!</f>
        <v>#REF!</v>
      </c>
      <c r="E587" s="16">
        <v>1</v>
      </c>
      <c r="F587" s="15"/>
      <c r="G587" s="15"/>
      <c r="H587" s="15"/>
      <c r="I587" s="15"/>
      <c r="J587" s="15"/>
      <c r="K587" s="15"/>
      <c r="L587" s="20"/>
      <c r="M587" s="9"/>
      <c r="N587" s="448"/>
    </row>
    <row r="588" spans="1:14" ht="17.5">
      <c r="A588" s="23"/>
      <c r="B588" s="15">
        <v>575</v>
      </c>
      <c r="C588" s="15">
        <v>1</v>
      </c>
      <c r="D588" s="12" t="e">
        <f>#REF!/#REF!</f>
        <v>#REF!</v>
      </c>
      <c r="E588" s="16">
        <v>1</v>
      </c>
      <c r="F588" s="15"/>
      <c r="G588" s="15"/>
      <c r="H588" s="15"/>
      <c r="I588" s="15"/>
      <c r="J588" s="15"/>
      <c r="K588" s="15"/>
      <c r="L588" s="20"/>
      <c r="M588" s="9"/>
      <c r="N588" s="448"/>
    </row>
    <row r="589" spans="1:14" ht="17.5">
      <c r="A589" s="23"/>
      <c r="B589" s="15">
        <v>576</v>
      </c>
      <c r="C589" s="15">
        <v>1</v>
      </c>
      <c r="D589" s="12" t="e">
        <f>#REF!/#REF!</f>
        <v>#REF!</v>
      </c>
      <c r="E589" s="16">
        <v>1</v>
      </c>
      <c r="F589" s="15"/>
      <c r="G589" s="15"/>
      <c r="H589" s="15"/>
      <c r="I589" s="15"/>
      <c r="J589" s="15"/>
      <c r="K589" s="15"/>
      <c r="L589" s="20"/>
      <c r="M589" s="9"/>
      <c r="N589" s="448"/>
    </row>
    <row r="590" spans="1:14" ht="17.5">
      <c r="A590" s="23"/>
      <c r="B590" s="15">
        <v>577</v>
      </c>
      <c r="C590" s="15">
        <v>1</v>
      </c>
      <c r="D590" s="12" t="e">
        <f>#REF!/#REF!</f>
        <v>#REF!</v>
      </c>
      <c r="E590" s="16">
        <v>1</v>
      </c>
      <c r="F590" s="15"/>
      <c r="G590" s="15"/>
      <c r="H590" s="15"/>
      <c r="I590" s="15"/>
      <c r="J590" s="15"/>
      <c r="K590" s="15"/>
      <c r="L590" s="20"/>
      <c r="M590" s="9"/>
      <c r="N590" s="448"/>
    </row>
    <row r="591" spans="1:14" ht="17.5">
      <c r="A591" s="23"/>
      <c r="B591" s="15">
        <v>578</v>
      </c>
      <c r="C591" s="15">
        <v>1</v>
      </c>
      <c r="D591" s="12" t="e">
        <f>#REF!/#REF!</f>
        <v>#REF!</v>
      </c>
      <c r="E591" s="16">
        <v>1</v>
      </c>
      <c r="F591" s="15"/>
      <c r="G591" s="15"/>
      <c r="H591" s="15"/>
      <c r="I591" s="15"/>
      <c r="J591" s="15"/>
      <c r="K591" s="15"/>
      <c r="L591" s="20"/>
      <c r="M591" s="9"/>
      <c r="N591" s="448"/>
    </row>
    <row r="592" spans="1:14" ht="17.5">
      <c r="A592" s="23"/>
      <c r="B592" s="15">
        <v>579</v>
      </c>
      <c r="C592" s="15">
        <v>1</v>
      </c>
      <c r="D592" s="12" t="e">
        <f>#REF!/#REF!</f>
        <v>#REF!</v>
      </c>
      <c r="E592" s="16">
        <v>1</v>
      </c>
      <c r="F592" s="15"/>
      <c r="G592" s="15"/>
      <c r="H592" s="15"/>
      <c r="I592" s="15"/>
      <c r="J592" s="15"/>
      <c r="K592" s="15"/>
      <c r="L592" s="20"/>
      <c r="M592" s="9"/>
      <c r="N592" s="448"/>
    </row>
    <row r="593" spans="1:14" ht="17.5">
      <c r="A593" s="23"/>
      <c r="B593" s="15">
        <v>580</v>
      </c>
      <c r="C593" s="15">
        <v>1</v>
      </c>
      <c r="D593" s="12" t="e">
        <f>#REF!/#REF!</f>
        <v>#REF!</v>
      </c>
      <c r="E593" s="16">
        <v>1</v>
      </c>
      <c r="F593" s="15"/>
      <c r="G593" s="15"/>
      <c r="H593" s="15"/>
      <c r="I593" s="15"/>
      <c r="J593" s="15"/>
      <c r="K593" s="15"/>
      <c r="L593" s="20"/>
      <c r="M593" s="9"/>
      <c r="N593" s="448"/>
    </row>
    <row r="594" spans="1:14" ht="17.5">
      <c r="A594" s="23"/>
      <c r="B594" s="15">
        <v>581</v>
      </c>
      <c r="C594" s="15">
        <v>1</v>
      </c>
      <c r="D594" s="12" t="e">
        <f>#REF!/#REF!</f>
        <v>#REF!</v>
      </c>
      <c r="E594" s="16">
        <v>1</v>
      </c>
      <c r="F594" s="15"/>
      <c r="G594" s="15"/>
      <c r="H594" s="15"/>
      <c r="I594" s="15"/>
      <c r="J594" s="15"/>
      <c r="K594" s="15"/>
      <c r="L594" s="20"/>
      <c r="M594" s="9"/>
      <c r="N594" s="448"/>
    </row>
    <row r="595" spans="1:14" ht="17.5">
      <c r="A595" s="23"/>
      <c r="B595" s="15">
        <v>582</v>
      </c>
      <c r="C595" s="15">
        <v>1</v>
      </c>
      <c r="D595" s="12" t="e">
        <f>#REF!/#REF!</f>
        <v>#REF!</v>
      </c>
      <c r="E595" s="16">
        <v>1</v>
      </c>
      <c r="F595" s="15"/>
      <c r="G595" s="15"/>
      <c r="H595" s="15"/>
      <c r="I595" s="15"/>
      <c r="J595" s="15"/>
      <c r="K595" s="15"/>
      <c r="L595" s="20"/>
      <c r="M595" s="9"/>
      <c r="N595" s="448"/>
    </row>
    <row r="596" spans="1:14" ht="17.5">
      <c r="A596" s="23"/>
      <c r="B596" s="15">
        <v>583</v>
      </c>
      <c r="C596" s="15">
        <v>1</v>
      </c>
      <c r="D596" s="12" t="e">
        <f>#REF!/#REF!</f>
        <v>#REF!</v>
      </c>
      <c r="E596" s="16">
        <v>1</v>
      </c>
      <c r="F596" s="15"/>
      <c r="G596" s="15"/>
      <c r="H596" s="15"/>
      <c r="I596" s="15"/>
      <c r="J596" s="15"/>
      <c r="K596" s="15"/>
      <c r="L596" s="20"/>
      <c r="M596" s="9"/>
      <c r="N596" s="448"/>
    </row>
    <row r="597" spans="1:14" ht="17.5">
      <c r="A597" s="23"/>
      <c r="B597" s="15">
        <v>584</v>
      </c>
      <c r="C597" s="15">
        <v>1</v>
      </c>
      <c r="D597" s="12" t="e">
        <f>#REF!/#REF!</f>
        <v>#REF!</v>
      </c>
      <c r="E597" s="16">
        <v>1</v>
      </c>
      <c r="F597" s="15"/>
      <c r="G597" s="15"/>
      <c r="H597" s="15"/>
      <c r="I597" s="15"/>
      <c r="J597" s="15"/>
      <c r="K597" s="15"/>
      <c r="L597" s="20"/>
      <c r="M597" s="9"/>
      <c r="N597" s="448"/>
    </row>
    <row r="598" spans="1:14" ht="17.5">
      <c r="A598" s="23"/>
      <c r="B598" s="15">
        <v>585</v>
      </c>
      <c r="C598" s="15">
        <v>1</v>
      </c>
      <c r="D598" s="12" t="e">
        <f>#REF!/#REF!</f>
        <v>#REF!</v>
      </c>
      <c r="E598" s="16">
        <v>1</v>
      </c>
      <c r="F598" s="15"/>
      <c r="G598" s="15"/>
      <c r="H598" s="15"/>
      <c r="I598" s="15"/>
      <c r="J598" s="15"/>
      <c r="K598" s="15"/>
      <c r="L598" s="20"/>
      <c r="M598" s="9"/>
      <c r="N598" s="448"/>
    </row>
    <row r="599" spans="1:14" ht="17.5">
      <c r="A599" s="23"/>
      <c r="B599" s="15">
        <v>586</v>
      </c>
      <c r="C599" s="15">
        <v>1</v>
      </c>
      <c r="D599" s="12" t="e">
        <f>#REF!/#REF!</f>
        <v>#REF!</v>
      </c>
      <c r="E599" s="16">
        <v>1</v>
      </c>
      <c r="F599" s="15"/>
      <c r="G599" s="15"/>
      <c r="H599" s="15"/>
      <c r="I599" s="15"/>
      <c r="J599" s="15"/>
      <c r="K599" s="15"/>
      <c r="L599" s="20"/>
      <c r="M599" s="9"/>
      <c r="N599" s="448"/>
    </row>
    <row r="600" spans="1:14" ht="17.5">
      <c r="A600" s="23"/>
      <c r="B600" s="15">
        <v>587</v>
      </c>
      <c r="C600" s="15">
        <v>1</v>
      </c>
      <c r="D600" s="12" t="e">
        <f>#REF!/#REF!</f>
        <v>#REF!</v>
      </c>
      <c r="E600" s="16">
        <v>1</v>
      </c>
      <c r="F600" s="15"/>
      <c r="G600" s="15"/>
      <c r="H600" s="15"/>
      <c r="I600" s="15"/>
      <c r="J600" s="15"/>
      <c r="K600" s="15"/>
      <c r="L600" s="20"/>
      <c r="M600" s="9"/>
      <c r="N600" s="448"/>
    </row>
    <row r="601" spans="1:14" ht="17.5">
      <c r="A601" s="23"/>
      <c r="B601" s="15">
        <v>588</v>
      </c>
      <c r="C601" s="15">
        <v>1</v>
      </c>
      <c r="D601" s="12" t="e">
        <f>#REF!/#REF!</f>
        <v>#REF!</v>
      </c>
      <c r="E601" s="16">
        <v>1</v>
      </c>
      <c r="F601" s="15"/>
      <c r="G601" s="15"/>
      <c r="H601" s="15"/>
      <c r="I601" s="15"/>
      <c r="J601" s="15"/>
      <c r="K601" s="15"/>
      <c r="L601" s="20"/>
      <c r="M601" s="9"/>
      <c r="N601" s="448"/>
    </row>
    <row r="602" spans="1:14" ht="17.5">
      <c r="A602" s="23"/>
      <c r="B602" s="15">
        <v>589</v>
      </c>
      <c r="C602" s="15">
        <v>1</v>
      </c>
      <c r="D602" s="12" t="e">
        <f>#REF!/#REF!</f>
        <v>#REF!</v>
      </c>
      <c r="E602" s="16">
        <v>1</v>
      </c>
      <c r="F602" s="15"/>
      <c r="G602" s="15"/>
      <c r="H602" s="15"/>
      <c r="I602" s="15"/>
      <c r="J602" s="15"/>
      <c r="K602" s="15"/>
      <c r="L602" s="20"/>
      <c r="M602" s="9"/>
      <c r="N602" s="448"/>
    </row>
    <row r="603" spans="1:14" ht="17.5">
      <c r="A603" s="23"/>
      <c r="B603" s="15">
        <v>590</v>
      </c>
      <c r="C603" s="15">
        <v>1</v>
      </c>
      <c r="D603" s="12" t="e">
        <f>#REF!/#REF!</f>
        <v>#REF!</v>
      </c>
      <c r="E603" s="16">
        <v>1</v>
      </c>
      <c r="F603" s="15"/>
      <c r="G603" s="15"/>
      <c r="H603" s="15"/>
      <c r="I603" s="15"/>
      <c r="J603" s="15"/>
      <c r="K603" s="15"/>
      <c r="L603" s="20"/>
      <c r="M603" s="9"/>
      <c r="N603" s="448"/>
    </row>
    <row r="604" spans="1:14" ht="17.5">
      <c r="A604" s="23"/>
      <c r="B604" s="15">
        <v>591</v>
      </c>
      <c r="C604" s="15">
        <v>1</v>
      </c>
      <c r="D604" s="12" t="e">
        <f>#REF!/#REF!</f>
        <v>#REF!</v>
      </c>
      <c r="E604" s="16">
        <v>1</v>
      </c>
      <c r="F604" s="15"/>
      <c r="G604" s="15"/>
      <c r="H604" s="15"/>
      <c r="I604" s="15"/>
      <c r="J604" s="15"/>
      <c r="K604" s="15"/>
      <c r="L604" s="20"/>
      <c r="M604" s="9"/>
      <c r="N604" s="448"/>
    </row>
    <row r="605" spans="1:14" ht="17.5">
      <c r="A605" s="23"/>
      <c r="B605" s="15">
        <v>592</v>
      </c>
      <c r="C605" s="15">
        <v>1</v>
      </c>
      <c r="D605" s="12" t="e">
        <f>#REF!/#REF!</f>
        <v>#REF!</v>
      </c>
      <c r="E605" s="16">
        <v>1</v>
      </c>
      <c r="F605" s="15"/>
      <c r="G605" s="15"/>
      <c r="H605" s="15"/>
      <c r="I605" s="15"/>
      <c r="J605" s="15"/>
      <c r="K605" s="15"/>
      <c r="L605" s="20"/>
      <c r="M605" s="9"/>
      <c r="N605" s="448"/>
    </row>
    <row r="606" spans="1:14" ht="17.5">
      <c r="A606" s="23"/>
      <c r="B606" s="15">
        <v>593</v>
      </c>
      <c r="C606" s="15">
        <v>1</v>
      </c>
      <c r="D606" s="12" t="e">
        <f>#REF!/#REF!</f>
        <v>#REF!</v>
      </c>
      <c r="E606" s="16">
        <v>1</v>
      </c>
      <c r="F606" s="15"/>
      <c r="G606" s="15"/>
      <c r="H606" s="15"/>
      <c r="I606" s="15"/>
      <c r="J606" s="15"/>
      <c r="K606" s="15"/>
      <c r="L606" s="20"/>
      <c r="M606" s="9"/>
      <c r="N606" s="448"/>
    </row>
    <row r="607" spans="1:14" ht="17.5">
      <c r="A607" s="23"/>
      <c r="B607" s="15">
        <v>594</v>
      </c>
      <c r="C607" s="15">
        <v>1</v>
      </c>
      <c r="D607" s="12" t="e">
        <f>#REF!/#REF!</f>
        <v>#REF!</v>
      </c>
      <c r="E607" s="16">
        <v>1</v>
      </c>
      <c r="F607" s="15"/>
      <c r="G607" s="15"/>
      <c r="H607" s="15"/>
      <c r="I607" s="15"/>
      <c r="J607" s="15"/>
      <c r="K607" s="15"/>
      <c r="L607" s="20"/>
      <c r="M607" s="9"/>
      <c r="N607" s="448"/>
    </row>
    <row r="608" spans="1:14" ht="17.5">
      <c r="A608" s="23"/>
      <c r="B608" s="15">
        <v>595</v>
      </c>
      <c r="C608" s="15">
        <v>1</v>
      </c>
      <c r="D608" s="12" t="e">
        <f>#REF!/#REF!</f>
        <v>#REF!</v>
      </c>
      <c r="E608" s="16">
        <v>1</v>
      </c>
      <c r="F608" s="15"/>
      <c r="G608" s="15"/>
      <c r="H608" s="15"/>
      <c r="I608" s="15"/>
      <c r="J608" s="15"/>
      <c r="K608" s="15"/>
      <c r="L608" s="20"/>
      <c r="M608" s="9"/>
      <c r="N608" s="448"/>
    </row>
    <row r="609" spans="1:14" ht="17.5">
      <c r="A609" s="23"/>
      <c r="B609" s="15">
        <v>596</v>
      </c>
      <c r="C609" s="15">
        <v>1</v>
      </c>
      <c r="D609" s="12" t="e">
        <f>#REF!/#REF!</f>
        <v>#REF!</v>
      </c>
      <c r="E609" s="16">
        <v>1</v>
      </c>
      <c r="F609" s="15"/>
      <c r="G609" s="15"/>
      <c r="H609" s="15"/>
      <c r="I609" s="15"/>
      <c r="J609" s="15"/>
      <c r="K609" s="15"/>
      <c r="L609" s="20"/>
      <c r="M609" s="9"/>
      <c r="N609" s="448"/>
    </row>
    <row r="610" spans="1:14" ht="17.5">
      <c r="A610" s="23"/>
      <c r="B610" s="15">
        <v>597</v>
      </c>
      <c r="C610" s="15">
        <v>1</v>
      </c>
      <c r="D610" s="12" t="e">
        <f>#REF!/#REF!</f>
        <v>#REF!</v>
      </c>
      <c r="E610" s="16">
        <v>1</v>
      </c>
      <c r="F610" s="15"/>
      <c r="G610" s="15"/>
      <c r="H610" s="15"/>
      <c r="I610" s="15"/>
      <c r="J610" s="15"/>
      <c r="K610" s="15"/>
      <c r="L610" s="20"/>
      <c r="M610" s="9"/>
      <c r="N610" s="448"/>
    </row>
    <row r="611" spans="1:14" ht="17.5">
      <c r="A611" s="23"/>
      <c r="B611" s="15">
        <v>598</v>
      </c>
      <c r="C611" s="15">
        <v>1</v>
      </c>
      <c r="D611" s="12" t="e">
        <f>#REF!/#REF!</f>
        <v>#REF!</v>
      </c>
      <c r="E611" s="16">
        <v>1</v>
      </c>
      <c r="F611" s="15"/>
      <c r="G611" s="15"/>
      <c r="H611" s="15"/>
      <c r="I611" s="15"/>
      <c r="J611" s="15"/>
      <c r="K611" s="15"/>
      <c r="L611" s="20"/>
      <c r="M611" s="9"/>
      <c r="N611" s="448"/>
    </row>
    <row r="612" spans="1:14" ht="17.5">
      <c r="A612" s="23"/>
      <c r="B612" s="15">
        <v>599</v>
      </c>
      <c r="C612" s="15">
        <v>1</v>
      </c>
      <c r="D612" s="12" t="e">
        <f>#REF!/#REF!</f>
        <v>#REF!</v>
      </c>
      <c r="E612" s="16">
        <v>1</v>
      </c>
      <c r="F612" s="15"/>
      <c r="G612" s="15"/>
      <c r="H612" s="15"/>
      <c r="I612" s="15"/>
      <c r="J612" s="15"/>
      <c r="K612" s="15"/>
      <c r="L612" s="20"/>
      <c r="M612" s="9"/>
      <c r="N612" s="448"/>
    </row>
    <row r="613" spans="1:14" ht="17.5">
      <c r="A613" s="23"/>
      <c r="B613" s="15">
        <v>600</v>
      </c>
      <c r="C613" s="15">
        <v>1</v>
      </c>
      <c r="D613" s="12" t="e">
        <f>#REF!/#REF!</f>
        <v>#REF!</v>
      </c>
      <c r="E613" s="16">
        <v>1</v>
      </c>
      <c r="F613" s="15"/>
      <c r="G613" s="15"/>
      <c r="H613" s="15"/>
      <c r="I613" s="15"/>
      <c r="J613" s="15"/>
      <c r="K613" s="15"/>
      <c r="L613" s="20"/>
      <c r="M613" s="9"/>
      <c r="N613" s="448"/>
    </row>
    <row r="614" spans="1:14" ht="17.5">
      <c r="A614" s="23"/>
      <c r="B614" s="15">
        <v>601</v>
      </c>
      <c r="C614" s="15">
        <v>1</v>
      </c>
      <c r="D614" s="12" t="e">
        <f>#REF!/#REF!</f>
        <v>#REF!</v>
      </c>
      <c r="E614" s="16">
        <v>1</v>
      </c>
      <c r="F614" s="15"/>
      <c r="G614" s="15"/>
      <c r="H614" s="15"/>
      <c r="I614" s="15"/>
      <c r="J614" s="15"/>
      <c r="K614" s="15"/>
      <c r="L614" s="20"/>
      <c r="M614" s="9"/>
      <c r="N614" s="448"/>
    </row>
    <row r="615" spans="1:14" ht="17.5">
      <c r="A615" s="23"/>
      <c r="B615" s="15">
        <v>602</v>
      </c>
      <c r="C615" s="15">
        <v>1</v>
      </c>
      <c r="D615" s="12" t="e">
        <f>#REF!/#REF!</f>
        <v>#REF!</v>
      </c>
      <c r="E615" s="16">
        <v>1</v>
      </c>
      <c r="F615" s="15"/>
      <c r="G615" s="15"/>
      <c r="H615" s="15"/>
      <c r="I615" s="15"/>
      <c r="J615" s="15"/>
      <c r="K615" s="15"/>
      <c r="L615" s="20"/>
      <c r="M615" s="9"/>
      <c r="N615" s="448"/>
    </row>
    <row r="616" spans="1:14" ht="17.5">
      <c r="A616" s="23"/>
      <c r="B616" s="15">
        <v>603</v>
      </c>
      <c r="C616" s="15">
        <v>1</v>
      </c>
      <c r="D616" s="12" t="e">
        <f>#REF!/#REF!</f>
        <v>#REF!</v>
      </c>
      <c r="E616" s="16">
        <v>1</v>
      </c>
      <c r="F616" s="15"/>
      <c r="G616" s="15"/>
      <c r="H616" s="15"/>
      <c r="I616" s="15"/>
      <c r="J616" s="15"/>
      <c r="K616" s="15"/>
      <c r="L616" s="20"/>
      <c r="M616" s="9"/>
      <c r="N616" s="448"/>
    </row>
    <row r="617" spans="1:14" ht="17.5">
      <c r="A617" s="23"/>
      <c r="B617" s="15">
        <v>604</v>
      </c>
      <c r="C617" s="15">
        <v>1</v>
      </c>
      <c r="D617" s="12" t="e">
        <f>#REF!/#REF!</f>
        <v>#REF!</v>
      </c>
      <c r="E617" s="16">
        <v>1</v>
      </c>
      <c r="F617" s="15"/>
      <c r="G617" s="15"/>
      <c r="H617" s="15"/>
      <c r="I617" s="15"/>
      <c r="J617" s="15"/>
      <c r="K617" s="15"/>
      <c r="L617" s="20"/>
      <c r="M617" s="9"/>
      <c r="N617" s="448"/>
    </row>
    <row r="618" spans="1:14" ht="17.5">
      <c r="A618" s="23"/>
      <c r="B618" s="15">
        <v>605</v>
      </c>
      <c r="C618" s="15">
        <v>1</v>
      </c>
      <c r="D618" s="12" t="e">
        <f>#REF!/#REF!</f>
        <v>#REF!</v>
      </c>
      <c r="E618" s="16">
        <v>1</v>
      </c>
      <c r="F618" s="15"/>
      <c r="G618" s="15"/>
      <c r="H618" s="15"/>
      <c r="I618" s="15"/>
      <c r="J618" s="15"/>
      <c r="K618" s="15"/>
      <c r="L618" s="20"/>
      <c r="M618" s="9"/>
      <c r="N618" s="448"/>
    </row>
    <row r="619" spans="1:14" ht="17.5">
      <c r="A619" s="23"/>
      <c r="B619" s="15">
        <v>606</v>
      </c>
      <c r="C619" s="15">
        <v>1</v>
      </c>
      <c r="D619" s="12" t="e">
        <f>#REF!/#REF!</f>
        <v>#REF!</v>
      </c>
      <c r="E619" s="16">
        <v>1</v>
      </c>
      <c r="F619" s="15"/>
      <c r="G619" s="15"/>
      <c r="H619" s="15"/>
      <c r="I619" s="15"/>
      <c r="J619" s="15"/>
      <c r="K619" s="15"/>
      <c r="L619" s="20"/>
      <c r="M619" s="9"/>
      <c r="N619" s="448"/>
    </row>
    <row r="620" spans="1:14" ht="17.5">
      <c r="A620" s="23"/>
      <c r="B620" s="15">
        <v>607</v>
      </c>
      <c r="C620" s="15">
        <v>1</v>
      </c>
      <c r="D620" s="12" t="e">
        <f>#REF!/#REF!</f>
        <v>#REF!</v>
      </c>
      <c r="E620" s="16">
        <v>1</v>
      </c>
      <c r="F620" s="15"/>
      <c r="G620" s="15"/>
      <c r="H620" s="15"/>
      <c r="I620" s="15"/>
      <c r="J620" s="15"/>
      <c r="K620" s="15"/>
      <c r="L620" s="20"/>
      <c r="M620" s="9"/>
      <c r="N620" s="448"/>
    </row>
    <row r="621" spans="1:14" ht="17.5">
      <c r="A621" s="23"/>
      <c r="B621" s="15">
        <v>608</v>
      </c>
      <c r="C621" s="15">
        <v>1</v>
      </c>
      <c r="D621" s="12" t="e">
        <f>#REF!/#REF!</f>
        <v>#REF!</v>
      </c>
      <c r="E621" s="16">
        <v>1</v>
      </c>
      <c r="F621" s="15"/>
      <c r="G621" s="15"/>
      <c r="H621" s="15"/>
      <c r="I621" s="15"/>
      <c r="J621" s="15"/>
      <c r="K621" s="15"/>
      <c r="L621" s="20"/>
      <c r="M621" s="9"/>
      <c r="N621" s="448"/>
    </row>
    <row r="622" spans="1:14" ht="17.5">
      <c r="A622" s="23"/>
      <c r="B622" s="15">
        <v>609</v>
      </c>
      <c r="C622" s="15">
        <v>1</v>
      </c>
      <c r="D622" s="12" t="e">
        <f>#REF!/#REF!</f>
        <v>#REF!</v>
      </c>
      <c r="E622" s="16">
        <v>1</v>
      </c>
      <c r="F622" s="15"/>
      <c r="G622" s="15"/>
      <c r="H622" s="15"/>
      <c r="I622" s="15"/>
      <c r="J622" s="15"/>
      <c r="K622" s="15"/>
      <c r="L622" s="20"/>
      <c r="M622" s="9"/>
      <c r="N622" s="448"/>
    </row>
    <row r="623" spans="1:14" ht="17.5">
      <c r="A623" s="23"/>
      <c r="B623" s="15">
        <v>610</v>
      </c>
      <c r="C623" s="15">
        <v>1</v>
      </c>
      <c r="D623" s="12" t="e">
        <f>#REF!/#REF!</f>
        <v>#REF!</v>
      </c>
      <c r="E623" s="16">
        <v>1</v>
      </c>
      <c r="F623" s="15"/>
      <c r="G623" s="15"/>
      <c r="H623" s="15"/>
      <c r="I623" s="15"/>
      <c r="J623" s="15"/>
      <c r="K623" s="15"/>
      <c r="L623" s="20"/>
      <c r="M623" s="9"/>
      <c r="N623" s="448"/>
    </row>
    <row r="624" spans="1:14" ht="17.5">
      <c r="A624" s="23"/>
      <c r="B624" s="15">
        <v>611</v>
      </c>
      <c r="C624" s="15">
        <v>1</v>
      </c>
      <c r="D624" s="12" t="e">
        <f>#REF!/#REF!</f>
        <v>#REF!</v>
      </c>
      <c r="E624" s="16">
        <v>1</v>
      </c>
      <c r="F624" s="15"/>
      <c r="G624" s="15"/>
      <c r="H624" s="15"/>
      <c r="I624" s="15"/>
      <c r="J624" s="15"/>
      <c r="K624" s="15"/>
      <c r="L624" s="20"/>
      <c r="M624" s="9"/>
      <c r="N624" s="448"/>
    </row>
    <row r="625" spans="1:16" ht="17.5">
      <c r="A625" s="23"/>
      <c r="B625" s="15">
        <v>612</v>
      </c>
      <c r="C625" s="15">
        <v>1</v>
      </c>
      <c r="D625" s="12" t="e">
        <f>#REF!/#REF!</f>
        <v>#REF!</v>
      </c>
      <c r="E625" s="16">
        <v>1</v>
      </c>
      <c r="F625" s="15"/>
      <c r="G625" s="15"/>
      <c r="H625" s="15"/>
      <c r="I625" s="15"/>
      <c r="J625" s="15"/>
      <c r="K625" s="15"/>
      <c r="L625" s="20"/>
      <c r="M625" s="9"/>
      <c r="N625" s="7"/>
      <c r="O625" s="9"/>
      <c r="P625" s="7"/>
    </row>
    <row r="626" spans="1:16" ht="17.5">
      <c r="A626" s="23"/>
      <c r="B626" s="15">
        <v>613</v>
      </c>
      <c r="C626" s="15">
        <v>1</v>
      </c>
      <c r="D626" s="12" t="e">
        <f>#REF!/#REF!</f>
        <v>#REF!</v>
      </c>
      <c r="E626" s="16">
        <v>1</v>
      </c>
      <c r="F626" s="15"/>
      <c r="G626" s="15"/>
      <c r="H626" s="15"/>
      <c r="I626" s="15"/>
      <c r="J626" s="15"/>
      <c r="K626" s="15"/>
      <c r="L626" s="20"/>
      <c r="M626" s="9"/>
      <c r="N626" s="7"/>
      <c r="O626" s="9"/>
      <c r="P626" s="7"/>
    </row>
    <row r="627" spans="1:16" ht="17.5">
      <c r="A627" s="23"/>
      <c r="B627" s="15">
        <v>614</v>
      </c>
      <c r="C627" s="15">
        <v>1</v>
      </c>
      <c r="D627" s="12" t="e">
        <f>#REF!/#REF!</f>
        <v>#REF!</v>
      </c>
      <c r="E627" s="16">
        <v>1</v>
      </c>
      <c r="F627" s="15"/>
      <c r="G627" s="15"/>
      <c r="H627" s="15"/>
      <c r="I627" s="15"/>
      <c r="J627" s="15"/>
      <c r="K627" s="15"/>
      <c r="L627" s="20"/>
      <c r="M627" s="9"/>
      <c r="N627" s="7"/>
      <c r="O627" s="9"/>
      <c r="P627" s="7"/>
    </row>
    <row r="628" spans="1:16" ht="17.5">
      <c r="A628" s="23"/>
      <c r="B628" s="15">
        <v>615</v>
      </c>
      <c r="C628" s="15">
        <v>1</v>
      </c>
      <c r="D628" s="12" t="e">
        <f>#REF!/#REF!</f>
        <v>#REF!</v>
      </c>
      <c r="E628" s="16">
        <v>1</v>
      </c>
      <c r="F628" s="15"/>
      <c r="G628" s="15"/>
      <c r="H628" s="15"/>
      <c r="I628" s="15"/>
      <c r="J628" s="15"/>
      <c r="K628" s="15"/>
      <c r="L628" s="20"/>
      <c r="M628" s="9"/>
      <c r="N628" s="7"/>
      <c r="O628" s="9"/>
      <c r="P628" s="7"/>
    </row>
    <row r="629" spans="1:16" ht="17.5">
      <c r="A629" s="23"/>
      <c r="B629" s="15">
        <v>616</v>
      </c>
      <c r="C629" s="15">
        <v>1</v>
      </c>
      <c r="D629" s="12" t="e">
        <f>#REF!/#REF!</f>
        <v>#REF!</v>
      </c>
      <c r="E629" s="16">
        <v>1</v>
      </c>
      <c r="F629" s="15"/>
      <c r="G629" s="15"/>
      <c r="H629" s="15"/>
      <c r="I629" s="15"/>
      <c r="J629" s="15"/>
      <c r="K629" s="15"/>
      <c r="L629" s="20"/>
      <c r="M629" s="9"/>
      <c r="N629" s="7"/>
      <c r="O629" s="9"/>
      <c r="P629" s="7"/>
    </row>
    <row r="630" spans="1:16" ht="17.5">
      <c r="A630" s="23"/>
      <c r="B630" s="15">
        <v>617</v>
      </c>
      <c r="C630" s="15">
        <v>1</v>
      </c>
      <c r="D630" s="12" t="e">
        <f>#REF!/#REF!</f>
        <v>#REF!</v>
      </c>
      <c r="E630" s="16">
        <v>1</v>
      </c>
      <c r="F630" s="15"/>
      <c r="G630" s="15"/>
      <c r="H630" s="15"/>
      <c r="I630" s="15"/>
      <c r="J630" s="15"/>
      <c r="K630" s="15"/>
      <c r="L630" s="20"/>
      <c r="M630" s="9"/>
      <c r="N630" s="7"/>
      <c r="O630" s="9"/>
      <c r="P630" s="7"/>
    </row>
    <row r="631" spans="1:16" ht="17.5">
      <c r="A631" s="23"/>
      <c r="B631" s="15">
        <v>618</v>
      </c>
      <c r="C631" s="15">
        <v>1</v>
      </c>
      <c r="D631" s="12" t="e">
        <f>#REF!/#REF!</f>
        <v>#REF!</v>
      </c>
      <c r="E631" s="16">
        <v>1</v>
      </c>
      <c r="F631" s="15"/>
      <c r="G631" s="15"/>
      <c r="H631" s="15"/>
      <c r="I631" s="15"/>
      <c r="J631" s="15"/>
      <c r="K631" s="15"/>
      <c r="L631" s="20"/>
      <c r="M631" s="9"/>
      <c r="N631" s="7"/>
      <c r="O631" s="9"/>
      <c r="P631" s="7"/>
    </row>
    <row r="632" spans="1:16" ht="17.5">
      <c r="A632" s="23"/>
      <c r="B632" s="15">
        <v>619</v>
      </c>
      <c r="C632" s="15">
        <v>1</v>
      </c>
      <c r="D632" s="12" t="e">
        <f>#REF!/#REF!</f>
        <v>#REF!</v>
      </c>
      <c r="E632" s="16">
        <v>1</v>
      </c>
      <c r="F632" s="15"/>
      <c r="G632" s="15"/>
      <c r="H632" s="15"/>
      <c r="I632" s="15"/>
      <c r="J632" s="15"/>
      <c r="K632" s="15"/>
      <c r="L632" s="20"/>
      <c r="M632" s="9"/>
      <c r="N632" s="7"/>
      <c r="O632" s="9"/>
      <c r="P632" s="7"/>
    </row>
    <row r="633" spans="1:16" ht="17.5">
      <c r="A633" s="23"/>
      <c r="B633" s="15">
        <v>620</v>
      </c>
      <c r="C633" s="15">
        <v>1</v>
      </c>
      <c r="D633" s="12" t="e">
        <f>#REF!/#REF!</f>
        <v>#REF!</v>
      </c>
      <c r="E633" s="16">
        <v>1</v>
      </c>
      <c r="F633" s="15"/>
      <c r="G633" s="15"/>
      <c r="H633" s="15"/>
      <c r="I633" s="15"/>
      <c r="J633" s="15"/>
      <c r="K633" s="15"/>
      <c r="L633" s="20"/>
      <c r="M633" s="9"/>
      <c r="N633" s="7"/>
      <c r="O633" s="9"/>
      <c r="P633" s="7"/>
    </row>
    <row r="634" spans="1:16" ht="17.5">
      <c r="A634" s="23"/>
      <c r="B634" s="15">
        <v>621</v>
      </c>
      <c r="C634" s="15">
        <v>1</v>
      </c>
      <c r="D634" s="12" t="e">
        <f>#REF!/#REF!</f>
        <v>#REF!</v>
      </c>
      <c r="E634" s="16">
        <v>1</v>
      </c>
      <c r="F634" s="15"/>
      <c r="G634" s="15"/>
      <c r="H634" s="15"/>
      <c r="I634" s="15"/>
      <c r="J634" s="15"/>
      <c r="K634" s="15"/>
      <c r="L634" s="20"/>
      <c r="M634" s="9"/>
      <c r="N634" s="7"/>
      <c r="O634" s="9"/>
      <c r="P634" s="7"/>
    </row>
    <row r="635" spans="1:16" ht="17.5">
      <c r="A635" s="23"/>
      <c r="B635" s="15">
        <v>622</v>
      </c>
      <c r="C635" s="15">
        <v>1</v>
      </c>
      <c r="D635" s="12" t="e">
        <f>#REF!/#REF!</f>
        <v>#REF!</v>
      </c>
      <c r="E635" s="16">
        <v>1</v>
      </c>
      <c r="F635" s="15"/>
      <c r="G635" s="15"/>
      <c r="H635" s="15"/>
      <c r="I635" s="15"/>
      <c r="J635" s="15"/>
      <c r="K635" s="15"/>
      <c r="L635" s="20"/>
      <c r="M635" s="9"/>
      <c r="N635" s="7"/>
      <c r="O635" s="9"/>
      <c r="P635" s="7"/>
    </row>
    <row r="636" spans="1:16" ht="17.5">
      <c r="A636" s="23"/>
      <c r="B636" s="15">
        <v>623</v>
      </c>
      <c r="C636" s="15">
        <v>1</v>
      </c>
      <c r="D636" s="12" t="e">
        <f>#REF!/#REF!</f>
        <v>#REF!</v>
      </c>
      <c r="E636" s="16">
        <v>1</v>
      </c>
      <c r="F636" s="15"/>
      <c r="G636" s="15"/>
      <c r="H636" s="15"/>
      <c r="I636" s="15"/>
      <c r="J636" s="15"/>
      <c r="K636" s="15"/>
      <c r="L636" s="20"/>
      <c r="M636" s="9"/>
      <c r="N636" s="7"/>
      <c r="O636" s="9"/>
      <c r="P636" s="7"/>
    </row>
    <row r="637" spans="1:16" ht="17.5">
      <c r="A637" s="23"/>
      <c r="B637" s="15">
        <v>624</v>
      </c>
      <c r="C637" s="15">
        <v>1</v>
      </c>
      <c r="D637" s="12" t="e">
        <f>#REF!/#REF!</f>
        <v>#REF!</v>
      </c>
      <c r="E637" s="16">
        <v>1</v>
      </c>
      <c r="F637" s="15"/>
      <c r="G637" s="15"/>
      <c r="H637" s="15"/>
      <c r="I637" s="15"/>
      <c r="J637" s="15"/>
      <c r="K637" s="15"/>
      <c r="L637" s="20"/>
      <c r="M637" s="9"/>
      <c r="N637" s="7"/>
      <c r="O637" s="9"/>
      <c r="P637" s="7"/>
    </row>
    <row r="638" spans="1:16" ht="17.5">
      <c r="A638" s="23"/>
      <c r="B638" s="15">
        <v>625</v>
      </c>
      <c r="C638" s="15">
        <v>1</v>
      </c>
      <c r="D638" s="12" t="e">
        <f>#REF!/#REF!</f>
        <v>#REF!</v>
      </c>
      <c r="E638" s="16">
        <v>1</v>
      </c>
      <c r="F638" s="15"/>
      <c r="G638" s="15"/>
      <c r="H638" s="15"/>
      <c r="I638" s="15"/>
      <c r="J638" s="15"/>
      <c r="K638" s="15"/>
      <c r="L638" s="20"/>
      <c r="M638" s="9"/>
      <c r="N638" s="7"/>
      <c r="O638" s="9"/>
      <c r="P638" s="7"/>
    </row>
    <row r="639" spans="1:16" ht="17.5">
      <c r="A639" s="23"/>
      <c r="B639" s="15">
        <v>626</v>
      </c>
      <c r="C639" s="15">
        <v>1</v>
      </c>
      <c r="D639" s="12" t="e">
        <f>#REF!/#REF!</f>
        <v>#REF!</v>
      </c>
      <c r="E639" s="16">
        <v>1</v>
      </c>
      <c r="F639" s="15"/>
      <c r="G639" s="15"/>
      <c r="H639" s="15"/>
      <c r="I639" s="15"/>
      <c r="J639" s="15"/>
      <c r="K639" s="15"/>
      <c r="L639" s="20"/>
      <c r="M639" s="9"/>
      <c r="N639" s="7"/>
      <c r="O639" s="9"/>
      <c r="P639" s="7"/>
    </row>
    <row r="640" spans="1:16" ht="17.5">
      <c r="A640" s="23"/>
      <c r="B640" s="15">
        <v>627</v>
      </c>
      <c r="C640" s="15">
        <v>1</v>
      </c>
      <c r="D640" s="12" t="e">
        <f>#REF!/#REF!</f>
        <v>#REF!</v>
      </c>
      <c r="E640" s="16">
        <v>1</v>
      </c>
      <c r="F640" s="15"/>
      <c r="G640" s="15"/>
      <c r="H640" s="15"/>
      <c r="I640" s="15"/>
      <c r="J640" s="15"/>
      <c r="K640" s="15"/>
      <c r="L640" s="20"/>
      <c r="M640" s="9"/>
      <c r="N640" s="7"/>
      <c r="O640" s="9"/>
      <c r="P640" s="7"/>
    </row>
    <row r="641" spans="1:16" ht="17.5">
      <c r="A641" s="23"/>
      <c r="B641" s="15">
        <v>628</v>
      </c>
      <c r="C641" s="15">
        <v>1</v>
      </c>
      <c r="D641" s="12" t="e">
        <f>#REF!/#REF!</f>
        <v>#REF!</v>
      </c>
      <c r="E641" s="16">
        <v>1</v>
      </c>
      <c r="F641" s="15"/>
      <c r="G641" s="15"/>
      <c r="H641" s="15"/>
      <c r="I641" s="15"/>
      <c r="J641" s="15"/>
      <c r="K641" s="15"/>
      <c r="L641" s="20"/>
      <c r="M641" s="9"/>
      <c r="N641" s="7"/>
      <c r="O641" s="9"/>
      <c r="P641" s="7"/>
    </row>
    <row r="642" spans="1:16" ht="17.5">
      <c r="A642" s="23"/>
      <c r="B642" s="15">
        <v>629</v>
      </c>
      <c r="C642" s="15">
        <v>1</v>
      </c>
      <c r="D642" s="12" t="e">
        <f>#REF!/#REF!</f>
        <v>#REF!</v>
      </c>
      <c r="E642" s="16">
        <v>1</v>
      </c>
      <c r="F642" s="15"/>
      <c r="G642" s="15"/>
      <c r="H642" s="15"/>
      <c r="I642" s="15"/>
      <c r="J642" s="15"/>
      <c r="K642" s="15"/>
      <c r="L642" s="20"/>
      <c r="M642" s="9"/>
      <c r="N642" s="7"/>
      <c r="O642" s="9"/>
      <c r="P642" s="7"/>
    </row>
    <row r="643" spans="1:16" ht="17.5">
      <c r="A643" s="23"/>
      <c r="B643" s="15">
        <v>630</v>
      </c>
      <c r="C643" s="15">
        <v>1</v>
      </c>
      <c r="D643" s="12" t="e">
        <f>#REF!/#REF!</f>
        <v>#REF!</v>
      </c>
      <c r="E643" s="16">
        <v>1</v>
      </c>
      <c r="F643" s="15"/>
      <c r="G643" s="15"/>
      <c r="H643" s="15"/>
      <c r="I643" s="15"/>
      <c r="J643" s="15"/>
      <c r="K643" s="15"/>
      <c r="L643" s="20"/>
      <c r="M643" s="9"/>
      <c r="N643" s="7"/>
      <c r="O643" s="9"/>
      <c r="P643" s="7"/>
    </row>
    <row r="644" spans="1:16" ht="17.5">
      <c r="A644" s="23"/>
      <c r="B644" s="15">
        <v>631</v>
      </c>
      <c r="C644" s="15">
        <v>1</v>
      </c>
      <c r="D644" s="12" t="e">
        <f>#REF!/#REF!</f>
        <v>#REF!</v>
      </c>
      <c r="E644" s="16">
        <v>1</v>
      </c>
      <c r="F644" s="7"/>
      <c r="G644" s="7"/>
      <c r="H644" s="7"/>
      <c r="I644" s="7"/>
      <c r="J644" s="7"/>
      <c r="K644" s="7"/>
      <c r="L644" s="21"/>
      <c r="M644" s="9"/>
      <c r="N644" s="7"/>
      <c r="O644" s="9"/>
      <c r="P644" s="7"/>
    </row>
    <row r="645" spans="1:16" ht="17.5">
      <c r="A645" s="7"/>
      <c r="B645" s="7">
        <v>632</v>
      </c>
      <c r="C645" s="7">
        <v>1</v>
      </c>
      <c r="D645" s="257" t="e">
        <f>#REF!/#REF!</f>
        <v>#REF!</v>
      </c>
      <c r="E645" s="258">
        <v>1</v>
      </c>
      <c r="F645" s="7"/>
      <c r="G645" s="8"/>
      <c r="H645" s="7"/>
      <c r="I645" s="7"/>
      <c r="J645" s="8"/>
      <c r="K645" s="8"/>
      <c r="L645" s="256"/>
      <c r="M645" s="9"/>
      <c r="N645" s="7"/>
      <c r="O645" s="9"/>
    </row>
    <row r="646" spans="1:16">
      <c r="A646" s="1"/>
      <c r="L646" s="1"/>
      <c r="M646" s="1"/>
    </row>
    <row r="647" spans="1:16">
      <c r="A647" s="1"/>
      <c r="L647" s="1"/>
      <c r="M647" s="1"/>
    </row>
    <row r="652" spans="1:16">
      <c r="F652" s="1" t="s">
        <v>879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ورقة30"/>
  <dimension ref="B2:AX224"/>
  <sheetViews>
    <sheetView rightToLeft="1" workbookViewId="0"/>
  </sheetViews>
  <sheetFormatPr defaultRowHeight="15.5"/>
  <sheetData>
    <row r="2" spans="2:50">
      <c r="V2" s="737"/>
      <c r="W2" s="737"/>
    </row>
    <row r="4" spans="2:50">
      <c r="B4" s="52"/>
      <c r="C4" s="53"/>
      <c r="D4" s="53"/>
      <c r="E4" s="53"/>
      <c r="F4" s="53"/>
      <c r="G4" s="53"/>
      <c r="H4" s="53"/>
      <c r="I4" s="53"/>
      <c r="J4" s="53"/>
      <c r="K4" s="53"/>
      <c r="L4" s="53"/>
      <c r="M4" s="53"/>
      <c r="N4" s="53"/>
      <c r="O4" s="53"/>
      <c r="P4" s="53"/>
      <c r="Q4" s="54"/>
      <c r="S4" s="52"/>
      <c r="T4" s="53"/>
      <c r="U4" s="53"/>
      <c r="V4" s="53"/>
      <c r="W4" s="53"/>
      <c r="X4" s="53"/>
      <c r="Y4" s="53"/>
      <c r="Z4" s="53"/>
      <c r="AA4" s="53"/>
      <c r="AB4" s="53"/>
      <c r="AC4" s="53"/>
      <c r="AD4" s="53"/>
      <c r="AE4" s="53"/>
      <c r="AF4" s="53"/>
      <c r="AG4" s="53"/>
      <c r="AH4" s="68"/>
      <c r="AJ4" s="52"/>
      <c r="AK4" s="53"/>
      <c r="AL4" s="53"/>
      <c r="AM4" s="53"/>
      <c r="AN4" s="53"/>
      <c r="AO4" s="53"/>
      <c r="AP4" s="53"/>
      <c r="AQ4" s="53"/>
      <c r="AR4" s="53"/>
      <c r="AS4" s="69"/>
      <c r="AT4" s="53"/>
      <c r="AU4" s="53"/>
      <c r="AV4" s="53"/>
      <c r="AW4" s="53"/>
      <c r="AX4" s="53"/>
    </row>
    <row r="5" spans="2:50" ht="17.5">
      <c r="B5" s="55"/>
      <c r="C5" s="56"/>
      <c r="D5" s="57"/>
      <c r="E5" s="57"/>
      <c r="F5" s="57"/>
      <c r="G5" s="57"/>
      <c r="H5" s="57"/>
      <c r="I5" s="57"/>
      <c r="J5" s="57"/>
      <c r="K5" s="58"/>
      <c r="L5" s="58"/>
      <c r="M5" s="58"/>
      <c r="N5" s="57"/>
      <c r="O5" s="57"/>
      <c r="P5" s="57"/>
      <c r="Q5" s="59"/>
      <c r="AQ5" s="1"/>
    </row>
    <row r="6" spans="2:50" ht="17.5">
      <c r="B6" s="60"/>
      <c r="C6" s="61"/>
      <c r="D6" s="51"/>
      <c r="E6" s="51"/>
      <c r="F6" s="51"/>
      <c r="G6" s="51"/>
      <c r="H6" s="51"/>
      <c r="I6" s="51"/>
      <c r="J6" s="51"/>
      <c r="K6" s="62"/>
      <c r="L6" s="62"/>
      <c r="M6" s="62"/>
      <c r="N6" s="51"/>
      <c r="O6" s="51"/>
      <c r="P6" s="51"/>
      <c r="Q6" s="63"/>
      <c r="AQ6" s="1"/>
    </row>
    <row r="7" spans="2:50" ht="17.5">
      <c r="B7" s="60"/>
      <c r="C7" s="61"/>
      <c r="D7" s="51"/>
      <c r="E7" s="51"/>
      <c r="F7" s="51"/>
      <c r="G7" s="51"/>
      <c r="H7" s="51"/>
      <c r="I7" s="51"/>
      <c r="J7" s="51"/>
      <c r="K7" s="62"/>
      <c r="L7" s="62"/>
      <c r="M7" s="62"/>
      <c r="N7" s="51"/>
      <c r="O7" s="51"/>
      <c r="P7" s="51"/>
      <c r="Q7" s="63"/>
      <c r="AQ7" s="1"/>
    </row>
    <row r="8" spans="2:50" ht="17.5">
      <c r="B8" s="60"/>
      <c r="C8" s="61"/>
      <c r="D8" s="51"/>
      <c r="E8" s="51"/>
      <c r="F8" s="51"/>
      <c r="G8" s="51"/>
      <c r="H8" s="51"/>
      <c r="I8" s="51"/>
      <c r="J8" s="51"/>
      <c r="K8" s="62"/>
      <c r="L8" s="62"/>
      <c r="M8" s="62"/>
      <c r="N8" s="51"/>
      <c r="O8" s="51"/>
      <c r="P8" s="51"/>
      <c r="Q8" s="63"/>
    </row>
    <row r="9" spans="2:50" ht="17.5">
      <c r="B9" s="60"/>
      <c r="C9" s="61"/>
      <c r="D9" s="51"/>
      <c r="E9" s="51"/>
      <c r="F9" s="51"/>
      <c r="G9" s="51"/>
      <c r="H9" s="51"/>
      <c r="I9" s="51"/>
      <c r="J9" s="51"/>
      <c r="K9" s="62"/>
      <c r="L9" s="62"/>
      <c r="M9" s="62"/>
      <c r="N9" s="51"/>
      <c r="O9" s="51"/>
      <c r="P9" s="51"/>
      <c r="Q9" s="63"/>
    </row>
    <row r="10" spans="2:50" ht="17.5">
      <c r="B10" s="60"/>
      <c r="C10" s="61"/>
      <c r="D10" s="51"/>
      <c r="E10" s="51"/>
      <c r="F10" s="51"/>
      <c r="G10" s="51"/>
      <c r="H10" s="51"/>
      <c r="I10" s="51"/>
      <c r="J10" s="51"/>
      <c r="K10" s="62"/>
      <c r="L10" s="62"/>
      <c r="M10" s="62"/>
      <c r="N10" s="51"/>
      <c r="O10" s="51"/>
      <c r="P10" s="51"/>
      <c r="Q10" s="63"/>
    </row>
    <row r="11" spans="2:50" ht="17.5">
      <c r="B11" s="60"/>
      <c r="C11" s="61"/>
      <c r="D11" s="51"/>
      <c r="E11" s="51"/>
      <c r="F11" s="51"/>
      <c r="G11" s="51"/>
      <c r="H11" s="51"/>
      <c r="I11" s="51"/>
      <c r="J11" s="51"/>
      <c r="K11" s="62"/>
      <c r="L11" s="62"/>
      <c r="M11" s="62"/>
      <c r="N11" s="51"/>
      <c r="O11" s="51"/>
      <c r="P11" s="51"/>
      <c r="Q11" s="63"/>
    </row>
    <row r="12" spans="2:50" ht="17.5">
      <c r="B12" s="60"/>
      <c r="C12" s="61"/>
      <c r="D12" s="51"/>
      <c r="E12" s="51"/>
      <c r="F12" s="51"/>
      <c r="G12" s="51"/>
      <c r="H12" s="51"/>
      <c r="I12" s="51"/>
      <c r="J12" s="51"/>
      <c r="K12" s="62"/>
      <c r="L12" s="62"/>
      <c r="M12" s="62"/>
      <c r="N12" s="51"/>
      <c r="O12" s="51"/>
      <c r="P12" s="51"/>
      <c r="Q12" s="63"/>
    </row>
    <row r="13" spans="2:50" ht="17.5">
      <c r="B13" s="60"/>
      <c r="C13" s="61"/>
      <c r="D13" s="51"/>
      <c r="E13" s="51"/>
      <c r="F13" s="51"/>
      <c r="G13" s="51"/>
      <c r="H13" s="51"/>
      <c r="I13" s="51"/>
      <c r="J13" s="51"/>
      <c r="K13" s="62"/>
      <c r="L13" s="62"/>
      <c r="M13" s="62"/>
      <c r="N13" s="51"/>
      <c r="O13" s="51"/>
      <c r="P13" s="51"/>
      <c r="Q13" s="63"/>
    </row>
    <row r="14" spans="2:50" ht="17.5">
      <c r="B14" s="60"/>
      <c r="C14" s="61"/>
      <c r="D14" s="51"/>
      <c r="E14" s="51"/>
      <c r="F14" s="51"/>
      <c r="G14" s="51"/>
      <c r="H14" s="51"/>
      <c r="I14" s="51"/>
      <c r="J14" s="51"/>
      <c r="K14" s="62"/>
      <c r="L14" s="62"/>
      <c r="M14" s="62"/>
      <c r="N14" s="51"/>
      <c r="O14" s="51"/>
      <c r="P14" s="51"/>
      <c r="Q14" s="63"/>
    </row>
    <row r="15" spans="2:50" ht="17.5">
      <c r="B15" s="60"/>
      <c r="C15" s="61"/>
      <c r="D15" s="51"/>
      <c r="E15" s="51"/>
      <c r="F15" s="51"/>
      <c r="G15" s="51"/>
      <c r="H15" s="51"/>
      <c r="I15" s="51"/>
      <c r="J15" s="51"/>
      <c r="K15" s="62"/>
      <c r="L15" s="62"/>
      <c r="M15" s="62"/>
      <c r="N15" s="51"/>
      <c r="O15" s="51"/>
      <c r="P15" s="51"/>
      <c r="Q15" s="63"/>
    </row>
    <row r="16" spans="2:50" ht="17.5">
      <c r="B16" s="60"/>
      <c r="C16" s="61"/>
      <c r="D16" s="51"/>
      <c r="E16" s="51"/>
      <c r="F16" s="51"/>
      <c r="G16" s="51"/>
      <c r="H16" s="51"/>
      <c r="I16" s="51"/>
      <c r="J16" s="51"/>
      <c r="K16" s="62"/>
      <c r="L16" s="62"/>
      <c r="M16" s="62"/>
      <c r="N16" s="51"/>
      <c r="O16" s="51"/>
      <c r="P16" s="51"/>
      <c r="Q16" s="63"/>
    </row>
    <row r="17" spans="2:17" ht="17.5">
      <c r="B17" s="60"/>
      <c r="C17" s="61"/>
      <c r="D17" s="51"/>
      <c r="E17" s="51"/>
      <c r="F17" s="51"/>
      <c r="G17" s="51"/>
      <c r="H17" s="51"/>
      <c r="I17" s="51"/>
      <c r="J17" s="51"/>
      <c r="K17" s="62"/>
      <c r="L17" s="62"/>
      <c r="M17" s="62"/>
      <c r="N17" s="51"/>
      <c r="O17" s="51"/>
      <c r="P17" s="51"/>
      <c r="Q17" s="63"/>
    </row>
    <row r="18" spans="2:17" ht="17.5">
      <c r="B18" s="60"/>
      <c r="C18" s="61"/>
      <c r="D18" s="51"/>
      <c r="E18" s="51"/>
      <c r="F18" s="51"/>
      <c r="G18" s="51"/>
      <c r="H18" s="51"/>
      <c r="I18" s="51"/>
      <c r="J18" s="51"/>
      <c r="K18" s="62"/>
      <c r="L18" s="62"/>
      <c r="M18" s="62"/>
      <c r="N18" s="51"/>
      <c r="O18" s="51"/>
      <c r="P18" s="51"/>
      <c r="Q18" s="63"/>
    </row>
    <row r="19" spans="2:17" ht="17.5">
      <c r="B19" s="60"/>
      <c r="C19" s="61"/>
      <c r="D19" s="51"/>
      <c r="E19" s="51"/>
      <c r="F19" s="51"/>
      <c r="G19" s="51"/>
      <c r="H19" s="51"/>
      <c r="I19" s="51"/>
      <c r="J19" s="51"/>
      <c r="K19" s="62"/>
      <c r="L19" s="62"/>
      <c r="M19" s="62"/>
      <c r="N19" s="51"/>
      <c r="O19" s="51"/>
      <c r="P19" s="51"/>
      <c r="Q19" s="63"/>
    </row>
    <row r="20" spans="2:17" ht="17.5">
      <c r="B20" s="60"/>
      <c r="C20" s="61"/>
      <c r="D20" s="51"/>
      <c r="E20" s="51"/>
      <c r="F20" s="51"/>
      <c r="G20" s="51"/>
      <c r="H20" s="51"/>
      <c r="I20" s="51"/>
      <c r="J20" s="51"/>
      <c r="K20" s="62"/>
      <c r="L20" s="62"/>
      <c r="M20" s="62"/>
      <c r="N20" s="51"/>
      <c r="O20" s="51"/>
      <c r="P20" s="51"/>
      <c r="Q20" s="63"/>
    </row>
    <row r="21" spans="2:17" ht="17.5">
      <c r="B21" s="60"/>
      <c r="C21" s="61"/>
      <c r="D21" s="51"/>
      <c r="E21" s="51"/>
      <c r="F21" s="51"/>
      <c r="G21" s="51"/>
      <c r="H21" s="51"/>
      <c r="I21" s="51"/>
      <c r="J21" s="51"/>
      <c r="K21" s="62"/>
      <c r="L21" s="62"/>
      <c r="M21" s="62"/>
      <c r="N21" s="51"/>
      <c r="O21" s="51"/>
      <c r="P21" s="51"/>
      <c r="Q21" s="63"/>
    </row>
    <row r="22" spans="2:17" ht="17.5">
      <c r="B22" s="60"/>
      <c r="C22" s="61"/>
      <c r="D22" s="51"/>
      <c r="E22" s="51"/>
      <c r="F22" s="51"/>
      <c r="G22" s="51"/>
      <c r="H22" s="51"/>
      <c r="I22" s="51"/>
      <c r="J22" s="51"/>
      <c r="K22" s="62"/>
      <c r="L22" s="62"/>
      <c r="M22" s="62"/>
      <c r="N22" s="51"/>
      <c r="O22" s="51"/>
      <c r="P22" s="51"/>
      <c r="Q22" s="63"/>
    </row>
    <row r="23" spans="2:17" ht="17.5">
      <c r="B23" s="60"/>
      <c r="C23" s="61"/>
      <c r="D23" s="51"/>
      <c r="E23" s="51"/>
      <c r="F23" s="51"/>
      <c r="G23" s="51"/>
      <c r="H23" s="51"/>
      <c r="I23" s="51"/>
      <c r="J23" s="51"/>
      <c r="K23" s="62"/>
      <c r="L23" s="62"/>
      <c r="M23" s="62"/>
      <c r="N23" s="51"/>
      <c r="O23" s="51"/>
      <c r="P23" s="51"/>
      <c r="Q23" s="63"/>
    </row>
    <row r="24" spans="2:17" ht="17.5">
      <c r="B24" s="60"/>
      <c r="C24" s="61"/>
      <c r="D24" s="51"/>
      <c r="E24" s="51"/>
      <c r="F24" s="51"/>
      <c r="G24" s="51"/>
      <c r="H24" s="51"/>
      <c r="I24" s="51"/>
      <c r="J24" s="51"/>
      <c r="K24" s="62"/>
      <c r="L24" s="62"/>
      <c r="M24" s="62"/>
      <c r="N24" s="51"/>
      <c r="O24" s="51"/>
      <c r="P24" s="51"/>
      <c r="Q24" s="63"/>
    </row>
    <row r="25" spans="2:17" ht="17.5">
      <c r="B25" s="60"/>
      <c r="C25" s="61"/>
      <c r="D25" s="51"/>
      <c r="E25" s="51"/>
      <c r="F25" s="51"/>
      <c r="G25" s="51"/>
      <c r="H25" s="51"/>
      <c r="I25" s="51"/>
      <c r="J25" s="51"/>
      <c r="K25" s="62"/>
      <c r="L25" s="62"/>
      <c r="M25" s="62"/>
      <c r="N25" s="51"/>
      <c r="O25" s="51"/>
      <c r="P25" s="51"/>
      <c r="Q25" s="63"/>
    </row>
    <row r="26" spans="2:17" ht="17.5">
      <c r="B26" s="60"/>
      <c r="C26" s="61"/>
      <c r="D26" s="51"/>
      <c r="E26" s="51"/>
      <c r="F26" s="51"/>
      <c r="G26" s="51"/>
      <c r="H26" s="51"/>
      <c r="I26" s="51"/>
      <c r="J26" s="51"/>
      <c r="K26" s="62"/>
      <c r="L26" s="62"/>
      <c r="M26" s="62"/>
      <c r="N26" s="51"/>
      <c r="O26" s="51"/>
      <c r="P26" s="51"/>
      <c r="Q26" s="63"/>
    </row>
    <row r="27" spans="2:17" ht="17.5">
      <c r="B27" s="60"/>
      <c r="C27" s="61"/>
      <c r="D27" s="51"/>
      <c r="E27" s="51"/>
      <c r="F27" s="51"/>
      <c r="G27" s="51"/>
      <c r="H27" s="51"/>
      <c r="I27" s="51"/>
      <c r="J27" s="51"/>
      <c r="K27" s="62"/>
      <c r="L27" s="62"/>
      <c r="M27" s="62"/>
      <c r="N27" s="51"/>
      <c r="O27" s="51"/>
      <c r="P27" s="51"/>
      <c r="Q27" s="63"/>
    </row>
    <row r="28" spans="2:17" ht="17.5">
      <c r="B28" s="60"/>
      <c r="C28" s="61"/>
      <c r="D28" s="51"/>
      <c r="E28" s="51"/>
      <c r="F28" s="51"/>
      <c r="G28" s="51"/>
      <c r="H28" s="51"/>
      <c r="I28" s="51"/>
      <c r="J28" s="51"/>
      <c r="K28" s="62"/>
      <c r="L28" s="62"/>
      <c r="M28" s="62"/>
      <c r="N28" s="51"/>
      <c r="O28" s="51"/>
      <c r="P28" s="51"/>
      <c r="Q28" s="63"/>
    </row>
    <row r="29" spans="2:17" ht="17.5">
      <c r="B29" s="60"/>
      <c r="C29" s="61"/>
      <c r="D29" s="51"/>
      <c r="E29" s="51"/>
      <c r="F29" s="51"/>
      <c r="G29" s="51"/>
      <c r="H29" s="51"/>
      <c r="I29" s="51"/>
      <c r="J29" s="51"/>
      <c r="K29" s="62"/>
      <c r="L29" s="62"/>
      <c r="M29" s="62"/>
      <c r="N29" s="51"/>
      <c r="O29" s="51"/>
      <c r="P29" s="51"/>
      <c r="Q29" s="63"/>
    </row>
    <row r="30" spans="2:17" ht="17.5">
      <c r="B30" s="60"/>
      <c r="C30" s="61"/>
      <c r="D30" s="51"/>
      <c r="E30" s="51"/>
      <c r="F30" s="51"/>
      <c r="G30" s="51"/>
      <c r="H30" s="51"/>
      <c r="I30" s="51"/>
      <c r="J30" s="51"/>
      <c r="K30" s="62"/>
      <c r="L30" s="62"/>
      <c r="M30" s="62"/>
      <c r="N30" s="51"/>
      <c r="O30" s="51"/>
      <c r="P30" s="51"/>
      <c r="Q30" s="63"/>
    </row>
    <row r="31" spans="2:17" ht="17.5">
      <c r="B31" s="60"/>
      <c r="C31" s="61"/>
      <c r="D31" s="51"/>
      <c r="E31" s="51"/>
      <c r="F31" s="51"/>
      <c r="G31" s="51"/>
      <c r="H31" s="51"/>
      <c r="I31" s="51"/>
      <c r="J31" s="51"/>
      <c r="K31" s="62"/>
      <c r="L31" s="62"/>
      <c r="M31" s="62"/>
      <c r="N31" s="51"/>
      <c r="O31" s="51"/>
      <c r="P31" s="51"/>
      <c r="Q31" s="63"/>
    </row>
    <row r="32" spans="2:17" ht="17.5">
      <c r="B32" s="60"/>
      <c r="C32" s="61"/>
      <c r="D32" s="51"/>
      <c r="E32" s="51"/>
      <c r="F32" s="51"/>
      <c r="G32" s="51"/>
      <c r="H32" s="51"/>
      <c r="I32" s="51"/>
      <c r="J32" s="51"/>
      <c r="K32" s="62"/>
      <c r="L32" s="62"/>
      <c r="M32" s="62"/>
      <c r="N32" s="51"/>
      <c r="O32" s="51"/>
      <c r="P32" s="51"/>
      <c r="Q32" s="63"/>
    </row>
    <row r="33" spans="2:17" ht="17.5">
      <c r="B33" s="60"/>
      <c r="C33" s="61"/>
      <c r="D33" s="51"/>
      <c r="E33" s="51"/>
      <c r="F33" s="51"/>
      <c r="G33" s="51"/>
      <c r="H33" s="51"/>
      <c r="I33" s="51"/>
      <c r="J33" s="51"/>
      <c r="K33" s="62"/>
      <c r="L33" s="62"/>
      <c r="M33" s="62"/>
      <c r="N33" s="51"/>
      <c r="O33" s="51"/>
      <c r="P33" s="51"/>
      <c r="Q33" s="63"/>
    </row>
    <row r="34" spans="2:17" ht="17.5">
      <c r="B34" s="60"/>
      <c r="C34" s="61"/>
      <c r="D34" s="51"/>
      <c r="E34" s="51"/>
      <c r="F34" s="51"/>
      <c r="G34" s="51"/>
      <c r="H34" s="51"/>
      <c r="I34" s="51"/>
      <c r="J34" s="51"/>
      <c r="K34" s="62"/>
      <c r="L34" s="62"/>
      <c r="M34" s="62"/>
      <c r="N34" s="51"/>
      <c r="O34" s="51"/>
      <c r="P34" s="51"/>
      <c r="Q34" s="63"/>
    </row>
    <row r="35" spans="2:17" ht="17.5">
      <c r="B35" s="60"/>
      <c r="C35" s="61"/>
      <c r="D35" s="51"/>
      <c r="E35" s="51"/>
      <c r="F35" s="51"/>
      <c r="G35" s="51"/>
      <c r="H35" s="51"/>
      <c r="I35" s="51"/>
      <c r="J35" s="51"/>
      <c r="K35" s="62"/>
      <c r="L35" s="62"/>
      <c r="M35" s="62"/>
      <c r="N35" s="51"/>
      <c r="O35" s="51"/>
      <c r="P35" s="51"/>
      <c r="Q35" s="63"/>
    </row>
    <row r="36" spans="2:17" ht="17.5">
      <c r="B36" s="60"/>
      <c r="C36" s="61"/>
      <c r="D36" s="51"/>
      <c r="E36" s="51"/>
      <c r="F36" s="51"/>
      <c r="G36" s="51"/>
      <c r="H36" s="51"/>
      <c r="I36" s="51"/>
      <c r="J36" s="51"/>
      <c r="K36" s="62"/>
      <c r="L36" s="62"/>
      <c r="M36" s="62"/>
      <c r="N36" s="51"/>
      <c r="O36" s="51"/>
      <c r="P36" s="51"/>
      <c r="Q36" s="63"/>
    </row>
    <row r="37" spans="2:17" ht="17.5">
      <c r="B37" s="60"/>
      <c r="C37" s="61"/>
      <c r="D37" s="51"/>
      <c r="E37" s="51"/>
      <c r="F37" s="51"/>
      <c r="G37" s="51"/>
      <c r="H37" s="51"/>
      <c r="I37" s="51"/>
      <c r="J37" s="51"/>
      <c r="K37" s="62"/>
      <c r="L37" s="62"/>
      <c r="M37" s="62"/>
      <c r="N37" s="51"/>
      <c r="O37" s="51"/>
      <c r="P37" s="51"/>
      <c r="Q37" s="63"/>
    </row>
    <row r="38" spans="2:17" ht="17.5">
      <c r="B38" s="60"/>
      <c r="C38" s="61"/>
      <c r="D38" s="51"/>
      <c r="E38" s="51"/>
      <c r="F38" s="51"/>
      <c r="G38" s="51"/>
      <c r="H38" s="51"/>
      <c r="I38" s="51"/>
      <c r="J38" s="51"/>
      <c r="K38" s="62"/>
      <c r="L38" s="62"/>
      <c r="M38" s="62"/>
      <c r="N38" s="51"/>
      <c r="O38" s="51"/>
      <c r="P38" s="51"/>
      <c r="Q38" s="63"/>
    </row>
    <row r="39" spans="2:17" ht="17.5">
      <c r="B39" s="60"/>
      <c r="C39" s="61"/>
      <c r="D39" s="51"/>
      <c r="E39" s="51"/>
      <c r="F39" s="51"/>
      <c r="G39" s="51"/>
      <c r="H39" s="51"/>
      <c r="I39" s="51"/>
      <c r="J39" s="51"/>
      <c r="K39" s="62"/>
      <c r="L39" s="62"/>
      <c r="M39" s="62"/>
      <c r="N39" s="51"/>
      <c r="O39" s="51"/>
      <c r="P39" s="51"/>
      <c r="Q39" s="63"/>
    </row>
    <row r="40" spans="2:17" ht="17.5">
      <c r="B40" s="60"/>
      <c r="C40" s="61"/>
      <c r="D40" s="51"/>
      <c r="E40" s="51"/>
      <c r="F40" s="51"/>
      <c r="G40" s="51"/>
      <c r="H40" s="51"/>
      <c r="I40" s="51"/>
      <c r="J40" s="51"/>
      <c r="K40" s="62"/>
      <c r="L40" s="62"/>
      <c r="M40" s="62"/>
      <c r="N40" s="51"/>
      <c r="O40" s="51"/>
      <c r="P40" s="51"/>
      <c r="Q40" s="63"/>
    </row>
    <row r="41" spans="2:17" ht="17.5">
      <c r="B41" s="60"/>
      <c r="C41" s="61"/>
      <c r="D41" s="51"/>
      <c r="E41" s="51"/>
      <c r="F41" s="51"/>
      <c r="G41" s="51"/>
      <c r="H41" s="51"/>
      <c r="I41" s="51"/>
      <c r="J41" s="51"/>
      <c r="K41" s="62"/>
      <c r="L41" s="62"/>
      <c r="M41" s="62"/>
      <c r="N41" s="51"/>
      <c r="O41" s="51"/>
      <c r="P41" s="51"/>
      <c r="Q41" s="63"/>
    </row>
    <row r="42" spans="2:17" ht="17.5">
      <c r="B42" s="60"/>
      <c r="C42" s="61"/>
      <c r="D42" s="51"/>
      <c r="E42" s="51"/>
      <c r="F42" s="51"/>
      <c r="G42" s="51"/>
      <c r="H42" s="51"/>
      <c r="I42" s="51"/>
      <c r="J42" s="51"/>
      <c r="K42" s="62"/>
      <c r="L42" s="62"/>
      <c r="M42" s="62"/>
      <c r="N42" s="51"/>
      <c r="O42" s="51"/>
      <c r="P42" s="51"/>
      <c r="Q42" s="63"/>
    </row>
    <row r="43" spans="2:17" ht="17.5">
      <c r="B43" s="60"/>
      <c r="C43" s="61"/>
      <c r="D43" s="51"/>
      <c r="E43" s="51"/>
      <c r="F43" s="51"/>
      <c r="G43" s="51"/>
      <c r="H43" s="51"/>
      <c r="I43" s="51"/>
      <c r="J43" s="51"/>
      <c r="K43" s="62"/>
      <c r="L43" s="62"/>
      <c r="M43" s="62"/>
      <c r="N43" s="51"/>
      <c r="O43" s="51"/>
      <c r="P43" s="51"/>
      <c r="Q43" s="63"/>
    </row>
    <row r="44" spans="2:17" ht="17.5">
      <c r="B44" s="60"/>
      <c r="C44" s="61"/>
      <c r="D44" s="51"/>
      <c r="E44" s="51"/>
      <c r="F44" s="51"/>
      <c r="G44" s="51"/>
      <c r="H44" s="51"/>
      <c r="I44" s="51"/>
      <c r="J44" s="51"/>
      <c r="K44" s="62"/>
      <c r="L44" s="62"/>
      <c r="M44" s="62"/>
      <c r="N44" s="51"/>
      <c r="O44" s="51"/>
      <c r="P44" s="51"/>
      <c r="Q44" s="63"/>
    </row>
    <row r="45" spans="2:17" ht="17.5">
      <c r="B45" s="60"/>
      <c r="C45" s="61"/>
      <c r="D45" s="51"/>
      <c r="E45" s="51"/>
      <c r="F45" s="51"/>
      <c r="G45" s="51"/>
      <c r="H45" s="51"/>
      <c r="I45" s="51"/>
      <c r="J45" s="51"/>
      <c r="K45" s="62"/>
      <c r="L45" s="62"/>
      <c r="M45" s="62"/>
      <c r="N45" s="51"/>
      <c r="O45" s="51"/>
      <c r="P45" s="51"/>
      <c r="Q45" s="63"/>
    </row>
    <row r="46" spans="2:17" ht="17.5">
      <c r="B46" s="60"/>
      <c r="C46" s="61"/>
      <c r="D46" s="51"/>
      <c r="E46" s="51"/>
      <c r="F46" s="51"/>
      <c r="G46" s="51"/>
      <c r="H46" s="51"/>
      <c r="I46" s="51"/>
      <c r="J46" s="51"/>
      <c r="K46" s="62"/>
      <c r="L46" s="62"/>
      <c r="M46" s="62"/>
      <c r="N46" s="51"/>
      <c r="O46" s="51"/>
      <c r="P46" s="51"/>
      <c r="Q46" s="63"/>
    </row>
    <row r="47" spans="2:17" ht="17.5">
      <c r="B47" s="60"/>
      <c r="C47" s="61"/>
      <c r="D47" s="51"/>
      <c r="E47" s="51"/>
      <c r="F47" s="51"/>
      <c r="G47" s="51"/>
      <c r="H47" s="51"/>
      <c r="I47" s="51"/>
      <c r="J47" s="51"/>
      <c r="K47" s="62"/>
      <c r="L47" s="62"/>
      <c r="M47" s="62"/>
      <c r="N47" s="51"/>
      <c r="O47" s="51"/>
      <c r="P47" s="51"/>
      <c r="Q47" s="63"/>
    </row>
    <row r="48" spans="2:17" ht="17.5">
      <c r="B48" s="60"/>
      <c r="C48" s="61"/>
      <c r="D48" s="51"/>
      <c r="E48" s="51"/>
      <c r="F48" s="51"/>
      <c r="G48" s="51"/>
      <c r="H48" s="51"/>
      <c r="I48" s="51"/>
      <c r="J48" s="51"/>
      <c r="K48" s="62"/>
      <c r="L48" s="62"/>
      <c r="M48" s="62"/>
      <c r="N48" s="51"/>
      <c r="O48" s="51"/>
      <c r="P48" s="51"/>
      <c r="Q48" s="63"/>
    </row>
    <row r="49" spans="2:17" ht="17.5">
      <c r="B49" s="60"/>
      <c r="C49" s="61"/>
      <c r="D49" s="51"/>
      <c r="E49" s="51"/>
      <c r="F49" s="51"/>
      <c r="G49" s="51"/>
      <c r="H49" s="51"/>
      <c r="I49" s="51"/>
      <c r="J49" s="51"/>
      <c r="K49" s="62"/>
      <c r="L49" s="62"/>
      <c r="M49" s="62"/>
      <c r="N49" s="51"/>
      <c r="O49" s="51"/>
      <c r="P49" s="51"/>
      <c r="Q49" s="63"/>
    </row>
    <row r="50" spans="2:17" ht="17.5">
      <c r="B50" s="60"/>
      <c r="C50" s="61"/>
      <c r="D50" s="51"/>
      <c r="E50" s="51"/>
      <c r="F50" s="51"/>
      <c r="G50" s="51"/>
      <c r="H50" s="51"/>
      <c r="I50" s="51"/>
      <c r="J50" s="51"/>
      <c r="K50" s="62"/>
      <c r="L50" s="62"/>
      <c r="M50" s="62"/>
      <c r="N50" s="51"/>
      <c r="O50" s="51"/>
      <c r="P50" s="51"/>
      <c r="Q50" s="63"/>
    </row>
    <row r="51" spans="2:17" ht="17.5">
      <c r="B51" s="60"/>
      <c r="C51" s="61"/>
      <c r="D51" s="51"/>
      <c r="E51" s="51"/>
      <c r="F51" s="51"/>
      <c r="G51" s="51"/>
      <c r="H51" s="51"/>
      <c r="I51" s="51"/>
      <c r="J51" s="51"/>
      <c r="K51" s="62"/>
      <c r="L51" s="62"/>
      <c r="M51" s="62"/>
      <c r="N51" s="51"/>
      <c r="O51" s="51"/>
      <c r="P51" s="51"/>
      <c r="Q51" s="63"/>
    </row>
    <row r="52" spans="2:17" ht="17.5">
      <c r="B52" s="60"/>
      <c r="C52" s="61"/>
      <c r="D52" s="51"/>
      <c r="E52" s="51"/>
      <c r="F52" s="51"/>
      <c r="G52" s="51"/>
      <c r="H52" s="51"/>
      <c r="I52" s="51"/>
      <c r="J52" s="51"/>
      <c r="K52" s="62"/>
      <c r="L52" s="62"/>
      <c r="M52" s="62"/>
      <c r="N52" s="51"/>
      <c r="O52" s="51"/>
      <c r="P52" s="51"/>
      <c r="Q52" s="63"/>
    </row>
    <row r="53" spans="2:17" ht="17.5">
      <c r="B53" s="60"/>
      <c r="C53" s="61"/>
      <c r="D53" s="51"/>
      <c r="E53" s="51"/>
      <c r="F53" s="51"/>
      <c r="G53" s="51"/>
      <c r="H53" s="51"/>
      <c r="I53" s="51"/>
      <c r="J53" s="51"/>
      <c r="K53" s="62"/>
      <c r="L53" s="62"/>
      <c r="M53" s="62"/>
      <c r="N53" s="51"/>
      <c r="O53" s="51"/>
      <c r="P53" s="51"/>
      <c r="Q53" s="63"/>
    </row>
    <row r="54" spans="2:17" ht="17.5">
      <c r="B54" s="60"/>
      <c r="C54" s="61"/>
      <c r="D54" s="51"/>
      <c r="E54" s="51"/>
      <c r="F54" s="51"/>
      <c r="G54" s="51"/>
      <c r="H54" s="51"/>
      <c r="I54" s="51"/>
      <c r="J54" s="51"/>
      <c r="K54" s="62"/>
      <c r="L54" s="62"/>
      <c r="M54" s="62"/>
      <c r="N54" s="51"/>
      <c r="O54" s="51"/>
      <c r="P54" s="51"/>
      <c r="Q54" s="63"/>
    </row>
    <row r="55" spans="2:17" ht="17.5">
      <c r="B55" s="60"/>
      <c r="C55" s="61"/>
      <c r="D55" s="51"/>
      <c r="E55" s="51"/>
      <c r="F55" s="51"/>
      <c r="G55" s="51"/>
      <c r="H55" s="51"/>
      <c r="I55" s="51"/>
      <c r="J55" s="51"/>
      <c r="K55" s="62"/>
      <c r="L55" s="62"/>
      <c r="M55" s="62"/>
      <c r="N55" s="51"/>
      <c r="O55" s="51"/>
      <c r="P55" s="51"/>
      <c r="Q55" s="63"/>
    </row>
    <row r="56" spans="2:17" ht="17.5">
      <c r="B56" s="60"/>
      <c r="C56" s="61"/>
      <c r="D56" s="51"/>
      <c r="E56" s="51"/>
      <c r="F56" s="51"/>
      <c r="G56" s="51"/>
      <c r="H56" s="51"/>
      <c r="I56" s="51"/>
      <c r="J56" s="51"/>
      <c r="K56" s="62"/>
      <c r="L56" s="62"/>
      <c r="M56" s="62"/>
      <c r="N56" s="51"/>
      <c r="O56" s="51"/>
      <c r="P56" s="51"/>
      <c r="Q56" s="63"/>
    </row>
    <row r="57" spans="2:17" ht="17.5">
      <c r="B57" s="60"/>
      <c r="C57" s="61"/>
      <c r="D57" s="51"/>
      <c r="E57" s="51"/>
      <c r="F57" s="51"/>
      <c r="G57" s="51"/>
      <c r="H57" s="51"/>
      <c r="I57" s="51"/>
      <c r="J57" s="51"/>
      <c r="K57" s="62"/>
      <c r="L57" s="62"/>
      <c r="M57" s="62"/>
      <c r="N57" s="51"/>
      <c r="O57" s="51"/>
      <c r="P57" s="51"/>
      <c r="Q57" s="63"/>
    </row>
    <row r="58" spans="2:17" ht="17.5">
      <c r="B58" s="60"/>
      <c r="C58" s="61"/>
      <c r="D58" s="51"/>
      <c r="E58" s="51"/>
      <c r="F58" s="51"/>
      <c r="G58" s="51"/>
      <c r="H58" s="51"/>
      <c r="I58" s="51"/>
      <c r="J58" s="51"/>
      <c r="K58" s="62"/>
      <c r="L58" s="62"/>
      <c r="M58" s="62"/>
      <c r="N58" s="51"/>
      <c r="O58" s="51"/>
      <c r="P58" s="51"/>
      <c r="Q58" s="63"/>
    </row>
    <row r="59" spans="2:17" ht="17.5">
      <c r="B59" s="60"/>
      <c r="C59" s="61"/>
      <c r="D59" s="51"/>
      <c r="E59" s="51"/>
      <c r="F59" s="51"/>
      <c r="G59" s="51"/>
      <c r="H59" s="51"/>
      <c r="I59" s="51"/>
      <c r="J59" s="51"/>
      <c r="K59" s="62"/>
      <c r="L59" s="62"/>
      <c r="M59" s="62"/>
      <c r="N59" s="51"/>
      <c r="O59" s="51"/>
      <c r="P59" s="51"/>
      <c r="Q59" s="63"/>
    </row>
    <row r="60" spans="2:17" ht="17.5">
      <c r="B60" s="60"/>
      <c r="C60" s="61"/>
      <c r="D60" s="51"/>
      <c r="E60" s="51"/>
      <c r="F60" s="51"/>
      <c r="G60" s="51"/>
      <c r="H60" s="51"/>
      <c r="I60" s="51"/>
      <c r="J60" s="51"/>
      <c r="K60" s="62"/>
      <c r="L60" s="62"/>
      <c r="M60" s="62"/>
      <c r="N60" s="51"/>
      <c r="O60" s="51"/>
      <c r="P60" s="51"/>
      <c r="Q60" s="63"/>
    </row>
    <row r="61" spans="2:17" ht="17.5">
      <c r="B61" s="60"/>
      <c r="C61" s="61"/>
      <c r="D61" s="51"/>
      <c r="E61" s="51"/>
      <c r="F61" s="51"/>
      <c r="G61" s="51"/>
      <c r="H61" s="51"/>
      <c r="I61" s="51"/>
      <c r="J61" s="51"/>
      <c r="K61" s="62"/>
      <c r="L61" s="62"/>
      <c r="M61" s="62"/>
      <c r="N61" s="51"/>
      <c r="O61" s="51"/>
      <c r="P61" s="51"/>
      <c r="Q61" s="63"/>
    </row>
    <row r="62" spans="2:17" ht="17.5">
      <c r="B62" s="60"/>
      <c r="C62" s="61"/>
      <c r="D62" s="51"/>
      <c r="E62" s="51"/>
      <c r="F62" s="51"/>
      <c r="G62" s="51"/>
      <c r="H62" s="51"/>
      <c r="I62" s="51"/>
      <c r="J62" s="51"/>
      <c r="K62" s="62"/>
      <c r="L62" s="62"/>
      <c r="M62" s="62"/>
      <c r="N62" s="51"/>
      <c r="O62" s="51"/>
      <c r="P62" s="51"/>
      <c r="Q62" s="63"/>
    </row>
    <row r="63" spans="2:17" ht="17.5">
      <c r="B63" s="60"/>
      <c r="C63" s="61"/>
      <c r="D63" s="51"/>
      <c r="E63" s="51"/>
      <c r="F63" s="51"/>
      <c r="G63" s="51"/>
      <c r="H63" s="51"/>
      <c r="I63" s="51"/>
      <c r="J63" s="51"/>
      <c r="K63" s="62"/>
      <c r="L63" s="62"/>
      <c r="M63" s="62"/>
      <c r="N63" s="51"/>
      <c r="O63" s="51"/>
      <c r="P63" s="51"/>
      <c r="Q63" s="63"/>
    </row>
    <row r="64" spans="2:17" ht="17.5">
      <c r="B64" s="60"/>
      <c r="C64" s="61"/>
      <c r="D64" s="51"/>
      <c r="E64" s="51"/>
      <c r="F64" s="51"/>
      <c r="G64" s="51"/>
      <c r="H64" s="51"/>
      <c r="I64" s="51"/>
      <c r="J64" s="51"/>
      <c r="K64" s="62"/>
      <c r="L64" s="62"/>
      <c r="M64" s="62"/>
      <c r="N64" s="51"/>
      <c r="O64" s="51"/>
      <c r="P64" s="62"/>
      <c r="Q64" s="63"/>
    </row>
    <row r="65" spans="2:17" ht="17.5">
      <c r="B65" s="60"/>
      <c r="C65" s="61"/>
      <c r="D65" s="51"/>
      <c r="E65" s="51"/>
      <c r="F65" s="51"/>
      <c r="G65" s="51"/>
      <c r="H65" s="51"/>
      <c r="I65" s="51"/>
      <c r="J65" s="51"/>
      <c r="K65" s="62"/>
      <c r="L65" s="62"/>
      <c r="M65" s="62"/>
      <c r="N65" s="51"/>
      <c r="O65" s="51"/>
      <c r="P65" s="51"/>
      <c r="Q65" s="64"/>
    </row>
    <row r="66" spans="2:17" ht="17.5">
      <c r="B66" s="60"/>
      <c r="C66" s="61"/>
      <c r="D66" s="51"/>
      <c r="E66" s="51"/>
      <c r="F66" s="51"/>
      <c r="G66" s="51"/>
      <c r="H66" s="51"/>
      <c r="I66" s="51"/>
      <c r="J66" s="51"/>
      <c r="K66" s="62"/>
      <c r="L66" s="62"/>
      <c r="M66" s="62"/>
      <c r="N66" s="51"/>
      <c r="O66" s="51"/>
      <c r="P66" s="51"/>
      <c r="Q66" s="63"/>
    </row>
    <row r="67" spans="2:17" ht="17.5">
      <c r="B67" s="60"/>
      <c r="C67" s="61"/>
      <c r="D67" s="51"/>
      <c r="E67" s="51"/>
      <c r="F67" s="51"/>
      <c r="G67" s="51"/>
      <c r="H67" s="51"/>
      <c r="I67" s="51"/>
      <c r="J67" s="51"/>
      <c r="K67" s="62"/>
      <c r="L67" s="62"/>
      <c r="M67" s="62"/>
      <c r="N67" s="51"/>
      <c r="O67" s="51"/>
      <c r="P67" s="51"/>
      <c r="Q67" s="63"/>
    </row>
    <row r="68" spans="2:17" ht="17.5">
      <c r="B68" s="60"/>
      <c r="C68" s="61"/>
      <c r="D68" s="51"/>
      <c r="E68" s="51"/>
      <c r="F68" s="51"/>
      <c r="G68" s="51"/>
      <c r="H68" s="51"/>
      <c r="I68" s="51"/>
      <c r="J68" s="51"/>
      <c r="K68" s="62"/>
      <c r="L68" s="62"/>
      <c r="M68" s="62"/>
      <c r="N68" s="51"/>
      <c r="O68" s="51"/>
      <c r="P68" s="51"/>
      <c r="Q68" s="63"/>
    </row>
    <row r="69" spans="2:17" ht="17.5">
      <c r="B69" s="60"/>
      <c r="C69" s="61"/>
      <c r="D69" s="51"/>
      <c r="E69" s="51"/>
      <c r="F69" s="51"/>
      <c r="G69" s="51"/>
      <c r="H69" s="51"/>
      <c r="I69" s="51"/>
      <c r="J69" s="51"/>
      <c r="K69" s="62"/>
      <c r="L69" s="62"/>
      <c r="M69" s="62"/>
      <c r="N69" s="51"/>
      <c r="O69" s="51"/>
      <c r="P69" s="51"/>
      <c r="Q69" s="63"/>
    </row>
    <row r="70" spans="2:17" ht="17.5">
      <c r="B70" s="60"/>
      <c r="C70" s="61"/>
      <c r="D70" s="51"/>
      <c r="E70" s="51"/>
      <c r="F70" s="51"/>
      <c r="G70" s="51"/>
      <c r="H70" s="51"/>
      <c r="I70" s="51"/>
      <c r="J70" s="51"/>
      <c r="K70" s="62"/>
      <c r="L70" s="62"/>
      <c r="M70" s="62"/>
      <c r="N70" s="51"/>
      <c r="O70" s="51"/>
      <c r="P70" s="51"/>
      <c r="Q70" s="63"/>
    </row>
    <row r="71" spans="2:17" ht="17.5">
      <c r="B71" s="60"/>
      <c r="C71" s="61"/>
      <c r="D71" s="51"/>
      <c r="E71" s="51"/>
      <c r="F71" s="51"/>
      <c r="G71" s="51"/>
      <c r="H71" s="51"/>
      <c r="I71" s="51"/>
      <c r="J71" s="51"/>
      <c r="K71" s="62"/>
      <c r="L71" s="62"/>
      <c r="M71" s="62"/>
      <c r="N71" s="51"/>
      <c r="O71" s="51"/>
      <c r="P71" s="51"/>
      <c r="Q71" s="63"/>
    </row>
    <row r="72" spans="2:17" ht="17.5">
      <c r="B72" s="60"/>
      <c r="C72" s="61"/>
      <c r="D72" s="51"/>
      <c r="E72" s="51"/>
      <c r="F72" s="51"/>
      <c r="G72" s="51"/>
      <c r="H72" s="51"/>
      <c r="I72" s="51"/>
      <c r="J72" s="51"/>
      <c r="K72" s="62"/>
      <c r="L72" s="62"/>
      <c r="M72" s="62"/>
      <c r="N72" s="51"/>
      <c r="O72" s="51"/>
      <c r="P72" s="51"/>
      <c r="Q72" s="63"/>
    </row>
    <row r="73" spans="2:17" ht="17.5">
      <c r="B73" s="60"/>
      <c r="C73" s="61"/>
      <c r="D73" s="51"/>
      <c r="E73" s="51"/>
      <c r="F73" s="51"/>
      <c r="G73" s="51"/>
      <c r="H73" s="51"/>
      <c r="I73" s="51"/>
      <c r="J73" s="51"/>
      <c r="K73" s="62"/>
      <c r="L73" s="62"/>
      <c r="M73" s="62"/>
      <c r="N73" s="51"/>
      <c r="O73" s="51"/>
      <c r="P73" s="51"/>
      <c r="Q73" s="63"/>
    </row>
    <row r="74" spans="2:17" ht="17.5">
      <c r="B74" s="60"/>
      <c r="C74" s="61"/>
      <c r="D74" s="51"/>
      <c r="E74" s="51"/>
      <c r="F74" s="51"/>
      <c r="G74" s="51"/>
      <c r="H74" s="51"/>
      <c r="I74" s="51"/>
      <c r="J74" s="51"/>
      <c r="K74" s="62"/>
      <c r="L74" s="62"/>
      <c r="M74" s="62"/>
      <c r="N74" s="51"/>
      <c r="O74" s="51"/>
      <c r="P74" s="51"/>
      <c r="Q74" s="63"/>
    </row>
    <row r="75" spans="2:17" ht="17.5">
      <c r="B75" s="60"/>
      <c r="C75" s="61"/>
      <c r="D75" s="51"/>
      <c r="E75" s="51"/>
      <c r="F75" s="51"/>
      <c r="G75" s="51"/>
      <c r="H75" s="51"/>
      <c r="I75" s="51"/>
      <c r="J75" s="51"/>
      <c r="K75" s="62"/>
      <c r="L75" s="62"/>
      <c r="M75" s="62"/>
      <c r="N75" s="51"/>
      <c r="O75" s="51"/>
      <c r="P75" s="51"/>
      <c r="Q75" s="63"/>
    </row>
    <row r="76" spans="2:17" ht="17.5">
      <c r="B76" s="60"/>
      <c r="C76" s="61"/>
      <c r="D76" s="51"/>
      <c r="E76" s="51"/>
      <c r="F76" s="51"/>
      <c r="G76" s="51"/>
      <c r="H76" s="51"/>
      <c r="I76" s="51"/>
      <c r="J76" s="51"/>
      <c r="K76" s="62"/>
      <c r="L76" s="62"/>
      <c r="M76" s="62"/>
      <c r="N76" s="51"/>
      <c r="O76" s="51"/>
      <c r="P76" s="51"/>
      <c r="Q76" s="63"/>
    </row>
    <row r="77" spans="2:17" ht="17.5">
      <c r="B77" s="60"/>
      <c r="C77" s="61"/>
      <c r="D77" s="51"/>
      <c r="E77" s="51"/>
      <c r="F77" s="51"/>
      <c r="G77" s="51"/>
      <c r="H77" s="51"/>
      <c r="I77" s="51"/>
      <c r="J77" s="51"/>
      <c r="K77" s="62"/>
      <c r="L77" s="62"/>
      <c r="M77" s="62"/>
      <c r="N77" s="51"/>
      <c r="O77" s="51"/>
      <c r="P77" s="51"/>
      <c r="Q77" s="63"/>
    </row>
    <row r="78" spans="2:17" ht="17.5">
      <c r="B78" s="60"/>
      <c r="C78" s="61"/>
      <c r="D78" s="51"/>
      <c r="E78" s="65"/>
      <c r="F78" s="65"/>
      <c r="G78" s="65"/>
      <c r="H78" s="65"/>
      <c r="I78" s="65"/>
      <c r="J78" s="51"/>
      <c r="K78" s="62"/>
      <c r="L78" s="62"/>
      <c r="M78" s="62"/>
      <c r="N78" s="51"/>
      <c r="O78" s="51"/>
      <c r="P78" s="51"/>
      <c r="Q78" s="63"/>
    </row>
    <row r="79" spans="2:17" ht="17.5">
      <c r="B79" s="60"/>
      <c r="C79" s="61"/>
      <c r="D79" s="51"/>
      <c r="E79" s="51"/>
      <c r="F79" s="51"/>
      <c r="G79" s="51"/>
      <c r="H79" s="51"/>
      <c r="I79" s="51"/>
      <c r="J79" s="51"/>
      <c r="K79" s="62"/>
      <c r="L79" s="62"/>
      <c r="M79" s="62"/>
      <c r="N79" s="51"/>
      <c r="O79" s="51"/>
      <c r="P79" s="51"/>
      <c r="Q79" s="63"/>
    </row>
    <row r="80" spans="2:17" ht="17.5">
      <c r="B80" s="60"/>
      <c r="C80" s="61"/>
      <c r="D80" s="51"/>
      <c r="E80" s="51"/>
      <c r="F80" s="51"/>
      <c r="G80" s="51"/>
      <c r="H80" s="51"/>
      <c r="I80" s="51"/>
      <c r="J80" s="51"/>
      <c r="K80" s="62"/>
      <c r="L80" s="62"/>
      <c r="M80" s="62"/>
      <c r="N80" s="51"/>
      <c r="O80" s="51"/>
      <c r="P80" s="51"/>
      <c r="Q80" s="63"/>
    </row>
    <row r="81" spans="2:17" ht="17.5">
      <c r="B81" s="60"/>
      <c r="C81" s="61"/>
      <c r="D81" s="51"/>
      <c r="E81" s="51"/>
      <c r="F81" s="51"/>
      <c r="G81" s="51"/>
      <c r="H81" s="51"/>
      <c r="I81" s="51"/>
      <c r="J81" s="51"/>
      <c r="K81" s="62"/>
      <c r="L81" s="62"/>
      <c r="M81" s="62"/>
      <c r="N81" s="51"/>
      <c r="O81" s="51"/>
      <c r="P81" s="51"/>
      <c r="Q81" s="63"/>
    </row>
    <row r="82" spans="2:17" ht="17.5">
      <c r="B82" s="60"/>
      <c r="C82" s="61"/>
      <c r="D82" s="51"/>
      <c r="E82" s="51"/>
      <c r="F82" s="51"/>
      <c r="G82" s="51"/>
      <c r="H82" s="51"/>
      <c r="I82" s="51"/>
      <c r="J82" s="51"/>
      <c r="K82" s="62"/>
      <c r="L82" s="62"/>
      <c r="M82" s="62"/>
      <c r="N82" s="51"/>
      <c r="O82" s="51"/>
      <c r="P82" s="51"/>
      <c r="Q82" s="63"/>
    </row>
    <row r="83" spans="2:17" ht="17.5">
      <c r="B83" s="60"/>
      <c r="C83" s="61"/>
      <c r="D83" s="51"/>
      <c r="E83" s="51"/>
      <c r="F83" s="51"/>
      <c r="G83" s="51"/>
      <c r="H83" s="51"/>
      <c r="I83" s="51"/>
      <c r="J83" s="51"/>
      <c r="K83" s="62"/>
      <c r="L83" s="62"/>
      <c r="M83" s="62"/>
      <c r="N83" s="51"/>
      <c r="O83" s="51"/>
      <c r="P83" s="51"/>
      <c r="Q83" s="63"/>
    </row>
    <row r="84" spans="2:17" ht="20">
      <c r="B84" s="60"/>
      <c r="C84" s="61"/>
      <c r="D84" s="51"/>
      <c r="E84" s="165"/>
      <c r="F84" s="165"/>
      <c r="G84" s="51"/>
      <c r="H84" s="51"/>
      <c r="I84" s="51"/>
      <c r="J84" s="51"/>
      <c r="K84" s="62"/>
      <c r="L84" s="62"/>
      <c r="M84" s="62"/>
      <c r="N84" s="51"/>
      <c r="O84" s="51"/>
      <c r="P84" s="51"/>
      <c r="Q84" s="63"/>
    </row>
    <row r="85" spans="2:17" ht="17.5">
      <c r="B85" s="60"/>
      <c r="C85" s="61"/>
      <c r="D85" s="51"/>
      <c r="E85" s="51"/>
      <c r="F85" s="51"/>
      <c r="G85" s="51"/>
      <c r="H85" s="51"/>
      <c r="I85" s="51"/>
      <c r="J85" s="51"/>
      <c r="K85" s="62"/>
      <c r="L85" s="62"/>
      <c r="M85" s="62"/>
      <c r="N85" s="51"/>
      <c r="O85" s="51"/>
      <c r="P85" s="51"/>
      <c r="Q85" s="63"/>
    </row>
    <row r="86" spans="2:17" ht="17.5">
      <c r="B86" s="60"/>
      <c r="C86" s="61"/>
      <c r="D86" s="51"/>
      <c r="E86" s="51"/>
      <c r="F86" s="51"/>
      <c r="G86" s="51"/>
      <c r="H86" s="51"/>
      <c r="I86" s="51"/>
      <c r="J86" s="51"/>
      <c r="K86" s="62"/>
      <c r="L86" s="62"/>
      <c r="M86" s="62"/>
      <c r="N86" s="51"/>
      <c r="O86" s="51"/>
      <c r="P86" s="51"/>
      <c r="Q86" s="63"/>
    </row>
    <row r="87" spans="2:17" ht="17.5">
      <c r="B87" s="60"/>
      <c r="C87" s="61"/>
      <c r="D87" s="51"/>
      <c r="E87" s="51"/>
      <c r="F87" s="51"/>
      <c r="G87" s="51"/>
      <c r="H87" s="51"/>
      <c r="I87" s="51"/>
      <c r="J87" s="51"/>
      <c r="K87" s="62"/>
      <c r="L87" s="62"/>
      <c r="M87" s="62"/>
      <c r="N87" s="51"/>
      <c r="O87" s="51"/>
      <c r="P87" s="51"/>
      <c r="Q87" s="63"/>
    </row>
    <row r="88" spans="2:17" ht="17.5">
      <c r="B88" s="60"/>
      <c r="C88" s="61"/>
      <c r="D88" s="51"/>
      <c r="E88" s="51"/>
      <c r="F88" s="51"/>
      <c r="G88" s="51"/>
      <c r="H88" s="51"/>
      <c r="I88" s="51"/>
      <c r="J88" s="51"/>
      <c r="K88" s="62"/>
      <c r="L88" s="62"/>
      <c r="M88" s="62"/>
      <c r="N88" s="51"/>
      <c r="O88" s="51"/>
      <c r="P88" s="51"/>
      <c r="Q88" s="63"/>
    </row>
    <row r="89" spans="2:17" ht="17.5">
      <c r="B89" s="60"/>
      <c r="C89" s="61"/>
      <c r="D89" s="51"/>
      <c r="E89" s="51"/>
      <c r="F89" s="51"/>
      <c r="G89" s="51"/>
      <c r="H89" s="51"/>
      <c r="I89" s="51"/>
      <c r="J89" s="51"/>
      <c r="K89" s="62"/>
      <c r="L89" s="62"/>
      <c r="M89" s="62"/>
      <c r="N89" s="51"/>
      <c r="O89" s="51"/>
      <c r="P89" s="51"/>
      <c r="Q89" s="63"/>
    </row>
    <row r="90" spans="2:17" ht="17.5">
      <c r="B90" s="60"/>
      <c r="C90" s="61"/>
      <c r="D90" s="51"/>
      <c r="E90" s="51"/>
      <c r="F90" s="51"/>
      <c r="G90" s="51"/>
      <c r="H90" s="51"/>
      <c r="I90" s="51"/>
      <c r="J90" s="51"/>
      <c r="K90" s="62"/>
      <c r="L90" s="62"/>
      <c r="M90" s="62"/>
      <c r="N90" s="51"/>
      <c r="O90" s="51"/>
      <c r="P90" s="51"/>
      <c r="Q90" s="63"/>
    </row>
    <row r="91" spans="2:17" ht="17.5">
      <c r="B91" s="60"/>
      <c r="C91" s="61"/>
      <c r="D91" s="51"/>
      <c r="E91" s="51"/>
      <c r="F91" s="51"/>
      <c r="G91" s="51"/>
      <c r="H91" s="51"/>
      <c r="I91" s="51"/>
      <c r="J91" s="51"/>
      <c r="K91" s="62"/>
      <c r="L91" s="62"/>
      <c r="M91" s="62"/>
      <c r="N91" s="51"/>
      <c r="O91" s="51"/>
      <c r="P91" s="51"/>
      <c r="Q91" s="63"/>
    </row>
    <row r="92" spans="2:17" ht="17.5">
      <c r="B92" s="60"/>
      <c r="C92" s="61"/>
      <c r="D92" s="51"/>
      <c r="E92" s="65"/>
      <c r="F92" s="65"/>
      <c r="G92" s="65"/>
      <c r="H92" s="65"/>
      <c r="I92" s="65"/>
      <c r="J92" s="51"/>
      <c r="K92" s="62"/>
      <c r="L92" s="62"/>
      <c r="M92" s="62"/>
      <c r="N92" s="51"/>
      <c r="O92" s="51"/>
      <c r="P92" s="51"/>
      <c r="Q92" s="63"/>
    </row>
    <row r="93" spans="2:17" ht="17.5">
      <c r="B93" s="60"/>
      <c r="C93" s="61"/>
      <c r="D93" s="51"/>
      <c r="E93" s="51"/>
      <c r="F93" s="51"/>
      <c r="G93" s="51"/>
      <c r="H93" s="51"/>
      <c r="I93" s="51"/>
      <c r="J93" s="51"/>
      <c r="K93" s="62"/>
      <c r="L93" s="62"/>
      <c r="M93" s="62"/>
      <c r="N93" s="51"/>
      <c r="O93" s="51"/>
      <c r="P93" s="51"/>
      <c r="Q93" s="63"/>
    </row>
    <row r="94" spans="2:17" ht="17.5">
      <c r="B94" s="60"/>
      <c r="C94" s="61"/>
      <c r="D94" s="51"/>
      <c r="E94" s="51"/>
      <c r="F94" s="51"/>
      <c r="G94" s="51"/>
      <c r="H94" s="51"/>
      <c r="I94" s="51"/>
      <c r="J94" s="51"/>
      <c r="K94" s="62"/>
      <c r="L94" s="62"/>
      <c r="M94" s="62"/>
      <c r="N94" s="51"/>
      <c r="O94" s="51"/>
      <c r="P94" s="51"/>
      <c r="Q94" s="63"/>
    </row>
    <row r="95" spans="2:17" ht="17.5">
      <c r="B95" s="60"/>
      <c r="C95" s="61"/>
      <c r="D95" s="51"/>
      <c r="E95" s="51"/>
      <c r="F95" s="51"/>
      <c r="G95" s="51"/>
      <c r="H95" s="51"/>
      <c r="I95" s="51"/>
      <c r="J95" s="51"/>
      <c r="K95" s="62"/>
      <c r="L95" s="62"/>
      <c r="M95" s="62"/>
      <c r="N95" s="51"/>
      <c r="O95" s="51"/>
      <c r="P95" s="51"/>
      <c r="Q95" s="63"/>
    </row>
    <row r="96" spans="2:17" ht="17.5">
      <c r="B96" s="60"/>
      <c r="C96" s="61"/>
      <c r="D96" s="51"/>
      <c r="E96" s="51"/>
      <c r="F96" s="51"/>
      <c r="G96" s="51"/>
      <c r="H96" s="51"/>
      <c r="I96" s="51"/>
      <c r="J96" s="51"/>
      <c r="K96" s="62"/>
      <c r="L96" s="62"/>
      <c r="M96" s="62"/>
      <c r="N96" s="51"/>
      <c r="O96" s="51"/>
      <c r="P96" s="51"/>
      <c r="Q96" s="63"/>
    </row>
    <row r="97" spans="2:17" ht="17.5">
      <c r="B97" s="60"/>
      <c r="C97" s="61"/>
      <c r="D97" s="51"/>
      <c r="E97" s="51"/>
      <c r="F97" s="51"/>
      <c r="G97" s="51"/>
      <c r="H97" s="51"/>
      <c r="I97" s="51"/>
      <c r="J97" s="51"/>
      <c r="K97" s="62"/>
      <c r="L97" s="62"/>
      <c r="M97" s="62"/>
      <c r="N97" s="51"/>
      <c r="O97" s="51"/>
      <c r="P97" s="51"/>
      <c r="Q97" s="63"/>
    </row>
    <row r="98" spans="2:17" ht="17.5">
      <c r="B98" s="60"/>
      <c r="C98" s="61"/>
      <c r="D98" s="51"/>
      <c r="E98" s="51"/>
      <c r="F98" s="51"/>
      <c r="G98" s="51"/>
      <c r="H98" s="51"/>
      <c r="I98" s="51"/>
      <c r="J98" s="51"/>
      <c r="K98" s="62"/>
      <c r="L98" s="62"/>
      <c r="M98" s="62"/>
      <c r="N98" s="51"/>
      <c r="O98" s="51"/>
      <c r="P98" s="51"/>
      <c r="Q98" s="63"/>
    </row>
    <row r="99" spans="2:17" ht="17.5">
      <c r="B99" s="60"/>
      <c r="C99" s="61"/>
      <c r="D99" s="51"/>
      <c r="E99" s="51"/>
      <c r="F99" s="51"/>
      <c r="G99" s="51"/>
      <c r="H99" s="51"/>
      <c r="I99" s="51"/>
      <c r="J99" s="51"/>
      <c r="K99" s="62"/>
      <c r="L99" s="62"/>
      <c r="M99" s="62"/>
      <c r="N99" s="51"/>
      <c r="O99" s="51"/>
      <c r="P99" s="51"/>
      <c r="Q99" s="63"/>
    </row>
    <row r="100" spans="2:17" ht="17.5">
      <c r="B100" s="60"/>
      <c r="C100" s="61"/>
      <c r="D100" s="51"/>
      <c r="E100" s="51"/>
      <c r="F100" s="51"/>
      <c r="G100" s="51"/>
      <c r="H100" s="51"/>
      <c r="I100" s="51"/>
      <c r="J100" s="51"/>
      <c r="K100" s="62"/>
      <c r="L100" s="62"/>
      <c r="M100" s="62"/>
      <c r="N100" s="51"/>
      <c r="O100" s="51"/>
      <c r="P100" s="51"/>
      <c r="Q100" s="63"/>
    </row>
    <row r="101" spans="2:17" ht="20">
      <c r="B101" s="60"/>
      <c r="C101" s="61"/>
      <c r="D101" s="51"/>
      <c r="E101" s="165"/>
      <c r="F101" s="165"/>
      <c r="G101" s="51"/>
      <c r="H101" s="51"/>
      <c r="I101" s="51"/>
      <c r="J101" s="51"/>
      <c r="K101" s="62"/>
      <c r="L101" s="62"/>
      <c r="M101" s="62"/>
      <c r="N101" s="51"/>
      <c r="O101" s="51"/>
      <c r="P101" s="51"/>
      <c r="Q101" s="63"/>
    </row>
    <row r="102" spans="2:17" ht="17.5">
      <c r="B102" s="60"/>
      <c r="C102" s="61"/>
      <c r="D102" s="51"/>
      <c r="E102" s="51"/>
      <c r="F102" s="51"/>
      <c r="G102" s="51"/>
      <c r="H102" s="51"/>
      <c r="I102" s="51"/>
      <c r="J102" s="51"/>
      <c r="K102" s="62"/>
      <c r="L102" s="62"/>
      <c r="M102" s="62"/>
      <c r="N102" s="51"/>
      <c r="O102" s="51"/>
      <c r="P102" s="51"/>
      <c r="Q102" s="63"/>
    </row>
    <row r="103" spans="2:17" ht="17.5">
      <c r="B103" s="60"/>
      <c r="C103" s="61"/>
      <c r="D103" s="51"/>
      <c r="E103" s="51"/>
      <c r="F103" s="51"/>
      <c r="G103" s="51"/>
      <c r="H103" s="51"/>
      <c r="I103" s="51"/>
      <c r="J103" s="51"/>
      <c r="K103" s="62"/>
      <c r="L103" s="62"/>
      <c r="M103" s="62"/>
      <c r="N103" s="51"/>
      <c r="O103" s="51"/>
      <c r="P103" s="51"/>
      <c r="Q103" s="63"/>
    </row>
    <row r="104" spans="2:17" ht="17.5">
      <c r="B104" s="60"/>
      <c r="C104" s="61"/>
      <c r="D104" s="51"/>
      <c r="E104" s="51"/>
      <c r="F104" s="51"/>
      <c r="G104" s="51"/>
      <c r="H104" s="51"/>
      <c r="I104" s="51"/>
      <c r="J104" s="51"/>
      <c r="K104" s="62"/>
      <c r="L104" s="62"/>
      <c r="M104" s="62"/>
      <c r="N104" s="51"/>
      <c r="O104" s="51"/>
      <c r="P104" s="51"/>
      <c r="Q104" s="63"/>
    </row>
    <row r="105" spans="2:17" ht="17.5">
      <c r="B105" s="60"/>
      <c r="C105" s="61"/>
      <c r="D105" s="51"/>
      <c r="E105" s="51"/>
      <c r="F105" s="51"/>
      <c r="G105" s="51"/>
      <c r="H105" s="51"/>
      <c r="I105" s="51"/>
      <c r="J105" s="51"/>
      <c r="K105" s="62"/>
      <c r="L105" s="62"/>
      <c r="M105" s="62"/>
      <c r="N105" s="51"/>
      <c r="O105" s="51"/>
      <c r="P105" s="51"/>
      <c r="Q105" s="63"/>
    </row>
    <row r="106" spans="2:17" ht="17.5">
      <c r="B106" s="60"/>
      <c r="C106" s="61"/>
      <c r="D106" s="51"/>
      <c r="E106" s="51"/>
      <c r="F106" s="51"/>
      <c r="G106" s="51"/>
      <c r="H106" s="51"/>
      <c r="I106" s="51"/>
      <c r="J106" s="51"/>
      <c r="K106" s="62"/>
      <c r="L106" s="62"/>
      <c r="M106" s="62"/>
      <c r="N106" s="51"/>
      <c r="O106" s="51"/>
      <c r="P106" s="51"/>
      <c r="Q106" s="63"/>
    </row>
    <row r="107" spans="2:17" ht="17.5">
      <c r="B107" s="60"/>
      <c r="C107" s="61"/>
      <c r="D107" s="51"/>
      <c r="E107" s="51"/>
      <c r="F107" s="51"/>
      <c r="G107" s="51"/>
      <c r="H107" s="51"/>
      <c r="I107" s="51"/>
      <c r="J107" s="51"/>
      <c r="K107" s="62"/>
      <c r="L107" s="62"/>
      <c r="M107" s="62"/>
      <c r="N107" s="51"/>
      <c r="O107" s="51"/>
      <c r="P107" s="51"/>
      <c r="Q107" s="63"/>
    </row>
    <row r="108" spans="2:17" ht="17.5">
      <c r="B108" s="60"/>
      <c r="C108" s="61"/>
      <c r="D108" s="51"/>
      <c r="E108" s="51"/>
      <c r="F108" s="51"/>
      <c r="G108" s="51"/>
      <c r="H108" s="51"/>
      <c r="I108" s="51"/>
      <c r="J108" s="51"/>
      <c r="K108" s="62"/>
      <c r="L108" s="62"/>
      <c r="M108" s="62"/>
      <c r="N108" s="51"/>
      <c r="O108" s="51"/>
      <c r="P108" s="51"/>
      <c r="Q108" s="63"/>
    </row>
    <row r="109" spans="2:17" ht="17.5">
      <c r="B109" s="60"/>
      <c r="C109" s="61"/>
      <c r="D109" s="51"/>
      <c r="E109" s="51"/>
      <c r="F109" s="51"/>
      <c r="G109" s="51"/>
      <c r="H109" s="51"/>
      <c r="I109" s="51"/>
      <c r="J109" s="51"/>
      <c r="K109" s="62"/>
      <c r="L109" s="62"/>
      <c r="M109" s="66"/>
      <c r="N109" s="51"/>
      <c r="O109" s="51"/>
      <c r="P109" s="51"/>
      <c r="Q109" s="63"/>
    </row>
    <row r="110" spans="2:17" ht="17.5">
      <c r="B110" s="60"/>
      <c r="C110" s="61"/>
      <c r="D110" s="51"/>
      <c r="E110" s="51"/>
      <c r="F110" s="51"/>
      <c r="G110" s="51"/>
      <c r="H110" s="51"/>
      <c r="I110" s="51"/>
      <c r="J110" s="51"/>
      <c r="K110" s="62"/>
      <c r="L110" s="62"/>
      <c r="M110" s="62"/>
      <c r="N110" s="51"/>
      <c r="O110" s="51"/>
      <c r="P110" s="51"/>
      <c r="Q110" s="63"/>
    </row>
    <row r="111" spans="2:17" ht="17.5">
      <c r="B111" s="60"/>
      <c r="C111" s="61"/>
      <c r="D111" s="51"/>
      <c r="E111" s="51"/>
      <c r="F111" s="51"/>
      <c r="G111" s="51"/>
      <c r="H111" s="51"/>
      <c r="I111" s="51"/>
      <c r="J111" s="51"/>
      <c r="K111" s="62"/>
      <c r="L111" s="62"/>
      <c r="M111" s="62"/>
      <c r="N111" s="51"/>
      <c r="O111" s="51"/>
      <c r="P111" s="51"/>
      <c r="Q111" s="63"/>
    </row>
    <row r="112" spans="2:17" ht="17.5">
      <c r="B112" s="60"/>
      <c r="C112" s="61"/>
      <c r="D112" s="51"/>
      <c r="E112" s="51"/>
      <c r="F112" s="51"/>
      <c r="G112" s="51"/>
      <c r="H112" s="51"/>
      <c r="I112" s="51"/>
      <c r="J112" s="51"/>
      <c r="K112" s="62"/>
      <c r="L112" s="62"/>
      <c r="M112" s="62"/>
      <c r="N112" s="51"/>
      <c r="O112" s="51"/>
      <c r="P112" s="51"/>
      <c r="Q112" s="63"/>
    </row>
    <row r="113" spans="2:17" ht="17.5">
      <c r="B113" s="60"/>
      <c r="C113" s="61"/>
      <c r="D113" s="51"/>
      <c r="E113" s="65"/>
      <c r="F113" s="65"/>
      <c r="G113" s="65"/>
      <c r="H113" s="65"/>
      <c r="I113" s="65"/>
      <c r="J113" s="51"/>
      <c r="K113" s="62"/>
      <c r="L113" s="62"/>
      <c r="M113" s="62"/>
      <c r="N113" s="51"/>
      <c r="O113" s="51"/>
      <c r="P113" s="51"/>
      <c r="Q113" s="63"/>
    </row>
    <row r="114" spans="2:17" ht="17.5">
      <c r="B114" s="60"/>
      <c r="C114" s="61"/>
      <c r="D114" s="51"/>
      <c r="E114" s="51"/>
      <c r="F114" s="51"/>
      <c r="G114" s="51"/>
      <c r="H114" s="51"/>
      <c r="I114" s="51"/>
      <c r="J114" s="51"/>
      <c r="K114" s="62"/>
      <c r="L114" s="62"/>
      <c r="M114" s="62"/>
      <c r="N114" s="51"/>
      <c r="O114" s="51"/>
      <c r="P114" s="51"/>
      <c r="Q114" s="63"/>
    </row>
    <row r="115" spans="2:17" ht="17.5">
      <c r="B115" s="60"/>
      <c r="C115" s="61"/>
      <c r="D115" s="51"/>
      <c r="E115" s="51"/>
      <c r="F115" s="51"/>
      <c r="G115" s="51"/>
      <c r="H115" s="51"/>
      <c r="I115" s="51"/>
      <c r="J115" s="51"/>
      <c r="K115" s="62"/>
      <c r="L115" s="62"/>
      <c r="M115" s="62"/>
      <c r="N115" s="51"/>
      <c r="O115" s="51"/>
      <c r="P115" s="51"/>
      <c r="Q115" s="63"/>
    </row>
    <row r="116" spans="2:17" ht="17.5">
      <c r="B116" s="60"/>
      <c r="C116" s="61"/>
      <c r="D116" s="51"/>
      <c r="E116" s="51"/>
      <c r="F116" s="51"/>
      <c r="G116" s="51"/>
      <c r="H116" s="51"/>
      <c r="I116" s="51"/>
      <c r="J116" s="51"/>
      <c r="K116" s="62"/>
      <c r="L116" s="62"/>
      <c r="M116" s="62"/>
      <c r="N116" s="51"/>
      <c r="O116" s="51"/>
      <c r="P116" s="51"/>
      <c r="Q116" s="63"/>
    </row>
    <row r="117" spans="2:17" ht="17.5">
      <c r="B117" s="60"/>
      <c r="C117" s="61"/>
      <c r="D117" s="51"/>
      <c r="E117" s="51"/>
      <c r="F117" s="51"/>
      <c r="G117" s="51"/>
      <c r="H117" s="51"/>
      <c r="I117" s="51"/>
      <c r="J117" s="51"/>
      <c r="K117" s="62"/>
      <c r="L117" s="62"/>
      <c r="M117" s="62"/>
      <c r="N117" s="51"/>
      <c r="O117" s="51"/>
      <c r="P117" s="51"/>
      <c r="Q117" s="63"/>
    </row>
    <row r="118" spans="2:17" ht="17.5">
      <c r="B118" s="60"/>
      <c r="C118" s="61"/>
      <c r="D118" s="51"/>
      <c r="E118" s="51"/>
      <c r="F118" s="51"/>
      <c r="G118" s="51"/>
      <c r="H118" s="51"/>
      <c r="I118" s="51"/>
      <c r="J118" s="51"/>
      <c r="K118" s="62"/>
      <c r="L118" s="62"/>
      <c r="M118" s="62"/>
      <c r="N118" s="51"/>
      <c r="O118" s="51"/>
      <c r="P118" s="51"/>
      <c r="Q118" s="63"/>
    </row>
    <row r="119" spans="2:17" ht="17.5">
      <c r="B119" s="60"/>
      <c r="C119" s="61"/>
      <c r="D119" s="51"/>
      <c r="E119" s="51"/>
      <c r="F119" s="51"/>
      <c r="G119" s="51"/>
      <c r="H119" s="51"/>
      <c r="I119" s="51"/>
      <c r="J119" s="51"/>
      <c r="K119" s="62"/>
      <c r="L119" s="62"/>
      <c r="M119" s="62"/>
      <c r="N119" s="51"/>
      <c r="O119" s="51"/>
      <c r="P119" s="51"/>
      <c r="Q119" s="63"/>
    </row>
    <row r="120" spans="2:17" ht="17.5">
      <c r="B120" s="60"/>
      <c r="C120" s="61"/>
      <c r="D120" s="51"/>
      <c r="E120" s="51"/>
      <c r="F120" s="51"/>
      <c r="G120" s="51"/>
      <c r="H120" s="51"/>
      <c r="I120" s="51"/>
      <c r="J120" s="51"/>
      <c r="K120" s="62"/>
      <c r="L120" s="62"/>
      <c r="M120" s="62"/>
      <c r="N120" s="51"/>
      <c r="O120" s="51"/>
      <c r="P120" s="51"/>
      <c r="Q120" s="63"/>
    </row>
    <row r="121" spans="2:17" ht="17.5">
      <c r="B121" s="60"/>
      <c r="C121" s="61"/>
      <c r="D121" s="51"/>
      <c r="E121" s="51"/>
      <c r="F121" s="51"/>
      <c r="G121" s="51"/>
      <c r="H121" s="51"/>
      <c r="I121" s="51"/>
      <c r="J121" s="51"/>
      <c r="K121" s="62"/>
      <c r="L121" s="62"/>
      <c r="M121" s="62"/>
      <c r="N121" s="51"/>
      <c r="O121" s="51"/>
      <c r="P121" s="51"/>
      <c r="Q121" s="63"/>
    </row>
    <row r="122" spans="2:17" ht="17.5">
      <c r="B122" s="60"/>
      <c r="C122" s="61"/>
      <c r="D122" s="51"/>
      <c r="E122" s="51"/>
      <c r="F122" s="51"/>
      <c r="G122" s="51"/>
      <c r="H122" s="51"/>
      <c r="I122" s="51"/>
      <c r="J122" s="51"/>
      <c r="K122" s="62"/>
      <c r="L122" s="62"/>
      <c r="M122" s="62"/>
      <c r="N122" s="51"/>
      <c r="O122" s="51"/>
      <c r="P122" s="51"/>
      <c r="Q122" s="63"/>
    </row>
    <row r="123" spans="2:17" ht="17.5">
      <c r="B123" s="60"/>
      <c r="C123" s="61"/>
      <c r="D123" s="51"/>
      <c r="E123" s="51"/>
      <c r="F123" s="51"/>
      <c r="G123" s="51"/>
      <c r="H123" s="51"/>
      <c r="I123" s="51"/>
      <c r="J123" s="51"/>
      <c r="K123" s="62"/>
      <c r="L123" s="62"/>
      <c r="M123" s="62"/>
      <c r="N123" s="51"/>
      <c r="O123" s="51"/>
      <c r="P123" s="51"/>
      <c r="Q123" s="63"/>
    </row>
    <row r="124" spans="2:17" ht="17.5">
      <c r="B124" s="60"/>
      <c r="C124" s="61"/>
      <c r="D124" s="51"/>
      <c r="E124" s="51"/>
      <c r="F124" s="51"/>
      <c r="G124" s="51"/>
      <c r="H124" s="51"/>
      <c r="I124" s="51"/>
      <c r="J124" s="51"/>
      <c r="K124" s="62"/>
      <c r="L124" s="62"/>
      <c r="M124" s="62"/>
      <c r="N124" s="51"/>
      <c r="O124" s="51"/>
      <c r="P124" s="51"/>
      <c r="Q124" s="63"/>
    </row>
    <row r="125" spans="2:17" ht="20">
      <c r="B125" s="60"/>
      <c r="C125" s="61"/>
      <c r="D125" s="51"/>
      <c r="E125" s="165"/>
      <c r="F125" s="165"/>
      <c r="G125" s="51"/>
      <c r="H125" s="51"/>
      <c r="I125" s="51"/>
      <c r="J125" s="67"/>
      <c r="K125" s="62"/>
      <c r="L125" s="62"/>
      <c r="M125" s="62"/>
      <c r="N125" s="51"/>
      <c r="O125" s="51"/>
      <c r="P125" s="51"/>
      <c r="Q125" s="63"/>
    </row>
    <row r="126" spans="2:17" ht="17.5">
      <c r="B126" s="60"/>
      <c r="C126" s="61"/>
      <c r="D126" s="51"/>
      <c r="E126" s="51"/>
      <c r="F126" s="51"/>
      <c r="G126" s="51"/>
      <c r="H126" s="51"/>
      <c r="I126" s="51"/>
      <c r="J126" s="51"/>
      <c r="K126" s="62"/>
      <c r="L126" s="62"/>
      <c r="M126" s="62"/>
      <c r="N126" s="51"/>
      <c r="O126" s="51"/>
      <c r="P126" s="51"/>
      <c r="Q126" s="63"/>
    </row>
    <row r="127" spans="2:17" ht="17.5">
      <c r="B127" s="60"/>
      <c r="C127" s="61"/>
      <c r="D127" s="51"/>
      <c r="E127" s="51"/>
      <c r="F127" s="51"/>
      <c r="G127" s="51"/>
      <c r="H127" s="51"/>
      <c r="I127" s="51"/>
      <c r="J127" s="51"/>
      <c r="K127" s="62"/>
      <c r="L127" s="62"/>
      <c r="M127" s="62"/>
      <c r="N127" s="51"/>
      <c r="O127" s="51"/>
      <c r="P127" s="51"/>
      <c r="Q127" s="63"/>
    </row>
    <row r="128" spans="2:17" ht="17.5">
      <c r="B128" s="60"/>
      <c r="C128" s="61"/>
      <c r="D128" s="51"/>
      <c r="E128" s="51"/>
      <c r="F128" s="51"/>
      <c r="G128" s="51"/>
      <c r="H128" s="51"/>
      <c r="I128" s="51"/>
      <c r="J128" s="51"/>
      <c r="K128" s="62"/>
      <c r="L128" s="62"/>
      <c r="M128" s="62"/>
      <c r="N128" s="51"/>
      <c r="O128" s="51"/>
      <c r="P128" s="51"/>
      <c r="Q128" s="63"/>
    </row>
    <row r="129" spans="2:17" ht="17.5">
      <c r="B129" s="60"/>
      <c r="C129" s="61"/>
      <c r="D129" s="51"/>
      <c r="E129" s="51"/>
      <c r="F129" s="51"/>
      <c r="G129" s="51"/>
      <c r="H129" s="51"/>
      <c r="I129" s="51"/>
      <c r="J129" s="51"/>
      <c r="K129" s="62"/>
      <c r="L129" s="62"/>
      <c r="M129" s="62"/>
      <c r="N129" s="51"/>
      <c r="O129" s="51"/>
      <c r="P129" s="51"/>
      <c r="Q129" s="63"/>
    </row>
    <row r="130" spans="2:17" ht="17.5">
      <c r="B130" s="60"/>
      <c r="C130" s="61"/>
      <c r="D130" s="51"/>
      <c r="E130" s="51"/>
      <c r="F130" s="51"/>
      <c r="G130" s="51"/>
      <c r="H130" s="51"/>
      <c r="I130" s="51"/>
      <c r="J130" s="51"/>
      <c r="K130" s="62"/>
      <c r="L130" s="62"/>
      <c r="M130" s="62"/>
      <c r="N130" s="51"/>
      <c r="O130" s="51"/>
      <c r="P130" s="51"/>
      <c r="Q130" s="63"/>
    </row>
    <row r="131" spans="2:17" ht="17.5">
      <c r="B131" s="60"/>
      <c r="C131" s="61"/>
      <c r="D131" s="51"/>
      <c r="E131" s="51"/>
      <c r="F131" s="51"/>
      <c r="G131" s="51"/>
      <c r="H131" s="51"/>
      <c r="I131" s="51"/>
      <c r="J131" s="51"/>
      <c r="K131" s="62"/>
      <c r="L131" s="62"/>
      <c r="M131" s="62"/>
      <c r="N131" s="51"/>
      <c r="O131" s="51"/>
      <c r="P131" s="51"/>
      <c r="Q131" s="63"/>
    </row>
    <row r="132" spans="2:17" ht="17.5">
      <c r="B132" s="60"/>
      <c r="C132" s="61"/>
      <c r="D132" s="51"/>
      <c r="E132" s="51"/>
      <c r="F132" s="51"/>
      <c r="G132" s="51"/>
      <c r="H132" s="51"/>
      <c r="I132" s="51"/>
      <c r="J132" s="51"/>
      <c r="K132" s="62"/>
      <c r="L132" s="62"/>
      <c r="M132" s="62"/>
      <c r="N132" s="51"/>
      <c r="O132" s="51"/>
      <c r="P132" s="51"/>
      <c r="Q132" s="63"/>
    </row>
    <row r="133" spans="2:17" ht="17.5">
      <c r="B133" s="60"/>
      <c r="C133" s="61"/>
      <c r="D133" s="51"/>
      <c r="E133" s="51"/>
      <c r="F133" s="51"/>
      <c r="G133" s="51"/>
      <c r="H133" s="51"/>
      <c r="I133" s="51"/>
      <c r="J133" s="51"/>
      <c r="K133" s="62"/>
      <c r="L133" s="62"/>
      <c r="M133" s="62"/>
      <c r="N133" s="51"/>
      <c r="O133" s="51"/>
      <c r="P133" s="51"/>
      <c r="Q133" s="63"/>
    </row>
    <row r="134" spans="2:17" ht="17.5">
      <c r="B134" s="60"/>
      <c r="C134" s="61"/>
      <c r="D134" s="51"/>
      <c r="E134" s="51"/>
      <c r="F134" s="51"/>
      <c r="G134" s="51"/>
      <c r="H134" s="51"/>
      <c r="I134" s="51"/>
      <c r="J134" s="51"/>
      <c r="K134" s="62"/>
      <c r="L134" s="62"/>
      <c r="M134" s="62"/>
      <c r="N134" s="51"/>
      <c r="O134" s="51"/>
      <c r="P134" s="51"/>
      <c r="Q134" s="63"/>
    </row>
    <row r="135" spans="2:17" ht="17.5">
      <c r="B135" s="60"/>
      <c r="C135" s="61"/>
      <c r="D135" s="51"/>
      <c r="E135" s="51"/>
      <c r="F135" s="51"/>
      <c r="G135" s="51"/>
      <c r="H135" s="51"/>
      <c r="I135" s="51"/>
      <c r="J135" s="51"/>
      <c r="K135" s="62"/>
      <c r="L135" s="62"/>
      <c r="M135" s="62"/>
      <c r="N135" s="51"/>
      <c r="O135" s="51"/>
      <c r="P135" s="51"/>
      <c r="Q135" s="63"/>
    </row>
    <row r="136" spans="2:17" ht="17.5">
      <c r="B136" s="60"/>
      <c r="C136" s="61"/>
      <c r="D136" s="51"/>
      <c r="E136" s="51"/>
      <c r="F136" s="51"/>
      <c r="G136" s="51"/>
      <c r="H136" s="51"/>
      <c r="I136" s="51"/>
      <c r="J136" s="51"/>
      <c r="K136" s="62"/>
      <c r="L136" s="62"/>
      <c r="M136" s="62"/>
      <c r="N136" s="51"/>
      <c r="O136" s="51"/>
      <c r="P136" s="51"/>
      <c r="Q136" s="63"/>
    </row>
    <row r="137" spans="2:17" ht="17.5">
      <c r="B137" s="60"/>
      <c r="C137" s="61"/>
      <c r="D137" s="51"/>
      <c r="E137" s="51"/>
      <c r="F137" s="51"/>
      <c r="G137" s="51"/>
      <c r="H137" s="51"/>
      <c r="I137" s="51"/>
      <c r="J137" s="51"/>
      <c r="K137" s="62"/>
      <c r="L137" s="62"/>
      <c r="M137" s="62"/>
      <c r="N137" s="51"/>
      <c r="O137" s="51"/>
      <c r="P137" s="51"/>
      <c r="Q137" s="63"/>
    </row>
    <row r="138" spans="2:17" ht="17.5">
      <c r="B138" s="60"/>
      <c r="C138" s="61"/>
      <c r="D138" s="51"/>
      <c r="E138" s="51"/>
      <c r="F138" s="51"/>
      <c r="G138" s="51"/>
      <c r="H138" s="51"/>
      <c r="I138" s="51"/>
      <c r="J138" s="51"/>
      <c r="K138" s="62"/>
      <c r="L138" s="62"/>
      <c r="M138" s="62"/>
      <c r="N138" s="51"/>
      <c r="O138" s="51"/>
      <c r="P138" s="51"/>
      <c r="Q138" s="63"/>
    </row>
    <row r="139" spans="2:17" ht="17.5">
      <c r="B139" s="60"/>
      <c r="C139" s="61"/>
      <c r="D139" s="51"/>
      <c r="E139" s="51"/>
      <c r="F139" s="51"/>
      <c r="G139" s="51"/>
      <c r="H139" s="51"/>
      <c r="I139" s="51"/>
      <c r="J139" s="51"/>
      <c r="K139" s="62"/>
      <c r="L139" s="62"/>
      <c r="M139" s="62"/>
      <c r="N139" s="51"/>
      <c r="O139" s="51"/>
      <c r="P139" s="51"/>
      <c r="Q139" s="63"/>
    </row>
    <row r="140" spans="2:17" ht="17.5">
      <c r="B140" s="60"/>
      <c r="C140" s="61"/>
      <c r="D140" s="51"/>
      <c r="E140" s="51"/>
      <c r="F140" s="51"/>
      <c r="G140" s="51"/>
      <c r="H140" s="51"/>
      <c r="I140" s="51"/>
      <c r="J140" s="51"/>
      <c r="K140" s="62"/>
      <c r="L140" s="62"/>
      <c r="M140" s="62"/>
      <c r="N140" s="51"/>
      <c r="O140" s="51"/>
      <c r="P140" s="51"/>
      <c r="Q140" s="63"/>
    </row>
    <row r="141" spans="2:17" ht="17.5">
      <c r="B141" s="60"/>
      <c r="C141" s="61"/>
      <c r="D141" s="51"/>
      <c r="E141" s="51"/>
      <c r="F141" s="51"/>
      <c r="G141" s="51"/>
      <c r="H141" s="51"/>
      <c r="I141" s="51"/>
      <c r="J141" s="51"/>
      <c r="K141" s="62"/>
      <c r="L141" s="62"/>
      <c r="M141" s="62"/>
      <c r="N141" s="51"/>
      <c r="O141" s="51"/>
      <c r="P141" s="51"/>
      <c r="Q141" s="63"/>
    </row>
    <row r="142" spans="2:17" ht="17.5">
      <c r="B142" s="60"/>
      <c r="C142" s="61"/>
      <c r="D142" s="51"/>
      <c r="E142" s="51"/>
      <c r="F142" s="51"/>
      <c r="G142" s="51"/>
      <c r="H142" s="51"/>
      <c r="I142" s="51"/>
      <c r="J142" s="51"/>
      <c r="K142" s="62"/>
      <c r="L142" s="62"/>
      <c r="M142" s="62"/>
      <c r="N142" s="51"/>
      <c r="O142" s="51"/>
      <c r="P142" s="51"/>
      <c r="Q142" s="63"/>
    </row>
    <row r="143" spans="2:17" ht="17.5">
      <c r="B143" s="60"/>
      <c r="C143" s="61"/>
      <c r="D143" s="51"/>
      <c r="E143" s="51"/>
      <c r="F143" s="51"/>
      <c r="G143" s="51"/>
      <c r="H143" s="51"/>
      <c r="I143" s="51"/>
      <c r="J143" s="51"/>
      <c r="K143" s="62"/>
      <c r="L143" s="62"/>
      <c r="M143" s="62"/>
      <c r="N143" s="51"/>
      <c r="O143" s="51"/>
      <c r="P143" s="51"/>
      <c r="Q143" s="63"/>
    </row>
    <row r="144" spans="2:17" ht="17.5">
      <c r="B144" s="60"/>
      <c r="C144" s="61"/>
      <c r="D144" s="51"/>
      <c r="E144" s="51"/>
      <c r="F144" s="51"/>
      <c r="G144" s="51"/>
      <c r="H144" s="51"/>
      <c r="I144" s="51"/>
      <c r="J144" s="51"/>
      <c r="K144" s="62"/>
      <c r="L144" s="62"/>
      <c r="M144" s="62"/>
      <c r="N144" s="51"/>
      <c r="O144" s="51"/>
      <c r="P144" s="51"/>
      <c r="Q144" s="63"/>
    </row>
    <row r="145" spans="2:17" ht="17.5">
      <c r="B145" s="60"/>
      <c r="C145" s="61"/>
      <c r="D145" s="51"/>
      <c r="E145" s="51"/>
      <c r="F145" s="51"/>
      <c r="G145" s="51"/>
      <c r="H145" s="51"/>
      <c r="I145" s="51"/>
      <c r="J145" s="51"/>
      <c r="K145" s="62"/>
      <c r="L145" s="62"/>
      <c r="M145" s="62"/>
      <c r="N145" s="51"/>
      <c r="O145" s="51"/>
      <c r="P145" s="51"/>
      <c r="Q145" s="63"/>
    </row>
    <row r="146" spans="2:17" ht="17.5">
      <c r="B146" s="60"/>
      <c r="C146" s="61"/>
      <c r="D146" s="51"/>
      <c r="E146" s="51"/>
      <c r="F146" s="51"/>
      <c r="G146" s="51"/>
      <c r="H146" s="51"/>
      <c r="I146" s="51"/>
      <c r="J146" s="51"/>
      <c r="K146" s="62"/>
      <c r="L146" s="62"/>
      <c r="M146" s="62"/>
      <c r="N146" s="51"/>
      <c r="O146" s="51"/>
      <c r="P146" s="51"/>
      <c r="Q146" s="63"/>
    </row>
    <row r="147" spans="2:17" ht="17.5">
      <c r="B147" s="60"/>
      <c r="C147" s="61"/>
      <c r="D147" s="51"/>
      <c r="E147" s="51"/>
      <c r="F147" s="51"/>
      <c r="G147" s="51"/>
      <c r="H147" s="51"/>
      <c r="I147" s="51"/>
      <c r="J147" s="51"/>
      <c r="K147" s="62"/>
      <c r="L147" s="62"/>
      <c r="M147" s="62"/>
      <c r="N147" s="51"/>
      <c r="O147" s="51"/>
      <c r="P147" s="51"/>
      <c r="Q147" s="63"/>
    </row>
    <row r="148" spans="2:17" ht="17.5">
      <c r="B148" s="60"/>
      <c r="C148" s="61"/>
      <c r="D148" s="51"/>
      <c r="E148" s="51"/>
      <c r="F148" s="51"/>
      <c r="G148" s="51"/>
      <c r="H148" s="51"/>
      <c r="I148" s="51"/>
      <c r="J148" s="51"/>
      <c r="K148" s="62"/>
      <c r="L148" s="62"/>
      <c r="M148" s="62"/>
      <c r="N148" s="51"/>
      <c r="O148" s="51"/>
      <c r="P148" s="51"/>
      <c r="Q148" s="63"/>
    </row>
    <row r="149" spans="2:17" ht="17.5">
      <c r="B149" s="60"/>
      <c r="C149" s="61"/>
      <c r="D149" s="51"/>
      <c r="E149" s="51"/>
      <c r="F149" s="51"/>
      <c r="G149" s="51"/>
      <c r="H149" s="51"/>
      <c r="I149" s="51"/>
      <c r="J149" s="51"/>
      <c r="K149" s="62"/>
      <c r="L149" s="62"/>
      <c r="M149" s="62"/>
      <c r="N149" s="51"/>
      <c r="O149" s="51"/>
      <c r="P149" s="51"/>
      <c r="Q149" s="63"/>
    </row>
    <row r="150" spans="2:17" ht="17.5">
      <c r="B150" s="60"/>
      <c r="C150" s="61"/>
      <c r="D150" s="51"/>
      <c r="E150" s="51"/>
      <c r="F150" s="51"/>
      <c r="G150" s="51"/>
      <c r="H150" s="51"/>
      <c r="I150" s="51"/>
      <c r="J150" s="51"/>
      <c r="K150" s="62"/>
      <c r="L150" s="62"/>
      <c r="M150" s="62"/>
      <c r="N150" s="51"/>
      <c r="O150" s="51"/>
      <c r="P150" s="51"/>
      <c r="Q150" s="63"/>
    </row>
    <row r="151" spans="2:17" ht="17.5">
      <c r="B151" s="60"/>
      <c r="C151" s="61"/>
      <c r="D151" s="51"/>
      <c r="E151" s="51"/>
      <c r="F151" s="51"/>
      <c r="G151" s="51"/>
      <c r="H151" s="51"/>
      <c r="I151" s="51"/>
      <c r="J151" s="51"/>
      <c r="K151" s="62"/>
      <c r="L151" s="62"/>
      <c r="M151" s="62"/>
      <c r="N151" s="51"/>
      <c r="O151" s="51"/>
      <c r="P151" s="51"/>
      <c r="Q151" s="63"/>
    </row>
    <row r="152" spans="2:17" ht="17.5">
      <c r="B152" s="60"/>
      <c r="C152" s="61"/>
      <c r="D152" s="51"/>
      <c r="E152" s="51"/>
      <c r="F152" s="51"/>
      <c r="G152" s="51"/>
      <c r="H152" s="51"/>
      <c r="I152" s="51"/>
      <c r="J152" s="51"/>
      <c r="K152" s="62"/>
      <c r="L152" s="62"/>
      <c r="M152" s="62"/>
      <c r="N152" s="51"/>
      <c r="O152" s="51"/>
      <c r="P152" s="51"/>
      <c r="Q152" s="63"/>
    </row>
    <row r="153" spans="2:17" ht="20">
      <c r="B153" s="60"/>
      <c r="C153" s="61"/>
      <c r="D153" s="51"/>
      <c r="E153" s="165"/>
      <c r="F153" s="165"/>
      <c r="G153" s="51"/>
      <c r="H153" s="51"/>
      <c r="I153" s="51"/>
      <c r="J153" s="51"/>
      <c r="K153" s="62"/>
      <c r="L153" s="62"/>
      <c r="M153" s="62"/>
      <c r="N153" s="51"/>
      <c r="O153" s="51"/>
      <c r="P153" s="51"/>
      <c r="Q153" s="63"/>
    </row>
    <row r="154" spans="2:17" ht="17.5">
      <c r="B154" s="60"/>
      <c r="C154" s="61"/>
      <c r="D154" s="51"/>
      <c r="E154" s="51"/>
      <c r="F154" s="51"/>
      <c r="G154" s="51"/>
      <c r="H154" s="51"/>
      <c r="I154" s="51"/>
      <c r="J154" s="51"/>
      <c r="K154" s="62"/>
      <c r="L154" s="62"/>
      <c r="M154" s="62"/>
      <c r="N154" s="51"/>
      <c r="O154" s="51"/>
      <c r="P154" s="51"/>
      <c r="Q154" s="63"/>
    </row>
    <row r="155" spans="2:17" ht="17.5">
      <c r="B155" s="60"/>
      <c r="C155" s="61"/>
      <c r="D155" s="51"/>
      <c r="E155" s="51"/>
      <c r="F155" s="51"/>
      <c r="G155" s="51"/>
      <c r="H155" s="51"/>
      <c r="I155" s="51"/>
      <c r="J155" s="51"/>
      <c r="K155" s="62"/>
      <c r="L155" s="62"/>
      <c r="M155" s="62"/>
      <c r="N155" s="51"/>
      <c r="O155" s="51"/>
      <c r="P155" s="51"/>
      <c r="Q155" s="63"/>
    </row>
    <row r="156" spans="2:17" ht="17.5">
      <c r="B156" s="60"/>
      <c r="C156" s="61"/>
      <c r="D156" s="51"/>
      <c r="E156" s="51"/>
      <c r="F156" s="51"/>
      <c r="G156" s="51"/>
      <c r="H156" s="51"/>
      <c r="I156" s="51"/>
      <c r="J156" s="51"/>
      <c r="K156" s="62"/>
      <c r="L156" s="62"/>
      <c r="M156" s="62"/>
      <c r="N156" s="51"/>
      <c r="O156" s="51"/>
      <c r="P156" s="51"/>
      <c r="Q156" s="63"/>
    </row>
    <row r="157" spans="2:17" ht="17.5">
      <c r="B157" s="60"/>
      <c r="C157" s="61"/>
      <c r="D157" s="51"/>
      <c r="E157" s="51"/>
      <c r="F157" s="51"/>
      <c r="G157" s="51"/>
      <c r="H157" s="51"/>
      <c r="I157" s="51"/>
      <c r="J157" s="51"/>
      <c r="K157" s="62"/>
      <c r="L157" s="62"/>
      <c r="M157" s="62"/>
      <c r="N157" s="51"/>
      <c r="O157" s="51"/>
      <c r="P157" s="51"/>
      <c r="Q157" s="63"/>
    </row>
    <row r="158" spans="2:17" ht="17.5">
      <c r="B158" s="60"/>
      <c r="C158" s="61"/>
      <c r="D158" s="51"/>
      <c r="E158" s="51"/>
      <c r="F158" s="51"/>
      <c r="G158" s="51"/>
      <c r="H158" s="51"/>
      <c r="I158" s="51"/>
      <c r="J158" s="51"/>
      <c r="K158" s="62"/>
      <c r="L158" s="62"/>
      <c r="M158" s="62"/>
      <c r="N158" s="51"/>
      <c r="O158" s="51"/>
      <c r="P158" s="51"/>
      <c r="Q158" s="63"/>
    </row>
    <row r="159" spans="2:17" ht="17.5">
      <c r="B159" s="60"/>
      <c r="C159" s="61"/>
      <c r="D159" s="51"/>
      <c r="E159" s="51"/>
      <c r="F159" s="51"/>
      <c r="G159" s="51"/>
      <c r="H159" s="51"/>
      <c r="I159" s="51"/>
      <c r="J159" s="51"/>
      <c r="K159" s="62"/>
      <c r="L159" s="62"/>
      <c r="M159" s="62"/>
      <c r="N159" s="51"/>
      <c r="O159" s="51"/>
      <c r="P159" s="51"/>
      <c r="Q159" s="63"/>
    </row>
    <row r="160" spans="2:17" ht="17.5">
      <c r="B160" s="60"/>
      <c r="C160" s="61"/>
      <c r="D160" s="51"/>
      <c r="E160" s="51"/>
      <c r="F160" s="51"/>
      <c r="G160" s="51"/>
      <c r="H160" s="51"/>
      <c r="I160" s="51"/>
      <c r="J160" s="51"/>
      <c r="K160" s="62"/>
      <c r="L160" s="62"/>
      <c r="M160" s="62"/>
      <c r="N160" s="51"/>
      <c r="O160" s="51"/>
      <c r="P160" s="51"/>
      <c r="Q160" s="63"/>
    </row>
    <row r="161" spans="2:17" ht="17.5">
      <c r="B161" s="60"/>
      <c r="C161" s="61"/>
      <c r="D161" s="51"/>
      <c r="E161" s="51"/>
      <c r="F161" s="51"/>
      <c r="G161" s="51"/>
      <c r="H161" s="51"/>
      <c r="I161" s="51"/>
      <c r="J161" s="51"/>
      <c r="K161" s="62"/>
      <c r="L161" s="62"/>
      <c r="M161" s="62"/>
      <c r="N161" s="51"/>
      <c r="O161" s="51"/>
      <c r="P161" s="51"/>
      <c r="Q161" s="63"/>
    </row>
    <row r="162" spans="2:17" ht="17.5">
      <c r="B162" s="60"/>
      <c r="C162" s="61"/>
      <c r="D162" s="51"/>
      <c r="E162" s="51"/>
      <c r="F162" s="51"/>
      <c r="G162" s="51"/>
      <c r="H162" s="51"/>
      <c r="I162" s="51"/>
      <c r="J162" s="51"/>
      <c r="K162" s="62"/>
      <c r="L162" s="62"/>
      <c r="M162" s="62"/>
      <c r="N162" s="51"/>
      <c r="O162" s="51"/>
      <c r="P162" s="51"/>
      <c r="Q162" s="63"/>
    </row>
    <row r="163" spans="2:17" ht="17.5">
      <c r="B163" s="60"/>
      <c r="C163" s="61"/>
      <c r="D163" s="51"/>
      <c r="E163" s="51"/>
      <c r="F163" s="51"/>
      <c r="G163" s="51"/>
      <c r="H163" s="51"/>
      <c r="I163" s="51"/>
      <c r="J163" s="51"/>
      <c r="K163" s="62"/>
      <c r="L163" s="62"/>
      <c r="M163" s="62"/>
      <c r="N163" s="51"/>
      <c r="O163" s="51"/>
      <c r="P163" s="51"/>
      <c r="Q163" s="63"/>
    </row>
    <row r="164" spans="2:17" ht="17.5">
      <c r="B164" s="60"/>
      <c r="C164" s="61"/>
      <c r="D164" s="51"/>
      <c r="E164" s="51"/>
      <c r="F164" s="51"/>
      <c r="G164" s="51"/>
      <c r="H164" s="51"/>
      <c r="I164" s="51"/>
      <c r="J164" s="51"/>
      <c r="K164" s="62"/>
      <c r="L164" s="62"/>
      <c r="M164" s="62"/>
      <c r="N164" s="51"/>
      <c r="O164" s="51"/>
      <c r="P164" s="51"/>
      <c r="Q164" s="63"/>
    </row>
    <row r="165" spans="2:17" ht="17.5">
      <c r="B165" s="60"/>
      <c r="C165" s="61"/>
      <c r="D165" s="51"/>
      <c r="E165" s="51"/>
      <c r="F165" s="51"/>
      <c r="G165" s="51"/>
      <c r="H165" s="51"/>
      <c r="I165" s="51"/>
      <c r="J165" s="51"/>
      <c r="K165" s="62"/>
      <c r="L165" s="62"/>
      <c r="M165" s="62"/>
      <c r="N165" s="51"/>
      <c r="O165" s="51"/>
      <c r="P165" s="51"/>
      <c r="Q165" s="63"/>
    </row>
    <row r="166" spans="2:17" ht="17.5">
      <c r="B166" s="60"/>
      <c r="C166" s="61"/>
      <c r="D166" s="51"/>
      <c r="E166" s="51"/>
      <c r="F166" s="51"/>
      <c r="G166" s="51"/>
      <c r="H166" s="51"/>
      <c r="I166" s="51"/>
      <c r="J166" s="51"/>
      <c r="K166" s="62"/>
      <c r="L166" s="62"/>
      <c r="M166" s="62"/>
      <c r="N166" s="51"/>
      <c r="O166" s="51"/>
      <c r="P166" s="51"/>
      <c r="Q166" s="63"/>
    </row>
    <row r="167" spans="2:17" ht="17.5">
      <c r="B167" s="60"/>
      <c r="C167" s="61"/>
      <c r="D167" s="51"/>
      <c r="E167" s="51"/>
      <c r="F167" s="51"/>
      <c r="G167" s="51"/>
      <c r="H167" s="51"/>
      <c r="I167" s="51"/>
      <c r="J167" s="51"/>
      <c r="K167" s="62"/>
      <c r="L167" s="62"/>
      <c r="M167" s="62"/>
      <c r="N167" s="51"/>
      <c r="O167" s="51"/>
      <c r="P167" s="51"/>
      <c r="Q167" s="63"/>
    </row>
    <row r="168" spans="2:17" ht="17.5">
      <c r="B168" s="60"/>
      <c r="C168" s="61"/>
      <c r="D168" s="51"/>
      <c r="E168" s="51"/>
      <c r="F168" s="51"/>
      <c r="G168" s="51"/>
      <c r="H168" s="51"/>
      <c r="I168" s="51"/>
      <c r="J168" s="51"/>
      <c r="K168" s="62"/>
      <c r="L168" s="62"/>
      <c r="M168" s="62"/>
      <c r="N168" s="51"/>
      <c r="O168" s="51"/>
      <c r="P168" s="51"/>
      <c r="Q168" s="63"/>
    </row>
    <row r="169" spans="2:17" ht="17.5">
      <c r="B169" s="60"/>
      <c r="C169" s="61"/>
      <c r="D169" s="51"/>
      <c r="E169" s="51"/>
      <c r="F169" s="51"/>
      <c r="G169" s="51"/>
      <c r="H169" s="51"/>
      <c r="I169" s="51"/>
      <c r="J169" s="51"/>
      <c r="K169" s="62"/>
      <c r="L169" s="62"/>
      <c r="M169" s="62"/>
      <c r="N169" s="51"/>
      <c r="O169" s="51"/>
      <c r="P169" s="51"/>
      <c r="Q169" s="63"/>
    </row>
    <row r="170" spans="2:17" ht="17.5">
      <c r="B170" s="60"/>
      <c r="C170" s="61"/>
      <c r="D170" s="51"/>
      <c r="E170" s="51"/>
      <c r="F170" s="51"/>
      <c r="G170" s="51"/>
      <c r="H170" s="51"/>
      <c r="I170" s="51"/>
      <c r="J170" s="51"/>
      <c r="K170" s="62"/>
      <c r="L170" s="62"/>
      <c r="M170" s="62"/>
      <c r="N170" s="51"/>
      <c r="O170" s="51"/>
      <c r="P170" s="51"/>
      <c r="Q170" s="63"/>
    </row>
    <row r="171" spans="2:17" ht="17.5">
      <c r="B171" s="60"/>
      <c r="C171" s="61"/>
      <c r="D171" s="51"/>
      <c r="E171" s="51"/>
      <c r="F171" s="51"/>
      <c r="G171" s="51"/>
      <c r="H171" s="51"/>
      <c r="I171" s="51"/>
      <c r="J171" s="51"/>
      <c r="K171" s="62"/>
      <c r="L171" s="62"/>
      <c r="M171" s="62"/>
      <c r="N171" s="51"/>
      <c r="O171" s="51"/>
      <c r="P171" s="51"/>
      <c r="Q171" s="63"/>
    </row>
    <row r="172" spans="2:17" ht="17.5">
      <c r="B172" s="60"/>
      <c r="C172" s="61"/>
      <c r="D172" s="51"/>
      <c r="E172" s="51"/>
      <c r="F172" s="51"/>
      <c r="G172" s="51"/>
      <c r="H172" s="51"/>
      <c r="I172" s="51"/>
      <c r="J172" s="51"/>
      <c r="K172" s="62"/>
      <c r="L172" s="62"/>
      <c r="M172" s="62"/>
      <c r="N172" s="51"/>
      <c r="O172" s="51"/>
      <c r="P172" s="51"/>
      <c r="Q172" s="63"/>
    </row>
    <row r="173" spans="2:17" ht="17.5">
      <c r="B173" s="60"/>
      <c r="C173" s="61"/>
      <c r="D173" s="51"/>
      <c r="E173" s="51"/>
      <c r="F173" s="51"/>
      <c r="G173" s="51"/>
      <c r="H173" s="51"/>
      <c r="I173" s="51"/>
      <c r="J173" s="51"/>
      <c r="K173" s="62"/>
      <c r="L173" s="62"/>
      <c r="M173" s="62"/>
      <c r="N173" s="51"/>
      <c r="O173" s="51"/>
      <c r="P173" s="51"/>
      <c r="Q173" s="63"/>
    </row>
    <row r="174" spans="2:17" ht="17.5">
      <c r="B174" s="60"/>
      <c r="C174" s="61"/>
      <c r="D174" s="51"/>
      <c r="E174" s="51"/>
      <c r="F174" s="51"/>
      <c r="G174" s="51"/>
      <c r="H174" s="51"/>
      <c r="I174" s="51"/>
      <c r="J174" s="51"/>
      <c r="K174" s="62"/>
      <c r="L174" s="62"/>
      <c r="M174" s="62"/>
      <c r="N174" s="51"/>
      <c r="O174" s="51"/>
      <c r="P174" s="51"/>
      <c r="Q174" s="63"/>
    </row>
    <row r="175" spans="2:17" ht="17.5">
      <c r="B175" s="60"/>
      <c r="C175" s="61"/>
      <c r="D175" s="51"/>
      <c r="E175" s="51"/>
      <c r="F175" s="51"/>
      <c r="G175" s="51"/>
      <c r="H175" s="51"/>
      <c r="I175" s="51"/>
      <c r="J175" s="51"/>
      <c r="K175" s="62"/>
      <c r="L175" s="62"/>
      <c r="M175" s="62"/>
      <c r="N175" s="51"/>
      <c r="O175" s="51"/>
      <c r="P175" s="51"/>
      <c r="Q175" s="63"/>
    </row>
    <row r="176" spans="2:17" ht="17.5">
      <c r="B176" s="60"/>
      <c r="C176" s="61"/>
      <c r="D176" s="51"/>
      <c r="E176" s="51"/>
      <c r="F176" s="51"/>
      <c r="G176" s="51"/>
      <c r="H176" s="51"/>
      <c r="I176" s="51"/>
      <c r="J176" s="51"/>
      <c r="K176" s="62"/>
      <c r="L176" s="62"/>
      <c r="M176" s="62"/>
      <c r="N176" s="51"/>
      <c r="O176" s="51"/>
      <c r="P176" s="51"/>
      <c r="Q176" s="63"/>
    </row>
    <row r="177" spans="2:17" ht="20">
      <c r="B177" s="60"/>
      <c r="C177" s="61"/>
      <c r="D177" s="51"/>
      <c r="E177" s="165"/>
      <c r="F177" s="165"/>
      <c r="G177" s="51"/>
      <c r="H177" s="51"/>
      <c r="I177" s="51"/>
      <c r="J177" s="51"/>
      <c r="K177" s="62"/>
      <c r="L177" s="62"/>
      <c r="M177" s="62"/>
      <c r="N177" s="51"/>
      <c r="O177" s="51"/>
      <c r="P177" s="51"/>
      <c r="Q177" s="63"/>
    </row>
    <row r="178" spans="2:17" ht="17.5">
      <c r="B178" s="60"/>
      <c r="C178" s="61"/>
      <c r="D178" s="51"/>
      <c r="E178" s="51"/>
      <c r="F178" s="51"/>
      <c r="G178" s="51"/>
      <c r="H178" s="51"/>
      <c r="I178" s="51"/>
      <c r="J178" s="51"/>
      <c r="K178" s="62"/>
      <c r="L178" s="62"/>
      <c r="M178" s="62"/>
      <c r="N178" s="51"/>
      <c r="O178" s="51"/>
      <c r="P178" s="51"/>
      <c r="Q178" s="63"/>
    </row>
    <row r="179" spans="2:17" ht="17.5">
      <c r="B179" s="60"/>
      <c r="C179" s="61"/>
      <c r="D179" s="51"/>
      <c r="E179" s="51"/>
      <c r="F179" s="51"/>
      <c r="G179" s="51"/>
      <c r="H179" s="51"/>
      <c r="I179" s="51"/>
      <c r="J179" s="51"/>
      <c r="K179" s="62"/>
      <c r="L179" s="62"/>
      <c r="M179" s="62"/>
      <c r="N179" s="51"/>
      <c r="O179" s="51"/>
      <c r="P179" s="51"/>
      <c r="Q179" s="63"/>
    </row>
    <row r="180" spans="2:17" ht="17.5">
      <c r="B180" s="60"/>
      <c r="C180" s="61"/>
      <c r="D180" s="51"/>
      <c r="E180" s="51"/>
      <c r="F180" s="51"/>
      <c r="G180" s="51"/>
      <c r="H180" s="51"/>
      <c r="I180" s="51"/>
      <c r="J180" s="51"/>
      <c r="K180" s="62"/>
      <c r="L180" s="62"/>
      <c r="M180" s="62"/>
      <c r="N180" s="51"/>
      <c r="O180" s="51"/>
      <c r="P180" s="51"/>
      <c r="Q180" s="63"/>
    </row>
    <row r="181" spans="2:17" ht="17.5">
      <c r="B181" s="60"/>
      <c r="C181" s="61"/>
      <c r="D181" s="51"/>
      <c r="E181" s="51"/>
      <c r="F181" s="51"/>
      <c r="G181" s="51"/>
      <c r="H181" s="51"/>
      <c r="I181" s="51"/>
      <c r="J181" s="51"/>
      <c r="K181" s="62"/>
      <c r="L181" s="62"/>
      <c r="M181" s="62"/>
      <c r="N181" s="51"/>
      <c r="O181" s="51"/>
      <c r="P181" s="51"/>
      <c r="Q181" s="63"/>
    </row>
    <row r="182" spans="2:17" ht="17.5">
      <c r="B182" s="60"/>
      <c r="C182" s="61"/>
      <c r="D182" s="51"/>
      <c r="E182" s="51"/>
      <c r="F182" s="51"/>
      <c r="G182" s="51"/>
      <c r="H182" s="51"/>
      <c r="I182" s="51"/>
      <c r="J182" s="51"/>
      <c r="K182" s="62"/>
      <c r="L182" s="62"/>
      <c r="M182" s="62"/>
      <c r="N182" s="51"/>
      <c r="O182" s="51"/>
      <c r="P182" s="51"/>
      <c r="Q182" s="63"/>
    </row>
    <row r="183" spans="2:17" ht="17.5">
      <c r="B183" s="60"/>
      <c r="C183" s="61"/>
      <c r="D183" s="51"/>
      <c r="E183" s="51"/>
      <c r="F183" s="51"/>
      <c r="G183" s="51"/>
      <c r="H183" s="51"/>
      <c r="I183" s="51"/>
      <c r="J183" s="51"/>
      <c r="K183" s="62"/>
      <c r="L183" s="62"/>
      <c r="M183" s="62"/>
      <c r="N183" s="51"/>
      <c r="O183" s="51"/>
      <c r="P183" s="51"/>
      <c r="Q183" s="63"/>
    </row>
    <row r="184" spans="2:17" ht="17.5">
      <c r="B184" s="60"/>
      <c r="C184" s="61"/>
      <c r="D184" s="51"/>
      <c r="E184" s="51"/>
      <c r="F184" s="51"/>
      <c r="G184" s="51"/>
      <c r="H184" s="51"/>
      <c r="I184" s="51"/>
      <c r="J184" s="51"/>
      <c r="K184" s="62"/>
      <c r="L184" s="62"/>
      <c r="M184" s="62"/>
      <c r="N184" s="51"/>
      <c r="O184" s="51"/>
      <c r="P184" s="51"/>
      <c r="Q184" s="63"/>
    </row>
    <row r="185" spans="2:17" ht="17.5">
      <c r="B185" s="60"/>
      <c r="C185" s="61"/>
      <c r="D185" s="51"/>
      <c r="E185" s="51"/>
      <c r="F185" s="51"/>
      <c r="G185" s="51"/>
      <c r="H185" s="51"/>
      <c r="I185" s="51"/>
      <c r="J185" s="51"/>
      <c r="K185" s="62"/>
      <c r="L185" s="62"/>
      <c r="M185" s="62"/>
      <c r="N185" s="51"/>
      <c r="O185" s="51"/>
      <c r="P185" s="51"/>
      <c r="Q185" s="63"/>
    </row>
    <row r="186" spans="2:17" ht="17.5">
      <c r="B186" s="60"/>
      <c r="C186" s="61"/>
      <c r="D186" s="51"/>
      <c r="E186" s="51"/>
      <c r="F186" s="51"/>
      <c r="G186" s="51"/>
      <c r="H186" s="51"/>
      <c r="I186" s="51"/>
      <c r="J186" s="51"/>
      <c r="K186" s="62"/>
      <c r="L186" s="62"/>
      <c r="M186" s="62"/>
      <c r="N186" s="51"/>
      <c r="O186" s="51"/>
      <c r="P186" s="51"/>
      <c r="Q186" s="63"/>
    </row>
    <row r="187" spans="2:17" ht="17.5">
      <c r="B187" s="60"/>
      <c r="C187" s="61"/>
      <c r="D187" s="51"/>
      <c r="E187" s="51"/>
      <c r="F187" s="51"/>
      <c r="G187" s="51"/>
      <c r="H187" s="51"/>
      <c r="I187" s="51"/>
      <c r="J187" s="51"/>
      <c r="K187" s="62"/>
      <c r="L187" s="62"/>
      <c r="M187" s="62"/>
      <c r="N187" s="51"/>
      <c r="O187" s="51"/>
      <c r="P187" s="51"/>
      <c r="Q187" s="63"/>
    </row>
    <row r="188" spans="2:17" ht="17.5">
      <c r="B188" s="60"/>
      <c r="C188" s="61"/>
      <c r="D188" s="51"/>
      <c r="E188" s="51"/>
      <c r="F188" s="51"/>
      <c r="G188" s="51"/>
      <c r="H188" s="51"/>
      <c r="I188" s="51"/>
      <c r="J188" s="51"/>
      <c r="K188" s="62"/>
      <c r="L188" s="62"/>
      <c r="M188" s="62"/>
      <c r="N188" s="51"/>
      <c r="O188" s="51"/>
      <c r="P188" s="51"/>
      <c r="Q188" s="63"/>
    </row>
    <row r="189" spans="2:17" ht="17.5">
      <c r="B189" s="60"/>
      <c r="C189" s="61"/>
      <c r="D189" s="51"/>
      <c r="E189" s="51"/>
      <c r="F189" s="51"/>
      <c r="G189" s="51"/>
      <c r="H189" s="51"/>
      <c r="I189" s="51"/>
      <c r="J189" s="51"/>
      <c r="K189" s="62"/>
      <c r="L189" s="62"/>
      <c r="M189" s="62"/>
      <c r="N189" s="51"/>
      <c r="O189" s="51"/>
      <c r="P189" s="51"/>
      <c r="Q189" s="63"/>
    </row>
    <row r="190" spans="2:17" ht="17.5">
      <c r="B190" s="60"/>
      <c r="C190" s="61"/>
      <c r="D190" s="51"/>
      <c r="E190" s="51"/>
      <c r="F190" s="51"/>
      <c r="G190" s="51"/>
      <c r="H190" s="51"/>
      <c r="I190" s="51"/>
      <c r="J190" s="51"/>
      <c r="K190" s="62"/>
      <c r="L190" s="62"/>
      <c r="M190" s="62"/>
      <c r="N190" s="51"/>
      <c r="O190" s="51"/>
      <c r="P190" s="51"/>
      <c r="Q190" s="63"/>
    </row>
    <row r="191" spans="2:17" ht="17.5">
      <c r="B191" s="60"/>
      <c r="C191" s="61"/>
      <c r="D191" s="51"/>
      <c r="E191" s="51"/>
      <c r="F191" s="51"/>
      <c r="G191" s="51"/>
      <c r="H191" s="51"/>
      <c r="I191" s="51"/>
      <c r="J191" s="51"/>
      <c r="K191" s="62"/>
      <c r="L191" s="62"/>
      <c r="M191" s="62"/>
      <c r="N191" s="51"/>
      <c r="O191" s="51"/>
      <c r="P191" s="51"/>
      <c r="Q191" s="63"/>
    </row>
    <row r="192" spans="2:17" ht="20">
      <c r="B192" s="60"/>
      <c r="C192" s="61"/>
      <c r="D192" s="51"/>
      <c r="E192" s="165"/>
      <c r="F192" s="165"/>
      <c r="G192" s="51"/>
      <c r="H192" s="51"/>
      <c r="I192" s="51"/>
      <c r="J192" s="51"/>
      <c r="K192" s="62"/>
      <c r="L192" s="62"/>
      <c r="M192" s="62"/>
      <c r="N192" s="51"/>
      <c r="O192" s="51"/>
      <c r="P192" s="51"/>
      <c r="Q192" s="63"/>
    </row>
    <row r="193" spans="2:17" ht="17.5">
      <c r="B193" s="60"/>
      <c r="C193" s="61"/>
      <c r="D193" s="51"/>
      <c r="E193" s="51"/>
      <c r="F193" s="51"/>
      <c r="G193" s="51"/>
      <c r="H193" s="51"/>
      <c r="I193" s="51"/>
      <c r="J193" s="51"/>
      <c r="K193" s="62"/>
      <c r="L193" s="62"/>
      <c r="M193" s="62"/>
      <c r="N193" s="51"/>
      <c r="O193" s="51"/>
      <c r="P193" s="51"/>
      <c r="Q193" s="63"/>
    </row>
    <row r="194" spans="2:17" ht="17.5">
      <c r="B194" s="60"/>
      <c r="C194" s="61"/>
      <c r="D194" s="51"/>
      <c r="E194" s="51"/>
      <c r="F194" s="51"/>
      <c r="G194" s="51"/>
      <c r="H194" s="51"/>
      <c r="I194" s="51"/>
      <c r="J194" s="51"/>
      <c r="K194" s="62"/>
      <c r="L194" s="62"/>
      <c r="M194" s="62"/>
      <c r="N194" s="51"/>
      <c r="O194" s="51"/>
      <c r="P194" s="51"/>
      <c r="Q194" s="63"/>
    </row>
    <row r="195" spans="2:17" ht="17.5">
      <c r="B195" s="60"/>
      <c r="C195" s="61"/>
      <c r="D195" s="51"/>
      <c r="E195" s="51"/>
      <c r="F195" s="51"/>
      <c r="G195" s="51"/>
      <c r="H195" s="51"/>
      <c r="I195" s="51"/>
      <c r="J195" s="51"/>
      <c r="K195" s="62"/>
      <c r="L195" s="62"/>
      <c r="M195" s="62"/>
      <c r="N195" s="51"/>
      <c r="O195" s="51"/>
      <c r="P195" s="51"/>
      <c r="Q195" s="63"/>
    </row>
    <row r="196" spans="2:17" ht="17.5">
      <c r="B196" s="60"/>
      <c r="C196" s="61"/>
      <c r="D196" s="51"/>
      <c r="E196" s="51"/>
      <c r="F196" s="51"/>
      <c r="G196" s="51"/>
      <c r="H196" s="51"/>
      <c r="I196" s="51"/>
      <c r="J196" s="51"/>
      <c r="K196" s="62"/>
      <c r="L196" s="62"/>
      <c r="M196" s="62"/>
      <c r="N196" s="51"/>
      <c r="O196" s="51"/>
      <c r="P196" s="51"/>
      <c r="Q196" s="63"/>
    </row>
    <row r="197" spans="2:17" ht="17.5">
      <c r="B197" s="60"/>
      <c r="C197" s="61"/>
      <c r="D197" s="51"/>
      <c r="E197" s="51"/>
      <c r="F197" s="51"/>
      <c r="G197" s="51"/>
      <c r="H197" s="51"/>
      <c r="I197" s="51"/>
      <c r="J197" s="51"/>
      <c r="K197" s="62"/>
      <c r="L197" s="62"/>
      <c r="M197" s="62"/>
      <c r="N197" s="51"/>
      <c r="O197" s="51"/>
      <c r="P197" s="51"/>
      <c r="Q197" s="63"/>
    </row>
    <row r="198" spans="2:17" ht="17.5">
      <c r="B198" s="60"/>
      <c r="C198" s="61"/>
      <c r="D198" s="51"/>
      <c r="E198" s="51"/>
      <c r="F198" s="51"/>
      <c r="G198" s="51"/>
      <c r="H198" s="51"/>
      <c r="I198" s="51"/>
      <c r="J198" s="51"/>
      <c r="K198" s="62"/>
      <c r="L198" s="62"/>
      <c r="M198" s="62"/>
      <c r="N198" s="51"/>
      <c r="O198" s="51"/>
      <c r="P198" s="51"/>
      <c r="Q198" s="63"/>
    </row>
    <row r="199" spans="2:17" ht="17.5">
      <c r="B199" s="60"/>
      <c r="C199" s="61"/>
      <c r="D199" s="51"/>
      <c r="E199" s="51"/>
      <c r="F199" s="51"/>
      <c r="G199" s="51"/>
      <c r="H199" s="51"/>
      <c r="I199" s="51"/>
      <c r="J199" s="51"/>
      <c r="K199" s="62"/>
      <c r="L199" s="62"/>
      <c r="M199" s="62"/>
      <c r="N199" s="51"/>
      <c r="O199" s="51"/>
      <c r="P199" s="51"/>
      <c r="Q199" s="63"/>
    </row>
    <row r="200" spans="2:17" ht="17.5">
      <c r="B200" s="60"/>
      <c r="C200" s="61"/>
      <c r="D200" s="51"/>
      <c r="E200" s="51"/>
      <c r="F200" s="51"/>
      <c r="G200" s="51"/>
      <c r="H200" s="51"/>
      <c r="I200" s="51"/>
      <c r="J200" s="51"/>
      <c r="K200" s="62"/>
      <c r="L200" s="62"/>
      <c r="M200" s="62"/>
      <c r="N200" s="51"/>
      <c r="O200" s="51"/>
      <c r="P200" s="51"/>
      <c r="Q200" s="63"/>
    </row>
    <row r="201" spans="2:17" ht="17.5">
      <c r="B201" s="60"/>
      <c r="C201" s="61"/>
      <c r="D201" s="51"/>
      <c r="E201" s="131"/>
      <c r="F201" s="131"/>
      <c r="G201" s="131"/>
      <c r="H201" s="131"/>
      <c r="I201" s="131"/>
      <c r="J201" s="131"/>
      <c r="K201" s="132"/>
      <c r="L201" s="132"/>
      <c r="M201" s="132"/>
      <c r="N201" s="51"/>
      <c r="O201" s="51"/>
      <c r="P201" s="131"/>
      <c r="Q201" s="133"/>
    </row>
    <row r="202" spans="2:17" ht="17.5">
      <c r="B202" s="60"/>
      <c r="C202" s="61"/>
      <c r="D202" s="51"/>
      <c r="E202" s="131"/>
      <c r="F202" s="172"/>
      <c r="G202" s="61"/>
      <c r="H202" s="61"/>
      <c r="I202" s="61"/>
      <c r="J202" s="61"/>
      <c r="K202" s="148"/>
      <c r="L202" s="61"/>
      <c r="M202" s="132"/>
      <c r="N202" s="51"/>
      <c r="O202" s="51"/>
      <c r="P202" s="61"/>
      <c r="Q202" s="61"/>
    </row>
    <row r="203" spans="2:17" ht="17.5">
      <c r="B203" s="60"/>
      <c r="C203" s="61"/>
      <c r="D203" s="131"/>
      <c r="E203" s="131"/>
      <c r="F203" s="131"/>
      <c r="G203" s="131"/>
      <c r="H203" s="131"/>
      <c r="I203" s="131"/>
      <c r="J203" s="61"/>
      <c r="K203" s="132"/>
      <c r="L203" s="61"/>
      <c r="M203" s="132"/>
      <c r="N203" s="51"/>
      <c r="O203" s="51"/>
      <c r="P203" s="131"/>
      <c r="Q203" s="147"/>
    </row>
    <row r="204" spans="2:17" ht="17.5">
      <c r="B204" s="60"/>
      <c r="C204" s="61"/>
      <c r="D204" s="131"/>
      <c r="E204" s="51"/>
      <c r="F204" s="51"/>
      <c r="G204" s="51"/>
      <c r="H204" s="51"/>
      <c r="I204" s="51"/>
      <c r="J204" s="61"/>
      <c r="K204" s="132"/>
      <c r="L204" s="61"/>
      <c r="M204" s="62"/>
      <c r="N204" s="51"/>
      <c r="O204" s="51"/>
      <c r="P204" s="51"/>
      <c r="Q204" s="63"/>
    </row>
    <row r="205" spans="2:17" ht="17.5">
      <c r="B205" s="60"/>
      <c r="C205" s="61"/>
      <c r="D205" s="51"/>
      <c r="E205" s="51"/>
      <c r="F205" s="51"/>
      <c r="G205" s="51"/>
      <c r="H205" s="51"/>
      <c r="I205" s="51"/>
      <c r="J205" s="51"/>
      <c r="K205" s="62"/>
      <c r="L205" s="61"/>
      <c r="M205" s="62"/>
      <c r="N205" s="51"/>
      <c r="O205" s="51"/>
      <c r="P205" s="51"/>
      <c r="Q205" s="63"/>
    </row>
    <row r="206" spans="2:17" ht="17.5">
      <c r="B206" s="60"/>
      <c r="C206" s="61"/>
      <c r="D206" s="51"/>
      <c r="E206" s="51"/>
      <c r="F206" s="51"/>
      <c r="G206" s="51"/>
      <c r="H206" s="51"/>
      <c r="I206" s="51"/>
      <c r="J206" s="51"/>
      <c r="K206" s="62"/>
      <c r="L206" s="61"/>
      <c r="M206" s="62"/>
      <c r="N206" s="51"/>
      <c r="O206" s="51"/>
      <c r="P206" s="51"/>
      <c r="Q206" s="63"/>
    </row>
    <row r="207" spans="2:17" ht="17.5">
      <c r="B207" s="60"/>
      <c r="C207" s="61"/>
      <c r="D207" s="51"/>
      <c r="E207" s="51"/>
      <c r="F207" s="51"/>
      <c r="G207" s="51"/>
      <c r="H207" s="51"/>
      <c r="I207" s="51"/>
      <c r="J207" s="51"/>
      <c r="K207" s="62"/>
      <c r="L207" s="61"/>
      <c r="M207" s="62"/>
      <c r="N207" s="51"/>
      <c r="O207" s="51"/>
      <c r="P207" s="51"/>
      <c r="Q207" s="63"/>
    </row>
    <row r="208" spans="2:17" ht="17.5">
      <c r="B208" s="60"/>
      <c r="C208" s="61"/>
      <c r="D208" s="51"/>
      <c r="E208" s="51"/>
      <c r="F208" s="51"/>
      <c r="G208" s="51"/>
      <c r="H208" s="51"/>
      <c r="I208" s="51"/>
      <c r="J208" s="51"/>
      <c r="K208" s="62"/>
      <c r="L208" s="61"/>
      <c r="M208" s="62"/>
      <c r="N208" s="51"/>
      <c r="O208" s="51"/>
      <c r="P208" s="51"/>
      <c r="Q208" s="63"/>
    </row>
    <row r="209" spans="2:17" ht="17.5">
      <c r="B209" s="60"/>
      <c r="C209" s="61"/>
      <c r="D209" s="51"/>
      <c r="E209" s="51"/>
      <c r="F209" s="51"/>
      <c r="G209" s="51"/>
      <c r="H209" s="51"/>
      <c r="I209" s="51"/>
      <c r="J209" s="51"/>
      <c r="K209" s="62"/>
      <c r="L209" s="61"/>
      <c r="M209" s="62"/>
      <c r="N209" s="51"/>
      <c r="O209" s="51"/>
      <c r="P209" s="51"/>
      <c r="Q209" s="63"/>
    </row>
    <row r="210" spans="2:17" ht="17.5">
      <c r="B210" s="60"/>
      <c r="C210" s="61"/>
      <c r="D210" s="51"/>
      <c r="E210" s="51"/>
      <c r="F210" s="51"/>
      <c r="G210" s="51"/>
      <c r="H210" s="51"/>
      <c r="I210" s="51"/>
      <c r="J210" s="51"/>
      <c r="K210" s="62"/>
      <c r="L210" s="61"/>
      <c r="M210" s="62"/>
      <c r="N210" s="51"/>
      <c r="O210" s="51"/>
      <c r="P210" s="51"/>
      <c r="Q210" s="63"/>
    </row>
    <row r="211" spans="2:17" ht="17.5">
      <c r="B211" s="60"/>
      <c r="C211" s="61"/>
      <c r="D211" s="51"/>
      <c r="E211" s="51"/>
      <c r="F211" s="51"/>
      <c r="G211" s="51"/>
      <c r="H211" s="51"/>
      <c r="I211" s="51"/>
      <c r="J211" s="51"/>
      <c r="K211" s="62"/>
      <c r="L211" s="61"/>
      <c r="M211" s="62"/>
      <c r="N211" s="51"/>
      <c r="O211" s="51"/>
      <c r="P211" s="65"/>
      <c r="Q211" s="63"/>
    </row>
    <row r="212" spans="2:17" ht="17.5">
      <c r="B212" s="60"/>
      <c r="C212" s="61"/>
      <c r="D212" s="51"/>
      <c r="E212" s="51"/>
      <c r="F212" s="51"/>
      <c r="G212" s="51"/>
      <c r="H212" s="51"/>
      <c r="I212" s="51"/>
      <c r="J212" s="51"/>
      <c r="K212" s="62"/>
      <c r="L212" s="61"/>
      <c r="M212" s="62"/>
      <c r="N212" s="51"/>
      <c r="O212" s="51"/>
      <c r="P212" s="51"/>
      <c r="Q212" s="63"/>
    </row>
    <row r="213" spans="2:17" ht="17.5">
      <c r="B213" s="60"/>
      <c r="C213" s="61"/>
      <c r="D213" s="51"/>
      <c r="E213" s="111"/>
      <c r="F213" s="51"/>
      <c r="G213" s="51"/>
      <c r="H213" s="51"/>
      <c r="I213" s="51"/>
      <c r="J213" s="51"/>
      <c r="K213" s="62"/>
      <c r="L213" s="61"/>
      <c r="M213" s="62"/>
      <c r="N213" s="51"/>
      <c r="O213" s="51"/>
      <c r="P213" s="51"/>
      <c r="Q213" s="63"/>
    </row>
    <row r="214" spans="2:17" ht="17.5">
      <c r="B214" s="60"/>
      <c r="C214" s="61"/>
      <c r="D214" s="51"/>
      <c r="E214" s="51"/>
      <c r="F214" s="51"/>
      <c r="G214" s="51"/>
      <c r="H214" s="51"/>
      <c r="I214" s="51"/>
      <c r="J214" s="51"/>
      <c r="K214" s="62"/>
      <c r="L214" s="61"/>
      <c r="M214" s="62"/>
      <c r="N214" s="51"/>
      <c r="O214" s="51"/>
      <c r="P214" s="51"/>
      <c r="Q214" s="63"/>
    </row>
    <row r="215" spans="2:17" ht="17.5">
      <c r="B215" s="60"/>
      <c r="C215" s="61"/>
      <c r="D215" s="51"/>
      <c r="E215" s="51"/>
      <c r="F215" s="51"/>
      <c r="G215" s="51"/>
      <c r="H215" s="51"/>
      <c r="I215" s="51"/>
      <c r="J215" s="51"/>
      <c r="K215" s="62"/>
      <c r="L215" s="61"/>
      <c r="M215" s="62"/>
      <c r="N215" s="51"/>
      <c r="O215" s="51"/>
      <c r="P215" s="51"/>
      <c r="Q215" s="63"/>
    </row>
    <row r="216" spans="2:17" ht="17.5">
      <c r="B216" s="60"/>
      <c r="C216" s="61"/>
      <c r="D216" s="51"/>
      <c r="E216" s="51"/>
      <c r="F216" s="51"/>
      <c r="G216" s="51"/>
      <c r="H216" s="51"/>
      <c r="I216" s="51"/>
      <c r="J216" s="51"/>
      <c r="K216" s="62"/>
      <c r="L216" s="61"/>
      <c r="M216" s="62"/>
      <c r="N216" s="51"/>
      <c r="O216" s="51"/>
      <c r="P216" s="51"/>
      <c r="Q216" s="63"/>
    </row>
    <row r="217" spans="2:17" ht="17.5">
      <c r="B217" s="60"/>
      <c r="C217" s="61"/>
      <c r="D217" s="51"/>
      <c r="E217" s="51"/>
      <c r="F217" s="51"/>
      <c r="G217" s="51"/>
      <c r="H217" s="51"/>
      <c r="I217" s="51"/>
      <c r="J217" s="51"/>
      <c r="K217" s="62"/>
      <c r="L217" s="61"/>
      <c r="M217" s="62"/>
      <c r="N217" s="51"/>
      <c r="O217" s="51"/>
      <c r="P217" s="51"/>
      <c r="Q217" s="63"/>
    </row>
    <row r="218" spans="2:17" ht="17.5">
      <c r="B218" s="60"/>
      <c r="C218" s="61"/>
      <c r="D218" s="51"/>
      <c r="E218" s="51"/>
      <c r="F218" s="51"/>
      <c r="G218" s="51"/>
      <c r="H218" s="51"/>
      <c r="I218" s="51"/>
      <c r="J218" s="51"/>
      <c r="K218" s="62"/>
      <c r="L218" s="61"/>
      <c r="M218" s="62"/>
      <c r="N218" s="51"/>
      <c r="O218" s="51"/>
      <c r="P218" s="51"/>
      <c r="Q218" s="63"/>
    </row>
    <row r="219" spans="2:17" ht="17.5">
      <c r="B219" s="60"/>
      <c r="C219" s="61"/>
      <c r="D219" s="51"/>
      <c r="E219" s="51"/>
      <c r="F219" s="51"/>
      <c r="G219" s="51"/>
      <c r="H219" s="51"/>
      <c r="I219" s="51"/>
      <c r="J219" s="51"/>
      <c r="K219" s="62"/>
      <c r="L219" s="61"/>
      <c r="M219" s="62"/>
      <c r="N219" s="51"/>
      <c r="O219" s="51"/>
      <c r="P219" s="51"/>
      <c r="Q219" s="63"/>
    </row>
    <row r="220" spans="2:17" ht="17.5">
      <c r="B220" s="60"/>
      <c r="C220" s="61"/>
      <c r="D220" s="51"/>
      <c r="E220" s="51"/>
      <c r="F220" s="51"/>
      <c r="G220" s="51"/>
      <c r="H220" s="51"/>
      <c r="I220" s="51"/>
      <c r="J220" s="51"/>
      <c r="K220" s="62"/>
      <c r="L220" s="61"/>
      <c r="M220" s="62"/>
      <c r="N220" s="51"/>
      <c r="O220" s="51"/>
      <c r="P220" s="51"/>
      <c r="Q220" s="63"/>
    </row>
    <row r="221" spans="2:17" ht="17.5">
      <c r="B221" s="60"/>
      <c r="C221" s="61"/>
      <c r="D221" s="51"/>
      <c r="E221" s="51"/>
      <c r="F221" s="51"/>
      <c r="G221" s="51"/>
      <c r="H221" s="51"/>
      <c r="I221" s="51"/>
      <c r="J221" s="51"/>
      <c r="K221" s="62"/>
      <c r="L221" s="61"/>
      <c r="M221" s="62"/>
      <c r="N221" s="51"/>
      <c r="O221" s="51"/>
      <c r="P221" s="51"/>
      <c r="Q221" s="63"/>
    </row>
    <row r="222" spans="2:17" ht="17.5">
      <c r="B222" s="60"/>
      <c r="C222" s="61"/>
      <c r="D222" s="51"/>
      <c r="E222" s="51"/>
      <c r="F222" s="51"/>
      <c r="G222" s="51"/>
      <c r="H222" s="51"/>
      <c r="I222" s="51"/>
      <c r="J222" s="51"/>
      <c r="K222" s="62"/>
      <c r="L222" s="61"/>
      <c r="M222" s="62"/>
      <c r="N222" s="51"/>
      <c r="O222" s="51"/>
      <c r="P222" s="51"/>
      <c r="Q222" s="63"/>
    </row>
    <row r="223" spans="2:17" ht="17.5">
      <c r="B223" s="60"/>
      <c r="C223" s="61"/>
      <c r="D223" s="51"/>
      <c r="E223" s="51"/>
      <c r="F223" s="51"/>
      <c r="G223" s="51"/>
      <c r="H223" s="51"/>
      <c r="I223" s="51"/>
      <c r="J223" s="51"/>
      <c r="K223" s="62"/>
      <c r="L223" s="61"/>
      <c r="M223" s="62"/>
      <c r="N223" s="51"/>
      <c r="O223" s="51"/>
      <c r="P223" s="51"/>
      <c r="Q223" s="63"/>
    </row>
    <row r="224" spans="2:17" ht="17.5">
      <c r="B224" s="60"/>
      <c r="C224" s="61"/>
      <c r="D224" s="51"/>
      <c r="E224" s="51"/>
      <c r="F224" s="51"/>
      <c r="G224" s="51"/>
      <c r="H224" s="51"/>
      <c r="I224" s="51"/>
      <c r="J224" s="51"/>
      <c r="K224" s="62"/>
      <c r="L224" s="61"/>
      <c r="M224" s="62"/>
      <c r="N224" s="51"/>
      <c r="O224" s="51"/>
      <c r="P224" s="51"/>
      <c r="Q224" s="63"/>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ورقة31"/>
  <dimension ref="A2:N12"/>
  <sheetViews>
    <sheetView rightToLeft="1" workbookViewId="0"/>
  </sheetViews>
  <sheetFormatPr defaultRowHeight="15.5"/>
  <sheetData>
    <row r="2" spans="1:14">
      <c r="B2" t="s">
        <v>539</v>
      </c>
      <c r="C2" s="75">
        <v>45800</v>
      </c>
      <c r="E2" s="836" t="s">
        <v>553</v>
      </c>
      <c r="F2" s="837"/>
      <c r="G2" s="837"/>
      <c r="H2" s="838"/>
    </row>
    <row r="4" spans="1:14">
      <c r="A4" t="s">
        <v>168</v>
      </c>
      <c r="B4" t="s">
        <v>535</v>
      </c>
      <c r="C4" t="s">
        <v>536</v>
      </c>
      <c r="D4" t="s">
        <v>537</v>
      </c>
      <c r="E4" t="s">
        <v>538</v>
      </c>
      <c r="F4" t="s">
        <v>540</v>
      </c>
      <c r="G4" t="s">
        <v>541</v>
      </c>
      <c r="H4" t="s">
        <v>542</v>
      </c>
      <c r="I4" t="s">
        <v>543</v>
      </c>
      <c r="J4" t="s">
        <v>544</v>
      </c>
      <c r="K4" t="s">
        <v>545</v>
      </c>
      <c r="M4" t="s">
        <v>546</v>
      </c>
      <c r="N4" t="s">
        <v>547</v>
      </c>
    </row>
    <row r="5" spans="1:14">
      <c r="A5">
        <v>1</v>
      </c>
      <c r="C5">
        <v>13000</v>
      </c>
      <c r="D5" s="75">
        <v>45480</v>
      </c>
      <c r="E5" s="75">
        <f>C$2</f>
        <v>45800</v>
      </c>
      <c r="F5" t="e">
        <f>#REF!-#REF!+1</f>
        <v>#REF!</v>
      </c>
      <c r="G5" t="e">
        <f>IF(#REF!&gt;=1826,1826,#REF!)</f>
        <v>#REF!</v>
      </c>
      <c r="H5" t="e">
        <f>IF(#REF!&gt;1826,#REF!-#REF!,0)</f>
        <v>#REF!</v>
      </c>
      <c r="I5" s="192" t="e">
        <f>SUM((#REF!*#REF!/365/2)+(#REF!*#REF!/365))</f>
        <v>#REF!</v>
      </c>
      <c r="J5">
        <v>0</v>
      </c>
      <c r="K5" s="179" t="e">
        <f>#REF!-#REF!</f>
        <v>#REF!</v>
      </c>
    </row>
    <row r="6" spans="1:14">
      <c r="A6">
        <v>3</v>
      </c>
      <c r="C6">
        <v>3500</v>
      </c>
      <c r="D6" s="75">
        <v>45668</v>
      </c>
      <c r="E6" s="75">
        <f>C$2</f>
        <v>45800</v>
      </c>
      <c r="F6" t="e">
        <f>#REF!-#REF!+1</f>
        <v>#REF!</v>
      </c>
      <c r="G6" t="e">
        <f>IF(#REF!&gt;=1826,1826,#REF!)</f>
        <v>#REF!</v>
      </c>
      <c r="H6" t="e">
        <f>IF(#REF!&gt;1826,#REF!-#REF!,0)</f>
        <v>#REF!</v>
      </c>
      <c r="I6" s="192" t="e">
        <f>SUM((#REF!*#REF!/365/2)+(#REF!*#REF!/365))</f>
        <v>#REF!</v>
      </c>
      <c r="J6">
        <v>0</v>
      </c>
      <c r="K6" s="179" t="e">
        <f>#REF!-#REF!</f>
        <v>#REF!</v>
      </c>
    </row>
    <row r="7" spans="1:14">
      <c r="D7" s="75"/>
      <c r="E7" s="75"/>
      <c r="I7" s="192"/>
      <c r="K7" s="179"/>
    </row>
    <row r="8" spans="1:14">
      <c r="D8" s="75"/>
      <c r="E8" s="75"/>
      <c r="I8" s="192"/>
      <c r="K8" s="179"/>
    </row>
    <row r="9" spans="1:14">
      <c r="C9" s="836" t="s">
        <v>552</v>
      </c>
      <c r="D9" s="837"/>
      <c r="E9" s="837"/>
      <c r="F9" s="837"/>
      <c r="G9" s="838"/>
      <c r="I9" s="192"/>
      <c r="K9" s="179"/>
    </row>
    <row r="11" spans="1:14">
      <c r="A11" t="s">
        <v>168</v>
      </c>
      <c r="B11" t="s">
        <v>47</v>
      </c>
      <c r="C11" t="s">
        <v>536</v>
      </c>
      <c r="D11" t="s">
        <v>548</v>
      </c>
      <c r="E11" t="s">
        <v>549</v>
      </c>
      <c r="F11" t="s">
        <v>540</v>
      </c>
      <c r="G11" t="s">
        <v>550</v>
      </c>
      <c r="H11" t="s">
        <v>551</v>
      </c>
      <c r="I11" t="s">
        <v>543</v>
      </c>
      <c r="J11" t="s">
        <v>544</v>
      </c>
      <c r="K11" t="s">
        <v>545</v>
      </c>
    </row>
    <row r="12" spans="1:14">
      <c r="A12">
        <v>1</v>
      </c>
      <c r="C12">
        <v>1500</v>
      </c>
      <c r="D12" s="75">
        <v>44712</v>
      </c>
      <c r="E12" s="75">
        <v>45698</v>
      </c>
      <c r="F12" s="266" t="e">
        <f>#REF!-#REF!+1</f>
        <v>#REF!</v>
      </c>
      <c r="G12" t="e">
        <f>IF(#REF!&gt;=1826,1826,#REF!)</f>
        <v>#REF!</v>
      </c>
      <c r="H12" t="e">
        <f>IF(#REF!&gt;1826,#REF!-#REF!,0)</f>
        <v>#REF!</v>
      </c>
      <c r="I12" s="192" t="e">
        <f>SUM((#REF!*#REF!/365/2)+(#REF!*#REF!/365))</f>
        <v>#REF!</v>
      </c>
      <c r="J12">
        <v>0</v>
      </c>
      <c r="K12" s="179" t="e">
        <f>#REF!-#REF!</f>
        <v>#REF!</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ورقة32"/>
  <dimension ref="A1:AX135"/>
  <sheetViews>
    <sheetView rightToLeft="1" workbookViewId="0"/>
  </sheetViews>
  <sheetFormatPr defaultRowHeight="15.5"/>
  <sheetData>
    <row r="1" spans="1:50">
      <c r="A1" s="25">
        <f ca="1">NOW()</f>
        <v>46323.126642939817</v>
      </c>
      <c r="F1" s="294" t="s">
        <v>179</v>
      </c>
      <c r="G1" s="295">
        <v>102</v>
      </c>
      <c r="H1" s="253" t="s">
        <v>302</v>
      </c>
      <c r="K1" s="52" t="s">
        <v>580</v>
      </c>
      <c r="L1" s="54" t="e">
        <f>SUM(#REF!)</f>
        <v>#REF!</v>
      </c>
    </row>
    <row r="2" spans="1:50">
      <c r="A2" s="1" t="s">
        <v>573</v>
      </c>
      <c r="B2" s="25">
        <v>46012.481454050925</v>
      </c>
      <c r="F2" s="296" t="s">
        <v>569</v>
      </c>
      <c r="G2" s="841" t="s">
        <v>292</v>
      </c>
      <c r="H2" s="842"/>
      <c r="I2" s="742" t="s">
        <v>578</v>
      </c>
      <c r="J2" s="740"/>
      <c r="K2" s="53" t="e">
        <f>SUMIFS(#REF!,#REF!,G2,#REF!,G3,#REF!,G1)</f>
        <v>#REF!</v>
      </c>
      <c r="L2" s="303" t="e">
        <f>K2/G4</f>
        <v>#REF!</v>
      </c>
    </row>
    <row r="3" spans="1:50">
      <c r="F3" s="297" t="s">
        <v>566</v>
      </c>
      <c r="G3" s="840" t="s">
        <v>571</v>
      </c>
      <c r="H3" s="843"/>
      <c r="I3" s="742" t="s">
        <v>576</v>
      </c>
      <c r="J3" s="740"/>
      <c r="K3" s="53" t="e">
        <f>SUMIFS(#REF!,#REF!,G1)</f>
        <v>#REF!</v>
      </c>
      <c r="L3" s="303" t="e">
        <f>K3/L1</f>
        <v>#REF!</v>
      </c>
    </row>
    <row r="4" spans="1:50">
      <c r="F4" s="299" t="s">
        <v>577</v>
      </c>
      <c r="G4" s="300" t="e">
        <f>SUMIFS(#REF!,#REF!,G2,#REF!,G1)</f>
        <v>#REF!</v>
      </c>
      <c r="H4" s="301" t="e">
        <f>G4/K3</f>
        <v>#REF!</v>
      </c>
      <c r="I4" s="839" t="s">
        <v>579</v>
      </c>
      <c r="J4" s="840"/>
      <c r="K4" s="298" t="e">
        <f>SUMIFS(#REF!,#REF!,G1,#REF!,G3)</f>
        <v>#REF!</v>
      </c>
      <c r="L4" s="302" t="e">
        <f>K4/K3</f>
        <v>#REF!</v>
      </c>
    </row>
    <row r="5" spans="1:50">
      <c r="AC5" s="293" t="s">
        <v>570</v>
      </c>
      <c r="AD5" s="1" t="s">
        <v>650</v>
      </c>
    </row>
    <row r="6" spans="1:50">
      <c r="A6" s="290" t="s">
        <v>5</v>
      </c>
      <c r="B6" s="291" t="s">
        <v>564</v>
      </c>
      <c r="C6" s="291" t="s">
        <v>401</v>
      </c>
      <c r="D6" s="291" t="s">
        <v>565</v>
      </c>
      <c r="E6" s="291" t="s">
        <v>179</v>
      </c>
      <c r="F6" s="291" t="s">
        <v>566</v>
      </c>
      <c r="G6" s="291" t="s">
        <v>247</v>
      </c>
      <c r="H6" s="291" t="s">
        <v>567</v>
      </c>
      <c r="I6" s="291" t="s">
        <v>568</v>
      </c>
      <c r="J6" s="291" t="s">
        <v>569</v>
      </c>
      <c r="K6" s="292" t="s">
        <v>570</v>
      </c>
      <c r="L6" s="291" t="s">
        <v>574</v>
      </c>
      <c r="M6" s="291" t="s">
        <v>581</v>
      </c>
      <c r="P6" s="289" t="s">
        <v>5</v>
      </c>
      <c r="Q6" s="289" t="s">
        <v>572</v>
      </c>
      <c r="R6" s="289" t="s">
        <v>87</v>
      </c>
      <c r="AX6" s="178"/>
    </row>
    <row r="7" spans="1:50">
      <c r="A7" s="340"/>
      <c r="B7" s="341"/>
      <c r="C7" s="342"/>
      <c r="D7" s="342"/>
      <c r="E7" s="342" t="s">
        <v>594</v>
      </c>
      <c r="F7" s="342"/>
      <c r="G7" s="342"/>
      <c r="H7" s="342"/>
      <c r="I7" s="342"/>
      <c r="J7" s="342"/>
      <c r="K7" s="343"/>
      <c r="P7" s="286">
        <v>1</v>
      </c>
      <c r="Q7" s="287">
        <v>23423</v>
      </c>
      <c r="R7" s="286">
        <v>0</v>
      </c>
      <c r="AC7" s="293" t="s">
        <v>575</v>
      </c>
      <c r="AD7" s="293" t="s">
        <v>649</v>
      </c>
    </row>
    <row r="8" spans="1:50">
      <c r="P8" s="286">
        <v>2</v>
      </c>
      <c r="Q8" s="288">
        <v>23425</v>
      </c>
      <c r="R8" s="286">
        <v>0</v>
      </c>
      <c r="AC8" s="304" t="s">
        <v>647</v>
      </c>
      <c r="AD8" s="305" t="s">
        <v>648</v>
      </c>
      <c r="AO8" s="177" t="s">
        <v>575</v>
      </c>
      <c r="AP8" s="177" t="s">
        <v>649</v>
      </c>
    </row>
    <row r="9" spans="1:50">
      <c r="P9" s="286">
        <v>3</v>
      </c>
      <c r="Q9" s="288">
        <v>23428</v>
      </c>
      <c r="R9" s="286">
        <v>0</v>
      </c>
      <c r="AC9" s="305" t="s">
        <v>648</v>
      </c>
      <c r="AD9" s="305"/>
      <c r="AO9" s="177" t="s">
        <v>647</v>
      </c>
      <c r="AP9" t="s">
        <v>648</v>
      </c>
    </row>
    <row r="10" spans="1:50">
      <c r="P10" s="286">
        <v>4</v>
      </c>
      <c r="Q10" s="288">
        <v>23429</v>
      </c>
      <c r="R10" s="286">
        <v>0</v>
      </c>
      <c r="AO10" s="178" t="s">
        <v>648</v>
      </c>
    </row>
    <row r="11" spans="1:50">
      <c r="P11" s="286">
        <v>5</v>
      </c>
      <c r="Q11" s="288">
        <v>23430</v>
      </c>
      <c r="R11" s="286">
        <v>508</v>
      </c>
    </row>
    <row r="12" spans="1:50">
      <c r="P12" s="286">
        <v>6</v>
      </c>
      <c r="Q12" s="288">
        <v>23433</v>
      </c>
      <c r="R12" s="286">
        <v>0</v>
      </c>
    </row>
    <row r="13" spans="1:50">
      <c r="P13" s="286">
        <v>7</v>
      </c>
      <c r="Q13" s="288">
        <v>23435</v>
      </c>
      <c r="R13" s="286">
        <v>508</v>
      </c>
    </row>
    <row r="14" spans="1:50">
      <c r="P14" s="286">
        <v>8</v>
      </c>
      <c r="Q14" s="288">
        <v>23437</v>
      </c>
      <c r="R14" s="286">
        <v>0</v>
      </c>
    </row>
    <row r="15" spans="1:50">
      <c r="P15" s="286">
        <v>9</v>
      </c>
      <c r="Q15" s="288">
        <v>23438</v>
      </c>
      <c r="R15" s="286">
        <v>0</v>
      </c>
    </row>
    <row r="16" spans="1:50">
      <c r="P16" s="286">
        <v>10</v>
      </c>
      <c r="Q16" s="288">
        <v>23461</v>
      </c>
      <c r="R16" s="286">
        <v>0</v>
      </c>
    </row>
    <row r="17" spans="16:18">
      <c r="P17" s="286">
        <v>11</v>
      </c>
      <c r="Q17" s="288">
        <v>23480</v>
      </c>
      <c r="R17" s="286">
        <v>0</v>
      </c>
    </row>
    <row r="18" spans="16:18">
      <c r="P18" s="286">
        <v>12</v>
      </c>
      <c r="Q18" s="288">
        <v>23490</v>
      </c>
      <c r="R18" s="286">
        <v>0</v>
      </c>
    </row>
    <row r="19" spans="16:18">
      <c r="P19" s="286">
        <v>13</v>
      </c>
      <c r="Q19" s="288">
        <v>23505</v>
      </c>
      <c r="R19" s="286">
        <v>0</v>
      </c>
    </row>
    <row r="20" spans="16:18">
      <c r="P20" s="286">
        <v>14</v>
      </c>
      <c r="Q20" s="288">
        <v>23531</v>
      </c>
      <c r="R20" s="286">
        <v>0</v>
      </c>
    </row>
    <row r="21" spans="16:18">
      <c r="P21" s="286">
        <v>15</v>
      </c>
      <c r="Q21" s="288">
        <v>23677</v>
      </c>
      <c r="R21" s="286">
        <v>0</v>
      </c>
    </row>
    <row r="22" spans="16:18">
      <c r="P22" s="286">
        <v>16</v>
      </c>
      <c r="Q22" s="288">
        <v>23680</v>
      </c>
      <c r="R22" s="286">
        <v>0</v>
      </c>
    </row>
    <row r="23" spans="16:18">
      <c r="P23" s="286">
        <v>17</v>
      </c>
      <c r="Q23" s="288">
        <v>23995</v>
      </c>
      <c r="R23" s="286">
        <v>0</v>
      </c>
    </row>
    <row r="24" spans="16:18">
      <c r="P24" s="286">
        <v>18</v>
      </c>
      <c r="Q24" s="288">
        <v>23996</v>
      </c>
      <c r="R24" s="286">
        <v>0</v>
      </c>
    </row>
    <row r="25" spans="16:18">
      <c r="P25" s="286">
        <v>19</v>
      </c>
      <c r="Q25" s="288">
        <v>24044</v>
      </c>
      <c r="R25" s="286">
        <v>0</v>
      </c>
    </row>
    <row r="26" spans="16:18">
      <c r="P26" s="286">
        <v>20</v>
      </c>
      <c r="Q26" s="288">
        <v>24045</v>
      </c>
      <c r="R26" s="286">
        <v>0</v>
      </c>
    </row>
    <row r="27" spans="16:18">
      <c r="P27" s="286">
        <v>21</v>
      </c>
      <c r="Q27" s="288">
        <v>24046</v>
      </c>
      <c r="R27" s="286">
        <v>0</v>
      </c>
    </row>
    <row r="28" spans="16:18">
      <c r="P28" s="286">
        <v>22</v>
      </c>
      <c r="Q28" s="288">
        <v>24050</v>
      </c>
      <c r="R28" s="286">
        <v>0</v>
      </c>
    </row>
    <row r="29" spans="16:18">
      <c r="P29" s="286">
        <v>23</v>
      </c>
      <c r="Q29" s="288">
        <v>24054</v>
      </c>
      <c r="R29" s="286">
        <v>0</v>
      </c>
    </row>
    <row r="30" spans="16:18">
      <c r="P30" s="286">
        <v>24</v>
      </c>
      <c r="Q30" s="288">
        <v>24055</v>
      </c>
      <c r="R30" s="286">
        <v>0</v>
      </c>
    </row>
    <row r="31" spans="16:18">
      <c r="P31" s="286">
        <v>25</v>
      </c>
      <c r="Q31" s="288">
        <v>24058</v>
      </c>
      <c r="R31" s="286">
        <v>0</v>
      </c>
    </row>
    <row r="32" spans="16:18">
      <c r="P32" s="286">
        <v>26</v>
      </c>
      <c r="Q32" s="288">
        <v>24064</v>
      </c>
      <c r="R32" s="286">
        <v>0</v>
      </c>
    </row>
    <row r="33" spans="16:18">
      <c r="P33" s="286">
        <v>27</v>
      </c>
      <c r="Q33" s="288">
        <v>24205</v>
      </c>
      <c r="R33" s="286">
        <v>0</v>
      </c>
    </row>
    <row r="34" spans="16:18">
      <c r="P34" s="286">
        <v>28</v>
      </c>
      <c r="Q34" s="288">
        <v>24215</v>
      </c>
      <c r="R34" s="286">
        <v>0</v>
      </c>
    </row>
    <row r="35" spans="16:18">
      <c r="P35" s="286">
        <v>29</v>
      </c>
      <c r="Q35" s="288">
        <v>24217</v>
      </c>
      <c r="R35" s="286">
        <v>0</v>
      </c>
    </row>
    <row r="36" spans="16:18">
      <c r="P36" s="286">
        <v>30</v>
      </c>
      <c r="Q36" s="288">
        <v>24218</v>
      </c>
      <c r="R36" s="286">
        <v>0</v>
      </c>
    </row>
    <row r="37" spans="16:18">
      <c r="P37" s="286">
        <v>31</v>
      </c>
      <c r="Q37" s="288">
        <v>24273</v>
      </c>
      <c r="R37" s="286">
        <v>0</v>
      </c>
    </row>
    <row r="38" spans="16:18">
      <c r="P38" s="286">
        <v>32</v>
      </c>
      <c r="Q38" s="288">
        <v>24369</v>
      </c>
      <c r="R38" s="286">
        <v>0</v>
      </c>
    </row>
    <row r="39" spans="16:18">
      <c r="P39" s="286">
        <v>33</v>
      </c>
      <c r="Q39" s="288">
        <v>24384</v>
      </c>
      <c r="R39" s="286">
        <v>0</v>
      </c>
    </row>
    <row r="40" spans="16:18">
      <c r="P40" s="286">
        <v>34</v>
      </c>
      <c r="Q40" s="288">
        <v>24525</v>
      </c>
      <c r="R40" s="286">
        <v>0</v>
      </c>
    </row>
    <row r="41" spans="16:18">
      <c r="P41" s="286">
        <v>35</v>
      </c>
      <c r="Q41" s="288">
        <v>24526</v>
      </c>
      <c r="R41" s="286">
        <v>0</v>
      </c>
    </row>
    <row r="42" spans="16:18">
      <c r="P42" s="286">
        <v>36</v>
      </c>
      <c r="Q42" s="288">
        <v>24528</v>
      </c>
      <c r="R42" s="286">
        <v>0</v>
      </c>
    </row>
    <row r="43" spans="16:18">
      <c r="P43" s="286">
        <v>37</v>
      </c>
      <c r="Q43" s="288">
        <v>24530</v>
      </c>
      <c r="R43" s="286">
        <v>0</v>
      </c>
    </row>
    <row r="44" spans="16:18">
      <c r="P44" s="286">
        <v>38</v>
      </c>
      <c r="Q44" s="288">
        <v>24531</v>
      </c>
      <c r="R44" s="286">
        <v>0</v>
      </c>
    </row>
    <row r="45" spans="16:18">
      <c r="P45" s="286">
        <v>39</v>
      </c>
      <c r="Q45" s="288">
        <v>24532</v>
      </c>
      <c r="R45" s="286">
        <v>0</v>
      </c>
    </row>
    <row r="46" spans="16:18">
      <c r="P46" s="286">
        <v>40</v>
      </c>
      <c r="Q46" s="288">
        <v>24689</v>
      </c>
      <c r="R46" s="286">
        <v>0</v>
      </c>
    </row>
    <row r="47" spans="16:18">
      <c r="P47" s="286">
        <v>41</v>
      </c>
      <c r="Q47" s="288">
        <v>24691</v>
      </c>
      <c r="R47" s="286">
        <v>0</v>
      </c>
    </row>
    <row r="48" spans="16:18">
      <c r="P48" s="286">
        <v>42</v>
      </c>
      <c r="Q48" s="288">
        <v>24793</v>
      </c>
      <c r="R48" s="286">
        <v>0</v>
      </c>
    </row>
    <row r="49" spans="16:18">
      <c r="P49" s="286">
        <v>43</v>
      </c>
      <c r="Q49" s="288">
        <v>24794</v>
      </c>
      <c r="R49" s="286">
        <v>0</v>
      </c>
    </row>
    <row r="50" spans="16:18">
      <c r="P50" s="286">
        <v>44</v>
      </c>
      <c r="Q50" s="288">
        <v>24795</v>
      </c>
      <c r="R50" s="286">
        <v>0</v>
      </c>
    </row>
    <row r="51" spans="16:18">
      <c r="P51" s="286">
        <v>45</v>
      </c>
      <c r="Q51" s="288">
        <v>24873</v>
      </c>
      <c r="R51" s="286">
        <v>0</v>
      </c>
    </row>
    <row r="52" spans="16:18">
      <c r="P52" s="286">
        <v>46</v>
      </c>
      <c r="Q52" s="288">
        <v>24874</v>
      </c>
      <c r="R52" s="286">
        <v>0</v>
      </c>
    </row>
    <row r="53" spans="16:18">
      <c r="P53" s="286">
        <v>47</v>
      </c>
      <c r="Q53" s="288">
        <v>24878</v>
      </c>
      <c r="R53" s="286">
        <v>0</v>
      </c>
    </row>
    <row r="54" spans="16:18">
      <c r="P54" s="286">
        <v>48</v>
      </c>
      <c r="Q54" s="288">
        <v>24879</v>
      </c>
      <c r="R54" s="286">
        <v>0</v>
      </c>
    </row>
    <row r="55" spans="16:18">
      <c r="P55" s="286">
        <v>49</v>
      </c>
      <c r="Q55" s="288">
        <v>24880</v>
      </c>
      <c r="R55" s="286">
        <v>0</v>
      </c>
    </row>
    <row r="56" spans="16:18">
      <c r="P56" s="286">
        <v>50</v>
      </c>
      <c r="Q56" s="288">
        <v>24888</v>
      </c>
      <c r="R56" s="286">
        <v>0</v>
      </c>
    </row>
    <row r="57" spans="16:18">
      <c r="P57" s="286">
        <v>51</v>
      </c>
      <c r="Q57" s="288">
        <v>24889</v>
      </c>
      <c r="R57" s="286">
        <v>0</v>
      </c>
    </row>
    <row r="58" spans="16:18">
      <c r="P58" s="286">
        <v>52</v>
      </c>
      <c r="Q58" s="288">
        <v>24900</v>
      </c>
      <c r="R58" s="286">
        <v>0</v>
      </c>
    </row>
    <row r="59" spans="16:18">
      <c r="P59" s="286">
        <v>53</v>
      </c>
      <c r="Q59" s="288">
        <v>24923</v>
      </c>
      <c r="R59" s="286">
        <v>0</v>
      </c>
    </row>
    <row r="60" spans="16:18">
      <c r="P60" s="286">
        <v>54</v>
      </c>
      <c r="Q60" s="288">
        <v>25194</v>
      </c>
      <c r="R60" s="286">
        <v>0</v>
      </c>
    </row>
    <row r="61" spans="16:18">
      <c r="P61" s="286">
        <v>55</v>
      </c>
      <c r="Q61" s="288">
        <v>25195</v>
      </c>
      <c r="R61" s="286">
        <v>0</v>
      </c>
    </row>
    <row r="62" spans="16:18">
      <c r="P62" s="286">
        <v>56</v>
      </c>
      <c r="Q62" s="288">
        <v>25336</v>
      </c>
      <c r="R62" s="286">
        <v>508</v>
      </c>
    </row>
    <row r="63" spans="16:18">
      <c r="P63" s="286">
        <v>57</v>
      </c>
      <c r="Q63" s="288">
        <v>25341</v>
      </c>
      <c r="R63" s="286">
        <v>0</v>
      </c>
    </row>
    <row r="64" spans="16:18">
      <c r="P64" s="286">
        <v>58</v>
      </c>
      <c r="Q64" s="288">
        <v>25342</v>
      </c>
      <c r="R64" s="286">
        <v>0</v>
      </c>
    </row>
    <row r="65" spans="16:18">
      <c r="P65" s="286">
        <v>59</v>
      </c>
      <c r="Q65" s="288">
        <v>25433</v>
      </c>
      <c r="R65" s="286">
        <v>0</v>
      </c>
    </row>
    <row r="66" spans="16:18">
      <c r="P66" s="286">
        <v>60</v>
      </c>
      <c r="Q66" s="288">
        <v>25456</v>
      </c>
      <c r="R66" s="286">
        <v>0</v>
      </c>
    </row>
    <row r="67" spans="16:18">
      <c r="P67" s="286">
        <v>61</v>
      </c>
      <c r="Q67" s="288">
        <v>25497</v>
      </c>
      <c r="R67" s="286">
        <v>0</v>
      </c>
    </row>
    <row r="68" spans="16:18">
      <c r="P68" s="286">
        <v>62</v>
      </c>
      <c r="Q68" s="288">
        <v>25526</v>
      </c>
      <c r="R68" s="286">
        <v>0</v>
      </c>
    </row>
    <row r="69" spans="16:18">
      <c r="P69" s="286">
        <v>63</v>
      </c>
      <c r="Q69" s="288">
        <v>25841</v>
      </c>
      <c r="R69" s="286">
        <v>0</v>
      </c>
    </row>
    <row r="70" spans="16:18">
      <c r="P70" s="286">
        <v>64</v>
      </c>
      <c r="Q70" s="288">
        <v>26055</v>
      </c>
      <c r="R70" s="286">
        <v>0</v>
      </c>
    </row>
    <row r="71" spans="16:18">
      <c r="P71" s="286">
        <v>65</v>
      </c>
      <c r="Q71" s="288">
        <v>26440</v>
      </c>
      <c r="R71" s="286">
        <v>0</v>
      </c>
    </row>
    <row r="72" spans="16:18">
      <c r="P72" s="286">
        <v>66</v>
      </c>
      <c r="Q72" s="288">
        <v>26965</v>
      </c>
      <c r="R72" s="286">
        <v>502</v>
      </c>
    </row>
    <row r="73" spans="16:18">
      <c r="P73" s="286">
        <v>67</v>
      </c>
      <c r="Q73" s="288">
        <v>27128</v>
      </c>
      <c r="R73" s="286">
        <v>511</v>
      </c>
    </row>
    <row r="74" spans="16:18">
      <c r="P74" s="286">
        <v>68</v>
      </c>
      <c r="Q74" s="288">
        <v>27131</v>
      </c>
      <c r="R74" s="286">
        <v>504</v>
      </c>
    </row>
    <row r="75" spans="16:18">
      <c r="P75" s="286">
        <v>69</v>
      </c>
      <c r="Q75" s="288">
        <v>27232</v>
      </c>
      <c r="R75" s="286">
        <v>505</v>
      </c>
    </row>
    <row r="76" spans="16:18">
      <c r="P76" s="286">
        <v>70</v>
      </c>
      <c r="Q76" s="288">
        <v>27235</v>
      </c>
      <c r="R76" s="286">
        <v>507</v>
      </c>
    </row>
    <row r="77" spans="16:18">
      <c r="P77" s="286">
        <v>71</v>
      </c>
      <c r="Q77" s="288">
        <v>27236</v>
      </c>
      <c r="R77" s="286">
        <v>506</v>
      </c>
    </row>
    <row r="78" spans="16:18">
      <c r="P78" s="286">
        <v>72</v>
      </c>
      <c r="Q78" s="288">
        <v>27535</v>
      </c>
      <c r="R78" s="286">
        <v>102</v>
      </c>
    </row>
    <row r="79" spans="16:18">
      <c r="P79" s="286">
        <v>73</v>
      </c>
      <c r="Q79" s="288">
        <v>36579</v>
      </c>
      <c r="R79" s="286">
        <v>102</v>
      </c>
    </row>
    <row r="80" spans="16:18">
      <c r="P80" s="286">
        <v>74</v>
      </c>
      <c r="Q80" s="288">
        <v>36582</v>
      </c>
      <c r="R80" s="286">
        <v>103</v>
      </c>
    </row>
    <row r="81" spans="16:18">
      <c r="P81" s="286">
        <v>75</v>
      </c>
      <c r="Q81" s="288">
        <v>36585</v>
      </c>
      <c r="R81" s="286">
        <v>509</v>
      </c>
    </row>
    <row r="82" spans="16:18">
      <c r="P82" s="286">
        <v>76</v>
      </c>
      <c r="Q82" s="288">
        <v>36607</v>
      </c>
      <c r="R82" s="286">
        <v>513</v>
      </c>
    </row>
    <row r="83" spans="16:18">
      <c r="P83" s="286">
        <v>77</v>
      </c>
      <c r="Q83" s="288">
        <v>36742</v>
      </c>
      <c r="R83" s="286">
        <v>520</v>
      </c>
    </row>
    <row r="84" spans="16:18">
      <c r="P84" s="286">
        <v>78</v>
      </c>
      <c r="Q84" s="288">
        <v>36747</v>
      </c>
      <c r="R84" s="286">
        <v>521</v>
      </c>
    </row>
    <row r="85" spans="16:18">
      <c r="P85" s="286">
        <v>79</v>
      </c>
      <c r="Q85" s="288">
        <v>36748</v>
      </c>
      <c r="R85" s="286">
        <v>519</v>
      </c>
    </row>
    <row r="86" spans="16:18">
      <c r="P86" s="286">
        <v>80</v>
      </c>
      <c r="Q86" s="288">
        <v>36749</v>
      </c>
      <c r="R86" s="286">
        <v>519</v>
      </c>
    </row>
    <row r="87" spans="16:18">
      <c r="P87" s="286">
        <v>81</v>
      </c>
      <c r="Q87" s="288">
        <v>36751</v>
      </c>
      <c r="R87" s="286">
        <v>519</v>
      </c>
    </row>
    <row r="88" spans="16:18">
      <c r="P88" s="286">
        <v>82</v>
      </c>
      <c r="Q88" s="288">
        <v>36753</v>
      </c>
      <c r="R88" s="286">
        <v>519</v>
      </c>
    </row>
    <row r="89" spans="16:18">
      <c r="P89" s="286">
        <v>83</v>
      </c>
      <c r="Q89" s="288">
        <v>36764</v>
      </c>
      <c r="R89" s="286">
        <v>518</v>
      </c>
    </row>
    <row r="90" spans="16:18">
      <c r="P90" s="286">
        <v>84</v>
      </c>
      <c r="Q90" s="288">
        <v>36767</v>
      </c>
      <c r="R90" s="286">
        <v>518</v>
      </c>
    </row>
    <row r="91" spans="16:18">
      <c r="P91" s="286">
        <v>85</v>
      </c>
      <c r="Q91" s="288">
        <v>37599</v>
      </c>
      <c r="R91" s="286">
        <v>510</v>
      </c>
    </row>
    <row r="92" spans="16:18">
      <c r="P92" s="286">
        <v>86</v>
      </c>
      <c r="Q92" s="288">
        <v>37686</v>
      </c>
      <c r="R92" s="286">
        <v>524</v>
      </c>
    </row>
    <row r="93" spans="16:18">
      <c r="P93" s="286">
        <v>87</v>
      </c>
      <c r="Q93" s="288">
        <v>37867</v>
      </c>
      <c r="R93" s="286">
        <v>525</v>
      </c>
    </row>
    <row r="94" spans="16:18">
      <c r="P94" s="286">
        <v>88</v>
      </c>
      <c r="Q94" s="288">
        <v>37884</v>
      </c>
      <c r="R94" s="286">
        <v>530</v>
      </c>
    </row>
    <row r="95" spans="16:18">
      <c r="P95" s="286">
        <v>89</v>
      </c>
      <c r="Q95" s="288">
        <v>37936</v>
      </c>
      <c r="R95" s="286">
        <v>536</v>
      </c>
    </row>
    <row r="96" spans="16:18">
      <c r="P96" s="286">
        <v>90</v>
      </c>
      <c r="Q96" s="288">
        <v>37938</v>
      </c>
      <c r="R96" s="286">
        <v>538</v>
      </c>
    </row>
    <row r="97" spans="16:18">
      <c r="P97" s="286">
        <v>91</v>
      </c>
      <c r="Q97" s="288">
        <v>37943</v>
      </c>
      <c r="R97" s="286">
        <v>539</v>
      </c>
    </row>
    <row r="98" spans="16:18">
      <c r="P98" s="286">
        <v>92</v>
      </c>
      <c r="Q98" s="288">
        <v>37971</v>
      </c>
      <c r="R98" s="286">
        <v>544</v>
      </c>
    </row>
    <row r="99" spans="16:18">
      <c r="P99" s="286">
        <v>93</v>
      </c>
      <c r="Q99" s="288">
        <v>38047</v>
      </c>
      <c r="R99" s="286">
        <v>518</v>
      </c>
    </row>
    <row r="100" spans="16:18">
      <c r="P100" s="286">
        <v>94</v>
      </c>
      <c r="Q100" s="288">
        <v>38050</v>
      </c>
      <c r="R100" s="286">
        <v>518</v>
      </c>
    </row>
    <row r="101" spans="16:18">
      <c r="P101" s="286">
        <v>95</v>
      </c>
      <c r="Q101" s="288">
        <v>38061</v>
      </c>
      <c r="R101" s="286">
        <v>518</v>
      </c>
    </row>
    <row r="102" spans="16:18">
      <c r="P102" s="286">
        <v>96</v>
      </c>
      <c r="Q102" s="288">
        <v>38064</v>
      </c>
      <c r="R102" s="286">
        <v>518</v>
      </c>
    </row>
    <row r="103" spans="16:18">
      <c r="P103" s="286">
        <v>97</v>
      </c>
      <c r="Q103" s="288">
        <v>38067</v>
      </c>
      <c r="R103" s="286">
        <v>518</v>
      </c>
    </row>
    <row r="104" spans="16:18">
      <c r="P104" s="286">
        <v>98</v>
      </c>
      <c r="Q104" s="288">
        <v>38069</v>
      </c>
      <c r="R104" s="286">
        <v>518</v>
      </c>
    </row>
    <row r="105" spans="16:18">
      <c r="P105" s="286">
        <v>99</v>
      </c>
      <c r="Q105" s="288">
        <v>38070</v>
      </c>
      <c r="R105" s="286">
        <v>518</v>
      </c>
    </row>
    <row r="106" spans="16:18">
      <c r="P106" s="286">
        <v>100</v>
      </c>
      <c r="Q106" s="288">
        <v>38088</v>
      </c>
      <c r="R106" s="286">
        <v>518</v>
      </c>
    </row>
    <row r="107" spans="16:18">
      <c r="P107" s="286">
        <v>101</v>
      </c>
      <c r="Q107" s="288">
        <v>38454</v>
      </c>
      <c r="R107" s="286">
        <v>546</v>
      </c>
    </row>
    <row r="108" spans="16:18">
      <c r="P108" s="286">
        <v>102</v>
      </c>
      <c r="Q108" s="288">
        <v>38456</v>
      </c>
      <c r="R108" s="286">
        <v>546</v>
      </c>
    </row>
    <row r="109" spans="16:18">
      <c r="P109" s="286">
        <v>103</v>
      </c>
      <c r="Q109" s="288">
        <v>38467</v>
      </c>
      <c r="R109" s="286">
        <v>518</v>
      </c>
    </row>
    <row r="110" spans="16:18">
      <c r="P110" s="286">
        <v>104</v>
      </c>
      <c r="Q110" s="288">
        <v>38497</v>
      </c>
      <c r="R110" s="286">
        <v>518</v>
      </c>
    </row>
    <row r="111" spans="16:18">
      <c r="P111" s="286">
        <v>105</v>
      </c>
      <c r="Q111" s="288">
        <v>38501</v>
      </c>
      <c r="R111" s="286">
        <v>518</v>
      </c>
    </row>
    <row r="112" spans="16:18">
      <c r="P112" s="286">
        <v>106</v>
      </c>
      <c r="Q112" s="288">
        <v>38585</v>
      </c>
      <c r="R112" s="286">
        <v>104</v>
      </c>
    </row>
    <row r="113" spans="16:18">
      <c r="P113" s="286">
        <v>107</v>
      </c>
      <c r="Q113" s="288">
        <v>38601</v>
      </c>
      <c r="R113" s="286">
        <v>104</v>
      </c>
    </row>
    <row r="114" spans="16:18">
      <c r="P114" s="286">
        <v>108</v>
      </c>
      <c r="Q114" s="288">
        <v>38623</v>
      </c>
      <c r="R114" s="286">
        <v>553</v>
      </c>
    </row>
    <row r="115" spans="16:18">
      <c r="P115" s="286">
        <v>109</v>
      </c>
      <c r="Q115" s="288">
        <v>39015</v>
      </c>
      <c r="R115" s="286">
        <v>518</v>
      </c>
    </row>
    <row r="116" spans="16:18">
      <c r="P116" s="286">
        <v>110</v>
      </c>
      <c r="Q116" s="288">
        <v>39181</v>
      </c>
      <c r="R116" s="286">
        <v>102</v>
      </c>
    </row>
    <row r="117" spans="16:18">
      <c r="P117" s="286">
        <v>111</v>
      </c>
      <c r="Q117" s="288">
        <v>39215</v>
      </c>
      <c r="R117" s="286">
        <v>505</v>
      </c>
    </row>
    <row r="118" spans="16:18">
      <c r="P118" s="286">
        <v>112</v>
      </c>
      <c r="Q118" s="288">
        <v>39452</v>
      </c>
      <c r="R118" s="286">
        <v>556</v>
      </c>
    </row>
    <row r="119" spans="16:18">
      <c r="P119" s="286">
        <v>113</v>
      </c>
      <c r="Q119" s="288">
        <v>39453</v>
      </c>
      <c r="R119" s="286">
        <v>555</v>
      </c>
    </row>
    <row r="120" spans="16:18">
      <c r="P120" s="286">
        <v>114</v>
      </c>
      <c r="Q120" s="288">
        <v>39505</v>
      </c>
      <c r="R120" s="286">
        <v>554</v>
      </c>
    </row>
    <row r="121" spans="16:18">
      <c r="P121" s="286">
        <v>115</v>
      </c>
      <c r="Q121" s="288">
        <v>39602</v>
      </c>
      <c r="R121" s="286">
        <v>102</v>
      </c>
    </row>
    <row r="122" spans="16:18">
      <c r="P122" s="286">
        <v>116</v>
      </c>
      <c r="Q122" s="288">
        <v>39603</v>
      </c>
      <c r="R122" s="286">
        <v>102</v>
      </c>
    </row>
    <row r="123" spans="16:18">
      <c r="P123" s="286">
        <v>117</v>
      </c>
      <c r="Q123" s="288">
        <v>39962</v>
      </c>
      <c r="R123" s="286">
        <v>559</v>
      </c>
    </row>
    <row r="124" spans="16:18">
      <c r="P124" s="286">
        <v>118</v>
      </c>
      <c r="Q124" s="288">
        <v>39963</v>
      </c>
      <c r="R124" s="286">
        <v>558</v>
      </c>
    </row>
    <row r="125" spans="16:18">
      <c r="P125" s="286">
        <v>119</v>
      </c>
      <c r="Q125" s="288">
        <v>40115</v>
      </c>
      <c r="R125" s="286">
        <v>557</v>
      </c>
    </row>
    <row r="126" spans="16:18">
      <c r="P126" s="286">
        <v>120</v>
      </c>
      <c r="Q126" s="288">
        <v>40337</v>
      </c>
      <c r="R126" s="286">
        <v>560</v>
      </c>
    </row>
    <row r="127" spans="16:18">
      <c r="P127" s="286">
        <v>121</v>
      </c>
      <c r="Q127" s="288">
        <v>40930</v>
      </c>
      <c r="R127" s="286">
        <v>571</v>
      </c>
    </row>
    <row r="128" spans="16:18">
      <c r="P128" s="286">
        <v>122</v>
      </c>
      <c r="Q128" s="288">
        <v>41358</v>
      </c>
      <c r="R128" s="286">
        <v>564</v>
      </c>
    </row>
    <row r="129" spans="16:18">
      <c r="P129" s="286">
        <v>123</v>
      </c>
      <c r="Q129" s="288">
        <v>41364</v>
      </c>
      <c r="R129" s="286">
        <v>568</v>
      </c>
    </row>
    <row r="130" spans="16:18">
      <c r="P130" s="286">
        <v>124</v>
      </c>
      <c r="Q130" s="288">
        <v>41367</v>
      </c>
      <c r="R130" s="286">
        <v>567</v>
      </c>
    </row>
    <row r="131" spans="16:18">
      <c r="P131" s="286">
        <v>125</v>
      </c>
      <c r="Q131" s="288">
        <v>42914</v>
      </c>
      <c r="R131" s="286">
        <v>572</v>
      </c>
    </row>
    <row r="132" spans="16:18">
      <c r="P132" s="286">
        <v>126</v>
      </c>
      <c r="Q132" s="288">
        <v>43024</v>
      </c>
      <c r="R132" s="286">
        <v>522</v>
      </c>
    </row>
    <row r="133" spans="16:18">
      <c r="P133" s="286">
        <v>127</v>
      </c>
      <c r="Q133" s="339">
        <v>36753</v>
      </c>
      <c r="R133" s="286">
        <v>519</v>
      </c>
    </row>
    <row r="134" spans="16:18">
      <c r="P134" s="286">
        <v>128</v>
      </c>
      <c r="Q134" s="288">
        <v>23581</v>
      </c>
      <c r="R134" s="286">
        <v>0</v>
      </c>
    </row>
    <row r="135" spans="16:18">
      <c r="P135" s="286">
        <v>129</v>
      </c>
      <c r="Q135" s="339">
        <v>25536</v>
      </c>
      <c r="R135" s="286">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0ED3BC9-4FF3-467E-9E48-85DBA459B06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أوراق العمل</vt:lpstr>
      </vt:variant>
      <vt:variant>
        <vt:i4>27</vt:i4>
      </vt:variant>
    </vt:vector>
  </HeadingPairs>
  <TitlesOfParts>
    <vt:vector size="27" baseType="lpstr">
      <vt:lpstr>قطع الصيانة</vt:lpstr>
      <vt:lpstr>Home</vt:lpstr>
      <vt:lpstr>سياسة طباعة تقرير العمائر</vt:lpstr>
      <vt:lpstr>التحويل بين عبدالله وروك كي</vt:lpstr>
      <vt:lpstr>Menus</vt:lpstr>
      <vt:lpstr>الوسطاء</vt:lpstr>
      <vt:lpstr>Units Data</vt:lpstr>
      <vt:lpstr>الوحدات والمباني</vt:lpstr>
      <vt:lpstr>Payment Filtering</vt:lpstr>
      <vt:lpstr>رسوم عقد ايجار روك</vt:lpstr>
      <vt:lpstr>رسوم تجديد تلقائي</vt:lpstr>
      <vt:lpstr>Payments and Repayments</vt:lpstr>
      <vt:lpstr>Expenses</vt:lpstr>
      <vt:lpstr>Monthly Report</vt:lpstr>
      <vt:lpstr>باقي المصروفات</vt:lpstr>
      <vt:lpstr>Revenue</vt:lpstr>
      <vt:lpstr>Unit Handover</vt:lpstr>
      <vt:lpstr>مصروفات من حساب عدالله راشد</vt:lpstr>
      <vt:lpstr>تامين مستاجرين</vt:lpstr>
      <vt:lpstr>التدفقات</vt:lpstr>
      <vt:lpstr>دراسة ادارة املاك</vt:lpstr>
      <vt:lpstr>Number Processing</vt:lpstr>
      <vt:lpstr>Offers</vt:lpstr>
      <vt:lpstr>دراسات</vt:lpstr>
      <vt:lpstr>Report of Abdullah Rashid</vt:lpstr>
      <vt:lpstr>مكافات نهاية الخدمة</vt:lpstr>
      <vt:lpstr>Deals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Mohammed Almasoud</dc:creator>
  <cp:lastModifiedBy>Abdullah alaboudi</cp:lastModifiedBy>
  <cp:lastPrinted>2026-10-05T12:27:01Z</cp:lastPrinted>
  <dcterms:created xsi:type="dcterms:W3CDTF">2025-09-23T18:20:51Z</dcterms:created>
  <dcterms:modified xsi:type="dcterms:W3CDTF">2026-10-28T00:10:53Z</dcterms:modified>
</cp:coreProperties>
</file>